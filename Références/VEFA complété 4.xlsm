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02 - PRO\07 - MISSIONS SUPP\Docs types\TABLEAU SUIVI VEFA\VEFA\"/>
    </mc:Choice>
  </mc:AlternateContent>
  <xr:revisionPtr revIDLastSave="0" documentId="13_ncr:1_{38A481B7-0A5E-4BBF-AD4C-DF241BFF0918}" xr6:coauthVersionLast="47" xr6:coauthVersionMax="47" xr10:uidLastSave="{00000000-0000-0000-0000-000000000000}"/>
  <bookViews>
    <workbookView xWindow="71880" yWindow="-120" windowWidth="29040" windowHeight="15720" firstSheet="2" activeTab="2" xr2:uid="{00000000-000D-0000-FFFF-FFFF00000000}"/>
  </bookViews>
  <sheets>
    <sheet name="Base_de_donnée_clients" sheetId="1" r:id="rId1"/>
    <sheet name="Synthese_Programme" sheetId="2" r:id="rId2"/>
    <sheet name="EXPORT" sheetId="13" r:id="rId3"/>
    <sheet name="EXPORT_Synthese_programme" sheetId="14" r:id="rId4"/>
    <sheet name="Listing_Acquéreurs" sheetId="3" state="veryHidden" r:id="rId5"/>
    <sheet name="Suivi_Prêt_et_Notaire" sheetId="4" state="veryHidden" r:id="rId6"/>
    <sheet name="Appels_de_Fonds" sheetId="5" state="veryHidden" r:id="rId7"/>
    <sheet name="Tableau_Commercial" sheetId="7" state="veryHidden" r:id="rId8"/>
    <sheet name="Parametres" sheetId="12" r:id="rId9"/>
  </sheets>
  <definedNames>
    <definedName name="_xlnm._FilterDatabase" localSheetId="0" hidden="1">Base_de_donnée_clients!$A$7:$T$7</definedName>
    <definedName name="_xlnm._FilterDatabase" localSheetId="4" hidden="1">Listing_Acquéreurs!$B$7:$I$7</definedName>
    <definedName name="_xlnm._FilterDatabase" localSheetId="5" hidden="1">Suivi_Prêt_et_Notaire!$B$7:$N$7</definedName>
    <definedName name="_xlnm._FilterDatabase" localSheetId="1" hidden="1">Synthese_Programme!$A$7:$R$7</definedName>
    <definedName name="_xlnm.Print_Area" localSheetId="6">Appels_de_Fonds!$A$1:$S$302</definedName>
    <definedName name="_xlnm.Print_Area" localSheetId="3">EXPORT_Synthese_programme!$A$1:$R$22</definedName>
    <definedName name="_xlnm.Print_Area" localSheetId="4">Listing_Acquéreurs!$A$1:$I$15</definedName>
    <definedName name="_xlnm.Print_Area" localSheetId="5">Suivi_Prêt_et_Notaire!$A$1:$N$19</definedName>
    <definedName name="_xlnm.Print_Area" localSheetId="1">Synthese_Programme!$A$1:$R$293</definedName>
    <definedName name="_xlnm.Print_Area" localSheetId="7">Tableau_Commercial!$A$1:$J$59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14" l="1"/>
  <c r="L19" i="14"/>
  <c r="M18" i="14"/>
  <c r="L18" i="14"/>
  <c r="M17" i="14"/>
  <c r="L17" i="14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F16" i="5"/>
  <c r="M8" i="2"/>
  <c r="M9" i="2"/>
  <c r="M10" i="2"/>
  <c r="M11" i="2"/>
  <c r="M12" i="2"/>
  <c r="M13" i="2"/>
  <c r="M14" i="2"/>
  <c r="D14" i="5" s="1"/>
  <c r="M15" i="2"/>
  <c r="M16" i="2"/>
  <c r="M17" i="2"/>
  <c r="M18" i="2"/>
  <c r="A31" i="7" s="1" a="1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C210" i="1" s="1"/>
  <c r="C210" i="3" s="1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A2" i="1"/>
  <c r="D4" i="1"/>
  <c r="D3" i="1"/>
  <c r="B4" i="1"/>
  <c r="B5" i="1"/>
  <c r="B3" i="1"/>
  <c r="Q9" i="1"/>
  <c r="Q10" i="1"/>
  <c r="M10" i="4" s="1"/>
  <c r="Q11" i="1"/>
  <c r="M11" i="4" s="1"/>
  <c r="Q12" i="1"/>
  <c r="M12" i="4" s="1"/>
  <c r="Q13" i="1"/>
  <c r="M13" i="4" s="1"/>
  <c r="Q14" i="1"/>
  <c r="M14" i="4" s="1"/>
  <c r="Q15" i="1"/>
  <c r="M15" i="4" s="1"/>
  <c r="Q16" i="1"/>
  <c r="M16" i="4" s="1"/>
  <c r="Q17" i="1"/>
  <c r="M17" i="4" s="1"/>
  <c r="Q18" i="1"/>
  <c r="M18" i="4" s="1"/>
  <c r="Q19" i="1"/>
  <c r="M19" i="4" s="1"/>
  <c r="Q20" i="1"/>
  <c r="M20" i="4" s="1"/>
  <c r="Q21" i="1"/>
  <c r="M21" i="4" s="1"/>
  <c r="Q22" i="1"/>
  <c r="M22" i="4" s="1"/>
  <c r="Q23" i="1"/>
  <c r="M23" i="4" s="1"/>
  <c r="Q24" i="1"/>
  <c r="M24" i="4" s="1"/>
  <c r="Q25" i="1"/>
  <c r="M25" i="4" s="1"/>
  <c r="Q26" i="1"/>
  <c r="M26" i="4" s="1"/>
  <c r="Q27" i="1"/>
  <c r="M27" i="4" s="1"/>
  <c r="Q28" i="1"/>
  <c r="M28" i="4" s="1"/>
  <c r="Q29" i="1"/>
  <c r="M29" i="4" s="1"/>
  <c r="Q30" i="1"/>
  <c r="M30" i="4" s="1"/>
  <c r="Q31" i="1"/>
  <c r="M31" i="4" s="1"/>
  <c r="Q32" i="1"/>
  <c r="M32" i="4" s="1"/>
  <c r="Q33" i="1"/>
  <c r="M33" i="4" s="1"/>
  <c r="Q34" i="1"/>
  <c r="M34" i="4" s="1"/>
  <c r="Q35" i="1"/>
  <c r="M35" i="4" s="1"/>
  <c r="Q36" i="1"/>
  <c r="M36" i="4" s="1"/>
  <c r="Q37" i="1"/>
  <c r="M37" i="4" s="1"/>
  <c r="Q38" i="1"/>
  <c r="M38" i="4" s="1"/>
  <c r="Q39" i="1"/>
  <c r="M39" i="4" s="1"/>
  <c r="Q40" i="1"/>
  <c r="M40" i="4" s="1"/>
  <c r="Q41" i="1"/>
  <c r="M41" i="4" s="1"/>
  <c r="Q42" i="1"/>
  <c r="M42" i="4" s="1"/>
  <c r="Q43" i="1"/>
  <c r="M43" i="4" s="1"/>
  <c r="Q44" i="1"/>
  <c r="M44" i="4" s="1"/>
  <c r="Q45" i="1"/>
  <c r="M45" i="4" s="1"/>
  <c r="Q46" i="1"/>
  <c r="M46" i="4" s="1"/>
  <c r="Q47" i="1"/>
  <c r="M47" i="4" s="1"/>
  <c r="Q48" i="1"/>
  <c r="M48" i="4" s="1"/>
  <c r="Q49" i="1"/>
  <c r="M49" i="4" s="1"/>
  <c r="Q50" i="1"/>
  <c r="M50" i="4" s="1"/>
  <c r="Q51" i="1"/>
  <c r="M51" i="4" s="1"/>
  <c r="Q52" i="1"/>
  <c r="M52" i="4" s="1"/>
  <c r="Q53" i="1"/>
  <c r="M53" i="4" s="1"/>
  <c r="Q54" i="1"/>
  <c r="M54" i="4" s="1"/>
  <c r="Q55" i="1"/>
  <c r="M55" i="4" s="1"/>
  <c r="Q56" i="1"/>
  <c r="M56" i="4" s="1"/>
  <c r="Q57" i="1"/>
  <c r="M57" i="4" s="1"/>
  <c r="Q58" i="1"/>
  <c r="M58" i="4" s="1"/>
  <c r="Q59" i="1"/>
  <c r="M59" i="4" s="1"/>
  <c r="Q60" i="1"/>
  <c r="M60" i="4" s="1"/>
  <c r="Q61" i="1"/>
  <c r="M61" i="4" s="1"/>
  <c r="Q62" i="1"/>
  <c r="M62" i="4" s="1"/>
  <c r="Q63" i="1"/>
  <c r="M63" i="4" s="1"/>
  <c r="Q64" i="1"/>
  <c r="M64" i="4" s="1"/>
  <c r="Q65" i="1"/>
  <c r="M65" i="4" s="1"/>
  <c r="Q66" i="1"/>
  <c r="M66" i="4" s="1"/>
  <c r="Q67" i="1"/>
  <c r="M67" i="4" s="1"/>
  <c r="Q68" i="1"/>
  <c r="M68" i="4" s="1"/>
  <c r="Q69" i="1"/>
  <c r="M69" i="4" s="1"/>
  <c r="Q70" i="1"/>
  <c r="M70" i="4" s="1"/>
  <c r="Q71" i="1"/>
  <c r="M71" i="4" s="1"/>
  <c r="Q72" i="1"/>
  <c r="M72" i="4" s="1"/>
  <c r="Q73" i="1"/>
  <c r="M73" i="4" s="1"/>
  <c r="Q74" i="1"/>
  <c r="M74" i="4" s="1"/>
  <c r="Q75" i="1"/>
  <c r="M75" i="4" s="1"/>
  <c r="Q76" i="1"/>
  <c r="M76" i="4" s="1"/>
  <c r="Q77" i="1"/>
  <c r="M77" i="4" s="1"/>
  <c r="Q78" i="1"/>
  <c r="M78" i="4" s="1"/>
  <c r="Q79" i="1"/>
  <c r="M79" i="4" s="1"/>
  <c r="Q80" i="1"/>
  <c r="M80" i="4" s="1"/>
  <c r="Q81" i="1"/>
  <c r="M81" i="4" s="1"/>
  <c r="Q82" i="1"/>
  <c r="M82" i="4" s="1"/>
  <c r="Q83" i="1"/>
  <c r="M83" i="4" s="1"/>
  <c r="Q84" i="1"/>
  <c r="M84" i="4" s="1"/>
  <c r="Q85" i="1"/>
  <c r="M85" i="4" s="1"/>
  <c r="Q86" i="1"/>
  <c r="M86" i="4" s="1"/>
  <c r="Q87" i="1"/>
  <c r="M87" i="4" s="1"/>
  <c r="Q88" i="1"/>
  <c r="M88" i="4" s="1"/>
  <c r="Q89" i="1"/>
  <c r="M89" i="4" s="1"/>
  <c r="Q90" i="1"/>
  <c r="M90" i="4" s="1"/>
  <c r="Q91" i="1"/>
  <c r="M91" i="4" s="1"/>
  <c r="Q92" i="1"/>
  <c r="M92" i="4" s="1"/>
  <c r="Q93" i="1"/>
  <c r="M93" i="4" s="1"/>
  <c r="Q94" i="1"/>
  <c r="M94" i="4" s="1"/>
  <c r="Q95" i="1"/>
  <c r="M95" i="4" s="1"/>
  <c r="Q96" i="1"/>
  <c r="M96" i="4" s="1"/>
  <c r="Q97" i="1"/>
  <c r="M97" i="4" s="1"/>
  <c r="Q98" i="1"/>
  <c r="M98" i="4" s="1"/>
  <c r="Q99" i="1"/>
  <c r="M99" i="4" s="1"/>
  <c r="Q100" i="1"/>
  <c r="M100" i="4" s="1"/>
  <c r="Q101" i="1"/>
  <c r="M101" i="4" s="1"/>
  <c r="Q102" i="1"/>
  <c r="M102" i="4" s="1"/>
  <c r="Q103" i="1"/>
  <c r="M103" i="4" s="1"/>
  <c r="Q104" i="1"/>
  <c r="M104" i="4" s="1"/>
  <c r="Q105" i="1"/>
  <c r="M105" i="4" s="1"/>
  <c r="Q106" i="1"/>
  <c r="M106" i="4" s="1"/>
  <c r="Q107" i="1"/>
  <c r="M107" i="4" s="1"/>
  <c r="Q108" i="1"/>
  <c r="M108" i="4" s="1"/>
  <c r="Q109" i="1"/>
  <c r="M109" i="4" s="1"/>
  <c r="Q110" i="1"/>
  <c r="M110" i="4" s="1"/>
  <c r="Q111" i="1"/>
  <c r="M111" i="4" s="1"/>
  <c r="Q112" i="1"/>
  <c r="M112" i="4" s="1"/>
  <c r="Q113" i="1"/>
  <c r="M113" i="4" s="1"/>
  <c r="Q114" i="1"/>
  <c r="M114" i="4" s="1"/>
  <c r="Q115" i="1"/>
  <c r="M115" i="4" s="1"/>
  <c r="Q116" i="1"/>
  <c r="M116" i="4" s="1"/>
  <c r="Q117" i="1"/>
  <c r="M117" i="4" s="1"/>
  <c r="Q118" i="1"/>
  <c r="M118" i="4" s="1"/>
  <c r="Q119" i="1"/>
  <c r="M119" i="4" s="1"/>
  <c r="Q120" i="1"/>
  <c r="M120" i="4" s="1"/>
  <c r="Q121" i="1"/>
  <c r="M121" i="4" s="1"/>
  <c r="Q122" i="1"/>
  <c r="M122" i="4" s="1"/>
  <c r="Q123" i="1"/>
  <c r="M123" i="4" s="1"/>
  <c r="Q124" i="1"/>
  <c r="M124" i="4" s="1"/>
  <c r="Q125" i="1"/>
  <c r="M125" i="4" s="1"/>
  <c r="Q126" i="1"/>
  <c r="M126" i="4" s="1"/>
  <c r="Q127" i="1"/>
  <c r="M127" i="4" s="1"/>
  <c r="Q128" i="1"/>
  <c r="M128" i="4" s="1"/>
  <c r="Q129" i="1"/>
  <c r="M129" i="4" s="1"/>
  <c r="Q130" i="1"/>
  <c r="M130" i="4" s="1"/>
  <c r="Q131" i="1"/>
  <c r="M131" i="4" s="1"/>
  <c r="Q132" i="1"/>
  <c r="M132" i="4" s="1"/>
  <c r="Q133" i="1"/>
  <c r="M133" i="4" s="1"/>
  <c r="Q134" i="1"/>
  <c r="M134" i="4" s="1"/>
  <c r="Q135" i="1"/>
  <c r="M135" i="4" s="1"/>
  <c r="Q136" i="1"/>
  <c r="M136" i="4" s="1"/>
  <c r="Q137" i="1"/>
  <c r="M137" i="4" s="1"/>
  <c r="Q138" i="1"/>
  <c r="M138" i="4" s="1"/>
  <c r="Q139" i="1"/>
  <c r="M139" i="4" s="1"/>
  <c r="Q140" i="1"/>
  <c r="M140" i="4" s="1"/>
  <c r="Q141" i="1"/>
  <c r="M141" i="4" s="1"/>
  <c r="Q142" i="1"/>
  <c r="M142" i="4" s="1"/>
  <c r="Q143" i="1"/>
  <c r="M143" i="4" s="1"/>
  <c r="Q144" i="1"/>
  <c r="M144" i="4" s="1"/>
  <c r="Q145" i="1"/>
  <c r="M145" i="4" s="1"/>
  <c r="Q146" i="1"/>
  <c r="M146" i="4" s="1"/>
  <c r="Q147" i="1"/>
  <c r="M147" i="4" s="1"/>
  <c r="Q148" i="1"/>
  <c r="M148" i="4" s="1"/>
  <c r="Q149" i="1"/>
  <c r="M149" i="4" s="1"/>
  <c r="Q150" i="1"/>
  <c r="M150" i="4" s="1"/>
  <c r="Q151" i="1"/>
  <c r="M151" i="4" s="1"/>
  <c r="Q152" i="1"/>
  <c r="M152" i="4" s="1"/>
  <c r="Q153" i="1"/>
  <c r="M153" i="4" s="1"/>
  <c r="Q154" i="1"/>
  <c r="M154" i="4" s="1"/>
  <c r="Q155" i="1"/>
  <c r="M155" i="4" s="1"/>
  <c r="Q156" i="1"/>
  <c r="M156" i="4" s="1"/>
  <c r="Q157" i="1"/>
  <c r="M157" i="4" s="1"/>
  <c r="Q158" i="1"/>
  <c r="M158" i="4" s="1"/>
  <c r="Q159" i="1"/>
  <c r="M159" i="4" s="1"/>
  <c r="Q160" i="1"/>
  <c r="M160" i="4" s="1"/>
  <c r="Q161" i="1"/>
  <c r="M161" i="4" s="1"/>
  <c r="Q162" i="1"/>
  <c r="M162" i="4" s="1"/>
  <c r="Q163" i="1"/>
  <c r="M163" i="4" s="1"/>
  <c r="Q164" i="1"/>
  <c r="M164" i="4" s="1"/>
  <c r="Q165" i="1"/>
  <c r="M165" i="4" s="1"/>
  <c r="Q166" i="1"/>
  <c r="M166" i="4" s="1"/>
  <c r="Q167" i="1"/>
  <c r="M167" i="4" s="1"/>
  <c r="Q168" i="1"/>
  <c r="M168" i="4" s="1"/>
  <c r="Q169" i="1"/>
  <c r="M169" i="4" s="1"/>
  <c r="Q170" i="1"/>
  <c r="M170" i="4" s="1"/>
  <c r="Q171" i="1"/>
  <c r="M171" i="4" s="1"/>
  <c r="Q172" i="1"/>
  <c r="M172" i="4" s="1"/>
  <c r="Q173" i="1"/>
  <c r="M173" i="4" s="1"/>
  <c r="Q174" i="1"/>
  <c r="M174" i="4" s="1"/>
  <c r="Q175" i="1"/>
  <c r="M175" i="4" s="1"/>
  <c r="Q176" i="1"/>
  <c r="M176" i="4" s="1"/>
  <c r="Q177" i="1"/>
  <c r="M177" i="4" s="1"/>
  <c r="Q178" i="1"/>
  <c r="M178" i="4" s="1"/>
  <c r="Q179" i="1"/>
  <c r="M179" i="4" s="1"/>
  <c r="Q180" i="1"/>
  <c r="M180" i="4" s="1"/>
  <c r="Q181" i="1"/>
  <c r="M181" i="4" s="1"/>
  <c r="Q182" i="1"/>
  <c r="M182" i="4" s="1"/>
  <c r="Q183" i="1"/>
  <c r="M183" i="4" s="1"/>
  <c r="Q184" i="1"/>
  <c r="M184" i="4" s="1"/>
  <c r="Q185" i="1"/>
  <c r="M185" i="4" s="1"/>
  <c r="Q186" i="1"/>
  <c r="M186" i="4" s="1"/>
  <c r="Q187" i="1"/>
  <c r="M187" i="4" s="1"/>
  <c r="Q188" i="1"/>
  <c r="M188" i="4" s="1"/>
  <c r="Q189" i="1"/>
  <c r="M189" i="4" s="1"/>
  <c r="Q190" i="1"/>
  <c r="M190" i="4" s="1"/>
  <c r="Q191" i="1"/>
  <c r="M191" i="4" s="1"/>
  <c r="Q192" i="1"/>
  <c r="M192" i="4" s="1"/>
  <c r="Q193" i="1"/>
  <c r="M193" i="4" s="1"/>
  <c r="Q194" i="1"/>
  <c r="M194" i="4" s="1"/>
  <c r="Q195" i="1"/>
  <c r="M195" i="4" s="1"/>
  <c r="Q196" i="1"/>
  <c r="M196" i="4" s="1"/>
  <c r="Q197" i="1"/>
  <c r="M197" i="4" s="1"/>
  <c r="Q198" i="1"/>
  <c r="M198" i="4" s="1"/>
  <c r="Q199" i="1"/>
  <c r="M199" i="4" s="1"/>
  <c r="Q200" i="1"/>
  <c r="M200" i="4" s="1"/>
  <c r="Q201" i="1"/>
  <c r="M201" i="4" s="1"/>
  <c r="Q202" i="1"/>
  <c r="M202" i="4" s="1"/>
  <c r="Q203" i="1"/>
  <c r="M203" i="4" s="1"/>
  <c r="Q204" i="1"/>
  <c r="M204" i="4" s="1"/>
  <c r="Q205" i="1"/>
  <c r="M205" i="4" s="1"/>
  <c r="Q206" i="1"/>
  <c r="M206" i="4" s="1"/>
  <c r="Q207" i="1"/>
  <c r="M207" i="4" s="1"/>
  <c r="Q208" i="1"/>
  <c r="M208" i="4" s="1"/>
  <c r="Q209" i="1"/>
  <c r="M209" i="4" s="1"/>
  <c r="Q210" i="1"/>
  <c r="M210" i="4" s="1"/>
  <c r="Q211" i="1"/>
  <c r="M211" i="4" s="1"/>
  <c r="Q212" i="1"/>
  <c r="M212" i="4" s="1"/>
  <c r="Q213" i="1"/>
  <c r="M213" i="4" s="1"/>
  <c r="Q214" i="1"/>
  <c r="M214" i="4" s="1"/>
  <c r="Q215" i="1"/>
  <c r="M215" i="4" s="1"/>
  <c r="Q216" i="1"/>
  <c r="M216" i="4" s="1"/>
  <c r="Q217" i="1"/>
  <c r="M217" i="4" s="1"/>
  <c r="Q218" i="1"/>
  <c r="M218" i="4" s="1"/>
  <c r="Q219" i="1"/>
  <c r="M219" i="4" s="1"/>
  <c r="Q220" i="1"/>
  <c r="M220" i="4" s="1"/>
  <c r="Q221" i="1"/>
  <c r="M221" i="4" s="1"/>
  <c r="Q222" i="1"/>
  <c r="M222" i="4" s="1"/>
  <c r="Q223" i="1"/>
  <c r="M223" i="4" s="1"/>
  <c r="Q224" i="1"/>
  <c r="M224" i="4" s="1"/>
  <c r="Q225" i="1"/>
  <c r="M225" i="4" s="1"/>
  <c r="Q226" i="1"/>
  <c r="M226" i="4" s="1"/>
  <c r="Q227" i="1"/>
  <c r="M227" i="4" s="1"/>
  <c r="Q228" i="1"/>
  <c r="M228" i="4" s="1"/>
  <c r="Q229" i="1"/>
  <c r="M229" i="4" s="1"/>
  <c r="Q230" i="1"/>
  <c r="M230" i="4" s="1"/>
  <c r="Q231" i="1"/>
  <c r="M231" i="4" s="1"/>
  <c r="Q232" i="1"/>
  <c r="M232" i="4" s="1"/>
  <c r="Q233" i="1"/>
  <c r="M233" i="4" s="1"/>
  <c r="Q234" i="1"/>
  <c r="M234" i="4" s="1"/>
  <c r="Q235" i="1"/>
  <c r="M235" i="4" s="1"/>
  <c r="Q236" i="1"/>
  <c r="M236" i="4" s="1"/>
  <c r="Q237" i="1"/>
  <c r="M237" i="4" s="1"/>
  <c r="Q238" i="1"/>
  <c r="M238" i="4" s="1"/>
  <c r="Q239" i="1"/>
  <c r="M239" i="4" s="1"/>
  <c r="Q240" i="1"/>
  <c r="M240" i="4" s="1"/>
  <c r="Q241" i="1"/>
  <c r="M241" i="4" s="1"/>
  <c r="Q242" i="1"/>
  <c r="M242" i="4" s="1"/>
  <c r="Q243" i="1"/>
  <c r="M243" i="4" s="1"/>
  <c r="Q244" i="1"/>
  <c r="M244" i="4" s="1"/>
  <c r="Q245" i="1"/>
  <c r="M245" i="4" s="1"/>
  <c r="Q246" i="1"/>
  <c r="M246" i="4" s="1"/>
  <c r="Q247" i="1"/>
  <c r="M247" i="4" s="1"/>
  <c r="Q248" i="1"/>
  <c r="M248" i="4" s="1"/>
  <c r="Q249" i="1"/>
  <c r="M249" i="4" s="1"/>
  <c r="Q250" i="1"/>
  <c r="M250" i="4" s="1"/>
  <c r="Q251" i="1"/>
  <c r="M251" i="4" s="1"/>
  <c r="Q252" i="1"/>
  <c r="M252" i="4" s="1"/>
  <c r="Q253" i="1"/>
  <c r="M253" i="4" s="1"/>
  <c r="Q254" i="1"/>
  <c r="M254" i="4" s="1"/>
  <c r="Q255" i="1"/>
  <c r="M255" i="4" s="1"/>
  <c r="Q256" i="1"/>
  <c r="M256" i="4" s="1"/>
  <c r="Q257" i="1"/>
  <c r="M257" i="4" s="1"/>
  <c r="Q258" i="1"/>
  <c r="M258" i="4" s="1"/>
  <c r="Q259" i="1"/>
  <c r="M259" i="4" s="1"/>
  <c r="Q260" i="1"/>
  <c r="M260" i="4" s="1"/>
  <c r="Q261" i="1"/>
  <c r="M261" i="4" s="1"/>
  <c r="Q262" i="1"/>
  <c r="M262" i="4" s="1"/>
  <c r="Q263" i="1"/>
  <c r="M263" i="4" s="1"/>
  <c r="Q264" i="1"/>
  <c r="M264" i="4" s="1"/>
  <c r="Q265" i="1"/>
  <c r="M265" i="4" s="1"/>
  <c r="Q266" i="1"/>
  <c r="M266" i="4" s="1"/>
  <c r="Q267" i="1"/>
  <c r="M267" i="4" s="1"/>
  <c r="Q268" i="1"/>
  <c r="M268" i="4" s="1"/>
  <c r="Q269" i="1"/>
  <c r="M269" i="4" s="1"/>
  <c r="Q270" i="1"/>
  <c r="M270" i="4" s="1"/>
  <c r="Q271" i="1"/>
  <c r="M271" i="4" s="1"/>
  <c r="Q272" i="1"/>
  <c r="M272" i="4" s="1"/>
  <c r="Q273" i="1"/>
  <c r="M273" i="4" s="1"/>
  <c r="Q274" i="1"/>
  <c r="M274" i="4" s="1"/>
  <c r="Q275" i="1"/>
  <c r="M275" i="4" s="1"/>
  <c r="Q276" i="1"/>
  <c r="M276" i="4" s="1"/>
  <c r="Q277" i="1"/>
  <c r="M277" i="4" s="1"/>
  <c r="Q278" i="1"/>
  <c r="M278" i="4" s="1"/>
  <c r="Q279" i="1"/>
  <c r="M279" i="4" s="1"/>
  <c r="Q280" i="1"/>
  <c r="M280" i="4" s="1"/>
  <c r="Q281" i="1"/>
  <c r="M281" i="4" s="1"/>
  <c r="Q282" i="1"/>
  <c r="M282" i="4" s="1"/>
  <c r="Q283" i="1"/>
  <c r="M283" i="4" s="1"/>
  <c r="Q284" i="1"/>
  <c r="M284" i="4" s="1"/>
  <c r="Q285" i="1"/>
  <c r="M285" i="4" s="1"/>
  <c r="Q286" i="1"/>
  <c r="M286" i="4" s="1"/>
  <c r="Q287" i="1"/>
  <c r="M287" i="4" s="1"/>
  <c r="Q288" i="1"/>
  <c r="M288" i="4" s="1"/>
  <c r="Q289" i="1"/>
  <c r="M289" i="4" s="1"/>
  <c r="Q290" i="1"/>
  <c r="M290" i="4" s="1"/>
  <c r="Q291" i="1"/>
  <c r="M291" i="4" s="1"/>
  <c r="Q292" i="1"/>
  <c r="M292" i="4" s="1"/>
  <c r="Q293" i="1"/>
  <c r="M293" i="4" s="1"/>
  <c r="J32" i="7"/>
  <c r="J31" i="7"/>
  <c r="E42" i="7"/>
  <c r="E41" i="7"/>
  <c r="E40" i="7"/>
  <c r="C40" i="7"/>
  <c r="C41" i="7"/>
  <c r="C42" i="7"/>
  <c r="C43" i="7"/>
  <c r="C44" i="7"/>
  <c r="C45" i="7"/>
  <c r="C46" i="7"/>
  <c r="M9" i="4"/>
  <c r="K8" i="4"/>
  <c r="N8" i="4"/>
  <c r="A8" i="1"/>
  <c r="A8" i="5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0" i="4" s="1"/>
  <c r="A101" i="1"/>
  <c r="A101" i="4" s="1"/>
  <c r="A102" i="1"/>
  <c r="A102" i="4" s="1"/>
  <c r="A103" i="1"/>
  <c r="A103" i="4" s="1"/>
  <c r="A104" i="1"/>
  <c r="A104" i="4" s="1"/>
  <c r="A105" i="1"/>
  <c r="A105" i="4" s="1"/>
  <c r="A106" i="1"/>
  <c r="A106" i="4" s="1"/>
  <c r="A107" i="1"/>
  <c r="A107" i="4" s="1"/>
  <c r="A108" i="1"/>
  <c r="A108" i="4" s="1"/>
  <c r="A109" i="1"/>
  <c r="A109" i="4" s="1"/>
  <c r="A110" i="1"/>
  <c r="A110" i="4" s="1"/>
  <c r="A111" i="1"/>
  <c r="A111" i="4" s="1"/>
  <c r="A112" i="1"/>
  <c r="A112" i="4" s="1"/>
  <c r="A113" i="1"/>
  <c r="A113" i="4" s="1"/>
  <c r="A114" i="1"/>
  <c r="A114" i="4" s="1"/>
  <c r="A115" i="1"/>
  <c r="A115" i="4" s="1"/>
  <c r="A116" i="1"/>
  <c r="A116" i="4" s="1"/>
  <c r="A117" i="1"/>
  <c r="A117" i="4" s="1"/>
  <c r="A118" i="1"/>
  <c r="A118" i="4" s="1"/>
  <c r="A119" i="1"/>
  <c r="A119" i="4" s="1"/>
  <c r="A120" i="1"/>
  <c r="A120" i="4" s="1"/>
  <c r="A121" i="1"/>
  <c r="A121" i="4" s="1"/>
  <c r="A122" i="1"/>
  <c r="A122" i="4" s="1"/>
  <c r="A123" i="1"/>
  <c r="A123" i="4" s="1"/>
  <c r="A124" i="1"/>
  <c r="A124" i="4" s="1"/>
  <c r="A125" i="1"/>
  <c r="A125" i="4" s="1"/>
  <c r="A126" i="1"/>
  <c r="A126" i="4" s="1"/>
  <c r="A127" i="1"/>
  <c r="A127" i="4" s="1"/>
  <c r="A128" i="1"/>
  <c r="A128" i="4" s="1"/>
  <c r="A129" i="1"/>
  <c r="A129" i="4" s="1"/>
  <c r="A130" i="1"/>
  <c r="A130" i="4" s="1"/>
  <c r="A131" i="1"/>
  <c r="A131" i="4" s="1"/>
  <c r="A132" i="1"/>
  <c r="A132" i="4" s="1"/>
  <c r="A133" i="1"/>
  <c r="A133" i="4" s="1"/>
  <c r="A134" i="1"/>
  <c r="A134" i="4" s="1"/>
  <c r="A135" i="1"/>
  <c r="A135" i="4" s="1"/>
  <c r="A136" i="1"/>
  <c r="A136" i="4" s="1"/>
  <c r="A137" i="1"/>
  <c r="A137" i="4" s="1"/>
  <c r="A138" i="1"/>
  <c r="A138" i="4" s="1"/>
  <c r="A139" i="1"/>
  <c r="A139" i="4" s="1"/>
  <c r="A140" i="1"/>
  <c r="A140" i="4" s="1"/>
  <c r="A141" i="1"/>
  <c r="A141" i="4" s="1"/>
  <c r="A142" i="1"/>
  <c r="A142" i="4" s="1"/>
  <c r="A143" i="1"/>
  <c r="A143" i="4" s="1"/>
  <c r="A144" i="1"/>
  <c r="A144" i="4" s="1"/>
  <c r="A145" i="1"/>
  <c r="A145" i="4" s="1"/>
  <c r="A146" i="1"/>
  <c r="A146" i="4" s="1"/>
  <c r="A147" i="1"/>
  <c r="A147" i="4" s="1"/>
  <c r="A148" i="1"/>
  <c r="A148" i="4" s="1"/>
  <c r="A149" i="1"/>
  <c r="A149" i="4" s="1"/>
  <c r="A150" i="1"/>
  <c r="A150" i="4" s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1" i="4" s="1"/>
  <c r="A282" i="1"/>
  <c r="A282" i="4" s="1"/>
  <c r="A283" i="1"/>
  <c r="A283" i="4" s="1"/>
  <c r="A284" i="1"/>
  <c r="A284" i="4" s="1"/>
  <c r="A285" i="1"/>
  <c r="A285" i="4" s="1"/>
  <c r="A286" i="1"/>
  <c r="A286" i="4" s="1"/>
  <c r="A287" i="1"/>
  <c r="A287" i="4" s="1"/>
  <c r="A288" i="1"/>
  <c r="A288" i="4" s="1"/>
  <c r="A289" i="1"/>
  <c r="A289" i="4" s="1"/>
  <c r="A290" i="1"/>
  <c r="A290" i="4" s="1"/>
  <c r="A291" i="1"/>
  <c r="A291" i="4" s="1"/>
  <c r="A292" i="1"/>
  <c r="A292" i="4" s="1"/>
  <c r="A293" i="1"/>
  <c r="A293" i="4" s="1"/>
  <c r="A299" i="5"/>
  <c r="A298" i="5"/>
  <c r="A297" i="5"/>
  <c r="A296" i="5"/>
  <c r="A295" i="5"/>
  <c r="A294" i="5"/>
  <c r="D299" i="5"/>
  <c r="B299" i="5"/>
  <c r="D298" i="5"/>
  <c r="B298" i="5"/>
  <c r="D297" i="5"/>
  <c r="B297" i="5"/>
  <c r="D296" i="5"/>
  <c r="B296" i="5"/>
  <c r="D295" i="5"/>
  <c r="B295" i="5"/>
  <c r="D294" i="5"/>
  <c r="B294" i="5"/>
  <c r="D12" i="5"/>
  <c r="E12" i="5" s="1"/>
  <c r="D11" i="5"/>
  <c r="E11" i="5" s="1"/>
  <c r="E10" i="5"/>
  <c r="D10" i="5"/>
  <c r="D9" i="5"/>
  <c r="D8" i="5"/>
  <c r="O7" i="5"/>
  <c r="M7" i="5"/>
  <c r="K7" i="5"/>
  <c r="I7" i="5"/>
  <c r="G7" i="5"/>
  <c r="E7" i="5"/>
  <c r="N293" i="4"/>
  <c r="K293" i="4"/>
  <c r="J293" i="4"/>
  <c r="I293" i="4"/>
  <c r="H293" i="4"/>
  <c r="E293" i="4"/>
  <c r="D293" i="4"/>
  <c r="N292" i="4"/>
  <c r="K292" i="4"/>
  <c r="J292" i="4"/>
  <c r="I292" i="4"/>
  <c r="H292" i="4"/>
  <c r="E292" i="4"/>
  <c r="D292" i="4"/>
  <c r="N291" i="4"/>
  <c r="K291" i="4"/>
  <c r="J291" i="4"/>
  <c r="I291" i="4"/>
  <c r="H291" i="4"/>
  <c r="E291" i="4"/>
  <c r="D291" i="4"/>
  <c r="N290" i="4"/>
  <c r="K290" i="4"/>
  <c r="J290" i="4"/>
  <c r="I290" i="4"/>
  <c r="H290" i="4"/>
  <c r="E290" i="4"/>
  <c r="D290" i="4"/>
  <c r="N289" i="4"/>
  <c r="K289" i="4"/>
  <c r="J289" i="4"/>
  <c r="I289" i="4"/>
  <c r="H289" i="4"/>
  <c r="E289" i="4"/>
  <c r="D289" i="4"/>
  <c r="N288" i="4"/>
  <c r="K288" i="4"/>
  <c r="J288" i="4"/>
  <c r="I288" i="4"/>
  <c r="H288" i="4"/>
  <c r="E288" i="4"/>
  <c r="D288" i="4"/>
  <c r="N287" i="4"/>
  <c r="K287" i="4"/>
  <c r="J287" i="4"/>
  <c r="I287" i="4"/>
  <c r="H287" i="4"/>
  <c r="E287" i="4"/>
  <c r="D287" i="4"/>
  <c r="N286" i="4"/>
  <c r="K286" i="4"/>
  <c r="J286" i="4"/>
  <c r="I286" i="4"/>
  <c r="H286" i="4"/>
  <c r="E286" i="4"/>
  <c r="D286" i="4"/>
  <c r="N285" i="4"/>
  <c r="K285" i="4"/>
  <c r="J285" i="4"/>
  <c r="I285" i="4"/>
  <c r="H285" i="4"/>
  <c r="E285" i="4"/>
  <c r="D285" i="4"/>
  <c r="N284" i="4"/>
  <c r="K284" i="4"/>
  <c r="J284" i="4"/>
  <c r="I284" i="4"/>
  <c r="H284" i="4"/>
  <c r="E284" i="4"/>
  <c r="D284" i="4"/>
  <c r="N283" i="4"/>
  <c r="K283" i="4"/>
  <c r="J283" i="4"/>
  <c r="I283" i="4"/>
  <c r="H283" i="4"/>
  <c r="E283" i="4"/>
  <c r="D283" i="4"/>
  <c r="N282" i="4"/>
  <c r="K282" i="4"/>
  <c r="J282" i="4"/>
  <c r="I282" i="4"/>
  <c r="H282" i="4"/>
  <c r="E282" i="4"/>
  <c r="D282" i="4"/>
  <c r="N281" i="4"/>
  <c r="K281" i="4"/>
  <c r="J281" i="4"/>
  <c r="I281" i="4"/>
  <c r="H281" i="4"/>
  <c r="E281" i="4"/>
  <c r="D281" i="4"/>
  <c r="N280" i="4"/>
  <c r="K280" i="4"/>
  <c r="J280" i="4"/>
  <c r="I280" i="4"/>
  <c r="H280" i="4"/>
  <c r="E280" i="4"/>
  <c r="D280" i="4"/>
  <c r="N279" i="4"/>
  <c r="K279" i="4"/>
  <c r="J279" i="4"/>
  <c r="I279" i="4"/>
  <c r="H279" i="4"/>
  <c r="E279" i="4"/>
  <c r="D279" i="4"/>
  <c r="N278" i="4"/>
  <c r="K278" i="4"/>
  <c r="J278" i="4"/>
  <c r="I278" i="4"/>
  <c r="H278" i="4"/>
  <c r="E278" i="4"/>
  <c r="D278" i="4"/>
  <c r="N277" i="4"/>
  <c r="K277" i="4"/>
  <c r="J277" i="4"/>
  <c r="I277" i="4"/>
  <c r="H277" i="4"/>
  <c r="E277" i="4"/>
  <c r="D277" i="4"/>
  <c r="N276" i="4"/>
  <c r="K276" i="4"/>
  <c r="J276" i="4"/>
  <c r="I276" i="4"/>
  <c r="H276" i="4"/>
  <c r="E276" i="4"/>
  <c r="D276" i="4"/>
  <c r="N275" i="4"/>
  <c r="K275" i="4"/>
  <c r="J275" i="4"/>
  <c r="I275" i="4"/>
  <c r="H275" i="4"/>
  <c r="E275" i="4"/>
  <c r="D275" i="4"/>
  <c r="N274" i="4"/>
  <c r="K274" i="4"/>
  <c r="J274" i="4"/>
  <c r="I274" i="4"/>
  <c r="H274" i="4"/>
  <c r="E274" i="4"/>
  <c r="D274" i="4"/>
  <c r="N273" i="4"/>
  <c r="K273" i="4"/>
  <c r="J273" i="4"/>
  <c r="I273" i="4"/>
  <c r="H273" i="4"/>
  <c r="E273" i="4"/>
  <c r="D273" i="4"/>
  <c r="N272" i="4"/>
  <c r="K272" i="4"/>
  <c r="J272" i="4"/>
  <c r="I272" i="4"/>
  <c r="H272" i="4"/>
  <c r="E272" i="4"/>
  <c r="D272" i="4"/>
  <c r="N271" i="4"/>
  <c r="K271" i="4"/>
  <c r="J271" i="4"/>
  <c r="I271" i="4"/>
  <c r="H271" i="4"/>
  <c r="E271" i="4"/>
  <c r="D271" i="4"/>
  <c r="N270" i="4"/>
  <c r="K270" i="4"/>
  <c r="J270" i="4"/>
  <c r="I270" i="4"/>
  <c r="H270" i="4"/>
  <c r="E270" i="4"/>
  <c r="D270" i="4"/>
  <c r="N269" i="4"/>
  <c r="K269" i="4"/>
  <c r="J269" i="4"/>
  <c r="I269" i="4"/>
  <c r="H269" i="4"/>
  <c r="E269" i="4"/>
  <c r="D269" i="4"/>
  <c r="N268" i="4"/>
  <c r="K268" i="4"/>
  <c r="J268" i="4"/>
  <c r="I268" i="4"/>
  <c r="H268" i="4"/>
  <c r="E268" i="4"/>
  <c r="D268" i="4"/>
  <c r="N267" i="4"/>
  <c r="K267" i="4"/>
  <c r="J267" i="4"/>
  <c r="I267" i="4"/>
  <c r="H267" i="4"/>
  <c r="E267" i="4"/>
  <c r="D267" i="4"/>
  <c r="N266" i="4"/>
  <c r="K266" i="4"/>
  <c r="J266" i="4"/>
  <c r="I266" i="4"/>
  <c r="H266" i="4"/>
  <c r="E266" i="4"/>
  <c r="D266" i="4"/>
  <c r="N265" i="4"/>
  <c r="K265" i="4"/>
  <c r="J265" i="4"/>
  <c r="I265" i="4"/>
  <c r="H265" i="4"/>
  <c r="E265" i="4"/>
  <c r="D265" i="4"/>
  <c r="N264" i="4"/>
  <c r="K264" i="4"/>
  <c r="J264" i="4"/>
  <c r="I264" i="4"/>
  <c r="H264" i="4"/>
  <c r="E264" i="4"/>
  <c r="D264" i="4"/>
  <c r="N263" i="4"/>
  <c r="K263" i="4"/>
  <c r="J263" i="4"/>
  <c r="I263" i="4"/>
  <c r="H263" i="4"/>
  <c r="E263" i="4"/>
  <c r="D263" i="4"/>
  <c r="N262" i="4"/>
  <c r="K262" i="4"/>
  <c r="J262" i="4"/>
  <c r="I262" i="4"/>
  <c r="H262" i="4"/>
  <c r="E262" i="4"/>
  <c r="D262" i="4"/>
  <c r="N261" i="4"/>
  <c r="K261" i="4"/>
  <c r="J261" i="4"/>
  <c r="I261" i="4"/>
  <c r="H261" i="4"/>
  <c r="E261" i="4"/>
  <c r="D261" i="4"/>
  <c r="N260" i="4"/>
  <c r="K260" i="4"/>
  <c r="J260" i="4"/>
  <c r="I260" i="4"/>
  <c r="H260" i="4"/>
  <c r="E260" i="4"/>
  <c r="D260" i="4"/>
  <c r="N259" i="4"/>
  <c r="K259" i="4"/>
  <c r="J259" i="4"/>
  <c r="I259" i="4"/>
  <c r="H259" i="4"/>
  <c r="E259" i="4"/>
  <c r="D259" i="4"/>
  <c r="N258" i="4"/>
  <c r="K258" i="4"/>
  <c r="J258" i="4"/>
  <c r="I258" i="4"/>
  <c r="H258" i="4"/>
  <c r="E258" i="4"/>
  <c r="D258" i="4"/>
  <c r="N257" i="4"/>
  <c r="K257" i="4"/>
  <c r="J257" i="4"/>
  <c r="I257" i="4"/>
  <c r="H257" i="4"/>
  <c r="E257" i="4"/>
  <c r="D257" i="4"/>
  <c r="N256" i="4"/>
  <c r="K256" i="4"/>
  <c r="J256" i="4"/>
  <c r="I256" i="4"/>
  <c r="H256" i="4"/>
  <c r="E256" i="4"/>
  <c r="D256" i="4"/>
  <c r="N255" i="4"/>
  <c r="K255" i="4"/>
  <c r="J255" i="4"/>
  <c r="I255" i="4"/>
  <c r="H255" i="4"/>
  <c r="E255" i="4"/>
  <c r="D255" i="4"/>
  <c r="N254" i="4"/>
  <c r="K254" i="4"/>
  <c r="J254" i="4"/>
  <c r="I254" i="4"/>
  <c r="H254" i="4"/>
  <c r="E254" i="4"/>
  <c r="D254" i="4"/>
  <c r="N253" i="4"/>
  <c r="K253" i="4"/>
  <c r="J253" i="4"/>
  <c r="I253" i="4"/>
  <c r="H253" i="4"/>
  <c r="E253" i="4"/>
  <c r="D253" i="4"/>
  <c r="N252" i="4"/>
  <c r="K252" i="4"/>
  <c r="J252" i="4"/>
  <c r="I252" i="4"/>
  <c r="H252" i="4"/>
  <c r="E252" i="4"/>
  <c r="D252" i="4"/>
  <c r="N251" i="4"/>
  <c r="K251" i="4"/>
  <c r="J251" i="4"/>
  <c r="I251" i="4"/>
  <c r="H251" i="4"/>
  <c r="E251" i="4"/>
  <c r="D251" i="4"/>
  <c r="N250" i="4"/>
  <c r="K250" i="4"/>
  <c r="J250" i="4"/>
  <c r="I250" i="4"/>
  <c r="H250" i="4"/>
  <c r="E250" i="4"/>
  <c r="D250" i="4"/>
  <c r="N249" i="4"/>
  <c r="K249" i="4"/>
  <c r="J249" i="4"/>
  <c r="I249" i="4"/>
  <c r="H249" i="4"/>
  <c r="E249" i="4"/>
  <c r="D249" i="4"/>
  <c r="N248" i="4"/>
  <c r="K248" i="4"/>
  <c r="J248" i="4"/>
  <c r="I248" i="4"/>
  <c r="H248" i="4"/>
  <c r="E248" i="4"/>
  <c r="D248" i="4"/>
  <c r="N247" i="4"/>
  <c r="K247" i="4"/>
  <c r="J247" i="4"/>
  <c r="I247" i="4"/>
  <c r="H247" i="4"/>
  <c r="E247" i="4"/>
  <c r="D247" i="4"/>
  <c r="N246" i="4"/>
  <c r="K246" i="4"/>
  <c r="J246" i="4"/>
  <c r="I246" i="4"/>
  <c r="H246" i="4"/>
  <c r="E246" i="4"/>
  <c r="D246" i="4"/>
  <c r="N245" i="4"/>
  <c r="K245" i="4"/>
  <c r="J245" i="4"/>
  <c r="I245" i="4"/>
  <c r="H245" i="4"/>
  <c r="E245" i="4"/>
  <c r="D245" i="4"/>
  <c r="N244" i="4"/>
  <c r="K244" i="4"/>
  <c r="J244" i="4"/>
  <c r="I244" i="4"/>
  <c r="H244" i="4"/>
  <c r="E244" i="4"/>
  <c r="D244" i="4"/>
  <c r="N243" i="4"/>
  <c r="K243" i="4"/>
  <c r="J243" i="4"/>
  <c r="I243" i="4"/>
  <c r="H243" i="4"/>
  <c r="E243" i="4"/>
  <c r="D243" i="4"/>
  <c r="N242" i="4"/>
  <c r="K242" i="4"/>
  <c r="J242" i="4"/>
  <c r="I242" i="4"/>
  <c r="H242" i="4"/>
  <c r="E242" i="4"/>
  <c r="D242" i="4"/>
  <c r="N241" i="4"/>
  <c r="K241" i="4"/>
  <c r="J241" i="4"/>
  <c r="I241" i="4"/>
  <c r="H241" i="4"/>
  <c r="E241" i="4"/>
  <c r="D241" i="4"/>
  <c r="N240" i="4"/>
  <c r="K240" i="4"/>
  <c r="J240" i="4"/>
  <c r="I240" i="4"/>
  <c r="H240" i="4"/>
  <c r="E240" i="4"/>
  <c r="D240" i="4"/>
  <c r="N239" i="4"/>
  <c r="K239" i="4"/>
  <c r="J239" i="4"/>
  <c r="I239" i="4"/>
  <c r="H239" i="4"/>
  <c r="E239" i="4"/>
  <c r="D239" i="4"/>
  <c r="N238" i="4"/>
  <c r="K238" i="4"/>
  <c r="J238" i="4"/>
  <c r="I238" i="4"/>
  <c r="H238" i="4"/>
  <c r="E238" i="4"/>
  <c r="D238" i="4"/>
  <c r="N237" i="4"/>
  <c r="K237" i="4"/>
  <c r="J237" i="4"/>
  <c r="I237" i="4"/>
  <c r="H237" i="4"/>
  <c r="E237" i="4"/>
  <c r="D237" i="4"/>
  <c r="N236" i="4"/>
  <c r="K236" i="4"/>
  <c r="J236" i="4"/>
  <c r="I236" i="4"/>
  <c r="H236" i="4"/>
  <c r="E236" i="4"/>
  <c r="D236" i="4"/>
  <c r="N235" i="4"/>
  <c r="K235" i="4"/>
  <c r="J235" i="4"/>
  <c r="I235" i="4"/>
  <c r="H235" i="4"/>
  <c r="E235" i="4"/>
  <c r="D235" i="4"/>
  <c r="N234" i="4"/>
  <c r="K234" i="4"/>
  <c r="J234" i="4"/>
  <c r="I234" i="4"/>
  <c r="H234" i="4"/>
  <c r="E234" i="4"/>
  <c r="D234" i="4"/>
  <c r="N233" i="4"/>
  <c r="K233" i="4"/>
  <c r="J233" i="4"/>
  <c r="I233" i="4"/>
  <c r="H233" i="4"/>
  <c r="E233" i="4"/>
  <c r="D233" i="4"/>
  <c r="N232" i="4"/>
  <c r="K232" i="4"/>
  <c r="J232" i="4"/>
  <c r="I232" i="4"/>
  <c r="H232" i="4"/>
  <c r="E232" i="4"/>
  <c r="D232" i="4"/>
  <c r="N231" i="4"/>
  <c r="K231" i="4"/>
  <c r="J231" i="4"/>
  <c r="I231" i="4"/>
  <c r="H231" i="4"/>
  <c r="E231" i="4"/>
  <c r="D231" i="4"/>
  <c r="N230" i="4"/>
  <c r="K230" i="4"/>
  <c r="J230" i="4"/>
  <c r="I230" i="4"/>
  <c r="H230" i="4"/>
  <c r="E230" i="4"/>
  <c r="D230" i="4"/>
  <c r="N229" i="4"/>
  <c r="K229" i="4"/>
  <c r="J229" i="4"/>
  <c r="I229" i="4"/>
  <c r="H229" i="4"/>
  <c r="E229" i="4"/>
  <c r="D229" i="4"/>
  <c r="N228" i="4"/>
  <c r="K228" i="4"/>
  <c r="J228" i="4"/>
  <c r="I228" i="4"/>
  <c r="H228" i="4"/>
  <c r="E228" i="4"/>
  <c r="D228" i="4"/>
  <c r="N227" i="4"/>
  <c r="K227" i="4"/>
  <c r="J227" i="4"/>
  <c r="I227" i="4"/>
  <c r="H227" i="4"/>
  <c r="E227" i="4"/>
  <c r="D227" i="4"/>
  <c r="N226" i="4"/>
  <c r="K226" i="4"/>
  <c r="J226" i="4"/>
  <c r="I226" i="4"/>
  <c r="H226" i="4"/>
  <c r="E226" i="4"/>
  <c r="D226" i="4"/>
  <c r="N225" i="4"/>
  <c r="K225" i="4"/>
  <c r="J225" i="4"/>
  <c r="I225" i="4"/>
  <c r="H225" i="4"/>
  <c r="E225" i="4"/>
  <c r="D225" i="4"/>
  <c r="N224" i="4"/>
  <c r="K224" i="4"/>
  <c r="J224" i="4"/>
  <c r="I224" i="4"/>
  <c r="H224" i="4"/>
  <c r="E224" i="4"/>
  <c r="D224" i="4"/>
  <c r="N223" i="4"/>
  <c r="K223" i="4"/>
  <c r="J223" i="4"/>
  <c r="I223" i="4"/>
  <c r="H223" i="4"/>
  <c r="E223" i="4"/>
  <c r="D223" i="4"/>
  <c r="N222" i="4"/>
  <c r="K222" i="4"/>
  <c r="J222" i="4"/>
  <c r="I222" i="4"/>
  <c r="H222" i="4"/>
  <c r="E222" i="4"/>
  <c r="D222" i="4"/>
  <c r="N221" i="4"/>
  <c r="K221" i="4"/>
  <c r="J221" i="4"/>
  <c r="I221" i="4"/>
  <c r="H221" i="4"/>
  <c r="E221" i="4"/>
  <c r="D221" i="4"/>
  <c r="N220" i="4"/>
  <c r="K220" i="4"/>
  <c r="J220" i="4"/>
  <c r="I220" i="4"/>
  <c r="H220" i="4"/>
  <c r="E220" i="4"/>
  <c r="D220" i="4"/>
  <c r="N219" i="4"/>
  <c r="K219" i="4"/>
  <c r="J219" i="4"/>
  <c r="I219" i="4"/>
  <c r="H219" i="4"/>
  <c r="E219" i="4"/>
  <c r="D219" i="4"/>
  <c r="N218" i="4"/>
  <c r="K218" i="4"/>
  <c r="J218" i="4"/>
  <c r="I218" i="4"/>
  <c r="H218" i="4"/>
  <c r="E218" i="4"/>
  <c r="D218" i="4"/>
  <c r="N217" i="4"/>
  <c r="K217" i="4"/>
  <c r="J217" i="4"/>
  <c r="I217" i="4"/>
  <c r="H217" i="4"/>
  <c r="E217" i="4"/>
  <c r="D217" i="4"/>
  <c r="N216" i="4"/>
  <c r="K216" i="4"/>
  <c r="J216" i="4"/>
  <c r="I216" i="4"/>
  <c r="H216" i="4"/>
  <c r="E216" i="4"/>
  <c r="D216" i="4"/>
  <c r="N215" i="4"/>
  <c r="K215" i="4"/>
  <c r="J215" i="4"/>
  <c r="I215" i="4"/>
  <c r="H215" i="4"/>
  <c r="E215" i="4"/>
  <c r="D215" i="4"/>
  <c r="N214" i="4"/>
  <c r="K214" i="4"/>
  <c r="J214" i="4"/>
  <c r="I214" i="4"/>
  <c r="H214" i="4"/>
  <c r="E214" i="4"/>
  <c r="D214" i="4"/>
  <c r="N213" i="4"/>
  <c r="K213" i="4"/>
  <c r="J213" i="4"/>
  <c r="I213" i="4"/>
  <c r="H213" i="4"/>
  <c r="E213" i="4"/>
  <c r="D213" i="4"/>
  <c r="N212" i="4"/>
  <c r="K212" i="4"/>
  <c r="J212" i="4"/>
  <c r="I212" i="4"/>
  <c r="H212" i="4"/>
  <c r="E212" i="4"/>
  <c r="D212" i="4"/>
  <c r="N211" i="4"/>
  <c r="K211" i="4"/>
  <c r="J211" i="4"/>
  <c r="I211" i="4"/>
  <c r="H211" i="4"/>
  <c r="E211" i="4"/>
  <c r="D211" i="4"/>
  <c r="N210" i="4"/>
  <c r="K210" i="4"/>
  <c r="J210" i="4"/>
  <c r="I210" i="4"/>
  <c r="H210" i="4"/>
  <c r="E210" i="4"/>
  <c r="D210" i="4"/>
  <c r="N209" i="4"/>
  <c r="K209" i="4"/>
  <c r="J209" i="4"/>
  <c r="I209" i="4"/>
  <c r="H209" i="4"/>
  <c r="E209" i="4"/>
  <c r="D209" i="4"/>
  <c r="N208" i="4"/>
  <c r="K208" i="4"/>
  <c r="J208" i="4"/>
  <c r="I208" i="4"/>
  <c r="H208" i="4"/>
  <c r="E208" i="4"/>
  <c r="D208" i="4"/>
  <c r="N207" i="4"/>
  <c r="K207" i="4"/>
  <c r="J207" i="4"/>
  <c r="I207" i="4"/>
  <c r="H207" i="4"/>
  <c r="E207" i="4"/>
  <c r="D207" i="4"/>
  <c r="N206" i="4"/>
  <c r="K206" i="4"/>
  <c r="J206" i="4"/>
  <c r="I206" i="4"/>
  <c r="H206" i="4"/>
  <c r="E206" i="4"/>
  <c r="D206" i="4"/>
  <c r="N205" i="4"/>
  <c r="K205" i="4"/>
  <c r="J205" i="4"/>
  <c r="I205" i="4"/>
  <c r="H205" i="4"/>
  <c r="E205" i="4"/>
  <c r="D205" i="4"/>
  <c r="N204" i="4"/>
  <c r="K204" i="4"/>
  <c r="J204" i="4"/>
  <c r="I204" i="4"/>
  <c r="H204" i="4"/>
  <c r="E204" i="4"/>
  <c r="D204" i="4"/>
  <c r="N203" i="4"/>
  <c r="K203" i="4"/>
  <c r="J203" i="4"/>
  <c r="I203" i="4"/>
  <c r="H203" i="4"/>
  <c r="E203" i="4"/>
  <c r="D203" i="4"/>
  <c r="N202" i="4"/>
  <c r="K202" i="4"/>
  <c r="J202" i="4"/>
  <c r="I202" i="4"/>
  <c r="H202" i="4"/>
  <c r="E202" i="4"/>
  <c r="D202" i="4"/>
  <c r="N201" i="4"/>
  <c r="K201" i="4"/>
  <c r="J201" i="4"/>
  <c r="I201" i="4"/>
  <c r="H201" i="4"/>
  <c r="E201" i="4"/>
  <c r="D201" i="4"/>
  <c r="N200" i="4"/>
  <c r="K200" i="4"/>
  <c r="J200" i="4"/>
  <c r="I200" i="4"/>
  <c r="H200" i="4"/>
  <c r="E200" i="4"/>
  <c r="D200" i="4"/>
  <c r="N199" i="4"/>
  <c r="K199" i="4"/>
  <c r="J199" i="4"/>
  <c r="I199" i="4"/>
  <c r="H199" i="4"/>
  <c r="E199" i="4"/>
  <c r="D199" i="4"/>
  <c r="N198" i="4"/>
  <c r="K198" i="4"/>
  <c r="J198" i="4"/>
  <c r="I198" i="4"/>
  <c r="H198" i="4"/>
  <c r="E198" i="4"/>
  <c r="D198" i="4"/>
  <c r="N197" i="4"/>
  <c r="K197" i="4"/>
  <c r="J197" i="4"/>
  <c r="I197" i="4"/>
  <c r="H197" i="4"/>
  <c r="E197" i="4"/>
  <c r="D197" i="4"/>
  <c r="N196" i="4"/>
  <c r="K196" i="4"/>
  <c r="J196" i="4"/>
  <c r="I196" i="4"/>
  <c r="H196" i="4"/>
  <c r="E196" i="4"/>
  <c r="D196" i="4"/>
  <c r="N195" i="4"/>
  <c r="K195" i="4"/>
  <c r="J195" i="4"/>
  <c r="I195" i="4"/>
  <c r="H195" i="4"/>
  <c r="E195" i="4"/>
  <c r="D195" i="4"/>
  <c r="N194" i="4"/>
  <c r="K194" i="4"/>
  <c r="J194" i="4"/>
  <c r="I194" i="4"/>
  <c r="H194" i="4"/>
  <c r="E194" i="4"/>
  <c r="D194" i="4"/>
  <c r="N193" i="4"/>
  <c r="K193" i="4"/>
  <c r="J193" i="4"/>
  <c r="I193" i="4"/>
  <c r="H193" i="4"/>
  <c r="E193" i="4"/>
  <c r="D193" i="4"/>
  <c r="N192" i="4"/>
  <c r="K192" i="4"/>
  <c r="J192" i="4"/>
  <c r="I192" i="4"/>
  <c r="H192" i="4"/>
  <c r="E192" i="4"/>
  <c r="D192" i="4"/>
  <c r="N191" i="4"/>
  <c r="K191" i="4"/>
  <c r="J191" i="4"/>
  <c r="I191" i="4"/>
  <c r="H191" i="4"/>
  <c r="E191" i="4"/>
  <c r="D191" i="4"/>
  <c r="N190" i="4"/>
  <c r="K190" i="4"/>
  <c r="J190" i="4"/>
  <c r="I190" i="4"/>
  <c r="H190" i="4"/>
  <c r="E190" i="4"/>
  <c r="D190" i="4"/>
  <c r="N189" i="4"/>
  <c r="K189" i="4"/>
  <c r="J189" i="4"/>
  <c r="I189" i="4"/>
  <c r="H189" i="4"/>
  <c r="E189" i="4"/>
  <c r="D189" i="4"/>
  <c r="N188" i="4"/>
  <c r="K188" i="4"/>
  <c r="J188" i="4"/>
  <c r="I188" i="4"/>
  <c r="H188" i="4"/>
  <c r="E188" i="4"/>
  <c r="D188" i="4"/>
  <c r="N187" i="4"/>
  <c r="K187" i="4"/>
  <c r="J187" i="4"/>
  <c r="I187" i="4"/>
  <c r="H187" i="4"/>
  <c r="E187" i="4"/>
  <c r="D187" i="4"/>
  <c r="N186" i="4"/>
  <c r="K186" i="4"/>
  <c r="J186" i="4"/>
  <c r="I186" i="4"/>
  <c r="H186" i="4"/>
  <c r="E186" i="4"/>
  <c r="D186" i="4"/>
  <c r="N185" i="4"/>
  <c r="K185" i="4"/>
  <c r="J185" i="4"/>
  <c r="I185" i="4"/>
  <c r="H185" i="4"/>
  <c r="E185" i="4"/>
  <c r="D185" i="4"/>
  <c r="N184" i="4"/>
  <c r="K184" i="4"/>
  <c r="J184" i="4"/>
  <c r="I184" i="4"/>
  <c r="H184" i="4"/>
  <c r="E184" i="4"/>
  <c r="D184" i="4"/>
  <c r="N183" i="4"/>
  <c r="K183" i="4"/>
  <c r="J183" i="4"/>
  <c r="I183" i="4"/>
  <c r="H183" i="4"/>
  <c r="E183" i="4"/>
  <c r="D183" i="4"/>
  <c r="N182" i="4"/>
  <c r="K182" i="4"/>
  <c r="J182" i="4"/>
  <c r="I182" i="4"/>
  <c r="H182" i="4"/>
  <c r="E182" i="4"/>
  <c r="D182" i="4"/>
  <c r="N181" i="4"/>
  <c r="K181" i="4"/>
  <c r="J181" i="4"/>
  <c r="I181" i="4"/>
  <c r="H181" i="4"/>
  <c r="E181" i="4"/>
  <c r="D181" i="4"/>
  <c r="N180" i="4"/>
  <c r="K180" i="4"/>
  <c r="J180" i="4"/>
  <c r="I180" i="4"/>
  <c r="H180" i="4"/>
  <c r="E180" i="4"/>
  <c r="D180" i="4"/>
  <c r="N179" i="4"/>
  <c r="K179" i="4"/>
  <c r="J179" i="4"/>
  <c r="I179" i="4"/>
  <c r="H179" i="4"/>
  <c r="E179" i="4"/>
  <c r="D179" i="4"/>
  <c r="N178" i="4"/>
  <c r="K178" i="4"/>
  <c r="J178" i="4"/>
  <c r="I178" i="4"/>
  <c r="H178" i="4"/>
  <c r="E178" i="4"/>
  <c r="D178" i="4"/>
  <c r="N177" i="4"/>
  <c r="K177" i="4"/>
  <c r="J177" i="4"/>
  <c r="I177" i="4"/>
  <c r="H177" i="4"/>
  <c r="E177" i="4"/>
  <c r="D177" i="4"/>
  <c r="N176" i="4"/>
  <c r="K176" i="4"/>
  <c r="J176" i="4"/>
  <c r="I176" i="4"/>
  <c r="H176" i="4"/>
  <c r="E176" i="4"/>
  <c r="D176" i="4"/>
  <c r="N175" i="4"/>
  <c r="K175" i="4"/>
  <c r="J175" i="4"/>
  <c r="I175" i="4"/>
  <c r="H175" i="4"/>
  <c r="E175" i="4"/>
  <c r="D175" i="4"/>
  <c r="N174" i="4"/>
  <c r="K174" i="4"/>
  <c r="J174" i="4"/>
  <c r="I174" i="4"/>
  <c r="H174" i="4"/>
  <c r="E174" i="4"/>
  <c r="D174" i="4"/>
  <c r="N173" i="4"/>
  <c r="K173" i="4"/>
  <c r="J173" i="4"/>
  <c r="I173" i="4"/>
  <c r="H173" i="4"/>
  <c r="E173" i="4"/>
  <c r="D173" i="4"/>
  <c r="N172" i="4"/>
  <c r="K172" i="4"/>
  <c r="J172" i="4"/>
  <c r="I172" i="4"/>
  <c r="H172" i="4"/>
  <c r="E172" i="4"/>
  <c r="D172" i="4"/>
  <c r="N171" i="4"/>
  <c r="K171" i="4"/>
  <c r="J171" i="4"/>
  <c r="I171" i="4"/>
  <c r="H171" i="4"/>
  <c r="E171" i="4"/>
  <c r="D171" i="4"/>
  <c r="N170" i="4"/>
  <c r="K170" i="4"/>
  <c r="J170" i="4"/>
  <c r="I170" i="4"/>
  <c r="H170" i="4"/>
  <c r="E170" i="4"/>
  <c r="D170" i="4"/>
  <c r="N169" i="4"/>
  <c r="K169" i="4"/>
  <c r="J169" i="4"/>
  <c r="I169" i="4"/>
  <c r="H169" i="4"/>
  <c r="E169" i="4"/>
  <c r="D169" i="4"/>
  <c r="N168" i="4"/>
  <c r="K168" i="4"/>
  <c r="J168" i="4"/>
  <c r="I168" i="4"/>
  <c r="H168" i="4"/>
  <c r="E168" i="4"/>
  <c r="D168" i="4"/>
  <c r="N167" i="4"/>
  <c r="K167" i="4"/>
  <c r="J167" i="4"/>
  <c r="I167" i="4"/>
  <c r="H167" i="4"/>
  <c r="E167" i="4"/>
  <c r="D167" i="4"/>
  <c r="N166" i="4"/>
  <c r="K166" i="4"/>
  <c r="J166" i="4"/>
  <c r="I166" i="4"/>
  <c r="H166" i="4"/>
  <c r="E166" i="4"/>
  <c r="D166" i="4"/>
  <c r="N165" i="4"/>
  <c r="K165" i="4"/>
  <c r="J165" i="4"/>
  <c r="I165" i="4"/>
  <c r="H165" i="4"/>
  <c r="E165" i="4"/>
  <c r="D165" i="4"/>
  <c r="N164" i="4"/>
  <c r="K164" i="4"/>
  <c r="J164" i="4"/>
  <c r="I164" i="4"/>
  <c r="H164" i="4"/>
  <c r="E164" i="4"/>
  <c r="D164" i="4"/>
  <c r="N163" i="4"/>
  <c r="K163" i="4"/>
  <c r="J163" i="4"/>
  <c r="I163" i="4"/>
  <c r="H163" i="4"/>
  <c r="E163" i="4"/>
  <c r="D163" i="4"/>
  <c r="N162" i="4"/>
  <c r="K162" i="4"/>
  <c r="J162" i="4"/>
  <c r="I162" i="4"/>
  <c r="H162" i="4"/>
  <c r="E162" i="4"/>
  <c r="D162" i="4"/>
  <c r="N161" i="4"/>
  <c r="K161" i="4"/>
  <c r="J161" i="4"/>
  <c r="I161" i="4"/>
  <c r="H161" i="4"/>
  <c r="E161" i="4"/>
  <c r="D161" i="4"/>
  <c r="N160" i="4"/>
  <c r="K160" i="4"/>
  <c r="J160" i="4"/>
  <c r="I160" i="4"/>
  <c r="H160" i="4"/>
  <c r="E160" i="4"/>
  <c r="D160" i="4"/>
  <c r="N159" i="4"/>
  <c r="K159" i="4"/>
  <c r="J159" i="4"/>
  <c r="I159" i="4"/>
  <c r="H159" i="4"/>
  <c r="E159" i="4"/>
  <c r="D159" i="4"/>
  <c r="N158" i="4"/>
  <c r="K158" i="4"/>
  <c r="J158" i="4"/>
  <c r="I158" i="4"/>
  <c r="H158" i="4"/>
  <c r="E158" i="4"/>
  <c r="D158" i="4"/>
  <c r="N157" i="4"/>
  <c r="K157" i="4"/>
  <c r="J157" i="4"/>
  <c r="I157" i="4"/>
  <c r="H157" i="4"/>
  <c r="E157" i="4"/>
  <c r="D157" i="4"/>
  <c r="N156" i="4"/>
  <c r="K156" i="4"/>
  <c r="J156" i="4"/>
  <c r="I156" i="4"/>
  <c r="H156" i="4"/>
  <c r="E156" i="4"/>
  <c r="D156" i="4"/>
  <c r="N155" i="4"/>
  <c r="K155" i="4"/>
  <c r="J155" i="4"/>
  <c r="I155" i="4"/>
  <c r="H155" i="4"/>
  <c r="E155" i="4"/>
  <c r="D155" i="4"/>
  <c r="N154" i="4"/>
  <c r="K154" i="4"/>
  <c r="J154" i="4"/>
  <c r="I154" i="4"/>
  <c r="H154" i="4"/>
  <c r="E154" i="4"/>
  <c r="D154" i="4"/>
  <c r="N153" i="4"/>
  <c r="K153" i="4"/>
  <c r="J153" i="4"/>
  <c r="I153" i="4"/>
  <c r="H153" i="4"/>
  <c r="E153" i="4"/>
  <c r="D153" i="4"/>
  <c r="N152" i="4"/>
  <c r="K152" i="4"/>
  <c r="J152" i="4"/>
  <c r="I152" i="4"/>
  <c r="H152" i="4"/>
  <c r="E152" i="4"/>
  <c r="D152" i="4"/>
  <c r="N151" i="4"/>
  <c r="K151" i="4"/>
  <c r="J151" i="4"/>
  <c r="I151" i="4"/>
  <c r="H151" i="4"/>
  <c r="E151" i="4"/>
  <c r="D151" i="4"/>
  <c r="N150" i="4"/>
  <c r="K150" i="4"/>
  <c r="J150" i="4"/>
  <c r="I150" i="4"/>
  <c r="H150" i="4"/>
  <c r="E150" i="4"/>
  <c r="D150" i="4"/>
  <c r="N149" i="4"/>
  <c r="K149" i="4"/>
  <c r="J149" i="4"/>
  <c r="I149" i="4"/>
  <c r="H149" i="4"/>
  <c r="E149" i="4"/>
  <c r="D149" i="4"/>
  <c r="N148" i="4"/>
  <c r="K148" i="4"/>
  <c r="J148" i="4"/>
  <c r="I148" i="4"/>
  <c r="H148" i="4"/>
  <c r="E148" i="4"/>
  <c r="D148" i="4"/>
  <c r="N147" i="4"/>
  <c r="K147" i="4"/>
  <c r="J147" i="4"/>
  <c r="I147" i="4"/>
  <c r="H147" i="4"/>
  <c r="E147" i="4"/>
  <c r="D147" i="4"/>
  <c r="N146" i="4"/>
  <c r="K146" i="4"/>
  <c r="J146" i="4"/>
  <c r="I146" i="4"/>
  <c r="H146" i="4"/>
  <c r="E146" i="4"/>
  <c r="D146" i="4"/>
  <c r="N145" i="4"/>
  <c r="K145" i="4"/>
  <c r="J145" i="4"/>
  <c r="I145" i="4"/>
  <c r="H145" i="4"/>
  <c r="E145" i="4"/>
  <c r="D145" i="4"/>
  <c r="N144" i="4"/>
  <c r="K144" i="4"/>
  <c r="J144" i="4"/>
  <c r="I144" i="4"/>
  <c r="H144" i="4"/>
  <c r="E144" i="4"/>
  <c r="D144" i="4"/>
  <c r="N143" i="4"/>
  <c r="K143" i="4"/>
  <c r="J143" i="4"/>
  <c r="I143" i="4"/>
  <c r="H143" i="4"/>
  <c r="E143" i="4"/>
  <c r="D143" i="4"/>
  <c r="N142" i="4"/>
  <c r="K142" i="4"/>
  <c r="J142" i="4"/>
  <c r="I142" i="4"/>
  <c r="H142" i="4"/>
  <c r="E142" i="4"/>
  <c r="D142" i="4"/>
  <c r="N141" i="4"/>
  <c r="K141" i="4"/>
  <c r="J141" i="4"/>
  <c r="I141" i="4"/>
  <c r="H141" i="4"/>
  <c r="E141" i="4"/>
  <c r="D141" i="4"/>
  <c r="N140" i="4"/>
  <c r="K140" i="4"/>
  <c r="J140" i="4"/>
  <c r="I140" i="4"/>
  <c r="H140" i="4"/>
  <c r="E140" i="4"/>
  <c r="D140" i="4"/>
  <c r="N139" i="4"/>
  <c r="K139" i="4"/>
  <c r="J139" i="4"/>
  <c r="I139" i="4"/>
  <c r="H139" i="4"/>
  <c r="E139" i="4"/>
  <c r="D139" i="4"/>
  <c r="N138" i="4"/>
  <c r="K138" i="4"/>
  <c r="J138" i="4"/>
  <c r="I138" i="4"/>
  <c r="H138" i="4"/>
  <c r="E138" i="4"/>
  <c r="D138" i="4"/>
  <c r="N137" i="4"/>
  <c r="K137" i="4"/>
  <c r="J137" i="4"/>
  <c r="I137" i="4"/>
  <c r="H137" i="4"/>
  <c r="E137" i="4"/>
  <c r="D137" i="4"/>
  <c r="N136" i="4"/>
  <c r="K136" i="4"/>
  <c r="J136" i="4"/>
  <c r="I136" i="4"/>
  <c r="H136" i="4"/>
  <c r="E136" i="4"/>
  <c r="D136" i="4"/>
  <c r="N135" i="4"/>
  <c r="K135" i="4"/>
  <c r="J135" i="4"/>
  <c r="I135" i="4"/>
  <c r="H135" i="4"/>
  <c r="E135" i="4"/>
  <c r="D135" i="4"/>
  <c r="N134" i="4"/>
  <c r="K134" i="4"/>
  <c r="J134" i="4"/>
  <c r="I134" i="4"/>
  <c r="H134" i="4"/>
  <c r="E134" i="4"/>
  <c r="D134" i="4"/>
  <c r="N133" i="4"/>
  <c r="K133" i="4"/>
  <c r="J133" i="4"/>
  <c r="I133" i="4"/>
  <c r="H133" i="4"/>
  <c r="E133" i="4"/>
  <c r="D133" i="4"/>
  <c r="N132" i="4"/>
  <c r="K132" i="4"/>
  <c r="J132" i="4"/>
  <c r="I132" i="4"/>
  <c r="H132" i="4"/>
  <c r="E132" i="4"/>
  <c r="D132" i="4"/>
  <c r="N131" i="4"/>
  <c r="K131" i="4"/>
  <c r="J131" i="4"/>
  <c r="I131" i="4"/>
  <c r="H131" i="4"/>
  <c r="E131" i="4"/>
  <c r="D131" i="4"/>
  <c r="N130" i="4"/>
  <c r="K130" i="4"/>
  <c r="J130" i="4"/>
  <c r="I130" i="4"/>
  <c r="H130" i="4"/>
  <c r="E130" i="4"/>
  <c r="D130" i="4"/>
  <c r="N129" i="4"/>
  <c r="K129" i="4"/>
  <c r="J129" i="4"/>
  <c r="I129" i="4"/>
  <c r="H129" i="4"/>
  <c r="E129" i="4"/>
  <c r="D129" i="4"/>
  <c r="N128" i="4"/>
  <c r="K128" i="4"/>
  <c r="J128" i="4"/>
  <c r="I128" i="4"/>
  <c r="H128" i="4"/>
  <c r="E128" i="4"/>
  <c r="D128" i="4"/>
  <c r="N127" i="4"/>
  <c r="K127" i="4"/>
  <c r="J127" i="4"/>
  <c r="I127" i="4"/>
  <c r="H127" i="4"/>
  <c r="E127" i="4"/>
  <c r="D127" i="4"/>
  <c r="N126" i="4"/>
  <c r="K126" i="4"/>
  <c r="J126" i="4"/>
  <c r="I126" i="4"/>
  <c r="H126" i="4"/>
  <c r="E126" i="4"/>
  <c r="D126" i="4"/>
  <c r="N125" i="4"/>
  <c r="K125" i="4"/>
  <c r="J125" i="4"/>
  <c r="I125" i="4"/>
  <c r="H125" i="4"/>
  <c r="E125" i="4"/>
  <c r="D125" i="4"/>
  <c r="N124" i="4"/>
  <c r="K124" i="4"/>
  <c r="J124" i="4"/>
  <c r="I124" i="4"/>
  <c r="H124" i="4"/>
  <c r="E124" i="4"/>
  <c r="D124" i="4"/>
  <c r="N123" i="4"/>
  <c r="K123" i="4"/>
  <c r="J123" i="4"/>
  <c r="I123" i="4"/>
  <c r="H123" i="4"/>
  <c r="E123" i="4"/>
  <c r="D123" i="4"/>
  <c r="N122" i="4"/>
  <c r="K122" i="4"/>
  <c r="J122" i="4"/>
  <c r="I122" i="4"/>
  <c r="H122" i="4"/>
  <c r="E122" i="4"/>
  <c r="D122" i="4"/>
  <c r="N121" i="4"/>
  <c r="K121" i="4"/>
  <c r="J121" i="4"/>
  <c r="I121" i="4"/>
  <c r="H121" i="4"/>
  <c r="E121" i="4"/>
  <c r="D121" i="4"/>
  <c r="N120" i="4"/>
  <c r="K120" i="4"/>
  <c r="J120" i="4"/>
  <c r="I120" i="4"/>
  <c r="H120" i="4"/>
  <c r="E120" i="4"/>
  <c r="D120" i="4"/>
  <c r="N119" i="4"/>
  <c r="K119" i="4"/>
  <c r="J119" i="4"/>
  <c r="I119" i="4"/>
  <c r="H119" i="4"/>
  <c r="E119" i="4"/>
  <c r="D119" i="4"/>
  <c r="N118" i="4"/>
  <c r="K118" i="4"/>
  <c r="J118" i="4"/>
  <c r="I118" i="4"/>
  <c r="H118" i="4"/>
  <c r="E118" i="4"/>
  <c r="D118" i="4"/>
  <c r="N117" i="4"/>
  <c r="K117" i="4"/>
  <c r="J117" i="4"/>
  <c r="I117" i="4"/>
  <c r="H117" i="4"/>
  <c r="E117" i="4"/>
  <c r="D117" i="4"/>
  <c r="N116" i="4"/>
  <c r="K116" i="4"/>
  <c r="J116" i="4"/>
  <c r="I116" i="4"/>
  <c r="H116" i="4"/>
  <c r="E116" i="4"/>
  <c r="D116" i="4"/>
  <c r="N115" i="4"/>
  <c r="K115" i="4"/>
  <c r="J115" i="4"/>
  <c r="I115" i="4"/>
  <c r="H115" i="4"/>
  <c r="E115" i="4"/>
  <c r="D115" i="4"/>
  <c r="N114" i="4"/>
  <c r="K114" i="4"/>
  <c r="J114" i="4"/>
  <c r="I114" i="4"/>
  <c r="H114" i="4"/>
  <c r="E114" i="4"/>
  <c r="D114" i="4"/>
  <c r="N113" i="4"/>
  <c r="K113" i="4"/>
  <c r="J113" i="4"/>
  <c r="I113" i="4"/>
  <c r="H113" i="4"/>
  <c r="E113" i="4"/>
  <c r="D113" i="4"/>
  <c r="N112" i="4"/>
  <c r="K112" i="4"/>
  <c r="J112" i="4"/>
  <c r="I112" i="4"/>
  <c r="H112" i="4"/>
  <c r="E112" i="4"/>
  <c r="D112" i="4"/>
  <c r="N111" i="4"/>
  <c r="K111" i="4"/>
  <c r="J111" i="4"/>
  <c r="I111" i="4"/>
  <c r="H111" i="4"/>
  <c r="E111" i="4"/>
  <c r="D111" i="4"/>
  <c r="N110" i="4"/>
  <c r="K110" i="4"/>
  <c r="J110" i="4"/>
  <c r="I110" i="4"/>
  <c r="H110" i="4"/>
  <c r="E110" i="4"/>
  <c r="D110" i="4"/>
  <c r="N109" i="4"/>
  <c r="K109" i="4"/>
  <c r="J109" i="4"/>
  <c r="I109" i="4"/>
  <c r="H109" i="4"/>
  <c r="E109" i="4"/>
  <c r="D109" i="4"/>
  <c r="N108" i="4"/>
  <c r="K108" i="4"/>
  <c r="J108" i="4"/>
  <c r="I108" i="4"/>
  <c r="H108" i="4"/>
  <c r="E108" i="4"/>
  <c r="D108" i="4"/>
  <c r="N107" i="4"/>
  <c r="K107" i="4"/>
  <c r="J107" i="4"/>
  <c r="I107" i="4"/>
  <c r="H107" i="4"/>
  <c r="E107" i="4"/>
  <c r="D107" i="4"/>
  <c r="N106" i="4"/>
  <c r="K106" i="4"/>
  <c r="J106" i="4"/>
  <c r="I106" i="4"/>
  <c r="H106" i="4"/>
  <c r="E106" i="4"/>
  <c r="D106" i="4"/>
  <c r="N105" i="4"/>
  <c r="K105" i="4"/>
  <c r="J105" i="4"/>
  <c r="I105" i="4"/>
  <c r="H105" i="4"/>
  <c r="E105" i="4"/>
  <c r="D105" i="4"/>
  <c r="N104" i="4"/>
  <c r="K104" i="4"/>
  <c r="J104" i="4"/>
  <c r="I104" i="4"/>
  <c r="H104" i="4"/>
  <c r="E104" i="4"/>
  <c r="D104" i="4"/>
  <c r="N103" i="4"/>
  <c r="K103" i="4"/>
  <c r="J103" i="4"/>
  <c r="I103" i="4"/>
  <c r="H103" i="4"/>
  <c r="E103" i="4"/>
  <c r="D103" i="4"/>
  <c r="N102" i="4"/>
  <c r="K102" i="4"/>
  <c r="J102" i="4"/>
  <c r="I102" i="4"/>
  <c r="H102" i="4"/>
  <c r="E102" i="4"/>
  <c r="D102" i="4"/>
  <c r="N101" i="4"/>
  <c r="K101" i="4"/>
  <c r="J101" i="4"/>
  <c r="I101" i="4"/>
  <c r="H101" i="4"/>
  <c r="E101" i="4"/>
  <c r="D101" i="4"/>
  <c r="N100" i="4"/>
  <c r="K100" i="4"/>
  <c r="J100" i="4"/>
  <c r="I100" i="4"/>
  <c r="H100" i="4"/>
  <c r="E100" i="4"/>
  <c r="D100" i="4"/>
  <c r="N99" i="4"/>
  <c r="K99" i="4"/>
  <c r="J99" i="4"/>
  <c r="I99" i="4"/>
  <c r="H99" i="4"/>
  <c r="E99" i="4"/>
  <c r="D99" i="4"/>
  <c r="N98" i="4"/>
  <c r="K98" i="4"/>
  <c r="J98" i="4"/>
  <c r="I98" i="4"/>
  <c r="H98" i="4"/>
  <c r="E98" i="4"/>
  <c r="D98" i="4"/>
  <c r="N97" i="4"/>
  <c r="K97" i="4"/>
  <c r="J97" i="4"/>
  <c r="I97" i="4"/>
  <c r="H97" i="4"/>
  <c r="E97" i="4"/>
  <c r="D97" i="4"/>
  <c r="N96" i="4"/>
  <c r="K96" i="4"/>
  <c r="J96" i="4"/>
  <c r="I96" i="4"/>
  <c r="H96" i="4"/>
  <c r="E96" i="4"/>
  <c r="D96" i="4"/>
  <c r="N95" i="4"/>
  <c r="K95" i="4"/>
  <c r="J95" i="4"/>
  <c r="I95" i="4"/>
  <c r="H95" i="4"/>
  <c r="E95" i="4"/>
  <c r="D95" i="4"/>
  <c r="N94" i="4"/>
  <c r="K94" i="4"/>
  <c r="J94" i="4"/>
  <c r="I94" i="4"/>
  <c r="H94" i="4"/>
  <c r="E94" i="4"/>
  <c r="D94" i="4"/>
  <c r="N93" i="4"/>
  <c r="K93" i="4"/>
  <c r="J93" i="4"/>
  <c r="I93" i="4"/>
  <c r="H93" i="4"/>
  <c r="E93" i="4"/>
  <c r="D93" i="4"/>
  <c r="N92" i="4"/>
  <c r="K92" i="4"/>
  <c r="J92" i="4"/>
  <c r="I92" i="4"/>
  <c r="H92" i="4"/>
  <c r="E92" i="4"/>
  <c r="D92" i="4"/>
  <c r="N91" i="4"/>
  <c r="K91" i="4"/>
  <c r="J91" i="4"/>
  <c r="I91" i="4"/>
  <c r="H91" i="4"/>
  <c r="E91" i="4"/>
  <c r="D91" i="4"/>
  <c r="N90" i="4"/>
  <c r="K90" i="4"/>
  <c r="J90" i="4"/>
  <c r="I90" i="4"/>
  <c r="H90" i="4"/>
  <c r="E90" i="4"/>
  <c r="D90" i="4"/>
  <c r="N89" i="4"/>
  <c r="K89" i="4"/>
  <c r="J89" i="4"/>
  <c r="I89" i="4"/>
  <c r="H89" i="4"/>
  <c r="E89" i="4"/>
  <c r="D89" i="4"/>
  <c r="N88" i="4"/>
  <c r="K88" i="4"/>
  <c r="J88" i="4"/>
  <c r="I88" i="4"/>
  <c r="H88" i="4"/>
  <c r="E88" i="4"/>
  <c r="D88" i="4"/>
  <c r="N87" i="4"/>
  <c r="K87" i="4"/>
  <c r="J87" i="4"/>
  <c r="I87" i="4"/>
  <c r="H87" i="4"/>
  <c r="E87" i="4"/>
  <c r="D87" i="4"/>
  <c r="N86" i="4"/>
  <c r="K86" i="4"/>
  <c r="J86" i="4"/>
  <c r="I86" i="4"/>
  <c r="H86" i="4"/>
  <c r="E86" i="4"/>
  <c r="D86" i="4"/>
  <c r="N85" i="4"/>
  <c r="K85" i="4"/>
  <c r="J85" i="4"/>
  <c r="I85" i="4"/>
  <c r="H85" i="4"/>
  <c r="E85" i="4"/>
  <c r="D85" i="4"/>
  <c r="N84" i="4"/>
  <c r="K84" i="4"/>
  <c r="J84" i="4"/>
  <c r="I84" i="4"/>
  <c r="H84" i="4"/>
  <c r="E84" i="4"/>
  <c r="D84" i="4"/>
  <c r="N83" i="4"/>
  <c r="K83" i="4"/>
  <c r="J83" i="4"/>
  <c r="I83" i="4"/>
  <c r="H83" i="4"/>
  <c r="E83" i="4"/>
  <c r="D83" i="4"/>
  <c r="N82" i="4"/>
  <c r="K82" i="4"/>
  <c r="J82" i="4"/>
  <c r="I82" i="4"/>
  <c r="H82" i="4"/>
  <c r="E82" i="4"/>
  <c r="D82" i="4"/>
  <c r="N81" i="4"/>
  <c r="K81" i="4"/>
  <c r="J81" i="4"/>
  <c r="I81" i="4"/>
  <c r="H81" i="4"/>
  <c r="E81" i="4"/>
  <c r="D81" i="4"/>
  <c r="N80" i="4"/>
  <c r="K80" i="4"/>
  <c r="J80" i="4"/>
  <c r="I80" i="4"/>
  <c r="H80" i="4"/>
  <c r="E80" i="4"/>
  <c r="D80" i="4"/>
  <c r="N79" i="4"/>
  <c r="K79" i="4"/>
  <c r="J79" i="4"/>
  <c r="I79" i="4"/>
  <c r="H79" i="4"/>
  <c r="E79" i="4"/>
  <c r="D79" i="4"/>
  <c r="N78" i="4"/>
  <c r="K78" i="4"/>
  <c r="J78" i="4"/>
  <c r="I78" i="4"/>
  <c r="H78" i="4"/>
  <c r="E78" i="4"/>
  <c r="D78" i="4"/>
  <c r="N77" i="4"/>
  <c r="K77" i="4"/>
  <c r="J77" i="4"/>
  <c r="I77" i="4"/>
  <c r="H77" i="4"/>
  <c r="E77" i="4"/>
  <c r="D77" i="4"/>
  <c r="N76" i="4"/>
  <c r="K76" i="4"/>
  <c r="J76" i="4"/>
  <c r="I76" i="4"/>
  <c r="H76" i="4"/>
  <c r="E76" i="4"/>
  <c r="D76" i="4"/>
  <c r="N75" i="4"/>
  <c r="K75" i="4"/>
  <c r="J75" i="4"/>
  <c r="I75" i="4"/>
  <c r="H75" i="4"/>
  <c r="E75" i="4"/>
  <c r="D75" i="4"/>
  <c r="N74" i="4"/>
  <c r="K74" i="4"/>
  <c r="J74" i="4"/>
  <c r="I74" i="4"/>
  <c r="H74" i="4"/>
  <c r="E74" i="4"/>
  <c r="D74" i="4"/>
  <c r="N73" i="4"/>
  <c r="K73" i="4"/>
  <c r="J73" i="4"/>
  <c r="I73" i="4"/>
  <c r="H73" i="4"/>
  <c r="E73" i="4"/>
  <c r="D73" i="4"/>
  <c r="N72" i="4"/>
  <c r="K72" i="4"/>
  <c r="J72" i="4"/>
  <c r="I72" i="4"/>
  <c r="H72" i="4"/>
  <c r="E72" i="4"/>
  <c r="D72" i="4"/>
  <c r="N71" i="4"/>
  <c r="K71" i="4"/>
  <c r="J71" i="4"/>
  <c r="I71" i="4"/>
  <c r="H71" i="4"/>
  <c r="E71" i="4"/>
  <c r="D71" i="4"/>
  <c r="N70" i="4"/>
  <c r="K70" i="4"/>
  <c r="J70" i="4"/>
  <c r="I70" i="4"/>
  <c r="H70" i="4"/>
  <c r="E70" i="4"/>
  <c r="D70" i="4"/>
  <c r="N69" i="4"/>
  <c r="K69" i="4"/>
  <c r="J69" i="4"/>
  <c r="I69" i="4"/>
  <c r="H69" i="4"/>
  <c r="E69" i="4"/>
  <c r="D69" i="4"/>
  <c r="N68" i="4"/>
  <c r="K68" i="4"/>
  <c r="J68" i="4"/>
  <c r="I68" i="4"/>
  <c r="H68" i="4"/>
  <c r="E68" i="4"/>
  <c r="D68" i="4"/>
  <c r="N67" i="4"/>
  <c r="K67" i="4"/>
  <c r="J67" i="4"/>
  <c r="I67" i="4"/>
  <c r="H67" i="4"/>
  <c r="E67" i="4"/>
  <c r="D67" i="4"/>
  <c r="N66" i="4"/>
  <c r="K66" i="4"/>
  <c r="J66" i="4"/>
  <c r="I66" i="4"/>
  <c r="H66" i="4"/>
  <c r="E66" i="4"/>
  <c r="D66" i="4"/>
  <c r="N65" i="4"/>
  <c r="K65" i="4"/>
  <c r="J65" i="4"/>
  <c r="I65" i="4"/>
  <c r="H65" i="4"/>
  <c r="E65" i="4"/>
  <c r="D65" i="4"/>
  <c r="N64" i="4"/>
  <c r="K64" i="4"/>
  <c r="J64" i="4"/>
  <c r="I64" i="4"/>
  <c r="H64" i="4"/>
  <c r="E64" i="4"/>
  <c r="D64" i="4"/>
  <c r="N63" i="4"/>
  <c r="K63" i="4"/>
  <c r="J63" i="4"/>
  <c r="I63" i="4"/>
  <c r="H63" i="4"/>
  <c r="E63" i="4"/>
  <c r="D63" i="4"/>
  <c r="N62" i="4"/>
  <c r="K62" i="4"/>
  <c r="J62" i="4"/>
  <c r="I62" i="4"/>
  <c r="H62" i="4"/>
  <c r="E62" i="4"/>
  <c r="D62" i="4"/>
  <c r="N61" i="4"/>
  <c r="K61" i="4"/>
  <c r="J61" i="4"/>
  <c r="I61" i="4"/>
  <c r="H61" i="4"/>
  <c r="E61" i="4"/>
  <c r="D61" i="4"/>
  <c r="N60" i="4"/>
  <c r="K60" i="4"/>
  <c r="J60" i="4"/>
  <c r="I60" i="4"/>
  <c r="H60" i="4"/>
  <c r="E60" i="4"/>
  <c r="D60" i="4"/>
  <c r="N59" i="4"/>
  <c r="K59" i="4"/>
  <c r="J59" i="4"/>
  <c r="I59" i="4"/>
  <c r="H59" i="4"/>
  <c r="E59" i="4"/>
  <c r="D59" i="4"/>
  <c r="N58" i="4"/>
  <c r="K58" i="4"/>
  <c r="J58" i="4"/>
  <c r="I58" i="4"/>
  <c r="H58" i="4"/>
  <c r="E58" i="4"/>
  <c r="D58" i="4"/>
  <c r="N57" i="4"/>
  <c r="K57" i="4"/>
  <c r="J57" i="4"/>
  <c r="I57" i="4"/>
  <c r="H57" i="4"/>
  <c r="E57" i="4"/>
  <c r="D57" i="4"/>
  <c r="N56" i="4"/>
  <c r="K56" i="4"/>
  <c r="J56" i="4"/>
  <c r="I56" i="4"/>
  <c r="H56" i="4"/>
  <c r="E56" i="4"/>
  <c r="D56" i="4"/>
  <c r="N55" i="4"/>
  <c r="K55" i="4"/>
  <c r="J55" i="4"/>
  <c r="I55" i="4"/>
  <c r="H55" i="4"/>
  <c r="E55" i="4"/>
  <c r="D55" i="4"/>
  <c r="N54" i="4"/>
  <c r="K54" i="4"/>
  <c r="J54" i="4"/>
  <c r="I54" i="4"/>
  <c r="H54" i="4"/>
  <c r="E54" i="4"/>
  <c r="D54" i="4"/>
  <c r="N53" i="4"/>
  <c r="K53" i="4"/>
  <c r="J53" i="4"/>
  <c r="I53" i="4"/>
  <c r="H53" i="4"/>
  <c r="E53" i="4"/>
  <c r="D53" i="4"/>
  <c r="N52" i="4"/>
  <c r="K52" i="4"/>
  <c r="J52" i="4"/>
  <c r="I52" i="4"/>
  <c r="H52" i="4"/>
  <c r="E52" i="4"/>
  <c r="D52" i="4"/>
  <c r="N51" i="4"/>
  <c r="K51" i="4"/>
  <c r="J51" i="4"/>
  <c r="I51" i="4"/>
  <c r="H51" i="4"/>
  <c r="E51" i="4"/>
  <c r="D51" i="4"/>
  <c r="N50" i="4"/>
  <c r="K50" i="4"/>
  <c r="J50" i="4"/>
  <c r="I50" i="4"/>
  <c r="H50" i="4"/>
  <c r="E50" i="4"/>
  <c r="D50" i="4"/>
  <c r="N49" i="4"/>
  <c r="K49" i="4"/>
  <c r="J49" i="4"/>
  <c r="I49" i="4"/>
  <c r="H49" i="4"/>
  <c r="E49" i="4"/>
  <c r="D49" i="4"/>
  <c r="N48" i="4"/>
  <c r="K48" i="4"/>
  <c r="J48" i="4"/>
  <c r="I48" i="4"/>
  <c r="H48" i="4"/>
  <c r="E48" i="4"/>
  <c r="D48" i="4"/>
  <c r="N47" i="4"/>
  <c r="K47" i="4"/>
  <c r="J47" i="4"/>
  <c r="I47" i="4"/>
  <c r="H47" i="4"/>
  <c r="E47" i="4"/>
  <c r="D47" i="4"/>
  <c r="N46" i="4"/>
  <c r="K46" i="4"/>
  <c r="J46" i="4"/>
  <c r="I46" i="4"/>
  <c r="H46" i="4"/>
  <c r="E46" i="4"/>
  <c r="D46" i="4"/>
  <c r="N45" i="4"/>
  <c r="K45" i="4"/>
  <c r="J45" i="4"/>
  <c r="I45" i="4"/>
  <c r="H45" i="4"/>
  <c r="E45" i="4"/>
  <c r="D45" i="4"/>
  <c r="N44" i="4"/>
  <c r="K44" i="4"/>
  <c r="J44" i="4"/>
  <c r="I44" i="4"/>
  <c r="H44" i="4"/>
  <c r="E44" i="4"/>
  <c r="D44" i="4"/>
  <c r="N43" i="4"/>
  <c r="K43" i="4"/>
  <c r="J43" i="4"/>
  <c r="I43" i="4"/>
  <c r="H43" i="4"/>
  <c r="E43" i="4"/>
  <c r="D43" i="4"/>
  <c r="N42" i="4"/>
  <c r="K42" i="4"/>
  <c r="J42" i="4"/>
  <c r="I42" i="4"/>
  <c r="H42" i="4"/>
  <c r="E42" i="4"/>
  <c r="D42" i="4"/>
  <c r="N41" i="4"/>
  <c r="K41" i="4"/>
  <c r="J41" i="4"/>
  <c r="I41" i="4"/>
  <c r="H41" i="4"/>
  <c r="E41" i="4"/>
  <c r="D41" i="4"/>
  <c r="N40" i="4"/>
  <c r="K40" i="4"/>
  <c r="J40" i="4"/>
  <c r="I40" i="4"/>
  <c r="H40" i="4"/>
  <c r="E40" i="4"/>
  <c r="D40" i="4"/>
  <c r="N39" i="4"/>
  <c r="K39" i="4"/>
  <c r="J39" i="4"/>
  <c r="I39" i="4"/>
  <c r="H39" i="4"/>
  <c r="E39" i="4"/>
  <c r="D39" i="4"/>
  <c r="N38" i="4"/>
  <c r="K38" i="4"/>
  <c r="J38" i="4"/>
  <c r="I38" i="4"/>
  <c r="H38" i="4"/>
  <c r="E38" i="4"/>
  <c r="D38" i="4"/>
  <c r="N37" i="4"/>
  <c r="K37" i="4"/>
  <c r="J37" i="4"/>
  <c r="I37" i="4"/>
  <c r="H37" i="4"/>
  <c r="E37" i="4"/>
  <c r="D37" i="4"/>
  <c r="N36" i="4"/>
  <c r="K36" i="4"/>
  <c r="J36" i="4"/>
  <c r="I36" i="4"/>
  <c r="H36" i="4"/>
  <c r="E36" i="4"/>
  <c r="D36" i="4"/>
  <c r="N35" i="4"/>
  <c r="K35" i="4"/>
  <c r="J35" i="4"/>
  <c r="I35" i="4"/>
  <c r="H35" i="4"/>
  <c r="E35" i="4"/>
  <c r="D35" i="4"/>
  <c r="N34" i="4"/>
  <c r="K34" i="4"/>
  <c r="J34" i="4"/>
  <c r="I34" i="4"/>
  <c r="H34" i="4"/>
  <c r="E34" i="4"/>
  <c r="D34" i="4"/>
  <c r="N33" i="4"/>
  <c r="K33" i="4"/>
  <c r="J33" i="4"/>
  <c r="I33" i="4"/>
  <c r="H33" i="4"/>
  <c r="E33" i="4"/>
  <c r="D33" i="4"/>
  <c r="N32" i="4"/>
  <c r="K32" i="4"/>
  <c r="J32" i="4"/>
  <c r="I32" i="4"/>
  <c r="H32" i="4"/>
  <c r="E32" i="4"/>
  <c r="D32" i="4"/>
  <c r="N31" i="4"/>
  <c r="K31" i="4"/>
  <c r="J31" i="4"/>
  <c r="I31" i="4"/>
  <c r="H31" i="4"/>
  <c r="E31" i="4"/>
  <c r="D31" i="4"/>
  <c r="N30" i="4"/>
  <c r="K30" i="4"/>
  <c r="J30" i="4"/>
  <c r="I30" i="4"/>
  <c r="H30" i="4"/>
  <c r="E30" i="4"/>
  <c r="D30" i="4"/>
  <c r="N29" i="4"/>
  <c r="K29" i="4"/>
  <c r="J29" i="4"/>
  <c r="I29" i="4"/>
  <c r="H29" i="4"/>
  <c r="E29" i="4"/>
  <c r="D29" i="4"/>
  <c r="N28" i="4"/>
  <c r="K28" i="4"/>
  <c r="J28" i="4"/>
  <c r="I28" i="4"/>
  <c r="H28" i="4"/>
  <c r="E28" i="4"/>
  <c r="D28" i="4"/>
  <c r="N27" i="4"/>
  <c r="K27" i="4"/>
  <c r="J27" i="4"/>
  <c r="I27" i="4"/>
  <c r="H27" i="4"/>
  <c r="E27" i="4"/>
  <c r="D27" i="4"/>
  <c r="N26" i="4"/>
  <c r="K26" i="4"/>
  <c r="J26" i="4"/>
  <c r="I26" i="4"/>
  <c r="H26" i="4"/>
  <c r="E26" i="4"/>
  <c r="D26" i="4"/>
  <c r="N25" i="4"/>
  <c r="K25" i="4"/>
  <c r="J25" i="4"/>
  <c r="I25" i="4"/>
  <c r="H25" i="4"/>
  <c r="E25" i="4"/>
  <c r="D25" i="4"/>
  <c r="N24" i="4"/>
  <c r="K24" i="4"/>
  <c r="J24" i="4"/>
  <c r="I24" i="4"/>
  <c r="H24" i="4"/>
  <c r="E24" i="4"/>
  <c r="D24" i="4"/>
  <c r="N23" i="4"/>
  <c r="K23" i="4"/>
  <c r="J23" i="4"/>
  <c r="I23" i="4"/>
  <c r="H23" i="4"/>
  <c r="E23" i="4"/>
  <c r="D23" i="4"/>
  <c r="N22" i="4"/>
  <c r="K22" i="4"/>
  <c r="J22" i="4"/>
  <c r="I22" i="4"/>
  <c r="H22" i="4"/>
  <c r="E22" i="4"/>
  <c r="D22" i="4"/>
  <c r="N21" i="4"/>
  <c r="K21" i="4"/>
  <c r="J21" i="4"/>
  <c r="I21" i="4"/>
  <c r="H21" i="4"/>
  <c r="E21" i="4"/>
  <c r="D21" i="4"/>
  <c r="N20" i="4"/>
  <c r="K20" i="4"/>
  <c r="J20" i="4"/>
  <c r="I20" i="4"/>
  <c r="H20" i="4"/>
  <c r="E20" i="4"/>
  <c r="D20" i="4"/>
  <c r="N19" i="4"/>
  <c r="K19" i="4"/>
  <c r="J19" i="4"/>
  <c r="I19" i="4"/>
  <c r="H19" i="4"/>
  <c r="E19" i="4"/>
  <c r="D19" i="4"/>
  <c r="N18" i="4"/>
  <c r="K18" i="4"/>
  <c r="J18" i="4"/>
  <c r="I18" i="4"/>
  <c r="H18" i="4"/>
  <c r="E18" i="4"/>
  <c r="D18" i="4"/>
  <c r="N17" i="4"/>
  <c r="K17" i="4"/>
  <c r="J17" i="4"/>
  <c r="I17" i="4"/>
  <c r="H17" i="4"/>
  <c r="E17" i="4"/>
  <c r="D17" i="4"/>
  <c r="N16" i="4"/>
  <c r="K16" i="4"/>
  <c r="J16" i="4"/>
  <c r="I16" i="4"/>
  <c r="H16" i="4"/>
  <c r="E16" i="4"/>
  <c r="D16" i="4"/>
  <c r="N15" i="4"/>
  <c r="K15" i="4"/>
  <c r="J15" i="4"/>
  <c r="I15" i="4"/>
  <c r="H15" i="4"/>
  <c r="E15" i="4"/>
  <c r="D15" i="4"/>
  <c r="N14" i="4"/>
  <c r="K14" i="4"/>
  <c r="J14" i="4"/>
  <c r="I14" i="4"/>
  <c r="H14" i="4"/>
  <c r="E14" i="4"/>
  <c r="D14" i="4"/>
  <c r="N13" i="4"/>
  <c r="K13" i="4"/>
  <c r="J13" i="4"/>
  <c r="I13" i="4"/>
  <c r="H13" i="4"/>
  <c r="E13" i="4"/>
  <c r="D13" i="4"/>
  <c r="N12" i="4"/>
  <c r="E12" i="4"/>
  <c r="D12" i="4"/>
  <c r="N11" i="4"/>
  <c r="E11" i="4"/>
  <c r="D11" i="4"/>
  <c r="N10" i="4"/>
  <c r="K10" i="4"/>
  <c r="J10" i="4"/>
  <c r="I10" i="4"/>
  <c r="H10" i="4"/>
  <c r="E10" i="4"/>
  <c r="D10" i="4"/>
  <c r="N9" i="4"/>
  <c r="K9" i="4"/>
  <c r="J9" i="4"/>
  <c r="I9" i="4"/>
  <c r="H9" i="4"/>
  <c r="E9" i="4"/>
  <c r="D9" i="4"/>
  <c r="J8" i="4"/>
  <c r="I8" i="4"/>
  <c r="H8" i="4"/>
  <c r="E8" i="4"/>
  <c r="D8" i="4"/>
  <c r="I293" i="3"/>
  <c r="H293" i="3"/>
  <c r="G293" i="3"/>
  <c r="F293" i="3"/>
  <c r="E293" i="3"/>
  <c r="D293" i="3"/>
  <c r="I292" i="3"/>
  <c r="H292" i="3"/>
  <c r="G292" i="3"/>
  <c r="F292" i="3"/>
  <c r="E292" i="3"/>
  <c r="D292" i="3"/>
  <c r="I291" i="3"/>
  <c r="H291" i="3"/>
  <c r="G291" i="3"/>
  <c r="F291" i="3"/>
  <c r="E291" i="3"/>
  <c r="D291" i="3"/>
  <c r="I290" i="3"/>
  <c r="H290" i="3"/>
  <c r="G290" i="3"/>
  <c r="F290" i="3"/>
  <c r="E290" i="3"/>
  <c r="D290" i="3"/>
  <c r="I289" i="3"/>
  <c r="H289" i="3"/>
  <c r="G289" i="3"/>
  <c r="F289" i="3"/>
  <c r="E289" i="3"/>
  <c r="D289" i="3"/>
  <c r="I288" i="3"/>
  <c r="H288" i="3"/>
  <c r="G288" i="3"/>
  <c r="F288" i="3"/>
  <c r="E288" i="3"/>
  <c r="D288" i="3"/>
  <c r="I287" i="3"/>
  <c r="H287" i="3"/>
  <c r="G287" i="3"/>
  <c r="F287" i="3"/>
  <c r="E287" i="3"/>
  <c r="D287" i="3"/>
  <c r="I286" i="3"/>
  <c r="H286" i="3"/>
  <c r="G286" i="3"/>
  <c r="F286" i="3"/>
  <c r="E286" i="3"/>
  <c r="D286" i="3"/>
  <c r="I285" i="3"/>
  <c r="H285" i="3"/>
  <c r="G285" i="3"/>
  <c r="F285" i="3"/>
  <c r="E285" i="3"/>
  <c r="D285" i="3"/>
  <c r="I284" i="3"/>
  <c r="H284" i="3"/>
  <c r="G284" i="3"/>
  <c r="F284" i="3"/>
  <c r="E284" i="3"/>
  <c r="D284" i="3"/>
  <c r="I283" i="3"/>
  <c r="H283" i="3"/>
  <c r="G283" i="3"/>
  <c r="F283" i="3"/>
  <c r="E283" i="3"/>
  <c r="D283" i="3"/>
  <c r="I282" i="3"/>
  <c r="H282" i="3"/>
  <c r="G282" i="3"/>
  <c r="F282" i="3"/>
  <c r="E282" i="3"/>
  <c r="D282" i="3"/>
  <c r="I281" i="3"/>
  <c r="H281" i="3"/>
  <c r="G281" i="3"/>
  <c r="F281" i="3"/>
  <c r="E281" i="3"/>
  <c r="D281" i="3"/>
  <c r="I280" i="3"/>
  <c r="H280" i="3"/>
  <c r="G280" i="3"/>
  <c r="F280" i="3"/>
  <c r="E280" i="3"/>
  <c r="D280" i="3"/>
  <c r="I279" i="3"/>
  <c r="H279" i="3"/>
  <c r="G279" i="3"/>
  <c r="F279" i="3"/>
  <c r="E279" i="3"/>
  <c r="D279" i="3"/>
  <c r="I278" i="3"/>
  <c r="H278" i="3"/>
  <c r="G278" i="3"/>
  <c r="F278" i="3"/>
  <c r="E278" i="3"/>
  <c r="D278" i="3"/>
  <c r="I277" i="3"/>
  <c r="H277" i="3"/>
  <c r="G277" i="3"/>
  <c r="F277" i="3"/>
  <c r="E277" i="3"/>
  <c r="D277" i="3"/>
  <c r="I276" i="3"/>
  <c r="H276" i="3"/>
  <c r="G276" i="3"/>
  <c r="F276" i="3"/>
  <c r="E276" i="3"/>
  <c r="D276" i="3"/>
  <c r="I275" i="3"/>
  <c r="H275" i="3"/>
  <c r="G275" i="3"/>
  <c r="F275" i="3"/>
  <c r="E275" i="3"/>
  <c r="D275" i="3"/>
  <c r="I274" i="3"/>
  <c r="H274" i="3"/>
  <c r="G274" i="3"/>
  <c r="F274" i="3"/>
  <c r="E274" i="3"/>
  <c r="D274" i="3"/>
  <c r="I273" i="3"/>
  <c r="H273" i="3"/>
  <c r="G273" i="3"/>
  <c r="F273" i="3"/>
  <c r="E273" i="3"/>
  <c r="D273" i="3"/>
  <c r="I272" i="3"/>
  <c r="H272" i="3"/>
  <c r="G272" i="3"/>
  <c r="F272" i="3"/>
  <c r="E272" i="3"/>
  <c r="D272" i="3"/>
  <c r="I271" i="3"/>
  <c r="H271" i="3"/>
  <c r="G271" i="3"/>
  <c r="F271" i="3"/>
  <c r="E271" i="3"/>
  <c r="D271" i="3"/>
  <c r="I270" i="3"/>
  <c r="H270" i="3"/>
  <c r="G270" i="3"/>
  <c r="F270" i="3"/>
  <c r="E270" i="3"/>
  <c r="D270" i="3"/>
  <c r="I269" i="3"/>
  <c r="H269" i="3"/>
  <c r="G269" i="3"/>
  <c r="F269" i="3"/>
  <c r="E269" i="3"/>
  <c r="D269" i="3"/>
  <c r="I268" i="3"/>
  <c r="H268" i="3"/>
  <c r="G268" i="3"/>
  <c r="F268" i="3"/>
  <c r="E268" i="3"/>
  <c r="D268" i="3"/>
  <c r="I267" i="3"/>
  <c r="H267" i="3"/>
  <c r="G267" i="3"/>
  <c r="F267" i="3"/>
  <c r="E267" i="3"/>
  <c r="D267" i="3"/>
  <c r="I266" i="3"/>
  <c r="H266" i="3"/>
  <c r="G266" i="3"/>
  <c r="F266" i="3"/>
  <c r="E266" i="3"/>
  <c r="D266" i="3"/>
  <c r="I265" i="3"/>
  <c r="H265" i="3"/>
  <c r="G265" i="3"/>
  <c r="F265" i="3"/>
  <c r="E265" i="3"/>
  <c r="D265" i="3"/>
  <c r="I264" i="3"/>
  <c r="H264" i="3"/>
  <c r="G264" i="3"/>
  <c r="F264" i="3"/>
  <c r="E264" i="3"/>
  <c r="D264" i="3"/>
  <c r="I263" i="3"/>
  <c r="H263" i="3"/>
  <c r="G263" i="3"/>
  <c r="F263" i="3"/>
  <c r="E263" i="3"/>
  <c r="D263" i="3"/>
  <c r="I262" i="3"/>
  <c r="H262" i="3"/>
  <c r="G262" i="3"/>
  <c r="F262" i="3"/>
  <c r="E262" i="3"/>
  <c r="D262" i="3"/>
  <c r="I261" i="3"/>
  <c r="H261" i="3"/>
  <c r="G261" i="3"/>
  <c r="F261" i="3"/>
  <c r="E261" i="3"/>
  <c r="D261" i="3"/>
  <c r="I260" i="3"/>
  <c r="H260" i="3"/>
  <c r="G260" i="3"/>
  <c r="F260" i="3"/>
  <c r="E260" i="3"/>
  <c r="D260" i="3"/>
  <c r="I259" i="3"/>
  <c r="H259" i="3"/>
  <c r="G259" i="3"/>
  <c r="F259" i="3"/>
  <c r="E259" i="3"/>
  <c r="D259" i="3"/>
  <c r="I258" i="3"/>
  <c r="H258" i="3"/>
  <c r="G258" i="3"/>
  <c r="F258" i="3"/>
  <c r="E258" i="3"/>
  <c r="D258" i="3"/>
  <c r="I257" i="3"/>
  <c r="H257" i="3"/>
  <c r="G257" i="3"/>
  <c r="F257" i="3"/>
  <c r="E257" i="3"/>
  <c r="D257" i="3"/>
  <c r="I256" i="3"/>
  <c r="H256" i="3"/>
  <c r="G256" i="3"/>
  <c r="F256" i="3"/>
  <c r="E256" i="3"/>
  <c r="D256" i="3"/>
  <c r="I255" i="3"/>
  <c r="H255" i="3"/>
  <c r="G255" i="3"/>
  <c r="F255" i="3"/>
  <c r="E255" i="3"/>
  <c r="D255" i="3"/>
  <c r="I254" i="3"/>
  <c r="H254" i="3"/>
  <c r="G254" i="3"/>
  <c r="F254" i="3"/>
  <c r="E254" i="3"/>
  <c r="D254" i="3"/>
  <c r="I253" i="3"/>
  <c r="H253" i="3"/>
  <c r="G253" i="3"/>
  <c r="F253" i="3"/>
  <c r="E253" i="3"/>
  <c r="D253" i="3"/>
  <c r="I252" i="3"/>
  <c r="H252" i="3"/>
  <c r="G252" i="3"/>
  <c r="F252" i="3"/>
  <c r="E252" i="3"/>
  <c r="D252" i="3"/>
  <c r="I251" i="3"/>
  <c r="H251" i="3"/>
  <c r="G251" i="3"/>
  <c r="F251" i="3"/>
  <c r="E251" i="3"/>
  <c r="D251" i="3"/>
  <c r="I250" i="3"/>
  <c r="H250" i="3"/>
  <c r="G250" i="3"/>
  <c r="F250" i="3"/>
  <c r="E250" i="3"/>
  <c r="D250" i="3"/>
  <c r="I249" i="3"/>
  <c r="H249" i="3"/>
  <c r="G249" i="3"/>
  <c r="F249" i="3"/>
  <c r="E249" i="3"/>
  <c r="D249" i="3"/>
  <c r="I248" i="3"/>
  <c r="H248" i="3"/>
  <c r="G248" i="3"/>
  <c r="F248" i="3"/>
  <c r="E248" i="3"/>
  <c r="D248" i="3"/>
  <c r="I247" i="3"/>
  <c r="H247" i="3"/>
  <c r="G247" i="3"/>
  <c r="F247" i="3"/>
  <c r="E247" i="3"/>
  <c r="D247" i="3"/>
  <c r="I246" i="3"/>
  <c r="H246" i="3"/>
  <c r="G246" i="3"/>
  <c r="F246" i="3"/>
  <c r="E246" i="3"/>
  <c r="D246" i="3"/>
  <c r="I245" i="3"/>
  <c r="H245" i="3"/>
  <c r="G245" i="3"/>
  <c r="F245" i="3"/>
  <c r="E245" i="3"/>
  <c r="D245" i="3"/>
  <c r="I244" i="3"/>
  <c r="H244" i="3"/>
  <c r="G244" i="3"/>
  <c r="F244" i="3"/>
  <c r="E244" i="3"/>
  <c r="D244" i="3"/>
  <c r="I243" i="3"/>
  <c r="H243" i="3"/>
  <c r="G243" i="3"/>
  <c r="F243" i="3"/>
  <c r="E243" i="3"/>
  <c r="D243" i="3"/>
  <c r="I242" i="3"/>
  <c r="H242" i="3"/>
  <c r="G242" i="3"/>
  <c r="F242" i="3"/>
  <c r="E242" i="3"/>
  <c r="D242" i="3"/>
  <c r="I241" i="3"/>
  <c r="H241" i="3"/>
  <c r="G241" i="3"/>
  <c r="F241" i="3"/>
  <c r="E241" i="3"/>
  <c r="D241" i="3"/>
  <c r="I240" i="3"/>
  <c r="H240" i="3"/>
  <c r="G240" i="3"/>
  <c r="F240" i="3"/>
  <c r="E240" i="3"/>
  <c r="D240" i="3"/>
  <c r="I239" i="3"/>
  <c r="H239" i="3"/>
  <c r="G239" i="3"/>
  <c r="F239" i="3"/>
  <c r="E239" i="3"/>
  <c r="D239" i="3"/>
  <c r="I238" i="3"/>
  <c r="H238" i="3"/>
  <c r="G238" i="3"/>
  <c r="F238" i="3"/>
  <c r="E238" i="3"/>
  <c r="D238" i="3"/>
  <c r="I237" i="3"/>
  <c r="H237" i="3"/>
  <c r="G237" i="3"/>
  <c r="F237" i="3"/>
  <c r="E237" i="3"/>
  <c r="D237" i="3"/>
  <c r="I236" i="3"/>
  <c r="H236" i="3"/>
  <c r="G236" i="3"/>
  <c r="F236" i="3"/>
  <c r="E236" i="3"/>
  <c r="D236" i="3"/>
  <c r="I235" i="3"/>
  <c r="H235" i="3"/>
  <c r="G235" i="3"/>
  <c r="F235" i="3"/>
  <c r="E235" i="3"/>
  <c r="D235" i="3"/>
  <c r="I234" i="3"/>
  <c r="H234" i="3"/>
  <c r="G234" i="3"/>
  <c r="F234" i="3"/>
  <c r="E234" i="3"/>
  <c r="D234" i="3"/>
  <c r="I233" i="3"/>
  <c r="H233" i="3"/>
  <c r="G233" i="3"/>
  <c r="F233" i="3"/>
  <c r="E233" i="3"/>
  <c r="D233" i="3"/>
  <c r="I232" i="3"/>
  <c r="H232" i="3"/>
  <c r="G232" i="3"/>
  <c r="F232" i="3"/>
  <c r="E232" i="3"/>
  <c r="D232" i="3"/>
  <c r="I231" i="3"/>
  <c r="H231" i="3"/>
  <c r="G231" i="3"/>
  <c r="F231" i="3"/>
  <c r="E231" i="3"/>
  <c r="D231" i="3"/>
  <c r="I230" i="3"/>
  <c r="H230" i="3"/>
  <c r="G230" i="3"/>
  <c r="F230" i="3"/>
  <c r="E230" i="3"/>
  <c r="D230" i="3"/>
  <c r="I229" i="3"/>
  <c r="H229" i="3"/>
  <c r="G229" i="3"/>
  <c r="F229" i="3"/>
  <c r="E229" i="3"/>
  <c r="D229" i="3"/>
  <c r="I228" i="3"/>
  <c r="H228" i="3"/>
  <c r="G228" i="3"/>
  <c r="F228" i="3"/>
  <c r="E228" i="3"/>
  <c r="D228" i="3"/>
  <c r="I227" i="3"/>
  <c r="H227" i="3"/>
  <c r="G227" i="3"/>
  <c r="F227" i="3"/>
  <c r="E227" i="3"/>
  <c r="D227" i="3"/>
  <c r="I226" i="3"/>
  <c r="H226" i="3"/>
  <c r="G226" i="3"/>
  <c r="F226" i="3"/>
  <c r="E226" i="3"/>
  <c r="D226" i="3"/>
  <c r="I225" i="3"/>
  <c r="H225" i="3"/>
  <c r="G225" i="3"/>
  <c r="F225" i="3"/>
  <c r="E225" i="3"/>
  <c r="D225" i="3"/>
  <c r="I224" i="3"/>
  <c r="H224" i="3"/>
  <c r="G224" i="3"/>
  <c r="F224" i="3"/>
  <c r="E224" i="3"/>
  <c r="D224" i="3"/>
  <c r="I223" i="3"/>
  <c r="H223" i="3"/>
  <c r="G223" i="3"/>
  <c r="F223" i="3"/>
  <c r="E223" i="3"/>
  <c r="D223" i="3"/>
  <c r="I222" i="3"/>
  <c r="H222" i="3"/>
  <c r="G222" i="3"/>
  <c r="F222" i="3"/>
  <c r="E222" i="3"/>
  <c r="D222" i="3"/>
  <c r="I221" i="3"/>
  <c r="H221" i="3"/>
  <c r="G221" i="3"/>
  <c r="F221" i="3"/>
  <c r="E221" i="3"/>
  <c r="D221" i="3"/>
  <c r="I220" i="3"/>
  <c r="H220" i="3"/>
  <c r="G220" i="3"/>
  <c r="F220" i="3"/>
  <c r="E220" i="3"/>
  <c r="D220" i="3"/>
  <c r="I219" i="3"/>
  <c r="H219" i="3"/>
  <c r="G219" i="3"/>
  <c r="F219" i="3"/>
  <c r="E219" i="3"/>
  <c r="D219" i="3"/>
  <c r="I218" i="3"/>
  <c r="H218" i="3"/>
  <c r="G218" i="3"/>
  <c r="F218" i="3"/>
  <c r="E218" i="3"/>
  <c r="D218" i="3"/>
  <c r="I217" i="3"/>
  <c r="H217" i="3"/>
  <c r="G217" i="3"/>
  <c r="F217" i="3"/>
  <c r="E217" i="3"/>
  <c r="D217" i="3"/>
  <c r="I216" i="3"/>
  <c r="H216" i="3"/>
  <c r="G216" i="3"/>
  <c r="F216" i="3"/>
  <c r="E216" i="3"/>
  <c r="D216" i="3"/>
  <c r="I215" i="3"/>
  <c r="H215" i="3"/>
  <c r="G215" i="3"/>
  <c r="F215" i="3"/>
  <c r="E215" i="3"/>
  <c r="D215" i="3"/>
  <c r="I214" i="3"/>
  <c r="H214" i="3"/>
  <c r="G214" i="3"/>
  <c r="F214" i="3"/>
  <c r="E214" i="3"/>
  <c r="D214" i="3"/>
  <c r="I213" i="3"/>
  <c r="H213" i="3"/>
  <c r="G213" i="3"/>
  <c r="F213" i="3"/>
  <c r="E213" i="3"/>
  <c r="D213" i="3"/>
  <c r="I212" i="3"/>
  <c r="H212" i="3"/>
  <c r="G212" i="3"/>
  <c r="F212" i="3"/>
  <c r="E212" i="3"/>
  <c r="D212" i="3"/>
  <c r="I211" i="3"/>
  <c r="H211" i="3"/>
  <c r="G211" i="3"/>
  <c r="F211" i="3"/>
  <c r="E211" i="3"/>
  <c r="D211" i="3"/>
  <c r="I210" i="3"/>
  <c r="H210" i="3"/>
  <c r="G210" i="3"/>
  <c r="F210" i="3"/>
  <c r="E210" i="3"/>
  <c r="D210" i="3"/>
  <c r="I209" i="3"/>
  <c r="H209" i="3"/>
  <c r="G209" i="3"/>
  <c r="F209" i="3"/>
  <c r="E209" i="3"/>
  <c r="D209" i="3"/>
  <c r="I208" i="3"/>
  <c r="H208" i="3"/>
  <c r="G208" i="3"/>
  <c r="F208" i="3"/>
  <c r="E208" i="3"/>
  <c r="D208" i="3"/>
  <c r="I207" i="3"/>
  <c r="H207" i="3"/>
  <c r="G207" i="3"/>
  <c r="F207" i="3"/>
  <c r="E207" i="3"/>
  <c r="D207" i="3"/>
  <c r="I206" i="3"/>
  <c r="H206" i="3"/>
  <c r="G206" i="3"/>
  <c r="F206" i="3"/>
  <c r="E206" i="3"/>
  <c r="D206" i="3"/>
  <c r="I205" i="3"/>
  <c r="H205" i="3"/>
  <c r="G205" i="3"/>
  <c r="F205" i="3"/>
  <c r="E205" i="3"/>
  <c r="D205" i="3"/>
  <c r="I204" i="3"/>
  <c r="H204" i="3"/>
  <c r="G204" i="3"/>
  <c r="F204" i="3"/>
  <c r="E204" i="3"/>
  <c r="D204" i="3"/>
  <c r="I203" i="3"/>
  <c r="H203" i="3"/>
  <c r="G203" i="3"/>
  <c r="F203" i="3"/>
  <c r="E203" i="3"/>
  <c r="D203" i="3"/>
  <c r="I202" i="3"/>
  <c r="H202" i="3"/>
  <c r="G202" i="3"/>
  <c r="F202" i="3"/>
  <c r="E202" i="3"/>
  <c r="D202" i="3"/>
  <c r="I201" i="3"/>
  <c r="H201" i="3"/>
  <c r="G201" i="3"/>
  <c r="F201" i="3"/>
  <c r="E201" i="3"/>
  <c r="D201" i="3"/>
  <c r="I200" i="3"/>
  <c r="H200" i="3"/>
  <c r="G200" i="3"/>
  <c r="F200" i="3"/>
  <c r="E200" i="3"/>
  <c r="D200" i="3"/>
  <c r="I199" i="3"/>
  <c r="H199" i="3"/>
  <c r="G199" i="3"/>
  <c r="F199" i="3"/>
  <c r="E199" i="3"/>
  <c r="D199" i="3"/>
  <c r="I198" i="3"/>
  <c r="H198" i="3"/>
  <c r="G198" i="3"/>
  <c r="F198" i="3"/>
  <c r="E198" i="3"/>
  <c r="D198" i="3"/>
  <c r="I197" i="3"/>
  <c r="H197" i="3"/>
  <c r="G197" i="3"/>
  <c r="F197" i="3"/>
  <c r="E197" i="3"/>
  <c r="D197" i="3"/>
  <c r="I196" i="3"/>
  <c r="H196" i="3"/>
  <c r="G196" i="3"/>
  <c r="F196" i="3"/>
  <c r="E196" i="3"/>
  <c r="D196" i="3"/>
  <c r="I195" i="3"/>
  <c r="H195" i="3"/>
  <c r="G195" i="3"/>
  <c r="F195" i="3"/>
  <c r="E195" i="3"/>
  <c r="D195" i="3"/>
  <c r="I194" i="3"/>
  <c r="H194" i="3"/>
  <c r="G194" i="3"/>
  <c r="F194" i="3"/>
  <c r="E194" i="3"/>
  <c r="D194" i="3"/>
  <c r="I193" i="3"/>
  <c r="H193" i="3"/>
  <c r="G193" i="3"/>
  <c r="F193" i="3"/>
  <c r="E193" i="3"/>
  <c r="D193" i="3"/>
  <c r="I192" i="3"/>
  <c r="H192" i="3"/>
  <c r="G192" i="3"/>
  <c r="F192" i="3"/>
  <c r="E192" i="3"/>
  <c r="D192" i="3"/>
  <c r="I191" i="3"/>
  <c r="H191" i="3"/>
  <c r="G191" i="3"/>
  <c r="F191" i="3"/>
  <c r="E191" i="3"/>
  <c r="D191" i="3"/>
  <c r="I190" i="3"/>
  <c r="H190" i="3"/>
  <c r="G190" i="3"/>
  <c r="F190" i="3"/>
  <c r="E190" i="3"/>
  <c r="D190" i="3"/>
  <c r="I189" i="3"/>
  <c r="H189" i="3"/>
  <c r="G189" i="3"/>
  <c r="F189" i="3"/>
  <c r="E189" i="3"/>
  <c r="D189" i="3"/>
  <c r="I188" i="3"/>
  <c r="H188" i="3"/>
  <c r="G188" i="3"/>
  <c r="F188" i="3"/>
  <c r="E188" i="3"/>
  <c r="D188" i="3"/>
  <c r="I187" i="3"/>
  <c r="H187" i="3"/>
  <c r="G187" i="3"/>
  <c r="F187" i="3"/>
  <c r="E187" i="3"/>
  <c r="D187" i="3"/>
  <c r="I186" i="3"/>
  <c r="H186" i="3"/>
  <c r="G186" i="3"/>
  <c r="F186" i="3"/>
  <c r="E186" i="3"/>
  <c r="D186" i="3"/>
  <c r="I185" i="3"/>
  <c r="H185" i="3"/>
  <c r="G185" i="3"/>
  <c r="F185" i="3"/>
  <c r="E185" i="3"/>
  <c r="D185" i="3"/>
  <c r="I184" i="3"/>
  <c r="H184" i="3"/>
  <c r="G184" i="3"/>
  <c r="F184" i="3"/>
  <c r="E184" i="3"/>
  <c r="D184" i="3"/>
  <c r="I183" i="3"/>
  <c r="H183" i="3"/>
  <c r="G183" i="3"/>
  <c r="F183" i="3"/>
  <c r="E183" i="3"/>
  <c r="D183" i="3"/>
  <c r="I182" i="3"/>
  <c r="H182" i="3"/>
  <c r="G182" i="3"/>
  <c r="F182" i="3"/>
  <c r="E182" i="3"/>
  <c r="D182" i="3"/>
  <c r="I181" i="3"/>
  <c r="H181" i="3"/>
  <c r="G181" i="3"/>
  <c r="F181" i="3"/>
  <c r="E181" i="3"/>
  <c r="D181" i="3"/>
  <c r="I180" i="3"/>
  <c r="H180" i="3"/>
  <c r="G180" i="3"/>
  <c r="F180" i="3"/>
  <c r="E180" i="3"/>
  <c r="D180" i="3"/>
  <c r="I179" i="3"/>
  <c r="H179" i="3"/>
  <c r="G179" i="3"/>
  <c r="F179" i="3"/>
  <c r="E179" i="3"/>
  <c r="D179" i="3"/>
  <c r="I178" i="3"/>
  <c r="H178" i="3"/>
  <c r="G178" i="3"/>
  <c r="F178" i="3"/>
  <c r="E178" i="3"/>
  <c r="D178" i="3"/>
  <c r="I177" i="3"/>
  <c r="H177" i="3"/>
  <c r="G177" i="3"/>
  <c r="F177" i="3"/>
  <c r="E177" i="3"/>
  <c r="D177" i="3"/>
  <c r="I176" i="3"/>
  <c r="H176" i="3"/>
  <c r="G176" i="3"/>
  <c r="F176" i="3"/>
  <c r="E176" i="3"/>
  <c r="D176" i="3"/>
  <c r="I175" i="3"/>
  <c r="H175" i="3"/>
  <c r="G175" i="3"/>
  <c r="F175" i="3"/>
  <c r="E175" i="3"/>
  <c r="D175" i="3"/>
  <c r="I174" i="3"/>
  <c r="H174" i="3"/>
  <c r="G174" i="3"/>
  <c r="F174" i="3"/>
  <c r="E174" i="3"/>
  <c r="D174" i="3"/>
  <c r="I173" i="3"/>
  <c r="H173" i="3"/>
  <c r="G173" i="3"/>
  <c r="F173" i="3"/>
  <c r="E173" i="3"/>
  <c r="D173" i="3"/>
  <c r="I172" i="3"/>
  <c r="H172" i="3"/>
  <c r="G172" i="3"/>
  <c r="F172" i="3"/>
  <c r="E172" i="3"/>
  <c r="D172" i="3"/>
  <c r="I171" i="3"/>
  <c r="H171" i="3"/>
  <c r="G171" i="3"/>
  <c r="F171" i="3"/>
  <c r="E171" i="3"/>
  <c r="D171" i="3"/>
  <c r="I170" i="3"/>
  <c r="H170" i="3"/>
  <c r="G170" i="3"/>
  <c r="F170" i="3"/>
  <c r="E170" i="3"/>
  <c r="D170" i="3"/>
  <c r="I169" i="3"/>
  <c r="H169" i="3"/>
  <c r="G169" i="3"/>
  <c r="F169" i="3"/>
  <c r="E169" i="3"/>
  <c r="D169" i="3"/>
  <c r="I168" i="3"/>
  <c r="H168" i="3"/>
  <c r="G168" i="3"/>
  <c r="F168" i="3"/>
  <c r="E168" i="3"/>
  <c r="D168" i="3"/>
  <c r="I167" i="3"/>
  <c r="H167" i="3"/>
  <c r="G167" i="3"/>
  <c r="F167" i="3"/>
  <c r="E167" i="3"/>
  <c r="D167" i="3"/>
  <c r="I166" i="3"/>
  <c r="H166" i="3"/>
  <c r="G166" i="3"/>
  <c r="F166" i="3"/>
  <c r="E166" i="3"/>
  <c r="D166" i="3"/>
  <c r="I165" i="3"/>
  <c r="H165" i="3"/>
  <c r="G165" i="3"/>
  <c r="F165" i="3"/>
  <c r="E165" i="3"/>
  <c r="D165" i="3"/>
  <c r="I164" i="3"/>
  <c r="H164" i="3"/>
  <c r="G164" i="3"/>
  <c r="F164" i="3"/>
  <c r="E164" i="3"/>
  <c r="D164" i="3"/>
  <c r="I163" i="3"/>
  <c r="H163" i="3"/>
  <c r="G163" i="3"/>
  <c r="F163" i="3"/>
  <c r="E163" i="3"/>
  <c r="D163" i="3"/>
  <c r="I162" i="3"/>
  <c r="H162" i="3"/>
  <c r="G162" i="3"/>
  <c r="F162" i="3"/>
  <c r="E162" i="3"/>
  <c r="D162" i="3"/>
  <c r="I161" i="3"/>
  <c r="H161" i="3"/>
  <c r="G161" i="3"/>
  <c r="F161" i="3"/>
  <c r="E161" i="3"/>
  <c r="D161" i="3"/>
  <c r="I160" i="3"/>
  <c r="H160" i="3"/>
  <c r="G160" i="3"/>
  <c r="F160" i="3"/>
  <c r="E160" i="3"/>
  <c r="D160" i="3"/>
  <c r="I159" i="3"/>
  <c r="H159" i="3"/>
  <c r="G159" i="3"/>
  <c r="F159" i="3"/>
  <c r="E159" i="3"/>
  <c r="D159" i="3"/>
  <c r="I158" i="3"/>
  <c r="H158" i="3"/>
  <c r="G158" i="3"/>
  <c r="F158" i="3"/>
  <c r="E158" i="3"/>
  <c r="D158" i="3"/>
  <c r="I157" i="3"/>
  <c r="H157" i="3"/>
  <c r="G157" i="3"/>
  <c r="F157" i="3"/>
  <c r="E157" i="3"/>
  <c r="D157" i="3"/>
  <c r="I156" i="3"/>
  <c r="H156" i="3"/>
  <c r="G156" i="3"/>
  <c r="F156" i="3"/>
  <c r="E156" i="3"/>
  <c r="D156" i="3"/>
  <c r="I155" i="3"/>
  <c r="H155" i="3"/>
  <c r="G155" i="3"/>
  <c r="F155" i="3"/>
  <c r="E155" i="3"/>
  <c r="D155" i="3"/>
  <c r="I154" i="3"/>
  <c r="H154" i="3"/>
  <c r="G154" i="3"/>
  <c r="F154" i="3"/>
  <c r="E154" i="3"/>
  <c r="D154" i="3"/>
  <c r="I153" i="3"/>
  <c r="H153" i="3"/>
  <c r="G153" i="3"/>
  <c r="F153" i="3"/>
  <c r="E153" i="3"/>
  <c r="D153" i="3"/>
  <c r="I152" i="3"/>
  <c r="H152" i="3"/>
  <c r="G152" i="3"/>
  <c r="F152" i="3"/>
  <c r="E152" i="3"/>
  <c r="D152" i="3"/>
  <c r="I151" i="3"/>
  <c r="H151" i="3"/>
  <c r="G151" i="3"/>
  <c r="F151" i="3"/>
  <c r="E151" i="3"/>
  <c r="D151" i="3"/>
  <c r="I150" i="3"/>
  <c r="H150" i="3"/>
  <c r="G150" i="3"/>
  <c r="F150" i="3"/>
  <c r="E150" i="3"/>
  <c r="D150" i="3"/>
  <c r="I149" i="3"/>
  <c r="H149" i="3"/>
  <c r="G149" i="3"/>
  <c r="F149" i="3"/>
  <c r="E149" i="3"/>
  <c r="D149" i="3"/>
  <c r="I148" i="3"/>
  <c r="H148" i="3"/>
  <c r="G148" i="3"/>
  <c r="F148" i="3"/>
  <c r="E148" i="3"/>
  <c r="D148" i="3"/>
  <c r="I147" i="3"/>
  <c r="H147" i="3"/>
  <c r="G147" i="3"/>
  <c r="F147" i="3"/>
  <c r="E147" i="3"/>
  <c r="D147" i="3"/>
  <c r="I146" i="3"/>
  <c r="H146" i="3"/>
  <c r="G146" i="3"/>
  <c r="F146" i="3"/>
  <c r="E146" i="3"/>
  <c r="D146" i="3"/>
  <c r="I145" i="3"/>
  <c r="H145" i="3"/>
  <c r="G145" i="3"/>
  <c r="F145" i="3"/>
  <c r="E145" i="3"/>
  <c r="D145" i="3"/>
  <c r="I144" i="3"/>
  <c r="H144" i="3"/>
  <c r="G144" i="3"/>
  <c r="F144" i="3"/>
  <c r="E144" i="3"/>
  <c r="D144" i="3"/>
  <c r="I143" i="3"/>
  <c r="H143" i="3"/>
  <c r="G143" i="3"/>
  <c r="F143" i="3"/>
  <c r="E143" i="3"/>
  <c r="D143" i="3"/>
  <c r="I142" i="3"/>
  <c r="H142" i="3"/>
  <c r="G142" i="3"/>
  <c r="F142" i="3"/>
  <c r="E142" i="3"/>
  <c r="D142" i="3"/>
  <c r="I141" i="3"/>
  <c r="H141" i="3"/>
  <c r="G141" i="3"/>
  <c r="F141" i="3"/>
  <c r="E141" i="3"/>
  <c r="D141" i="3"/>
  <c r="I140" i="3"/>
  <c r="H140" i="3"/>
  <c r="G140" i="3"/>
  <c r="F140" i="3"/>
  <c r="E140" i="3"/>
  <c r="D140" i="3"/>
  <c r="I139" i="3"/>
  <c r="H139" i="3"/>
  <c r="G139" i="3"/>
  <c r="F139" i="3"/>
  <c r="E139" i="3"/>
  <c r="D139" i="3"/>
  <c r="I138" i="3"/>
  <c r="H138" i="3"/>
  <c r="G138" i="3"/>
  <c r="F138" i="3"/>
  <c r="E138" i="3"/>
  <c r="D138" i="3"/>
  <c r="I137" i="3"/>
  <c r="H137" i="3"/>
  <c r="G137" i="3"/>
  <c r="F137" i="3"/>
  <c r="E137" i="3"/>
  <c r="D137" i="3"/>
  <c r="I136" i="3"/>
  <c r="H136" i="3"/>
  <c r="G136" i="3"/>
  <c r="F136" i="3"/>
  <c r="E136" i="3"/>
  <c r="D136" i="3"/>
  <c r="I135" i="3"/>
  <c r="H135" i="3"/>
  <c r="G135" i="3"/>
  <c r="F135" i="3"/>
  <c r="E135" i="3"/>
  <c r="D135" i="3"/>
  <c r="I134" i="3"/>
  <c r="H134" i="3"/>
  <c r="G134" i="3"/>
  <c r="F134" i="3"/>
  <c r="E134" i="3"/>
  <c r="D134" i="3"/>
  <c r="I133" i="3"/>
  <c r="H133" i="3"/>
  <c r="G133" i="3"/>
  <c r="F133" i="3"/>
  <c r="E133" i="3"/>
  <c r="D133" i="3"/>
  <c r="I132" i="3"/>
  <c r="H132" i="3"/>
  <c r="G132" i="3"/>
  <c r="F132" i="3"/>
  <c r="E132" i="3"/>
  <c r="D132" i="3"/>
  <c r="I131" i="3"/>
  <c r="H131" i="3"/>
  <c r="G131" i="3"/>
  <c r="F131" i="3"/>
  <c r="E131" i="3"/>
  <c r="D131" i="3"/>
  <c r="I130" i="3"/>
  <c r="H130" i="3"/>
  <c r="G130" i="3"/>
  <c r="F130" i="3"/>
  <c r="E130" i="3"/>
  <c r="D130" i="3"/>
  <c r="I129" i="3"/>
  <c r="H129" i="3"/>
  <c r="G129" i="3"/>
  <c r="F129" i="3"/>
  <c r="E129" i="3"/>
  <c r="D129" i="3"/>
  <c r="I128" i="3"/>
  <c r="H128" i="3"/>
  <c r="G128" i="3"/>
  <c r="F128" i="3"/>
  <c r="E128" i="3"/>
  <c r="D128" i="3"/>
  <c r="I127" i="3"/>
  <c r="H127" i="3"/>
  <c r="G127" i="3"/>
  <c r="F127" i="3"/>
  <c r="E127" i="3"/>
  <c r="D127" i="3"/>
  <c r="I126" i="3"/>
  <c r="H126" i="3"/>
  <c r="G126" i="3"/>
  <c r="F126" i="3"/>
  <c r="E126" i="3"/>
  <c r="D126" i="3"/>
  <c r="I125" i="3"/>
  <c r="H125" i="3"/>
  <c r="G125" i="3"/>
  <c r="F125" i="3"/>
  <c r="E125" i="3"/>
  <c r="D125" i="3"/>
  <c r="I124" i="3"/>
  <c r="H124" i="3"/>
  <c r="G124" i="3"/>
  <c r="F124" i="3"/>
  <c r="E124" i="3"/>
  <c r="D124" i="3"/>
  <c r="I123" i="3"/>
  <c r="H123" i="3"/>
  <c r="G123" i="3"/>
  <c r="F123" i="3"/>
  <c r="E123" i="3"/>
  <c r="D123" i="3"/>
  <c r="I122" i="3"/>
  <c r="H122" i="3"/>
  <c r="G122" i="3"/>
  <c r="F122" i="3"/>
  <c r="E122" i="3"/>
  <c r="D122" i="3"/>
  <c r="I121" i="3"/>
  <c r="H121" i="3"/>
  <c r="G121" i="3"/>
  <c r="F121" i="3"/>
  <c r="E121" i="3"/>
  <c r="D121" i="3"/>
  <c r="I120" i="3"/>
  <c r="H120" i="3"/>
  <c r="G120" i="3"/>
  <c r="F120" i="3"/>
  <c r="E120" i="3"/>
  <c r="D120" i="3"/>
  <c r="I119" i="3"/>
  <c r="H119" i="3"/>
  <c r="G119" i="3"/>
  <c r="F119" i="3"/>
  <c r="E119" i="3"/>
  <c r="D119" i="3"/>
  <c r="I118" i="3"/>
  <c r="H118" i="3"/>
  <c r="G118" i="3"/>
  <c r="F118" i="3"/>
  <c r="E118" i="3"/>
  <c r="D118" i="3"/>
  <c r="I117" i="3"/>
  <c r="H117" i="3"/>
  <c r="G117" i="3"/>
  <c r="F117" i="3"/>
  <c r="E117" i="3"/>
  <c r="D117" i="3"/>
  <c r="I116" i="3"/>
  <c r="H116" i="3"/>
  <c r="G116" i="3"/>
  <c r="F116" i="3"/>
  <c r="E116" i="3"/>
  <c r="D116" i="3"/>
  <c r="I115" i="3"/>
  <c r="H115" i="3"/>
  <c r="G115" i="3"/>
  <c r="F115" i="3"/>
  <c r="E115" i="3"/>
  <c r="D115" i="3"/>
  <c r="I114" i="3"/>
  <c r="H114" i="3"/>
  <c r="G114" i="3"/>
  <c r="F114" i="3"/>
  <c r="E114" i="3"/>
  <c r="D114" i="3"/>
  <c r="I113" i="3"/>
  <c r="H113" i="3"/>
  <c r="G113" i="3"/>
  <c r="F113" i="3"/>
  <c r="E113" i="3"/>
  <c r="D113" i="3"/>
  <c r="I112" i="3"/>
  <c r="H112" i="3"/>
  <c r="G112" i="3"/>
  <c r="F112" i="3"/>
  <c r="E112" i="3"/>
  <c r="D112" i="3"/>
  <c r="I111" i="3"/>
  <c r="H111" i="3"/>
  <c r="G111" i="3"/>
  <c r="F111" i="3"/>
  <c r="E111" i="3"/>
  <c r="D111" i="3"/>
  <c r="I110" i="3"/>
  <c r="H110" i="3"/>
  <c r="G110" i="3"/>
  <c r="F110" i="3"/>
  <c r="E110" i="3"/>
  <c r="D110" i="3"/>
  <c r="I109" i="3"/>
  <c r="H109" i="3"/>
  <c r="G109" i="3"/>
  <c r="F109" i="3"/>
  <c r="E109" i="3"/>
  <c r="D109" i="3"/>
  <c r="I108" i="3"/>
  <c r="H108" i="3"/>
  <c r="G108" i="3"/>
  <c r="F108" i="3"/>
  <c r="E108" i="3"/>
  <c r="D108" i="3"/>
  <c r="I107" i="3"/>
  <c r="H107" i="3"/>
  <c r="G107" i="3"/>
  <c r="F107" i="3"/>
  <c r="E107" i="3"/>
  <c r="D107" i="3"/>
  <c r="I106" i="3"/>
  <c r="H106" i="3"/>
  <c r="G106" i="3"/>
  <c r="F106" i="3"/>
  <c r="E106" i="3"/>
  <c r="D106" i="3"/>
  <c r="I105" i="3"/>
  <c r="H105" i="3"/>
  <c r="G105" i="3"/>
  <c r="F105" i="3"/>
  <c r="E105" i="3"/>
  <c r="D105" i="3"/>
  <c r="I104" i="3"/>
  <c r="H104" i="3"/>
  <c r="G104" i="3"/>
  <c r="F104" i="3"/>
  <c r="E104" i="3"/>
  <c r="D104" i="3"/>
  <c r="I103" i="3"/>
  <c r="H103" i="3"/>
  <c r="G103" i="3"/>
  <c r="F103" i="3"/>
  <c r="E103" i="3"/>
  <c r="D103" i="3"/>
  <c r="I102" i="3"/>
  <c r="H102" i="3"/>
  <c r="G102" i="3"/>
  <c r="F102" i="3"/>
  <c r="E102" i="3"/>
  <c r="D102" i="3"/>
  <c r="I101" i="3"/>
  <c r="H101" i="3"/>
  <c r="G101" i="3"/>
  <c r="F101" i="3"/>
  <c r="E101" i="3"/>
  <c r="D101" i="3"/>
  <c r="I100" i="3"/>
  <c r="H100" i="3"/>
  <c r="G100" i="3"/>
  <c r="F100" i="3"/>
  <c r="E100" i="3"/>
  <c r="D100" i="3"/>
  <c r="I99" i="3"/>
  <c r="H99" i="3"/>
  <c r="G99" i="3"/>
  <c r="F99" i="3"/>
  <c r="E99" i="3"/>
  <c r="D99" i="3"/>
  <c r="I98" i="3"/>
  <c r="H98" i="3"/>
  <c r="G98" i="3"/>
  <c r="F98" i="3"/>
  <c r="E98" i="3"/>
  <c r="D98" i="3"/>
  <c r="I97" i="3"/>
  <c r="H97" i="3"/>
  <c r="G97" i="3"/>
  <c r="F97" i="3"/>
  <c r="E97" i="3"/>
  <c r="D97" i="3"/>
  <c r="I96" i="3"/>
  <c r="H96" i="3"/>
  <c r="G96" i="3"/>
  <c r="F96" i="3"/>
  <c r="E96" i="3"/>
  <c r="D96" i="3"/>
  <c r="I95" i="3"/>
  <c r="H95" i="3"/>
  <c r="G95" i="3"/>
  <c r="F95" i="3"/>
  <c r="E95" i="3"/>
  <c r="D95" i="3"/>
  <c r="I94" i="3"/>
  <c r="H94" i="3"/>
  <c r="G94" i="3"/>
  <c r="F94" i="3"/>
  <c r="E94" i="3"/>
  <c r="D94" i="3"/>
  <c r="I93" i="3"/>
  <c r="H93" i="3"/>
  <c r="G93" i="3"/>
  <c r="F93" i="3"/>
  <c r="E93" i="3"/>
  <c r="D93" i="3"/>
  <c r="I92" i="3"/>
  <c r="H92" i="3"/>
  <c r="G92" i="3"/>
  <c r="F92" i="3"/>
  <c r="E92" i="3"/>
  <c r="D92" i="3"/>
  <c r="I91" i="3"/>
  <c r="H91" i="3"/>
  <c r="G91" i="3"/>
  <c r="F91" i="3"/>
  <c r="E91" i="3"/>
  <c r="D91" i="3"/>
  <c r="I90" i="3"/>
  <c r="H90" i="3"/>
  <c r="G90" i="3"/>
  <c r="F90" i="3"/>
  <c r="E90" i="3"/>
  <c r="D90" i="3"/>
  <c r="I89" i="3"/>
  <c r="H89" i="3"/>
  <c r="G89" i="3"/>
  <c r="F89" i="3"/>
  <c r="E89" i="3"/>
  <c r="D89" i="3"/>
  <c r="I88" i="3"/>
  <c r="H88" i="3"/>
  <c r="G88" i="3"/>
  <c r="F88" i="3"/>
  <c r="E88" i="3"/>
  <c r="D88" i="3"/>
  <c r="I87" i="3"/>
  <c r="H87" i="3"/>
  <c r="G87" i="3"/>
  <c r="F87" i="3"/>
  <c r="E87" i="3"/>
  <c r="D87" i="3"/>
  <c r="I86" i="3"/>
  <c r="H86" i="3"/>
  <c r="G86" i="3"/>
  <c r="F86" i="3"/>
  <c r="E86" i="3"/>
  <c r="D86" i="3"/>
  <c r="I85" i="3"/>
  <c r="H85" i="3"/>
  <c r="G85" i="3"/>
  <c r="F85" i="3"/>
  <c r="E85" i="3"/>
  <c r="D85" i="3"/>
  <c r="I84" i="3"/>
  <c r="H84" i="3"/>
  <c r="G84" i="3"/>
  <c r="F84" i="3"/>
  <c r="E84" i="3"/>
  <c r="D84" i="3"/>
  <c r="I83" i="3"/>
  <c r="H83" i="3"/>
  <c r="G83" i="3"/>
  <c r="F83" i="3"/>
  <c r="E83" i="3"/>
  <c r="D83" i="3"/>
  <c r="I82" i="3"/>
  <c r="H82" i="3"/>
  <c r="G82" i="3"/>
  <c r="F82" i="3"/>
  <c r="E82" i="3"/>
  <c r="D82" i="3"/>
  <c r="I81" i="3"/>
  <c r="H81" i="3"/>
  <c r="G81" i="3"/>
  <c r="F81" i="3"/>
  <c r="E81" i="3"/>
  <c r="D81" i="3"/>
  <c r="I80" i="3"/>
  <c r="H80" i="3"/>
  <c r="G80" i="3"/>
  <c r="F80" i="3"/>
  <c r="E80" i="3"/>
  <c r="D80" i="3"/>
  <c r="I79" i="3"/>
  <c r="H79" i="3"/>
  <c r="G79" i="3"/>
  <c r="F79" i="3"/>
  <c r="E79" i="3"/>
  <c r="D79" i="3"/>
  <c r="I78" i="3"/>
  <c r="H78" i="3"/>
  <c r="G78" i="3"/>
  <c r="F78" i="3"/>
  <c r="E78" i="3"/>
  <c r="D78" i="3"/>
  <c r="I77" i="3"/>
  <c r="H77" i="3"/>
  <c r="G77" i="3"/>
  <c r="F77" i="3"/>
  <c r="E77" i="3"/>
  <c r="D77" i="3"/>
  <c r="I76" i="3"/>
  <c r="H76" i="3"/>
  <c r="G76" i="3"/>
  <c r="F76" i="3"/>
  <c r="E76" i="3"/>
  <c r="D76" i="3"/>
  <c r="I75" i="3"/>
  <c r="H75" i="3"/>
  <c r="G75" i="3"/>
  <c r="F75" i="3"/>
  <c r="E75" i="3"/>
  <c r="D75" i="3"/>
  <c r="I74" i="3"/>
  <c r="H74" i="3"/>
  <c r="G74" i="3"/>
  <c r="F74" i="3"/>
  <c r="E74" i="3"/>
  <c r="D74" i="3"/>
  <c r="I73" i="3"/>
  <c r="H73" i="3"/>
  <c r="G73" i="3"/>
  <c r="F73" i="3"/>
  <c r="E73" i="3"/>
  <c r="D73" i="3"/>
  <c r="I72" i="3"/>
  <c r="H72" i="3"/>
  <c r="G72" i="3"/>
  <c r="F72" i="3"/>
  <c r="E72" i="3"/>
  <c r="D72" i="3"/>
  <c r="I71" i="3"/>
  <c r="H71" i="3"/>
  <c r="G71" i="3"/>
  <c r="F71" i="3"/>
  <c r="E71" i="3"/>
  <c r="D71" i="3"/>
  <c r="I70" i="3"/>
  <c r="H70" i="3"/>
  <c r="G70" i="3"/>
  <c r="F70" i="3"/>
  <c r="E70" i="3"/>
  <c r="D70" i="3"/>
  <c r="I69" i="3"/>
  <c r="H69" i="3"/>
  <c r="G69" i="3"/>
  <c r="F69" i="3"/>
  <c r="E69" i="3"/>
  <c r="D69" i="3"/>
  <c r="I68" i="3"/>
  <c r="H68" i="3"/>
  <c r="G68" i="3"/>
  <c r="F68" i="3"/>
  <c r="E68" i="3"/>
  <c r="D68" i="3"/>
  <c r="I67" i="3"/>
  <c r="H67" i="3"/>
  <c r="G67" i="3"/>
  <c r="F67" i="3"/>
  <c r="E67" i="3"/>
  <c r="D67" i="3"/>
  <c r="I66" i="3"/>
  <c r="H66" i="3"/>
  <c r="G66" i="3"/>
  <c r="F66" i="3"/>
  <c r="E66" i="3"/>
  <c r="D66" i="3"/>
  <c r="I65" i="3"/>
  <c r="H65" i="3"/>
  <c r="G65" i="3"/>
  <c r="F65" i="3"/>
  <c r="E65" i="3"/>
  <c r="D65" i="3"/>
  <c r="I64" i="3"/>
  <c r="H64" i="3"/>
  <c r="G64" i="3"/>
  <c r="F64" i="3"/>
  <c r="E64" i="3"/>
  <c r="D64" i="3"/>
  <c r="I63" i="3"/>
  <c r="H63" i="3"/>
  <c r="G63" i="3"/>
  <c r="F63" i="3"/>
  <c r="E63" i="3"/>
  <c r="D63" i="3"/>
  <c r="I62" i="3"/>
  <c r="H62" i="3"/>
  <c r="G62" i="3"/>
  <c r="F62" i="3"/>
  <c r="E62" i="3"/>
  <c r="D62" i="3"/>
  <c r="I61" i="3"/>
  <c r="H61" i="3"/>
  <c r="G61" i="3"/>
  <c r="F61" i="3"/>
  <c r="E61" i="3"/>
  <c r="D61" i="3"/>
  <c r="I60" i="3"/>
  <c r="H60" i="3"/>
  <c r="G60" i="3"/>
  <c r="F60" i="3"/>
  <c r="E60" i="3"/>
  <c r="D60" i="3"/>
  <c r="I59" i="3"/>
  <c r="H59" i="3"/>
  <c r="G59" i="3"/>
  <c r="F59" i="3"/>
  <c r="E59" i="3"/>
  <c r="D59" i="3"/>
  <c r="I58" i="3"/>
  <c r="H58" i="3"/>
  <c r="G58" i="3"/>
  <c r="F58" i="3"/>
  <c r="E58" i="3"/>
  <c r="D58" i="3"/>
  <c r="I57" i="3"/>
  <c r="H57" i="3"/>
  <c r="G57" i="3"/>
  <c r="F57" i="3"/>
  <c r="E57" i="3"/>
  <c r="D57" i="3"/>
  <c r="I56" i="3"/>
  <c r="H56" i="3"/>
  <c r="G56" i="3"/>
  <c r="F56" i="3"/>
  <c r="E56" i="3"/>
  <c r="D56" i="3"/>
  <c r="I55" i="3"/>
  <c r="H55" i="3"/>
  <c r="G55" i="3"/>
  <c r="F55" i="3"/>
  <c r="E55" i="3"/>
  <c r="D55" i="3"/>
  <c r="I54" i="3"/>
  <c r="H54" i="3"/>
  <c r="G54" i="3"/>
  <c r="F54" i="3"/>
  <c r="E54" i="3"/>
  <c r="D54" i="3"/>
  <c r="I53" i="3"/>
  <c r="H53" i="3"/>
  <c r="G53" i="3"/>
  <c r="F53" i="3"/>
  <c r="E53" i="3"/>
  <c r="D53" i="3"/>
  <c r="I52" i="3"/>
  <c r="H52" i="3"/>
  <c r="G52" i="3"/>
  <c r="F52" i="3"/>
  <c r="E52" i="3"/>
  <c r="D52" i="3"/>
  <c r="I51" i="3"/>
  <c r="H51" i="3"/>
  <c r="G51" i="3"/>
  <c r="F51" i="3"/>
  <c r="E51" i="3"/>
  <c r="D51" i="3"/>
  <c r="I50" i="3"/>
  <c r="H50" i="3"/>
  <c r="G50" i="3"/>
  <c r="F50" i="3"/>
  <c r="E50" i="3"/>
  <c r="D50" i="3"/>
  <c r="I49" i="3"/>
  <c r="H49" i="3"/>
  <c r="G49" i="3"/>
  <c r="F49" i="3"/>
  <c r="E49" i="3"/>
  <c r="D49" i="3"/>
  <c r="I48" i="3"/>
  <c r="H48" i="3"/>
  <c r="G48" i="3"/>
  <c r="F48" i="3"/>
  <c r="E48" i="3"/>
  <c r="D48" i="3"/>
  <c r="I47" i="3"/>
  <c r="H47" i="3"/>
  <c r="G47" i="3"/>
  <c r="F47" i="3"/>
  <c r="E47" i="3"/>
  <c r="D47" i="3"/>
  <c r="I46" i="3"/>
  <c r="H46" i="3"/>
  <c r="G46" i="3"/>
  <c r="F46" i="3"/>
  <c r="E46" i="3"/>
  <c r="D46" i="3"/>
  <c r="I45" i="3"/>
  <c r="H45" i="3"/>
  <c r="G45" i="3"/>
  <c r="F45" i="3"/>
  <c r="E45" i="3"/>
  <c r="D45" i="3"/>
  <c r="I44" i="3"/>
  <c r="H44" i="3"/>
  <c r="G44" i="3"/>
  <c r="F44" i="3"/>
  <c r="E44" i="3"/>
  <c r="D44" i="3"/>
  <c r="I43" i="3"/>
  <c r="H43" i="3"/>
  <c r="G43" i="3"/>
  <c r="F43" i="3"/>
  <c r="E43" i="3"/>
  <c r="D43" i="3"/>
  <c r="I42" i="3"/>
  <c r="H42" i="3"/>
  <c r="G42" i="3"/>
  <c r="F42" i="3"/>
  <c r="E42" i="3"/>
  <c r="D42" i="3"/>
  <c r="I41" i="3"/>
  <c r="H41" i="3"/>
  <c r="G41" i="3"/>
  <c r="F41" i="3"/>
  <c r="E41" i="3"/>
  <c r="D41" i="3"/>
  <c r="I40" i="3"/>
  <c r="H40" i="3"/>
  <c r="G40" i="3"/>
  <c r="F40" i="3"/>
  <c r="E40" i="3"/>
  <c r="D40" i="3"/>
  <c r="I39" i="3"/>
  <c r="H39" i="3"/>
  <c r="G39" i="3"/>
  <c r="F39" i="3"/>
  <c r="E39" i="3"/>
  <c r="D39" i="3"/>
  <c r="I38" i="3"/>
  <c r="H38" i="3"/>
  <c r="G38" i="3"/>
  <c r="F38" i="3"/>
  <c r="E38" i="3"/>
  <c r="D38" i="3"/>
  <c r="I37" i="3"/>
  <c r="H37" i="3"/>
  <c r="G37" i="3"/>
  <c r="F37" i="3"/>
  <c r="E37" i="3"/>
  <c r="D37" i="3"/>
  <c r="I36" i="3"/>
  <c r="H36" i="3"/>
  <c r="G36" i="3"/>
  <c r="F36" i="3"/>
  <c r="E36" i="3"/>
  <c r="D36" i="3"/>
  <c r="I35" i="3"/>
  <c r="H35" i="3"/>
  <c r="G35" i="3"/>
  <c r="F35" i="3"/>
  <c r="E35" i="3"/>
  <c r="D35" i="3"/>
  <c r="I34" i="3"/>
  <c r="H34" i="3"/>
  <c r="G34" i="3"/>
  <c r="F34" i="3"/>
  <c r="E34" i="3"/>
  <c r="D34" i="3"/>
  <c r="I33" i="3"/>
  <c r="H33" i="3"/>
  <c r="G33" i="3"/>
  <c r="F33" i="3"/>
  <c r="E33" i="3"/>
  <c r="D33" i="3"/>
  <c r="I32" i="3"/>
  <c r="H32" i="3"/>
  <c r="G32" i="3"/>
  <c r="F32" i="3"/>
  <c r="E32" i="3"/>
  <c r="D32" i="3"/>
  <c r="I31" i="3"/>
  <c r="H31" i="3"/>
  <c r="G31" i="3"/>
  <c r="F31" i="3"/>
  <c r="E31" i="3"/>
  <c r="D31" i="3"/>
  <c r="I30" i="3"/>
  <c r="H30" i="3"/>
  <c r="G30" i="3"/>
  <c r="F30" i="3"/>
  <c r="E30" i="3"/>
  <c r="D30" i="3"/>
  <c r="I29" i="3"/>
  <c r="H29" i="3"/>
  <c r="G29" i="3"/>
  <c r="F29" i="3"/>
  <c r="E29" i="3"/>
  <c r="D29" i="3"/>
  <c r="I28" i="3"/>
  <c r="H28" i="3"/>
  <c r="G28" i="3"/>
  <c r="F28" i="3"/>
  <c r="E28" i="3"/>
  <c r="D28" i="3"/>
  <c r="I27" i="3"/>
  <c r="H27" i="3"/>
  <c r="G27" i="3"/>
  <c r="F27" i="3"/>
  <c r="E27" i="3"/>
  <c r="D27" i="3"/>
  <c r="I26" i="3"/>
  <c r="H26" i="3"/>
  <c r="G26" i="3"/>
  <c r="F26" i="3"/>
  <c r="E26" i="3"/>
  <c r="D26" i="3"/>
  <c r="I25" i="3"/>
  <c r="H25" i="3"/>
  <c r="G25" i="3"/>
  <c r="F25" i="3"/>
  <c r="E25" i="3"/>
  <c r="D25" i="3"/>
  <c r="I24" i="3"/>
  <c r="H24" i="3"/>
  <c r="G24" i="3"/>
  <c r="F24" i="3"/>
  <c r="E24" i="3"/>
  <c r="D24" i="3"/>
  <c r="I23" i="3"/>
  <c r="H23" i="3"/>
  <c r="G23" i="3"/>
  <c r="F23" i="3"/>
  <c r="E23" i="3"/>
  <c r="D23" i="3"/>
  <c r="I22" i="3"/>
  <c r="H22" i="3"/>
  <c r="G22" i="3"/>
  <c r="F22" i="3"/>
  <c r="E22" i="3"/>
  <c r="D22" i="3"/>
  <c r="I21" i="3"/>
  <c r="H21" i="3"/>
  <c r="G21" i="3"/>
  <c r="F21" i="3"/>
  <c r="E21" i="3"/>
  <c r="D21" i="3"/>
  <c r="I20" i="3"/>
  <c r="H20" i="3"/>
  <c r="G20" i="3"/>
  <c r="F20" i="3"/>
  <c r="E20" i="3"/>
  <c r="D20" i="3"/>
  <c r="I19" i="3"/>
  <c r="H19" i="3"/>
  <c r="G19" i="3"/>
  <c r="F19" i="3"/>
  <c r="E19" i="3"/>
  <c r="D19" i="3"/>
  <c r="I18" i="3"/>
  <c r="H18" i="3"/>
  <c r="G18" i="3"/>
  <c r="F18" i="3"/>
  <c r="E18" i="3"/>
  <c r="D18" i="3"/>
  <c r="I17" i="3"/>
  <c r="H17" i="3"/>
  <c r="G17" i="3"/>
  <c r="F17" i="3"/>
  <c r="E17" i="3"/>
  <c r="D17" i="3"/>
  <c r="I16" i="3"/>
  <c r="H16" i="3"/>
  <c r="G16" i="3"/>
  <c r="F16" i="3"/>
  <c r="E16" i="3"/>
  <c r="D16" i="3"/>
  <c r="I15" i="3"/>
  <c r="H15" i="3"/>
  <c r="G15" i="3"/>
  <c r="F15" i="3"/>
  <c r="E15" i="3"/>
  <c r="D15" i="3"/>
  <c r="I14" i="3"/>
  <c r="H14" i="3"/>
  <c r="G14" i="3"/>
  <c r="F14" i="3"/>
  <c r="E14" i="3"/>
  <c r="D14" i="3"/>
  <c r="I13" i="3"/>
  <c r="H13" i="3"/>
  <c r="G13" i="3"/>
  <c r="F13" i="3"/>
  <c r="E13" i="3"/>
  <c r="D13" i="3"/>
  <c r="I12" i="3"/>
  <c r="H12" i="3"/>
  <c r="G12" i="3"/>
  <c r="F12" i="3"/>
  <c r="E12" i="3"/>
  <c r="D12" i="3"/>
  <c r="I11" i="3"/>
  <c r="H11" i="3"/>
  <c r="G11" i="3"/>
  <c r="F11" i="3"/>
  <c r="E11" i="3"/>
  <c r="D11" i="3"/>
  <c r="I10" i="3"/>
  <c r="H10" i="3"/>
  <c r="G10" i="3"/>
  <c r="F10" i="3"/>
  <c r="E10" i="3"/>
  <c r="D10" i="3"/>
  <c r="I9" i="3"/>
  <c r="H9" i="3"/>
  <c r="G9" i="3"/>
  <c r="F9" i="3"/>
  <c r="E9" i="3"/>
  <c r="D9" i="3"/>
  <c r="I8" i="3"/>
  <c r="H8" i="3"/>
  <c r="G8" i="3"/>
  <c r="F8" i="3"/>
  <c r="E8" i="3"/>
  <c r="D8" i="3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7" i="5" s="1"/>
  <c r="B276" i="1"/>
  <c r="B276" i="5" s="1"/>
  <c r="B275" i="1"/>
  <c r="B275" i="5" s="1"/>
  <c r="B274" i="1"/>
  <c r="B274" i="5" s="1"/>
  <c r="B273" i="1"/>
  <c r="B273" i="5" s="1"/>
  <c r="B272" i="1"/>
  <c r="B272" i="5" s="1"/>
  <c r="B271" i="1"/>
  <c r="B271" i="5" s="1"/>
  <c r="B270" i="1"/>
  <c r="B270" i="5" s="1"/>
  <c r="B269" i="1"/>
  <c r="B269" i="5" s="1"/>
  <c r="B268" i="1"/>
  <c r="B268" i="5" s="1"/>
  <c r="B267" i="1"/>
  <c r="B267" i="3" s="1"/>
  <c r="B266" i="1"/>
  <c r="B266" i="3" s="1"/>
  <c r="B265" i="1"/>
  <c r="B265" i="3" s="1"/>
  <c r="B264" i="1"/>
  <c r="B264" i="3" s="1"/>
  <c r="B263" i="1"/>
  <c r="B263" i="3" s="1"/>
  <c r="B262" i="1"/>
  <c r="B262" i="3" s="1"/>
  <c r="B261" i="1"/>
  <c r="B261" i="3" s="1"/>
  <c r="B260" i="1"/>
  <c r="B260" i="3" s="1"/>
  <c r="B259" i="1"/>
  <c r="B259" i="3" s="1"/>
  <c r="B258" i="1"/>
  <c r="B258" i="3" s="1"/>
  <c r="B257" i="1"/>
  <c r="B257" i="3" s="1"/>
  <c r="B256" i="1"/>
  <c r="B256" i="3" s="1"/>
  <c r="B255" i="1"/>
  <c r="B255" i="3" s="1"/>
  <c r="B254" i="1"/>
  <c r="B254" i="3" s="1"/>
  <c r="B253" i="1"/>
  <c r="B253" i="3" s="1"/>
  <c r="B252" i="1"/>
  <c r="B252" i="3" s="1"/>
  <c r="B251" i="1"/>
  <c r="B251" i="3" s="1"/>
  <c r="B250" i="1"/>
  <c r="B250" i="3" s="1"/>
  <c r="B249" i="1"/>
  <c r="B249" i="3" s="1"/>
  <c r="B248" i="1"/>
  <c r="B248" i="3" s="1"/>
  <c r="B247" i="1"/>
  <c r="B247" i="3" s="1"/>
  <c r="B246" i="1"/>
  <c r="B246" i="3" s="1"/>
  <c r="B245" i="1"/>
  <c r="B245" i="3" s="1"/>
  <c r="B244" i="1"/>
  <c r="B244" i="3" s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10" i="3" s="1"/>
  <c r="B209" i="1"/>
  <c r="B209" i="3" s="1"/>
  <c r="B208" i="1"/>
  <c r="B208" i="3" s="1"/>
  <c r="B207" i="1"/>
  <c r="B207" i="3" s="1"/>
  <c r="B206" i="1"/>
  <c r="B206" i="3" s="1"/>
  <c r="B205" i="1"/>
  <c r="B205" i="3" s="1"/>
  <c r="B204" i="1"/>
  <c r="B204" i="3" s="1"/>
  <c r="B203" i="1"/>
  <c r="B203" i="3" s="1"/>
  <c r="B202" i="1"/>
  <c r="B202" i="3" s="1"/>
  <c r="B201" i="1"/>
  <c r="B201" i="3" s="1"/>
  <c r="B200" i="1"/>
  <c r="B200" i="3" s="1"/>
  <c r="B199" i="1"/>
  <c r="B199" i="5" s="1"/>
  <c r="B198" i="1"/>
  <c r="B197" i="1"/>
  <c r="B196" i="1"/>
  <c r="B195" i="1"/>
  <c r="B194" i="1"/>
  <c r="B193" i="1"/>
  <c r="B193" i="3" s="1"/>
  <c r="B192" i="1"/>
  <c r="B192" i="3" s="1"/>
  <c r="B191" i="1"/>
  <c r="B191" i="3" s="1"/>
  <c r="B190" i="1"/>
  <c r="B190" i="3" s="1"/>
  <c r="B189" i="1"/>
  <c r="B189" i="3" s="1"/>
  <c r="B188" i="1"/>
  <c r="B188" i="3" s="1"/>
  <c r="B187" i="1"/>
  <c r="B187" i="3" s="1"/>
  <c r="B186" i="1"/>
  <c r="B186" i="3" s="1"/>
  <c r="B185" i="1"/>
  <c r="B185" i="3" s="1"/>
  <c r="B184" i="1"/>
  <c r="B184" i="3" s="1"/>
  <c r="B183" i="1"/>
  <c r="B183" i="3" s="1"/>
  <c r="B182" i="1"/>
  <c r="B182" i="3" s="1"/>
  <c r="B181" i="1"/>
  <c r="B181" i="3" s="1"/>
  <c r="B180" i="1"/>
  <c r="B180" i="3" s="1"/>
  <c r="B179" i="1"/>
  <c r="B179" i="3" s="1"/>
  <c r="B178" i="1"/>
  <c r="B178" i="3" s="1"/>
  <c r="B177" i="1"/>
  <c r="B177" i="3" s="1"/>
  <c r="B176" i="1"/>
  <c r="B176" i="3" s="1"/>
  <c r="B175" i="1"/>
  <c r="B175" i="3" s="1"/>
  <c r="B174" i="1"/>
  <c r="B174" i="3" s="1"/>
  <c r="B173" i="1"/>
  <c r="B173" i="3" s="1"/>
  <c r="B172" i="1"/>
  <c r="B172" i="3" s="1"/>
  <c r="B171" i="1"/>
  <c r="B171" i="3" s="1"/>
  <c r="B170" i="1"/>
  <c r="B170" i="3" s="1"/>
  <c r="B169" i="1"/>
  <c r="B169" i="3" s="1"/>
  <c r="B168" i="1"/>
  <c r="B168" i="3" s="1"/>
  <c r="B167" i="1"/>
  <c r="B167" i="3" s="1"/>
  <c r="B166" i="1"/>
  <c r="B166" i="3" s="1"/>
  <c r="B165" i="1"/>
  <c r="B165" i="3" s="1"/>
  <c r="B164" i="1"/>
  <c r="B164" i="3" s="1"/>
  <c r="B163" i="1"/>
  <c r="B163" i="3" s="1"/>
  <c r="B162" i="1"/>
  <c r="B162" i="3" s="1"/>
  <c r="B161" i="1"/>
  <c r="B161" i="3" s="1"/>
  <c r="B160" i="1"/>
  <c r="B160" i="3" s="1"/>
  <c r="B159" i="1"/>
  <c r="B159" i="3" s="1"/>
  <c r="B158" i="1"/>
  <c r="B158" i="3" s="1"/>
  <c r="B157" i="1"/>
  <c r="B157" i="3" s="1"/>
  <c r="B156" i="1"/>
  <c r="B156" i="3" s="1"/>
  <c r="B155" i="1"/>
  <c r="B155" i="3" s="1"/>
  <c r="B154" i="1"/>
  <c r="B154" i="3" s="1"/>
  <c r="B153" i="1"/>
  <c r="B153" i="3" s="1"/>
  <c r="B152" i="1"/>
  <c r="B152" i="3" s="1"/>
  <c r="B151" i="1"/>
  <c r="B151" i="3" s="1"/>
  <c r="B150" i="1"/>
  <c r="B150" i="3" s="1"/>
  <c r="B149" i="1"/>
  <c r="B149" i="3" s="1"/>
  <c r="B148" i="1"/>
  <c r="B148" i="3" s="1"/>
  <c r="B147" i="1"/>
  <c r="B147" i="3" s="1"/>
  <c r="B146" i="1"/>
  <c r="B146" i="3" s="1"/>
  <c r="B145" i="1"/>
  <c r="B145" i="3" s="1"/>
  <c r="B144" i="1"/>
  <c r="B144" i="3" s="1"/>
  <c r="B143" i="1"/>
  <c r="B143" i="3" s="1"/>
  <c r="B142" i="1"/>
  <c r="B142" i="3" s="1"/>
  <c r="B141" i="1"/>
  <c r="B141" i="3" s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4" i="5" s="1"/>
  <c r="B123" i="1"/>
  <c r="B123" i="5" s="1"/>
  <c r="B122" i="1"/>
  <c r="B122" i="5" s="1"/>
  <c r="B121" i="1"/>
  <c r="B121" i="5" s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6" i="3" s="1"/>
  <c r="B45" i="1"/>
  <c r="B45" i="3" s="1"/>
  <c r="B44" i="1"/>
  <c r="B44" i="3" s="1"/>
  <c r="B43" i="1"/>
  <c r="B43" i="3" s="1"/>
  <c r="B42" i="1"/>
  <c r="B42" i="3" s="1"/>
  <c r="B41" i="1"/>
  <c r="B41" i="3" s="1"/>
  <c r="B40" i="1"/>
  <c r="B40" i="3" s="1"/>
  <c r="B39" i="1"/>
  <c r="B39" i="3" s="1"/>
  <c r="B38" i="1"/>
  <c r="B38" i="3" s="1"/>
  <c r="B37" i="1"/>
  <c r="B37" i="3" s="1"/>
  <c r="B36" i="1"/>
  <c r="B36" i="3" s="1"/>
  <c r="B35" i="1"/>
  <c r="B35" i="3" s="1"/>
  <c r="B34" i="1"/>
  <c r="B34" i="3" s="1"/>
  <c r="B33" i="1"/>
  <c r="B33" i="3" s="1"/>
  <c r="B32" i="1"/>
  <c r="B32" i="3" s="1"/>
  <c r="B31" i="1"/>
  <c r="B31" i="3" s="1"/>
  <c r="B30" i="1"/>
  <c r="B30" i="3" s="1"/>
  <c r="B29" i="1"/>
  <c r="B29" i="3" s="1"/>
  <c r="B28" i="1"/>
  <c r="B28" i="3" s="1"/>
  <c r="B27" i="1"/>
  <c r="B27" i="3" s="1"/>
  <c r="B26" i="1"/>
  <c r="B26" i="3" s="1"/>
  <c r="B25" i="1"/>
  <c r="B25" i="3" s="1"/>
  <c r="B24" i="1"/>
  <c r="B24" i="3" s="1"/>
  <c r="B23" i="1"/>
  <c r="B23" i="3" s="1"/>
  <c r="B22" i="1"/>
  <c r="B22" i="3" s="1"/>
  <c r="B21" i="1"/>
  <c r="B21" i="3" s="1"/>
  <c r="B20" i="1"/>
  <c r="B20" i="3" s="1"/>
  <c r="B19" i="1"/>
  <c r="B18" i="1"/>
  <c r="B17" i="1"/>
  <c r="B16" i="1"/>
  <c r="B15" i="1"/>
  <c r="B15" i="3" s="1"/>
  <c r="B14" i="1"/>
  <c r="B14" i="3" s="1"/>
  <c r="B13" i="1"/>
  <c r="B13" i="3" s="1"/>
  <c r="B12" i="1"/>
  <c r="B12" i="3" s="1"/>
  <c r="B11" i="1"/>
  <c r="B11" i="3" s="1"/>
  <c r="B10" i="1"/>
  <c r="B10" i="3" s="1"/>
  <c r="B9" i="1"/>
  <c r="B9" i="3" s="1"/>
  <c r="Q8" i="1"/>
  <c r="M8" i="4" s="1"/>
  <c r="B8" i="1"/>
  <c r="T8" i="2" l="1"/>
  <c r="C8" i="1"/>
  <c r="J8" i="1"/>
  <c r="C9" i="1"/>
  <c r="J9" i="1"/>
  <c r="C10" i="1"/>
  <c r="J10" i="1"/>
  <c r="J11" i="1"/>
  <c r="C11" i="1"/>
  <c r="J12" i="1"/>
  <c r="C12" i="1"/>
  <c r="D13" i="5"/>
  <c r="E13" i="5" s="1"/>
  <c r="C13" i="1"/>
  <c r="J13" i="1"/>
  <c r="C14" i="1"/>
  <c r="J14" i="1"/>
  <c r="E15" i="5"/>
  <c r="D15" i="5"/>
  <c r="J15" i="1"/>
  <c r="C15" i="1"/>
  <c r="D16" i="5"/>
  <c r="E16" i="5" s="1"/>
  <c r="J16" i="1"/>
  <c r="C16" i="1"/>
  <c r="E17" i="5"/>
  <c r="D17" i="5"/>
  <c r="J17" i="1"/>
  <c r="C17" i="1"/>
  <c r="D18" i="5"/>
  <c r="E18" i="5" s="1"/>
  <c r="J18" i="1"/>
  <c r="C18" i="1"/>
  <c r="E19" i="5"/>
  <c r="D19" i="5"/>
  <c r="J19" i="1"/>
  <c r="C19" i="1"/>
  <c r="F25" i="7"/>
  <c r="F24" i="7"/>
  <c r="F23" i="7"/>
  <c r="F22" i="7"/>
  <c r="D25" i="7"/>
  <c r="D24" i="7"/>
  <c r="D23" i="7"/>
  <c r="D22" i="7"/>
  <c r="J34" i="7" s="1"/>
  <c r="D21" i="7"/>
  <c r="J33" i="7" s="1"/>
  <c r="B25" i="7"/>
  <c r="B24" i="7"/>
  <c r="B23" i="7"/>
  <c r="B22" i="7"/>
  <c r="B21" i="7"/>
  <c r="G13" i="7"/>
  <c r="G39" i="7"/>
  <c r="G38" i="7"/>
  <c r="G37" i="7"/>
  <c r="G36" i="7"/>
  <c r="G35" i="7"/>
  <c r="G34" i="7"/>
  <c r="G33" i="7"/>
  <c r="G32" i="7"/>
  <c r="F39" i="7"/>
  <c r="F38" i="7"/>
  <c r="F37" i="7"/>
  <c r="F36" i="7"/>
  <c r="F35" i="7"/>
  <c r="F34" i="7"/>
  <c r="F33" i="7"/>
  <c r="F32" i="7"/>
  <c r="E39" i="7"/>
  <c r="E38" i="7"/>
  <c r="E37" i="7"/>
  <c r="E36" i="7"/>
  <c r="E35" i="7"/>
  <c r="E34" i="7"/>
  <c r="E33" i="7"/>
  <c r="E32" i="7"/>
  <c r="D39" i="7"/>
  <c r="D38" i="7"/>
  <c r="D37" i="7"/>
  <c r="D36" i="7"/>
  <c r="D35" i="7"/>
  <c r="D34" i="7"/>
  <c r="D33" i="7"/>
  <c r="D32" i="7"/>
  <c r="B39" i="7"/>
  <c r="B38" i="7"/>
  <c r="B37" i="7"/>
  <c r="B36" i="7"/>
  <c r="B35" i="7"/>
  <c r="B34" i="7"/>
  <c r="B33" i="7"/>
  <c r="B32" i="7"/>
  <c r="C27" i="7"/>
  <c r="G27" i="7"/>
  <c r="E27" i="7"/>
  <c r="A31" i="7"/>
  <c r="A17" i="7"/>
  <c r="A13" i="7"/>
  <c r="C17" i="7"/>
  <c r="C13" i="7"/>
  <c r="E13" i="7"/>
  <c r="E17" i="7"/>
  <c r="A9" i="7"/>
  <c r="C9" i="7"/>
  <c r="G9" i="7"/>
  <c r="E9" i="7"/>
  <c r="J209" i="1"/>
  <c r="C209" i="1"/>
  <c r="J208" i="1"/>
  <c r="C208" i="1"/>
  <c r="J207" i="1"/>
  <c r="C207" i="1"/>
  <c r="J206" i="1"/>
  <c r="C206" i="1"/>
  <c r="J205" i="1"/>
  <c r="C205" i="1"/>
  <c r="J291" i="1"/>
  <c r="C291" i="1"/>
  <c r="J290" i="1"/>
  <c r="C290" i="1"/>
  <c r="J289" i="1"/>
  <c r="C289" i="1"/>
  <c r="J288" i="1"/>
  <c r="C288" i="1"/>
  <c r="J287" i="1"/>
  <c r="C287" i="1"/>
  <c r="J286" i="1"/>
  <c r="C286" i="1"/>
  <c r="J285" i="1"/>
  <c r="C285" i="1"/>
  <c r="J284" i="1"/>
  <c r="C284" i="1"/>
  <c r="J283" i="1"/>
  <c r="C283" i="1"/>
  <c r="J282" i="1"/>
  <c r="C282" i="1"/>
  <c r="J281" i="1"/>
  <c r="C281" i="1"/>
  <c r="J280" i="1"/>
  <c r="C280" i="1"/>
  <c r="J279" i="1"/>
  <c r="C279" i="1"/>
  <c r="J278" i="1"/>
  <c r="C278" i="1"/>
  <c r="J277" i="1"/>
  <c r="C277" i="1"/>
  <c r="J204" i="1"/>
  <c r="C204" i="1"/>
  <c r="J203" i="1"/>
  <c r="C203" i="1"/>
  <c r="J202" i="1"/>
  <c r="C202" i="1"/>
  <c r="J201" i="1"/>
  <c r="C201" i="1"/>
  <c r="J200" i="1"/>
  <c r="C200" i="1"/>
  <c r="J199" i="1"/>
  <c r="C199" i="1"/>
  <c r="J198" i="1"/>
  <c r="C198" i="1"/>
  <c r="J197" i="1"/>
  <c r="C197" i="1"/>
  <c r="J196" i="1"/>
  <c r="C196" i="1"/>
  <c r="J195" i="1"/>
  <c r="C195" i="1"/>
  <c r="J194" i="1"/>
  <c r="C194" i="1"/>
  <c r="J193" i="1"/>
  <c r="C193" i="1"/>
  <c r="J192" i="1"/>
  <c r="C192" i="1"/>
  <c r="J191" i="1"/>
  <c r="C191" i="1"/>
  <c r="J190" i="1"/>
  <c r="C190" i="1"/>
  <c r="J189" i="1"/>
  <c r="C189" i="1"/>
  <c r="J188" i="1"/>
  <c r="C188" i="1"/>
  <c r="J187" i="1"/>
  <c r="C187" i="1"/>
  <c r="J186" i="1"/>
  <c r="C186" i="1"/>
  <c r="J185" i="1"/>
  <c r="C185" i="1"/>
  <c r="J184" i="1"/>
  <c r="C184" i="1"/>
  <c r="J183" i="1"/>
  <c r="C183" i="1"/>
  <c r="J182" i="1"/>
  <c r="C182" i="1"/>
  <c r="J181" i="1"/>
  <c r="C181" i="1"/>
  <c r="J180" i="1"/>
  <c r="C180" i="1"/>
  <c r="J179" i="1"/>
  <c r="C179" i="1"/>
  <c r="J178" i="1"/>
  <c r="C178" i="1"/>
  <c r="J177" i="1"/>
  <c r="C177" i="1"/>
  <c r="J176" i="1"/>
  <c r="C176" i="1"/>
  <c r="J175" i="1"/>
  <c r="C175" i="1"/>
  <c r="J174" i="1"/>
  <c r="C174" i="1"/>
  <c r="J173" i="1"/>
  <c r="C173" i="1"/>
  <c r="J172" i="1"/>
  <c r="C172" i="1"/>
  <c r="J171" i="1"/>
  <c r="C171" i="1"/>
  <c r="J170" i="1"/>
  <c r="C170" i="1"/>
  <c r="J169" i="1"/>
  <c r="C169" i="1"/>
  <c r="J168" i="1"/>
  <c r="C168" i="1"/>
  <c r="J167" i="1"/>
  <c r="C167" i="1"/>
  <c r="J166" i="1"/>
  <c r="C166" i="1"/>
  <c r="J165" i="1"/>
  <c r="C165" i="1"/>
  <c r="J164" i="1"/>
  <c r="C164" i="1"/>
  <c r="J163" i="1"/>
  <c r="C163" i="1"/>
  <c r="J162" i="1"/>
  <c r="C162" i="1"/>
  <c r="J161" i="1"/>
  <c r="C161" i="1"/>
  <c r="J160" i="1"/>
  <c r="C160" i="1"/>
  <c r="J159" i="1"/>
  <c r="C159" i="1"/>
  <c r="J158" i="1"/>
  <c r="C158" i="1"/>
  <c r="J157" i="1"/>
  <c r="C157" i="1"/>
  <c r="J156" i="1"/>
  <c r="C156" i="1"/>
  <c r="J155" i="1"/>
  <c r="C155" i="1"/>
  <c r="J154" i="1"/>
  <c r="C154" i="1"/>
  <c r="J153" i="1"/>
  <c r="C153" i="1"/>
  <c r="J152" i="1"/>
  <c r="C152" i="1"/>
  <c r="J151" i="1"/>
  <c r="C151" i="1"/>
  <c r="J150" i="1"/>
  <c r="C150" i="1"/>
  <c r="J149" i="1"/>
  <c r="C149" i="1"/>
  <c r="J148" i="1"/>
  <c r="C148" i="1"/>
  <c r="J147" i="1"/>
  <c r="C147" i="1"/>
  <c r="J146" i="1"/>
  <c r="C146" i="1"/>
  <c r="J145" i="1"/>
  <c r="C145" i="1"/>
  <c r="J144" i="1"/>
  <c r="C144" i="1"/>
  <c r="J143" i="1"/>
  <c r="C143" i="1"/>
  <c r="J142" i="1"/>
  <c r="C142" i="1"/>
  <c r="J141" i="1"/>
  <c r="C141" i="1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4"/>
  <c r="A151" i="5"/>
  <c r="A152" i="4"/>
  <c r="A152" i="5"/>
  <c r="A153" i="5"/>
  <c r="A153" i="4"/>
  <c r="A154" i="5"/>
  <c r="A154" i="4"/>
  <c r="A155" i="5"/>
  <c r="A155" i="4"/>
  <c r="A156" i="4"/>
  <c r="A156" i="5"/>
  <c r="A157" i="4"/>
  <c r="A157" i="5"/>
  <c r="A158" i="4"/>
  <c r="A158" i="5"/>
  <c r="A159" i="5"/>
  <c r="A159" i="4"/>
  <c r="A160" i="5"/>
  <c r="A160" i="4"/>
  <c r="A161" i="5"/>
  <c r="A161" i="4"/>
  <c r="A162" i="5"/>
  <c r="A162" i="4"/>
  <c r="A163" i="5"/>
  <c r="A163" i="4"/>
  <c r="A164" i="5"/>
  <c r="A164" i="4"/>
  <c r="A165" i="5"/>
  <c r="A165" i="4"/>
  <c r="A166" i="5"/>
  <c r="A166" i="4"/>
  <c r="A167" i="5"/>
  <c r="A167" i="4"/>
  <c r="A168" i="5"/>
  <c r="A168" i="4"/>
  <c r="A169" i="5"/>
  <c r="A169" i="4"/>
  <c r="A170" i="5"/>
  <c r="A170" i="4"/>
  <c r="A171" i="5"/>
  <c r="A171" i="4"/>
  <c r="A172" i="5"/>
  <c r="A172" i="4"/>
  <c r="A173" i="5"/>
  <c r="A173" i="4"/>
  <c r="A174" i="5"/>
  <c r="A174" i="4"/>
  <c r="A175" i="4"/>
  <c r="A175" i="5"/>
  <c r="A176" i="5"/>
  <c r="A176" i="4"/>
  <c r="A177" i="5"/>
  <c r="A177" i="4"/>
  <c r="A178" i="4"/>
  <c r="A178" i="5"/>
  <c r="A179" i="5"/>
  <c r="A179" i="4"/>
  <c r="A180" i="5"/>
  <c r="A180" i="4"/>
  <c r="A181" i="5"/>
  <c r="A181" i="4"/>
  <c r="A182" i="5"/>
  <c r="A182" i="4"/>
  <c r="A183" i="5"/>
  <c r="A183" i="4"/>
  <c r="A184" i="5"/>
  <c r="A184" i="4"/>
  <c r="A185" i="4"/>
  <c r="A185" i="5"/>
  <c r="A186" i="4"/>
  <c r="A186" i="5"/>
  <c r="A187" i="4"/>
  <c r="A187" i="5"/>
  <c r="A188" i="4"/>
  <c r="A188" i="5"/>
  <c r="A189" i="4"/>
  <c r="A189" i="5"/>
  <c r="A190" i="4"/>
  <c r="A190" i="5"/>
  <c r="A191" i="4"/>
  <c r="A191" i="5"/>
  <c r="A192" i="5"/>
  <c r="A192" i="4"/>
  <c r="A193" i="5"/>
  <c r="A193" i="4"/>
  <c r="A194" i="5"/>
  <c r="A194" i="4"/>
  <c r="A195" i="5"/>
  <c r="A195" i="4"/>
  <c r="A196" i="5"/>
  <c r="A196" i="4"/>
  <c r="A197" i="5"/>
  <c r="A197" i="4"/>
  <c r="A198" i="5"/>
  <c r="A198" i="4"/>
  <c r="A199" i="5"/>
  <c r="A199" i="4"/>
  <c r="A200" i="5"/>
  <c r="A200" i="4"/>
  <c r="A201" i="5"/>
  <c r="A201" i="4"/>
  <c r="A202" i="5"/>
  <c r="A202" i="4"/>
  <c r="A203" i="5"/>
  <c r="A203" i="4"/>
  <c r="A204" i="5"/>
  <c r="A204" i="4"/>
  <c r="A205" i="5"/>
  <c r="A205" i="4"/>
  <c r="A206" i="5"/>
  <c r="A206" i="4"/>
  <c r="A207" i="5"/>
  <c r="A207" i="4"/>
  <c r="A208" i="5"/>
  <c r="A208" i="4"/>
  <c r="A209" i="5"/>
  <c r="A209" i="4"/>
  <c r="A210" i="5"/>
  <c r="A210" i="4"/>
  <c r="A211" i="5"/>
  <c r="A211" i="4"/>
  <c r="A212" i="5"/>
  <c r="A212" i="4"/>
  <c r="A213" i="5"/>
  <c r="A213" i="4"/>
  <c r="A214" i="5"/>
  <c r="A214" i="4"/>
  <c r="A215" i="5"/>
  <c r="A215" i="4"/>
  <c r="A216" i="5"/>
  <c r="A216" i="4"/>
  <c r="A217" i="5"/>
  <c r="A217" i="4"/>
  <c r="A218" i="5"/>
  <c r="A218" i="4"/>
  <c r="A219" i="5"/>
  <c r="A219" i="4"/>
  <c r="A220" i="5"/>
  <c r="A220" i="4"/>
  <c r="A221" i="5"/>
  <c r="A221" i="4"/>
  <c r="A222" i="5"/>
  <c r="A222" i="4"/>
  <c r="A223" i="5"/>
  <c r="A223" i="4"/>
  <c r="A224" i="5"/>
  <c r="A224" i="4"/>
  <c r="A225" i="5"/>
  <c r="A225" i="4"/>
  <c r="A226" i="5"/>
  <c r="A226" i="4"/>
  <c r="A227" i="5"/>
  <c r="A227" i="4"/>
  <c r="A228" i="5"/>
  <c r="A228" i="4"/>
  <c r="A229" i="5"/>
  <c r="A229" i="4"/>
  <c r="A230" i="5"/>
  <c r="A230" i="4"/>
  <c r="A231" i="5"/>
  <c r="A231" i="4"/>
  <c r="A232" i="5"/>
  <c r="A232" i="4"/>
  <c r="A233" i="5"/>
  <c r="A233" i="4"/>
  <c r="A234" i="5"/>
  <c r="A234" i="4"/>
  <c r="A235" i="5"/>
  <c r="A235" i="4"/>
  <c r="A236" i="5"/>
  <c r="A236" i="4"/>
  <c r="A237" i="5"/>
  <c r="A237" i="4"/>
  <c r="A238" i="5"/>
  <c r="A238" i="4"/>
  <c r="A239" i="5"/>
  <c r="A239" i="4"/>
  <c r="A240" i="5"/>
  <c r="A240" i="4"/>
  <c r="A241" i="5"/>
  <c r="A241" i="4"/>
  <c r="A242" i="5"/>
  <c r="A242" i="4"/>
  <c r="A243" i="5"/>
  <c r="A243" i="4"/>
  <c r="A244" i="5"/>
  <c r="A244" i="4"/>
  <c r="A245" i="5"/>
  <c r="A245" i="4"/>
  <c r="A246" i="5"/>
  <c r="A246" i="4"/>
  <c r="A247" i="5"/>
  <c r="A247" i="4"/>
  <c r="A248" i="5"/>
  <c r="A248" i="4"/>
  <c r="A249" i="5"/>
  <c r="A249" i="4"/>
  <c r="A250" i="5"/>
  <c r="A250" i="4"/>
  <c r="A251" i="5"/>
  <c r="A251" i="4"/>
  <c r="A252" i="5"/>
  <c r="A252" i="4"/>
  <c r="A253" i="5"/>
  <c r="A253" i="4"/>
  <c r="A254" i="5"/>
  <c r="A254" i="4"/>
  <c r="A255" i="5"/>
  <c r="A255" i="4"/>
  <c r="A256" i="5"/>
  <c r="A256" i="4"/>
  <c r="A257" i="5"/>
  <c r="A257" i="4"/>
  <c r="A258" i="5"/>
  <c r="A258" i="4"/>
  <c r="A259" i="5"/>
  <c r="A259" i="4"/>
  <c r="A260" i="5"/>
  <c r="A260" i="4"/>
  <c r="A261" i="5"/>
  <c r="A261" i="4"/>
  <c r="A262" i="5"/>
  <c r="A262" i="4"/>
  <c r="A263" i="5"/>
  <c r="A263" i="4"/>
  <c r="A264" i="5"/>
  <c r="A264" i="4"/>
  <c r="A265" i="5"/>
  <c r="A265" i="4"/>
  <c r="A266" i="5"/>
  <c r="A266" i="4"/>
  <c r="A267" i="5"/>
  <c r="A267" i="4"/>
  <c r="A268" i="5"/>
  <c r="A268" i="4"/>
  <c r="A269" i="5"/>
  <c r="A269" i="4"/>
  <c r="A270" i="5"/>
  <c r="A270" i="4"/>
  <c r="A271" i="5"/>
  <c r="A271" i="4"/>
  <c r="A272" i="5"/>
  <c r="A272" i="4"/>
  <c r="A273" i="5"/>
  <c r="A273" i="4"/>
  <c r="A274" i="5"/>
  <c r="A274" i="4"/>
  <c r="A275" i="5"/>
  <c r="A275" i="4"/>
  <c r="A276" i="5"/>
  <c r="A276" i="4"/>
  <c r="A277" i="5"/>
  <c r="A277" i="4"/>
  <c r="A278" i="5"/>
  <c r="A278" i="4"/>
  <c r="A279" i="5"/>
  <c r="A279" i="4"/>
  <c r="A280" i="5"/>
  <c r="A280" i="4"/>
  <c r="A8" i="4"/>
  <c r="A8" i="3"/>
  <c r="A9" i="4"/>
  <c r="A9" i="5"/>
  <c r="A9" i="3"/>
  <c r="A10" i="5"/>
  <c r="A10" i="4"/>
  <c r="A10" i="3"/>
  <c r="A11" i="4"/>
  <c r="A11" i="5"/>
  <c r="A11" i="3"/>
  <c r="A12" i="5"/>
  <c r="A12" i="4"/>
  <c r="A12" i="3"/>
  <c r="A13" i="5"/>
  <c r="A13" i="4"/>
  <c r="A13" i="3"/>
  <c r="A14" i="3"/>
  <c r="A14" i="4"/>
  <c r="A14" i="5"/>
  <c r="A15" i="3"/>
  <c r="A15" i="4"/>
  <c r="A15" i="5"/>
  <c r="A16" i="5"/>
  <c r="A16" i="4"/>
  <c r="A16" i="3"/>
  <c r="A17" i="5"/>
  <c r="A17" i="3"/>
  <c r="A17" i="4"/>
  <c r="A18" i="3"/>
  <c r="A18" i="5"/>
  <c r="A18" i="4"/>
  <c r="A19" i="3"/>
  <c r="A19" i="4"/>
  <c r="A19" i="5"/>
  <c r="A20" i="3"/>
  <c r="A20" i="5"/>
  <c r="A20" i="4"/>
  <c r="A21" i="3"/>
  <c r="A21" i="4"/>
  <c r="A21" i="5"/>
  <c r="A22" i="4"/>
  <c r="A22" i="5"/>
  <c r="A22" i="3"/>
  <c r="A23" i="4"/>
  <c r="A23" i="5"/>
  <c r="A23" i="3"/>
  <c r="A24" i="4"/>
  <c r="A24" i="5"/>
  <c r="A24" i="3"/>
  <c r="A25" i="4"/>
  <c r="A25" i="5"/>
  <c r="A25" i="3"/>
  <c r="A26" i="4"/>
  <c r="A26" i="5"/>
  <c r="A26" i="3"/>
  <c r="A27" i="4"/>
  <c r="A27" i="3"/>
  <c r="A27" i="5"/>
  <c r="A28" i="4"/>
  <c r="A28" i="5"/>
  <c r="A28" i="3"/>
  <c r="A29" i="4"/>
  <c r="A29" i="5"/>
  <c r="A29" i="3"/>
  <c r="A30" i="4"/>
  <c r="A30" i="3"/>
  <c r="A30" i="5"/>
  <c r="A31" i="4"/>
  <c r="A31" i="3"/>
  <c r="A31" i="5"/>
  <c r="A32" i="4"/>
  <c r="A32" i="3"/>
  <c r="A32" i="5"/>
  <c r="A33" i="3"/>
  <c r="A33" i="4"/>
  <c r="A33" i="5"/>
  <c r="A34" i="3"/>
  <c r="A34" i="5"/>
  <c r="A34" i="4"/>
  <c r="A35" i="3"/>
  <c r="A35" i="5"/>
  <c r="A35" i="4"/>
  <c r="A36" i="3"/>
  <c r="A36" i="5"/>
  <c r="A36" i="4"/>
  <c r="A37" i="3"/>
  <c r="A37" i="5"/>
  <c r="A37" i="4"/>
  <c r="A38" i="4"/>
  <c r="A38" i="3"/>
  <c r="A38" i="5"/>
  <c r="A39" i="4"/>
  <c r="A39" i="3"/>
  <c r="A39" i="5"/>
  <c r="A40" i="5"/>
  <c r="A40" i="4"/>
  <c r="A40" i="3"/>
  <c r="A41" i="4"/>
  <c r="A41" i="3"/>
  <c r="A41" i="5"/>
  <c r="A42" i="4"/>
  <c r="A42" i="5"/>
  <c r="A42" i="3"/>
  <c r="A43" i="3"/>
  <c r="A43" i="5"/>
  <c r="A43" i="4"/>
  <c r="A44" i="4"/>
  <c r="A44" i="5"/>
  <c r="A44" i="3"/>
  <c r="A45" i="3"/>
  <c r="A45" i="4"/>
  <c r="A45" i="5"/>
  <c r="A46" i="3"/>
  <c r="A46" i="4"/>
  <c r="A46" i="5"/>
  <c r="A47" i="3"/>
  <c r="A47" i="4"/>
  <c r="A47" i="5"/>
  <c r="A48" i="3"/>
  <c r="A48" i="5"/>
  <c r="A48" i="4"/>
  <c r="A49" i="5"/>
  <c r="A49" i="4"/>
  <c r="A49" i="3"/>
  <c r="A50" i="5"/>
  <c r="A50" i="4"/>
  <c r="A50" i="3"/>
  <c r="A51" i="5"/>
  <c r="A51" i="4"/>
  <c r="A51" i="3"/>
  <c r="A52" i="4"/>
  <c r="A52" i="5"/>
  <c r="A52" i="3"/>
  <c r="A53" i="5"/>
  <c r="A53" i="4"/>
  <c r="A53" i="3"/>
  <c r="A54" i="4"/>
  <c r="A54" i="5"/>
  <c r="A54" i="3"/>
  <c r="A55" i="5"/>
  <c r="A55" i="4"/>
  <c r="A56" i="5"/>
  <c r="A56" i="4"/>
  <c r="A57" i="5"/>
  <c r="A57" i="4"/>
  <c r="A58" i="5"/>
  <c r="A58" i="4"/>
  <c r="A59" i="5"/>
  <c r="A59" i="4"/>
  <c r="A60" i="5"/>
  <c r="A60" i="4"/>
  <c r="A61" i="4"/>
  <c r="A61" i="5"/>
  <c r="A62" i="5"/>
  <c r="A62" i="4"/>
  <c r="A63" i="5"/>
  <c r="A63" i="4"/>
  <c r="A64" i="4"/>
  <c r="A64" i="5"/>
  <c r="A65" i="5"/>
  <c r="A65" i="4"/>
  <c r="A66" i="4"/>
  <c r="A66" i="5"/>
  <c r="A67" i="4"/>
  <c r="A67" i="5"/>
  <c r="A68" i="5"/>
  <c r="A68" i="4"/>
  <c r="A69" i="4"/>
  <c r="A69" i="5"/>
  <c r="A70" i="4"/>
  <c r="A70" i="5"/>
  <c r="A71" i="5"/>
  <c r="A71" i="4"/>
  <c r="A72" i="4"/>
  <c r="A72" i="5"/>
  <c r="A73" i="4"/>
  <c r="A73" i="5"/>
  <c r="A74" i="4"/>
  <c r="A74" i="5"/>
  <c r="A75" i="5"/>
  <c r="A75" i="4"/>
  <c r="A76" i="5"/>
  <c r="A76" i="4"/>
  <c r="A77" i="4"/>
  <c r="A77" i="5"/>
  <c r="A78" i="4"/>
  <c r="A78" i="5"/>
  <c r="A79" i="4"/>
  <c r="A79" i="5"/>
  <c r="A80" i="4"/>
  <c r="A80" i="5"/>
  <c r="A81" i="5"/>
  <c r="A81" i="4"/>
  <c r="A82" i="4"/>
  <c r="A82" i="5"/>
  <c r="A83" i="4"/>
  <c r="A83" i="5"/>
  <c r="A84" i="4"/>
  <c r="A84" i="5"/>
  <c r="A85" i="4"/>
  <c r="A85" i="5"/>
  <c r="A86" i="4"/>
  <c r="A86" i="5"/>
  <c r="A87" i="4"/>
  <c r="A87" i="5"/>
  <c r="A88" i="5"/>
  <c r="A88" i="4"/>
  <c r="A89" i="5"/>
  <c r="A89" i="4"/>
  <c r="A90" i="5"/>
  <c r="A90" i="4"/>
  <c r="A91" i="5"/>
  <c r="A91" i="4"/>
  <c r="A92" i="4"/>
  <c r="A92" i="5"/>
  <c r="A93" i="5"/>
  <c r="A93" i="4"/>
  <c r="A94" i="4"/>
  <c r="A94" i="5"/>
  <c r="A95" i="5"/>
  <c r="A95" i="4"/>
  <c r="A96" i="5"/>
  <c r="A96" i="4"/>
  <c r="A97" i="5"/>
  <c r="A97" i="4"/>
  <c r="A98" i="4"/>
  <c r="A98" i="5"/>
  <c r="A99" i="5"/>
  <c r="A99" i="4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J293" i="1"/>
  <c r="C293" i="1"/>
  <c r="D291" i="5"/>
  <c r="E291" i="5"/>
  <c r="E290" i="5"/>
  <c r="D290" i="5"/>
  <c r="E289" i="5"/>
  <c r="D289" i="5"/>
  <c r="E288" i="5"/>
  <c r="D288" i="5"/>
  <c r="E287" i="5"/>
  <c r="D287" i="5"/>
  <c r="E286" i="5"/>
  <c r="D286" i="5"/>
  <c r="E285" i="5"/>
  <c r="D285" i="5"/>
  <c r="E284" i="5"/>
  <c r="D284" i="5"/>
  <c r="E283" i="5"/>
  <c r="D283" i="5"/>
  <c r="E282" i="5"/>
  <c r="D282" i="5"/>
  <c r="E281" i="5"/>
  <c r="D281" i="5"/>
  <c r="E280" i="5"/>
  <c r="D280" i="5"/>
  <c r="E279" i="5"/>
  <c r="D279" i="5"/>
  <c r="E278" i="5"/>
  <c r="D278" i="5"/>
  <c r="E277" i="5"/>
  <c r="D277" i="5"/>
  <c r="E276" i="5"/>
  <c r="D276" i="5"/>
  <c r="D275" i="5"/>
  <c r="E275" i="5"/>
  <c r="E274" i="5"/>
  <c r="D274" i="5"/>
  <c r="E273" i="5"/>
  <c r="D273" i="5"/>
  <c r="E272" i="5"/>
  <c r="D272" i="5"/>
  <c r="E271" i="5"/>
  <c r="D271" i="5"/>
  <c r="E270" i="5"/>
  <c r="D270" i="5"/>
  <c r="D269" i="5"/>
  <c r="E269" i="5"/>
  <c r="E268" i="5"/>
  <c r="D268" i="5"/>
  <c r="E201" i="5"/>
  <c r="D201" i="5"/>
  <c r="D200" i="5"/>
  <c r="E200" i="5"/>
  <c r="E199" i="5"/>
  <c r="D199" i="5"/>
  <c r="E293" i="5"/>
  <c r="D293" i="5"/>
  <c r="C292" i="1"/>
  <c r="J292" i="1"/>
  <c r="E292" i="5"/>
  <c r="D292" i="5"/>
  <c r="E198" i="5"/>
  <c r="D198" i="5"/>
  <c r="E197" i="5"/>
  <c r="D197" i="5"/>
  <c r="D196" i="5"/>
  <c r="E196" i="5"/>
  <c r="D195" i="5"/>
  <c r="E195" i="5"/>
  <c r="D194" i="5"/>
  <c r="E194" i="5"/>
  <c r="B277" i="3"/>
  <c r="B277" i="4"/>
  <c r="B276" i="3"/>
  <c r="B276" i="4"/>
  <c r="B275" i="4"/>
  <c r="B275" i="3"/>
  <c r="B274" i="3"/>
  <c r="B274" i="4"/>
  <c r="B273" i="4"/>
  <c r="B273" i="3"/>
  <c r="B272" i="4"/>
  <c r="B272" i="3"/>
  <c r="B271" i="4"/>
  <c r="B271" i="3"/>
  <c r="B270" i="4"/>
  <c r="B270" i="3"/>
  <c r="B269" i="4"/>
  <c r="B269" i="3"/>
  <c r="B268" i="4"/>
  <c r="B268" i="3"/>
  <c r="B199" i="4"/>
  <c r="B199" i="3"/>
  <c r="B198" i="4"/>
  <c r="B198" i="3"/>
  <c r="B198" i="5"/>
  <c r="B197" i="4"/>
  <c r="B197" i="3"/>
  <c r="B197" i="5"/>
  <c r="B196" i="4"/>
  <c r="B196" i="3"/>
  <c r="B196" i="5"/>
  <c r="B195" i="4"/>
  <c r="B195" i="3"/>
  <c r="B195" i="5"/>
  <c r="B194" i="4"/>
  <c r="B194" i="3"/>
  <c r="B194" i="5"/>
  <c r="B140" i="4"/>
  <c r="B140" i="3"/>
  <c r="B140" i="5"/>
  <c r="B139" i="5"/>
  <c r="B139" i="4"/>
  <c r="B139" i="3"/>
  <c r="B138" i="5"/>
  <c r="B138" i="4"/>
  <c r="B138" i="3"/>
  <c r="B137" i="4"/>
  <c r="B137" i="3"/>
  <c r="B137" i="5"/>
  <c r="B136" i="5"/>
  <c r="B136" i="3"/>
  <c r="B136" i="4"/>
  <c r="B135" i="5"/>
  <c r="B135" i="3"/>
  <c r="B135" i="4"/>
  <c r="B134" i="5"/>
  <c r="B134" i="4"/>
  <c r="B134" i="3"/>
  <c r="B133" i="5"/>
  <c r="B133" i="4"/>
  <c r="B133" i="3"/>
  <c r="B132" i="5"/>
  <c r="B132" i="4"/>
  <c r="B132" i="3"/>
  <c r="B131" i="5"/>
  <c r="B131" i="4"/>
  <c r="B131" i="3"/>
  <c r="B130" i="5"/>
  <c r="B130" i="4"/>
  <c r="B130" i="3"/>
  <c r="B129" i="5"/>
  <c r="B129" i="3"/>
  <c r="B129" i="4"/>
  <c r="B128" i="5"/>
  <c r="B128" i="3"/>
  <c r="B128" i="4"/>
  <c r="B127" i="5"/>
  <c r="B127" i="3"/>
  <c r="B127" i="4"/>
  <c r="B126" i="4"/>
  <c r="B126" i="5"/>
  <c r="B126" i="3"/>
  <c r="B125" i="4"/>
  <c r="B125" i="5"/>
  <c r="B125" i="3"/>
  <c r="B116" i="5"/>
  <c r="B116" i="3"/>
  <c r="B116" i="4"/>
  <c r="B115" i="5"/>
  <c r="B115" i="4"/>
  <c r="B115" i="3"/>
  <c r="B114" i="5"/>
  <c r="B114" i="4"/>
  <c r="B114" i="3"/>
  <c r="B113" i="5"/>
  <c r="B113" i="4"/>
  <c r="B113" i="3"/>
  <c r="B112" i="5"/>
  <c r="B112" i="4"/>
  <c r="B112" i="3"/>
  <c r="B111" i="5"/>
  <c r="B111" i="4"/>
  <c r="B111" i="3"/>
  <c r="B110" i="5"/>
  <c r="B110" i="4"/>
  <c r="B110" i="3"/>
  <c r="B109" i="5"/>
  <c r="B109" i="4"/>
  <c r="B109" i="3"/>
  <c r="B108" i="5"/>
  <c r="B108" i="4"/>
  <c r="B108" i="3"/>
  <c r="B107" i="5"/>
  <c r="B107" i="3"/>
  <c r="B107" i="4"/>
  <c r="B106" i="5"/>
  <c r="B106" i="4"/>
  <c r="B106" i="3"/>
  <c r="B105" i="5"/>
  <c r="B105" i="4"/>
  <c r="B105" i="3"/>
  <c r="B104" i="5"/>
  <c r="B104" i="4"/>
  <c r="B104" i="3"/>
  <c r="B103" i="5"/>
  <c r="B103" i="4"/>
  <c r="B103" i="3"/>
  <c r="B102" i="5"/>
  <c r="B102" i="4"/>
  <c r="B102" i="3"/>
  <c r="B101" i="3"/>
  <c r="B101" i="5"/>
  <c r="B101" i="4"/>
  <c r="B100" i="4"/>
  <c r="B100" i="5"/>
  <c r="B100" i="3"/>
  <c r="B99" i="5"/>
  <c r="B99" i="3"/>
  <c r="B99" i="4"/>
  <c r="B98" i="5"/>
  <c r="B98" i="3"/>
  <c r="B98" i="4"/>
  <c r="B97" i="5"/>
  <c r="B97" i="3"/>
  <c r="B97" i="4"/>
  <c r="B96" i="4"/>
  <c r="B96" i="5"/>
  <c r="B96" i="3"/>
  <c r="B95" i="3"/>
  <c r="B95" i="4"/>
  <c r="B95" i="5"/>
  <c r="B94" i="3"/>
  <c r="B94" i="4"/>
  <c r="B94" i="5"/>
  <c r="B93" i="3"/>
  <c r="B93" i="5"/>
  <c r="B93" i="4"/>
  <c r="B92" i="5"/>
  <c r="B92" i="3"/>
  <c r="B92" i="4"/>
  <c r="B91" i="5"/>
  <c r="B91" i="3"/>
  <c r="B91" i="4"/>
  <c r="B90" i="4"/>
  <c r="B90" i="5"/>
  <c r="B90" i="3"/>
  <c r="B89" i="5"/>
  <c r="B89" i="3"/>
  <c r="B89" i="4"/>
  <c r="B88" i="3"/>
  <c r="B88" i="5"/>
  <c r="B88" i="4"/>
  <c r="B87" i="4"/>
  <c r="B87" i="5"/>
  <c r="B87" i="3"/>
  <c r="B86" i="5"/>
  <c r="B86" i="3"/>
  <c r="B86" i="4"/>
  <c r="B85" i="5"/>
  <c r="B85" i="4"/>
  <c r="B85" i="3"/>
  <c r="B84" i="5"/>
  <c r="B84" i="3"/>
  <c r="B84" i="4"/>
  <c r="B83" i="4"/>
  <c r="B83" i="5"/>
  <c r="B83" i="3"/>
  <c r="B82" i="5"/>
  <c r="B82" i="4"/>
  <c r="B82" i="3"/>
  <c r="B81" i="4"/>
  <c r="B81" i="5"/>
  <c r="B81" i="3"/>
  <c r="B80" i="5"/>
  <c r="B80" i="3"/>
  <c r="B80" i="4"/>
  <c r="B79" i="5"/>
  <c r="B79" i="3"/>
  <c r="B79" i="4"/>
  <c r="B78" i="5"/>
  <c r="B78" i="4"/>
  <c r="B78" i="3"/>
  <c r="B77" i="5"/>
  <c r="B77" i="3"/>
  <c r="B77" i="4"/>
  <c r="B76" i="5"/>
  <c r="B76" i="3"/>
  <c r="B76" i="4"/>
  <c r="B75" i="5"/>
  <c r="B75" i="3"/>
  <c r="B75" i="4"/>
  <c r="B74" i="5"/>
  <c r="B74" i="4"/>
  <c r="B74" i="3"/>
  <c r="B73" i="3"/>
  <c r="B73" i="4"/>
  <c r="B73" i="5"/>
  <c r="B72" i="5"/>
  <c r="B72" i="3"/>
  <c r="B72" i="4"/>
  <c r="B71" i="5"/>
  <c r="B71" i="3"/>
  <c r="B71" i="4"/>
  <c r="B70" i="5"/>
  <c r="B70" i="4"/>
  <c r="B70" i="3"/>
  <c r="B69" i="3"/>
  <c r="B69" i="5"/>
  <c r="B69" i="4"/>
  <c r="B68" i="3"/>
  <c r="B68" i="4"/>
  <c r="B68" i="5"/>
  <c r="B67" i="3"/>
  <c r="B67" i="5"/>
  <c r="B67" i="4"/>
  <c r="B66" i="3"/>
  <c r="B66" i="4"/>
  <c r="B66" i="5"/>
  <c r="B65" i="3"/>
  <c r="B65" i="5"/>
  <c r="B65" i="4"/>
  <c r="B64" i="4"/>
  <c r="B64" i="5"/>
  <c r="B64" i="3"/>
  <c r="B63" i="4"/>
  <c r="B63" i="3"/>
  <c r="B63" i="5"/>
  <c r="B62" i="5"/>
  <c r="B62" i="4"/>
  <c r="B62" i="3"/>
  <c r="B61" i="3"/>
  <c r="B61" i="4"/>
  <c r="B61" i="5"/>
  <c r="B60" i="4"/>
  <c r="B60" i="5"/>
  <c r="B60" i="3"/>
  <c r="B59" i="4"/>
  <c r="B59" i="3"/>
  <c r="B59" i="5"/>
  <c r="B58" i="4"/>
  <c r="B58" i="5"/>
  <c r="B58" i="3"/>
  <c r="B57" i="4"/>
  <c r="B57" i="5"/>
  <c r="B57" i="3"/>
  <c r="B56" i="4"/>
  <c r="B56" i="5"/>
  <c r="B56" i="3"/>
  <c r="B55" i="5"/>
  <c r="B55" i="3"/>
  <c r="B55" i="4"/>
  <c r="B54" i="5"/>
  <c r="B54" i="4"/>
  <c r="B54" i="3"/>
  <c r="B53" i="5"/>
  <c r="B53" i="4"/>
  <c r="B53" i="3"/>
  <c r="B52" i="4"/>
  <c r="B52" i="5"/>
  <c r="B52" i="3"/>
  <c r="B51" i="4"/>
  <c r="B51" i="5"/>
  <c r="B51" i="3"/>
  <c r="B50" i="4"/>
  <c r="B50" i="3"/>
  <c r="B50" i="5"/>
  <c r="B49" i="4"/>
  <c r="B49" i="5"/>
  <c r="B49" i="3"/>
  <c r="B48" i="4"/>
  <c r="B48" i="5"/>
  <c r="B48" i="3"/>
  <c r="B47" i="4"/>
  <c r="B47" i="5"/>
  <c r="B47" i="3"/>
  <c r="B19" i="5"/>
  <c r="B19" i="3"/>
  <c r="B19" i="4"/>
  <c r="B18" i="5"/>
  <c r="B18" i="3"/>
  <c r="B18" i="4"/>
  <c r="B17" i="5"/>
  <c r="B17" i="3"/>
  <c r="B17" i="4"/>
  <c r="B16" i="5"/>
  <c r="B16" i="3"/>
  <c r="B16" i="4"/>
  <c r="E14" i="5"/>
  <c r="E9" i="5"/>
  <c r="E8" i="5"/>
  <c r="J276" i="1"/>
  <c r="C276" i="1"/>
  <c r="J275" i="1"/>
  <c r="C275" i="1"/>
  <c r="J274" i="1"/>
  <c r="C274" i="1"/>
  <c r="C273" i="1"/>
  <c r="J273" i="1"/>
  <c r="C272" i="1"/>
  <c r="J272" i="1"/>
  <c r="C271" i="1"/>
  <c r="J271" i="1"/>
  <c r="C270" i="1"/>
  <c r="J270" i="1"/>
  <c r="C269" i="1"/>
  <c r="J269" i="1"/>
  <c r="C268" i="1"/>
  <c r="J268" i="1"/>
  <c r="D267" i="5"/>
  <c r="C267" i="1"/>
  <c r="J267" i="1"/>
  <c r="E267" i="5"/>
  <c r="J266" i="1"/>
  <c r="D266" i="5"/>
  <c r="C266" i="1"/>
  <c r="E266" i="5"/>
  <c r="E265" i="5"/>
  <c r="D265" i="5"/>
  <c r="J265" i="1"/>
  <c r="C265" i="1"/>
  <c r="C264" i="1"/>
  <c r="D264" i="5"/>
  <c r="E264" i="5"/>
  <c r="J264" i="1"/>
  <c r="D263" i="5"/>
  <c r="C263" i="1"/>
  <c r="J263" i="1"/>
  <c r="E263" i="5"/>
  <c r="E262" i="5"/>
  <c r="J262" i="1"/>
  <c r="C262" i="1"/>
  <c r="D262" i="5"/>
  <c r="D261" i="5"/>
  <c r="C261" i="1"/>
  <c r="J261" i="1"/>
  <c r="E261" i="5"/>
  <c r="E260" i="5"/>
  <c r="C260" i="1"/>
  <c r="D260" i="5"/>
  <c r="J260" i="1"/>
  <c r="C259" i="1"/>
  <c r="J259" i="1"/>
  <c r="E259" i="5"/>
  <c r="D259" i="5"/>
  <c r="C258" i="1"/>
  <c r="J258" i="1"/>
  <c r="D258" i="5"/>
  <c r="E258" i="5"/>
  <c r="C257" i="1"/>
  <c r="J257" i="1"/>
  <c r="D257" i="5"/>
  <c r="E257" i="5"/>
  <c r="C256" i="1"/>
  <c r="E256" i="5"/>
  <c r="D256" i="5"/>
  <c r="J256" i="1"/>
  <c r="C255" i="1"/>
  <c r="J255" i="1"/>
  <c r="D255" i="5"/>
  <c r="E255" i="5"/>
  <c r="C254" i="1"/>
  <c r="J254" i="1"/>
  <c r="E254" i="5"/>
  <c r="D254" i="5"/>
  <c r="D253" i="5"/>
  <c r="E253" i="5"/>
  <c r="C253" i="1"/>
  <c r="J253" i="1"/>
  <c r="D252" i="5"/>
  <c r="E252" i="5"/>
  <c r="J252" i="1"/>
  <c r="C252" i="1"/>
  <c r="D251" i="5"/>
  <c r="E251" i="5"/>
  <c r="C251" i="1"/>
  <c r="J251" i="1"/>
  <c r="D250" i="5"/>
  <c r="C250" i="1"/>
  <c r="J250" i="1"/>
  <c r="E250" i="5"/>
  <c r="C249" i="1"/>
  <c r="J249" i="1"/>
  <c r="D249" i="5"/>
  <c r="E249" i="5"/>
  <c r="E248" i="5"/>
  <c r="C248" i="1"/>
  <c r="D248" i="5"/>
  <c r="J248" i="1"/>
  <c r="D247" i="5"/>
  <c r="J247" i="1"/>
  <c r="E247" i="5"/>
  <c r="C247" i="1"/>
  <c r="E246" i="5"/>
  <c r="J246" i="1"/>
  <c r="C246" i="1"/>
  <c r="D246" i="5"/>
  <c r="E245" i="5"/>
  <c r="D245" i="5"/>
  <c r="J245" i="1"/>
  <c r="C245" i="1"/>
  <c r="D244" i="5"/>
  <c r="E244" i="5"/>
  <c r="J244" i="1"/>
  <c r="C244" i="1"/>
  <c r="D243" i="5"/>
  <c r="E243" i="5"/>
  <c r="J243" i="1"/>
  <c r="C243" i="1"/>
  <c r="E242" i="5"/>
  <c r="D242" i="5"/>
  <c r="J242" i="1"/>
  <c r="C242" i="1"/>
  <c r="J241" i="1"/>
  <c r="C241" i="1"/>
  <c r="E241" i="5"/>
  <c r="D241" i="5"/>
  <c r="J240" i="1"/>
  <c r="C240" i="1"/>
  <c r="E240" i="5"/>
  <c r="D240" i="5"/>
  <c r="J239" i="1"/>
  <c r="C239" i="1"/>
  <c r="E239" i="5"/>
  <c r="D239" i="5"/>
  <c r="C238" i="1"/>
  <c r="J238" i="1"/>
  <c r="E238" i="5"/>
  <c r="D238" i="5"/>
  <c r="C237" i="1"/>
  <c r="J237" i="1"/>
  <c r="D237" i="5"/>
  <c r="E237" i="5"/>
  <c r="C236" i="1"/>
  <c r="J236" i="1"/>
  <c r="E236" i="5"/>
  <c r="D236" i="5"/>
  <c r="C235" i="1"/>
  <c r="J235" i="1"/>
  <c r="E235" i="5"/>
  <c r="D235" i="5"/>
  <c r="J234" i="1"/>
  <c r="E234" i="5"/>
  <c r="D234" i="5"/>
  <c r="C234" i="1"/>
  <c r="E233" i="5"/>
  <c r="D233" i="5"/>
  <c r="J233" i="1"/>
  <c r="C233" i="1"/>
  <c r="J232" i="1"/>
  <c r="E232" i="5"/>
  <c r="C232" i="1"/>
  <c r="D232" i="5"/>
  <c r="D231" i="5"/>
  <c r="J231" i="1"/>
  <c r="E231" i="5"/>
  <c r="C231" i="1"/>
  <c r="E230" i="5"/>
  <c r="C230" i="1"/>
  <c r="J230" i="1"/>
  <c r="D230" i="5"/>
  <c r="E229" i="5"/>
  <c r="D229" i="5"/>
  <c r="C229" i="1"/>
  <c r="J229" i="1"/>
  <c r="C228" i="1"/>
  <c r="E228" i="5"/>
  <c r="D228" i="5"/>
  <c r="J228" i="1"/>
  <c r="J227" i="1"/>
  <c r="E227" i="5"/>
  <c r="D227" i="5"/>
  <c r="C227" i="1"/>
  <c r="E226" i="5"/>
  <c r="D226" i="5"/>
  <c r="C226" i="1"/>
  <c r="J226" i="1"/>
  <c r="C225" i="1"/>
  <c r="J225" i="1"/>
  <c r="E225" i="5"/>
  <c r="D225" i="5"/>
  <c r="C224" i="1"/>
  <c r="J224" i="1"/>
  <c r="D224" i="5"/>
  <c r="E224" i="5"/>
  <c r="E223" i="5"/>
  <c r="J223" i="1"/>
  <c r="C223" i="1"/>
  <c r="D223" i="5"/>
  <c r="D222" i="5"/>
  <c r="C222" i="1"/>
  <c r="J222" i="1"/>
  <c r="E222" i="5"/>
  <c r="J221" i="1"/>
  <c r="E221" i="5"/>
  <c r="C221" i="1"/>
  <c r="D221" i="5"/>
  <c r="E220" i="5"/>
  <c r="D220" i="5"/>
  <c r="J220" i="1"/>
  <c r="C220" i="1"/>
  <c r="J219" i="1"/>
  <c r="C219" i="1"/>
  <c r="D219" i="5"/>
  <c r="E219" i="5"/>
  <c r="D218" i="5"/>
  <c r="J218" i="1"/>
  <c r="C218" i="1"/>
  <c r="E218" i="5"/>
  <c r="D217" i="5"/>
  <c r="C217" i="1"/>
  <c r="J217" i="1"/>
  <c r="E217" i="5"/>
  <c r="E216" i="5"/>
  <c r="D216" i="5"/>
  <c r="C216" i="1"/>
  <c r="J216" i="1"/>
  <c r="J215" i="1"/>
  <c r="D215" i="5"/>
  <c r="E215" i="5"/>
  <c r="C215" i="1"/>
  <c r="D214" i="5"/>
  <c r="E214" i="5"/>
  <c r="C214" i="1"/>
  <c r="J214" i="1"/>
  <c r="C213" i="1"/>
  <c r="J213" i="1"/>
  <c r="D213" i="5"/>
  <c r="E213" i="5"/>
  <c r="C212" i="1"/>
  <c r="J212" i="1"/>
  <c r="D212" i="5"/>
  <c r="E212" i="5"/>
  <c r="D211" i="5"/>
  <c r="J211" i="1"/>
  <c r="C211" i="1"/>
  <c r="E211" i="5"/>
  <c r="E210" i="5"/>
  <c r="D210" i="5"/>
  <c r="J210" i="1"/>
  <c r="E209" i="5"/>
  <c r="D209" i="5"/>
  <c r="D208" i="5"/>
  <c r="E208" i="5"/>
  <c r="E207" i="5"/>
  <c r="D207" i="5"/>
  <c r="D206" i="5"/>
  <c r="E206" i="5"/>
  <c r="D205" i="5"/>
  <c r="E205" i="5"/>
  <c r="E204" i="5"/>
  <c r="D204" i="5"/>
  <c r="E203" i="5"/>
  <c r="D203" i="5"/>
  <c r="E202" i="5"/>
  <c r="D202" i="5"/>
  <c r="D193" i="5"/>
  <c r="E193" i="5"/>
  <c r="D192" i="5"/>
  <c r="E192" i="5"/>
  <c r="D191" i="5"/>
  <c r="E191" i="5"/>
  <c r="D190" i="5"/>
  <c r="E190" i="5"/>
  <c r="D189" i="5"/>
  <c r="E189" i="5"/>
  <c r="E188" i="5"/>
  <c r="D188" i="5"/>
  <c r="D187" i="5"/>
  <c r="E187" i="5"/>
  <c r="D186" i="5"/>
  <c r="E186" i="5"/>
  <c r="E185" i="5"/>
  <c r="D185" i="5"/>
  <c r="D184" i="5"/>
  <c r="E184" i="5"/>
  <c r="D183" i="5"/>
  <c r="E183" i="5"/>
  <c r="E182" i="5"/>
  <c r="D182" i="5"/>
  <c r="E181" i="5"/>
  <c r="D181" i="5"/>
  <c r="D180" i="5"/>
  <c r="E180" i="5"/>
  <c r="D179" i="5"/>
  <c r="E179" i="5"/>
  <c r="D178" i="5"/>
  <c r="E178" i="5"/>
  <c r="D177" i="5"/>
  <c r="E177" i="5"/>
  <c r="E176" i="5"/>
  <c r="D176" i="5"/>
  <c r="D175" i="5"/>
  <c r="E175" i="5"/>
  <c r="D174" i="5"/>
  <c r="E174" i="5"/>
  <c r="D173" i="5"/>
  <c r="E173" i="5"/>
  <c r="D172" i="5"/>
  <c r="E172" i="5"/>
  <c r="D171" i="5"/>
  <c r="E171" i="5"/>
  <c r="E170" i="5"/>
  <c r="D170" i="5"/>
  <c r="E169" i="5"/>
  <c r="D169" i="5"/>
  <c r="E168" i="5"/>
  <c r="D168" i="5"/>
  <c r="E167" i="5"/>
  <c r="D167" i="5"/>
  <c r="D166" i="5"/>
  <c r="E166" i="5"/>
  <c r="D165" i="5"/>
  <c r="E165" i="5"/>
  <c r="E164" i="5"/>
  <c r="D164" i="5"/>
  <c r="E163" i="5"/>
  <c r="D163" i="5"/>
  <c r="D162" i="5"/>
  <c r="E162" i="5"/>
  <c r="E161" i="5"/>
  <c r="D161" i="5"/>
  <c r="E160" i="5"/>
  <c r="D160" i="5"/>
  <c r="D159" i="5"/>
  <c r="E159" i="5"/>
  <c r="E158" i="5"/>
  <c r="D158" i="5"/>
  <c r="D157" i="5"/>
  <c r="E157" i="5"/>
  <c r="E156" i="5"/>
  <c r="D156" i="5"/>
  <c r="E155" i="5"/>
  <c r="D155" i="5"/>
  <c r="E154" i="5"/>
  <c r="D154" i="5"/>
  <c r="D153" i="5"/>
  <c r="E153" i="5"/>
  <c r="D152" i="5"/>
  <c r="E152" i="5"/>
  <c r="D151" i="5"/>
  <c r="E151" i="5"/>
  <c r="D150" i="5"/>
  <c r="E150" i="5"/>
  <c r="D149" i="5"/>
  <c r="E149" i="5"/>
  <c r="D148" i="5"/>
  <c r="E148" i="5"/>
  <c r="E147" i="5"/>
  <c r="D147" i="5"/>
  <c r="E146" i="5"/>
  <c r="D146" i="5"/>
  <c r="E145" i="5"/>
  <c r="D145" i="5"/>
  <c r="E144" i="5"/>
  <c r="D144" i="5"/>
  <c r="E143" i="5"/>
  <c r="D143" i="5"/>
  <c r="E142" i="5"/>
  <c r="D142" i="5"/>
  <c r="D141" i="5"/>
  <c r="E141" i="5"/>
  <c r="J140" i="1"/>
  <c r="C140" i="1"/>
  <c r="E140" i="5"/>
  <c r="D140" i="5"/>
  <c r="D139" i="5"/>
  <c r="C139" i="1"/>
  <c r="E139" i="5"/>
  <c r="J139" i="1"/>
  <c r="C138" i="1"/>
  <c r="D138" i="5"/>
  <c r="E138" i="5"/>
  <c r="J138" i="1"/>
  <c r="C137" i="1"/>
  <c r="J137" i="1"/>
  <c r="E137" i="5"/>
  <c r="D137" i="5"/>
  <c r="D136" i="5"/>
  <c r="C136" i="1"/>
  <c r="E136" i="5"/>
  <c r="J136" i="1"/>
  <c r="D135" i="5"/>
  <c r="E135" i="5"/>
  <c r="C135" i="1"/>
  <c r="J135" i="1"/>
  <c r="D134" i="5"/>
  <c r="E134" i="5"/>
  <c r="J134" i="1"/>
  <c r="C134" i="1"/>
  <c r="E133" i="5"/>
  <c r="D133" i="5"/>
  <c r="J133" i="1"/>
  <c r="C133" i="1"/>
  <c r="E132" i="5"/>
  <c r="D132" i="5"/>
  <c r="C132" i="1"/>
  <c r="J132" i="1"/>
  <c r="E131" i="5"/>
  <c r="D131" i="5"/>
  <c r="J131" i="1"/>
  <c r="C131" i="1"/>
  <c r="D130" i="5"/>
  <c r="J130" i="1"/>
  <c r="E130" i="5"/>
  <c r="C130" i="1"/>
  <c r="J129" i="1"/>
  <c r="C129" i="1"/>
  <c r="D129" i="5"/>
  <c r="E129" i="5"/>
  <c r="C128" i="1"/>
  <c r="D128" i="5"/>
  <c r="J128" i="1"/>
  <c r="E128" i="5"/>
  <c r="C127" i="1"/>
  <c r="E127" i="5"/>
  <c r="J127" i="1"/>
  <c r="D127" i="5"/>
  <c r="J126" i="1"/>
  <c r="C126" i="1"/>
  <c r="E126" i="5"/>
  <c r="D126" i="5"/>
  <c r="E125" i="5"/>
  <c r="D125" i="5"/>
  <c r="C125" i="1"/>
  <c r="J125" i="1"/>
  <c r="C124" i="1"/>
  <c r="D124" i="5"/>
  <c r="J124" i="1"/>
  <c r="E124" i="5"/>
  <c r="E123" i="5"/>
  <c r="D123" i="5"/>
  <c r="C123" i="1"/>
  <c r="J123" i="1"/>
  <c r="E122" i="5"/>
  <c r="J122" i="1"/>
  <c r="C122" i="1"/>
  <c r="D122" i="5"/>
  <c r="C121" i="1"/>
  <c r="J121" i="1"/>
  <c r="D121" i="5"/>
  <c r="E121" i="5"/>
  <c r="J120" i="1"/>
  <c r="D120" i="5"/>
  <c r="E120" i="5"/>
  <c r="C120" i="1"/>
  <c r="J119" i="1"/>
  <c r="D119" i="5"/>
  <c r="E119" i="5"/>
  <c r="C119" i="1"/>
  <c r="D118" i="5"/>
  <c r="J118" i="1"/>
  <c r="C118" i="1"/>
  <c r="E118" i="5"/>
  <c r="D117" i="5"/>
  <c r="E117" i="5"/>
  <c r="J117" i="1"/>
  <c r="C117" i="1"/>
  <c r="C116" i="1"/>
  <c r="D116" i="5"/>
  <c r="E116" i="5"/>
  <c r="J116" i="1"/>
  <c r="D115" i="5"/>
  <c r="C115" i="1"/>
  <c r="J115" i="1"/>
  <c r="E115" i="5"/>
  <c r="J114" i="1"/>
  <c r="E114" i="5"/>
  <c r="D114" i="5"/>
  <c r="C114" i="1"/>
  <c r="D113" i="5"/>
  <c r="E113" i="5"/>
  <c r="J113" i="1"/>
  <c r="C113" i="1"/>
  <c r="C112" i="1"/>
  <c r="J112" i="1"/>
  <c r="E112" i="5"/>
  <c r="D112" i="5"/>
  <c r="D111" i="5"/>
  <c r="E111" i="5"/>
  <c r="J111" i="1"/>
  <c r="C111" i="1"/>
  <c r="E110" i="5"/>
  <c r="J110" i="1"/>
  <c r="D110" i="5"/>
  <c r="C110" i="1"/>
  <c r="E109" i="5"/>
  <c r="D109" i="5"/>
  <c r="C109" i="1"/>
  <c r="J109" i="1"/>
  <c r="E108" i="5"/>
  <c r="C108" i="1"/>
  <c r="J108" i="1"/>
  <c r="D108" i="5"/>
  <c r="C107" i="1"/>
  <c r="J107" i="1"/>
  <c r="E107" i="5"/>
  <c r="D107" i="5"/>
  <c r="C106" i="1"/>
  <c r="J106" i="1"/>
  <c r="D106" i="5"/>
  <c r="E106" i="5"/>
  <c r="C105" i="1"/>
  <c r="J105" i="1"/>
  <c r="E105" i="5"/>
  <c r="D105" i="5"/>
  <c r="C104" i="1"/>
  <c r="J104" i="1"/>
  <c r="E104" i="5"/>
  <c r="D104" i="5"/>
  <c r="C103" i="1"/>
  <c r="J103" i="1"/>
  <c r="E103" i="5"/>
  <c r="D103" i="5"/>
  <c r="J102" i="1"/>
  <c r="C102" i="1"/>
  <c r="E102" i="5"/>
  <c r="D102" i="5"/>
  <c r="E101" i="5"/>
  <c r="C101" i="1"/>
  <c r="J101" i="1"/>
  <c r="D101" i="5"/>
  <c r="C100" i="1"/>
  <c r="D100" i="5"/>
  <c r="E100" i="5"/>
  <c r="J100" i="1"/>
  <c r="D99" i="5"/>
  <c r="E99" i="5"/>
  <c r="J99" i="1"/>
  <c r="C99" i="1"/>
  <c r="D98" i="5"/>
  <c r="E98" i="5"/>
  <c r="J98" i="1"/>
  <c r="C98" i="1"/>
  <c r="E97" i="5"/>
  <c r="D97" i="5"/>
  <c r="J97" i="1"/>
  <c r="C97" i="1"/>
  <c r="J96" i="1"/>
  <c r="E96" i="5"/>
  <c r="D96" i="5"/>
  <c r="C96" i="1"/>
  <c r="C95" i="1"/>
  <c r="J95" i="1"/>
  <c r="E95" i="5"/>
  <c r="D95" i="5"/>
  <c r="E94" i="5"/>
  <c r="D94" i="5"/>
  <c r="J94" i="1"/>
  <c r="C94" i="1"/>
  <c r="J93" i="1"/>
  <c r="C93" i="1"/>
  <c r="D93" i="5"/>
  <c r="E93" i="5"/>
  <c r="J92" i="1"/>
  <c r="C92" i="1"/>
  <c r="D92" i="5"/>
  <c r="E92" i="5"/>
  <c r="J91" i="1"/>
  <c r="C91" i="1"/>
  <c r="D91" i="5"/>
  <c r="E91" i="5"/>
  <c r="J90" i="1"/>
  <c r="C90" i="1"/>
  <c r="D90" i="5"/>
  <c r="E90" i="5"/>
  <c r="J89" i="1"/>
  <c r="C89" i="1"/>
  <c r="D89" i="5"/>
  <c r="E89" i="5"/>
  <c r="C88" i="1"/>
  <c r="J88" i="1"/>
  <c r="E88" i="5"/>
  <c r="D88" i="5"/>
  <c r="D87" i="5"/>
  <c r="E87" i="5"/>
  <c r="J87" i="1"/>
  <c r="C87" i="1"/>
  <c r="D86" i="5"/>
  <c r="E86" i="5"/>
  <c r="C86" i="1"/>
  <c r="J86" i="1"/>
  <c r="D85" i="5"/>
  <c r="E85" i="5"/>
  <c r="J85" i="1"/>
  <c r="C85" i="1"/>
  <c r="D84" i="5"/>
  <c r="E84" i="5"/>
  <c r="C84" i="1"/>
  <c r="J84" i="1"/>
  <c r="C83" i="1"/>
  <c r="J83" i="1"/>
  <c r="E83" i="5"/>
  <c r="D83" i="5"/>
  <c r="D82" i="5"/>
  <c r="J82" i="1"/>
  <c r="C82" i="1"/>
  <c r="E82" i="5"/>
  <c r="C81" i="1"/>
  <c r="D81" i="5"/>
  <c r="E81" i="5"/>
  <c r="J81" i="1"/>
  <c r="D80" i="5"/>
  <c r="E80" i="5"/>
  <c r="J80" i="1"/>
  <c r="C80" i="1"/>
  <c r="D79" i="5"/>
  <c r="E79" i="5"/>
  <c r="C79" i="1"/>
  <c r="J79" i="1"/>
  <c r="D78" i="5"/>
  <c r="E78" i="5"/>
  <c r="C78" i="1"/>
  <c r="J78" i="1"/>
  <c r="C77" i="1"/>
  <c r="J77" i="1"/>
  <c r="D77" i="5"/>
  <c r="E77" i="5"/>
  <c r="J76" i="1"/>
  <c r="D76" i="5"/>
  <c r="C76" i="1"/>
  <c r="E76" i="5"/>
  <c r="D75" i="5"/>
  <c r="E75" i="5"/>
  <c r="C75" i="1"/>
  <c r="J75" i="1"/>
  <c r="C74" i="1"/>
  <c r="J74" i="1"/>
  <c r="D74" i="5"/>
  <c r="E74" i="5"/>
  <c r="D73" i="5"/>
  <c r="J73" i="1"/>
  <c r="C73" i="1"/>
  <c r="E73" i="5"/>
  <c r="D72" i="5"/>
  <c r="E72" i="5"/>
  <c r="J72" i="1"/>
  <c r="C72" i="1"/>
  <c r="C71" i="1"/>
  <c r="E71" i="5"/>
  <c r="D71" i="5"/>
  <c r="J71" i="1"/>
  <c r="D70" i="5"/>
  <c r="E70" i="5"/>
  <c r="J70" i="1"/>
  <c r="C70" i="1"/>
  <c r="E69" i="5"/>
  <c r="D69" i="5"/>
  <c r="J69" i="1"/>
  <c r="C69" i="1"/>
  <c r="E68" i="5"/>
  <c r="D68" i="5"/>
  <c r="J68" i="1"/>
  <c r="C68" i="1"/>
  <c r="D67" i="5"/>
  <c r="E67" i="5"/>
  <c r="J67" i="1"/>
  <c r="C67" i="1"/>
  <c r="D66" i="5"/>
  <c r="E66" i="5"/>
  <c r="J66" i="1"/>
  <c r="C66" i="1"/>
  <c r="D65" i="5"/>
  <c r="E65" i="5"/>
  <c r="C65" i="1"/>
  <c r="J65" i="1"/>
  <c r="D64" i="5"/>
  <c r="C64" i="1"/>
  <c r="J64" i="1"/>
  <c r="E64" i="5"/>
  <c r="J63" i="1"/>
  <c r="C63" i="1"/>
  <c r="D63" i="5"/>
  <c r="E63" i="5"/>
  <c r="E62" i="5"/>
  <c r="D62" i="5"/>
  <c r="J62" i="1"/>
  <c r="C62" i="1"/>
  <c r="E61" i="5"/>
  <c r="D61" i="5"/>
  <c r="J61" i="1"/>
  <c r="C61" i="1"/>
  <c r="D60" i="5"/>
  <c r="E60" i="5"/>
  <c r="J60" i="1"/>
  <c r="C60" i="1"/>
  <c r="D59" i="5"/>
  <c r="E59" i="5"/>
  <c r="J59" i="1"/>
  <c r="C59" i="1"/>
  <c r="E58" i="5"/>
  <c r="D58" i="5"/>
  <c r="C58" i="1"/>
  <c r="J58" i="1"/>
  <c r="D57" i="5"/>
  <c r="E57" i="5"/>
  <c r="J57" i="1"/>
  <c r="C57" i="1"/>
  <c r="E56" i="5"/>
  <c r="D56" i="5"/>
  <c r="J56" i="1"/>
  <c r="C56" i="1"/>
  <c r="E55" i="5"/>
  <c r="D55" i="5"/>
  <c r="C55" i="1"/>
  <c r="J55" i="1"/>
  <c r="D54" i="5"/>
  <c r="C54" i="1"/>
  <c r="J54" i="1"/>
  <c r="E54" i="5"/>
  <c r="E53" i="5"/>
  <c r="D53" i="5"/>
  <c r="J53" i="1"/>
  <c r="C53" i="1"/>
  <c r="D52" i="5"/>
  <c r="E52" i="5"/>
  <c r="J52" i="1"/>
  <c r="C52" i="1"/>
  <c r="E51" i="5"/>
  <c r="D51" i="5"/>
  <c r="J51" i="1"/>
  <c r="C51" i="1"/>
  <c r="E50" i="5"/>
  <c r="D50" i="5"/>
  <c r="J50" i="1"/>
  <c r="C50" i="1"/>
  <c r="E49" i="5"/>
  <c r="D49" i="5"/>
  <c r="J49" i="1"/>
  <c r="C49" i="1"/>
  <c r="D48" i="5"/>
  <c r="E48" i="5"/>
  <c r="J48" i="1"/>
  <c r="C48" i="1"/>
  <c r="D47" i="5"/>
  <c r="E47" i="5"/>
  <c r="J47" i="1"/>
  <c r="C47" i="1"/>
  <c r="E46" i="5"/>
  <c r="D46" i="5"/>
  <c r="J46" i="1"/>
  <c r="C46" i="1"/>
  <c r="D45" i="5"/>
  <c r="E45" i="5"/>
  <c r="J45" i="1"/>
  <c r="C45" i="1"/>
  <c r="E44" i="5"/>
  <c r="J44" i="1"/>
  <c r="C44" i="1"/>
  <c r="D44" i="5"/>
  <c r="D43" i="5"/>
  <c r="J43" i="1"/>
  <c r="C43" i="1"/>
  <c r="E43" i="5"/>
  <c r="J42" i="1"/>
  <c r="C42" i="1"/>
  <c r="D42" i="5"/>
  <c r="E42" i="5"/>
  <c r="J41" i="1"/>
  <c r="D41" i="5"/>
  <c r="E41" i="5"/>
  <c r="C41" i="1"/>
  <c r="J40" i="1"/>
  <c r="C40" i="1"/>
  <c r="D40" i="5"/>
  <c r="E40" i="5"/>
  <c r="C39" i="1"/>
  <c r="J39" i="1"/>
  <c r="E39" i="5"/>
  <c r="D39" i="5"/>
  <c r="C38" i="1"/>
  <c r="J38" i="1"/>
  <c r="D38" i="5"/>
  <c r="E38" i="5"/>
  <c r="J37" i="1"/>
  <c r="C37" i="1"/>
  <c r="D37" i="5"/>
  <c r="E37" i="5"/>
  <c r="J36" i="1"/>
  <c r="D36" i="5"/>
  <c r="E36" i="5"/>
  <c r="C36" i="1"/>
  <c r="C35" i="1"/>
  <c r="D35" i="5"/>
  <c r="E35" i="5"/>
  <c r="J35" i="1"/>
  <c r="C34" i="1"/>
  <c r="D34" i="5"/>
  <c r="E34" i="5"/>
  <c r="J34" i="1"/>
  <c r="D33" i="5"/>
  <c r="C33" i="1"/>
  <c r="J33" i="1"/>
  <c r="E33" i="5"/>
  <c r="E32" i="5"/>
  <c r="D32" i="5"/>
  <c r="C32" i="1"/>
  <c r="J32" i="1"/>
  <c r="E31" i="5"/>
  <c r="D31" i="5"/>
  <c r="C31" i="1"/>
  <c r="J31" i="1"/>
  <c r="D30" i="5"/>
  <c r="J30" i="1"/>
  <c r="C30" i="1"/>
  <c r="E30" i="5"/>
  <c r="E29" i="5"/>
  <c r="D29" i="5"/>
  <c r="J29" i="1"/>
  <c r="C29" i="1"/>
  <c r="J28" i="1"/>
  <c r="D28" i="5"/>
  <c r="E28" i="5"/>
  <c r="C28" i="1"/>
  <c r="D27" i="5"/>
  <c r="E27" i="5"/>
  <c r="J27" i="1"/>
  <c r="C27" i="1"/>
  <c r="D26" i="5"/>
  <c r="E26" i="5"/>
  <c r="J26" i="1"/>
  <c r="C26" i="1"/>
  <c r="E25" i="5"/>
  <c r="C25" i="1"/>
  <c r="J25" i="1"/>
  <c r="D25" i="5"/>
  <c r="E24" i="5"/>
  <c r="C24" i="1"/>
  <c r="J24" i="1"/>
  <c r="D24" i="5"/>
  <c r="D23" i="5"/>
  <c r="J23" i="1"/>
  <c r="C23" i="1"/>
  <c r="E23" i="5"/>
  <c r="C22" i="1"/>
  <c r="J22" i="1"/>
  <c r="D22" i="5"/>
  <c r="E22" i="5"/>
  <c r="D21" i="5"/>
  <c r="J21" i="1"/>
  <c r="E21" i="5"/>
  <c r="C21" i="1"/>
  <c r="J20" i="1"/>
  <c r="C20" i="1"/>
  <c r="D20" i="5"/>
  <c r="E20" i="5"/>
  <c r="C299" i="5"/>
  <c r="C298" i="5"/>
  <c r="C297" i="5"/>
  <c r="C296" i="5"/>
  <c r="C295" i="5"/>
  <c r="C294" i="5"/>
  <c r="B293" i="4"/>
  <c r="B293" i="5"/>
  <c r="B293" i="3"/>
  <c r="B292" i="5"/>
  <c r="B292" i="4"/>
  <c r="B292" i="3"/>
  <c r="B291" i="4"/>
  <c r="B291" i="3"/>
  <c r="B291" i="5"/>
  <c r="B290" i="4"/>
  <c r="B290" i="3"/>
  <c r="B290" i="5"/>
  <c r="B289" i="5"/>
  <c r="B289" i="4"/>
  <c r="B289" i="3"/>
  <c r="B288" i="4"/>
  <c r="B288" i="5"/>
  <c r="B288" i="3"/>
  <c r="B287" i="5"/>
  <c r="B287" i="3"/>
  <c r="B287" i="4"/>
  <c r="B286" i="5"/>
  <c r="B286" i="3"/>
  <c r="B286" i="4"/>
  <c r="B285" i="3"/>
  <c r="B285" i="5"/>
  <c r="B285" i="4"/>
  <c r="B284" i="5"/>
  <c r="B284" i="4"/>
  <c r="B284" i="3"/>
  <c r="B283" i="5"/>
  <c r="B283" i="4"/>
  <c r="B283" i="3"/>
  <c r="B282" i="3"/>
  <c r="B282" i="5"/>
  <c r="B282" i="4"/>
  <c r="B281" i="5"/>
  <c r="B281" i="4"/>
  <c r="B281" i="3"/>
  <c r="B280" i="4"/>
  <c r="B280" i="3"/>
  <c r="B280" i="5"/>
  <c r="B279" i="4"/>
  <c r="B279" i="3"/>
  <c r="B279" i="5"/>
  <c r="B278" i="5"/>
  <c r="B278" i="4"/>
  <c r="B278" i="3"/>
  <c r="B267" i="5"/>
  <c r="B267" i="4"/>
  <c r="B266" i="4"/>
  <c r="B266" i="5"/>
  <c r="B265" i="4"/>
  <c r="B265" i="5"/>
  <c r="B264" i="4"/>
  <c r="B264" i="5"/>
  <c r="B263" i="4"/>
  <c r="B263" i="5"/>
  <c r="B262" i="5"/>
  <c r="B262" i="4"/>
  <c r="B261" i="4"/>
  <c r="B261" i="5"/>
  <c r="B260" i="5"/>
  <c r="B260" i="4"/>
  <c r="B259" i="5"/>
  <c r="B259" i="4"/>
  <c r="B258" i="4"/>
  <c r="B258" i="5"/>
  <c r="B257" i="4"/>
  <c r="B257" i="5"/>
  <c r="B256" i="4"/>
  <c r="B256" i="5"/>
  <c r="B255" i="4"/>
  <c r="B255" i="5"/>
  <c r="B254" i="4"/>
  <c r="B254" i="5"/>
  <c r="B253" i="4"/>
  <c r="B253" i="5"/>
  <c r="B252" i="4"/>
  <c r="B252" i="5"/>
  <c r="B251" i="4"/>
  <c r="B251" i="5"/>
  <c r="B250" i="4"/>
  <c r="B250" i="5"/>
  <c r="B249" i="4"/>
  <c r="B249" i="5"/>
  <c r="B248" i="5"/>
  <c r="B248" i="4"/>
  <c r="B247" i="5"/>
  <c r="B247" i="4"/>
  <c r="B246" i="5"/>
  <c r="B246" i="4"/>
  <c r="B245" i="5"/>
  <c r="B245" i="4"/>
  <c r="B244" i="5"/>
  <c r="B244" i="4"/>
  <c r="B243" i="3"/>
  <c r="B243" i="5"/>
  <c r="B243" i="4"/>
  <c r="B242" i="5"/>
  <c r="B242" i="3"/>
  <c r="B242" i="4"/>
  <c r="B241" i="3"/>
  <c r="B241" i="5"/>
  <c r="B241" i="4"/>
  <c r="B240" i="5"/>
  <c r="B240" i="4"/>
  <c r="B240" i="3"/>
  <c r="B239" i="5"/>
  <c r="B239" i="4"/>
  <c r="B239" i="3"/>
  <c r="B238" i="4"/>
  <c r="B238" i="5"/>
  <c r="B238" i="3"/>
  <c r="B237" i="5"/>
  <c r="B237" i="4"/>
  <c r="B237" i="3"/>
  <c r="B236" i="4"/>
  <c r="B236" i="5"/>
  <c r="B236" i="3"/>
  <c r="B235" i="4"/>
  <c r="B235" i="5"/>
  <c r="B235" i="3"/>
  <c r="B234" i="3"/>
  <c r="B234" i="5"/>
  <c r="B234" i="4"/>
  <c r="B233" i="5"/>
  <c r="B233" i="3"/>
  <c r="B233" i="4"/>
  <c r="B232" i="3"/>
  <c r="B232" i="5"/>
  <c r="B232" i="4"/>
  <c r="B231" i="4"/>
  <c r="B231" i="3"/>
  <c r="B231" i="5"/>
  <c r="B230" i="4"/>
  <c r="B230" i="5"/>
  <c r="B230" i="3"/>
  <c r="B229" i="5"/>
  <c r="B229" i="4"/>
  <c r="B229" i="3"/>
  <c r="B228" i="5"/>
  <c r="B228" i="4"/>
  <c r="B228" i="3"/>
  <c r="B227" i="5"/>
  <c r="B227" i="4"/>
  <c r="B227" i="3"/>
  <c r="B226" i="5"/>
  <c r="B226" i="4"/>
  <c r="B226" i="3"/>
  <c r="B225" i="4"/>
  <c r="B225" i="3"/>
  <c r="B225" i="5"/>
  <c r="B224" i="4"/>
  <c r="B224" i="3"/>
  <c r="B224" i="5"/>
  <c r="B223" i="4"/>
  <c r="B223" i="5"/>
  <c r="B223" i="3"/>
  <c r="B222" i="4"/>
  <c r="B222" i="3"/>
  <c r="B222" i="5"/>
  <c r="B221" i="4"/>
  <c r="B221" i="5"/>
  <c r="B221" i="3"/>
  <c r="B220" i="4"/>
  <c r="B220" i="5"/>
  <c r="B220" i="3"/>
  <c r="B219" i="4"/>
  <c r="B219" i="5"/>
  <c r="B219" i="3"/>
  <c r="B218" i="4"/>
  <c r="B218" i="3"/>
  <c r="B218" i="5"/>
  <c r="B217" i="3"/>
  <c r="B217" i="4"/>
  <c r="B217" i="5"/>
  <c r="B216" i="3"/>
  <c r="B216" i="4"/>
  <c r="B216" i="5"/>
  <c r="B215" i="4"/>
  <c r="B215" i="3"/>
  <c r="B215" i="5"/>
  <c r="B214" i="3"/>
  <c r="B214" i="4"/>
  <c r="B214" i="5"/>
  <c r="B213" i="4"/>
  <c r="B213" i="3"/>
  <c r="B213" i="5"/>
  <c r="B212" i="3"/>
  <c r="B212" i="5"/>
  <c r="B212" i="4"/>
  <c r="B211" i="5"/>
  <c r="B211" i="4"/>
  <c r="B211" i="3"/>
  <c r="C210" i="4"/>
  <c r="C210" i="5"/>
  <c r="B210" i="4"/>
  <c r="B210" i="5"/>
  <c r="B209" i="5"/>
  <c r="B209" i="4"/>
  <c r="B208" i="5"/>
  <c r="B208" i="4"/>
  <c r="B207" i="5"/>
  <c r="B207" i="4"/>
  <c r="B206" i="5"/>
  <c r="B206" i="4"/>
  <c r="B205" i="4"/>
  <c r="B205" i="5"/>
  <c r="B204" i="5"/>
  <c r="B204" i="4"/>
  <c r="B203" i="5"/>
  <c r="B203" i="4"/>
  <c r="B202" i="4"/>
  <c r="B202" i="5"/>
  <c r="B201" i="4"/>
  <c r="B201" i="5"/>
  <c r="B200" i="4"/>
  <c r="B200" i="5"/>
  <c r="B193" i="4"/>
  <c r="B193" i="5"/>
  <c r="B192" i="5"/>
  <c r="B192" i="4"/>
  <c r="B191" i="4"/>
  <c r="B191" i="5"/>
  <c r="B190" i="4"/>
  <c r="B190" i="5"/>
  <c r="B189" i="4"/>
  <c r="B189" i="5"/>
  <c r="B188" i="4"/>
  <c r="B188" i="5"/>
  <c r="B187" i="4"/>
  <c r="B187" i="5"/>
  <c r="B186" i="5"/>
  <c r="B186" i="4"/>
  <c r="B185" i="5"/>
  <c r="B185" i="4"/>
  <c r="B184" i="5"/>
  <c r="B184" i="4"/>
  <c r="B183" i="5"/>
  <c r="B183" i="4"/>
  <c r="B182" i="4"/>
  <c r="B182" i="5"/>
  <c r="B181" i="4"/>
  <c r="B181" i="5"/>
  <c r="B180" i="5"/>
  <c r="B180" i="4"/>
  <c r="B179" i="5"/>
  <c r="B179" i="4"/>
  <c r="B178" i="5"/>
  <c r="B178" i="4"/>
  <c r="B177" i="5"/>
  <c r="B177" i="4"/>
  <c r="B176" i="5"/>
  <c r="B176" i="4"/>
  <c r="B175" i="5"/>
  <c r="B175" i="4"/>
  <c r="B174" i="5"/>
  <c r="B174" i="4"/>
  <c r="B173" i="5"/>
  <c r="B173" i="4"/>
  <c r="B172" i="5"/>
  <c r="B172" i="4"/>
  <c r="B171" i="4"/>
  <c r="B171" i="5"/>
  <c r="B170" i="4"/>
  <c r="B170" i="5"/>
  <c r="B169" i="5"/>
  <c r="B169" i="4"/>
  <c r="B168" i="5"/>
  <c r="B168" i="4"/>
  <c r="B167" i="5"/>
  <c r="B167" i="4"/>
  <c r="B166" i="5"/>
  <c r="B166" i="4"/>
  <c r="B165" i="4"/>
  <c r="B165" i="5"/>
  <c r="B164" i="5"/>
  <c r="B164" i="4"/>
  <c r="B163" i="5"/>
  <c r="B163" i="4"/>
  <c r="B162" i="4"/>
  <c r="B162" i="5"/>
  <c r="B161" i="4"/>
  <c r="B161" i="5"/>
  <c r="B160" i="5"/>
  <c r="B160" i="4"/>
  <c r="B159" i="5"/>
  <c r="B159" i="4"/>
  <c r="B158" i="5"/>
  <c r="B158" i="4"/>
  <c r="B157" i="5"/>
  <c r="B157" i="4"/>
  <c r="B156" i="5"/>
  <c r="B156" i="4"/>
  <c r="B155" i="4"/>
  <c r="B155" i="5"/>
  <c r="B154" i="4"/>
  <c r="B154" i="5"/>
  <c r="B153" i="4"/>
  <c r="B153" i="5"/>
  <c r="B152" i="4"/>
  <c r="B152" i="5"/>
  <c r="B151" i="4"/>
  <c r="B151" i="5"/>
  <c r="B150" i="5"/>
  <c r="B150" i="4"/>
  <c r="B149" i="4"/>
  <c r="B149" i="5"/>
  <c r="B148" i="5"/>
  <c r="B148" i="4"/>
  <c r="B147" i="5"/>
  <c r="B147" i="4"/>
  <c r="B146" i="4"/>
  <c r="B146" i="5"/>
  <c r="B145" i="4"/>
  <c r="B145" i="5"/>
  <c r="B144" i="4"/>
  <c r="B144" i="5"/>
  <c r="B143" i="5"/>
  <c r="B143" i="4"/>
  <c r="B142" i="5"/>
  <c r="B142" i="4"/>
  <c r="B141" i="4"/>
  <c r="B141" i="5"/>
  <c r="B124" i="4"/>
  <c r="B124" i="3"/>
  <c r="B123" i="3"/>
  <c r="B123" i="4"/>
  <c r="B122" i="4"/>
  <c r="B122" i="3"/>
  <c r="B121" i="4"/>
  <c r="B121" i="3"/>
  <c r="B120" i="4"/>
  <c r="B120" i="5"/>
  <c r="B120" i="3"/>
  <c r="B119" i="4"/>
  <c r="B119" i="5"/>
  <c r="B119" i="3"/>
  <c r="B118" i="5"/>
  <c r="B118" i="4"/>
  <c r="B118" i="3"/>
  <c r="B117" i="5"/>
  <c r="B117" i="4"/>
  <c r="B117" i="3"/>
  <c r="B46" i="5"/>
  <c r="B46" i="4"/>
  <c r="B45" i="4"/>
  <c r="B45" i="5"/>
  <c r="B44" i="4"/>
  <c r="B44" i="5"/>
  <c r="B43" i="5"/>
  <c r="B43" i="4"/>
  <c r="B42" i="5"/>
  <c r="B42" i="4"/>
  <c r="B41" i="4"/>
  <c r="B41" i="5"/>
  <c r="B40" i="4"/>
  <c r="B40" i="5"/>
  <c r="B39" i="4"/>
  <c r="B39" i="5"/>
  <c r="B38" i="4"/>
  <c r="B38" i="5"/>
  <c r="B37" i="4"/>
  <c r="B37" i="5"/>
  <c r="B36" i="4"/>
  <c r="B36" i="5"/>
  <c r="B35" i="4"/>
  <c r="B35" i="5"/>
  <c r="B34" i="5"/>
  <c r="B34" i="4"/>
  <c r="B33" i="5"/>
  <c r="B33" i="4"/>
  <c r="B32" i="5"/>
  <c r="B32" i="4"/>
  <c r="B31" i="5"/>
  <c r="B31" i="4"/>
  <c r="B30" i="5"/>
  <c r="B30" i="4"/>
  <c r="B29" i="5"/>
  <c r="B29" i="4"/>
  <c r="B28" i="5"/>
  <c r="B28" i="4"/>
  <c r="B27" i="5"/>
  <c r="B27" i="4"/>
  <c r="B26" i="4"/>
  <c r="B26" i="5"/>
  <c r="B25" i="5"/>
  <c r="B25" i="4"/>
  <c r="B24" i="5"/>
  <c r="B24" i="4"/>
  <c r="B23" i="4"/>
  <c r="B23" i="5"/>
  <c r="B22" i="5"/>
  <c r="B22" i="4"/>
  <c r="B21" i="4"/>
  <c r="B21" i="5"/>
  <c r="B20" i="4"/>
  <c r="B20" i="5"/>
  <c r="B15" i="4"/>
  <c r="B15" i="5"/>
  <c r="B14" i="5"/>
  <c r="B14" i="4"/>
  <c r="B13" i="5"/>
  <c r="B13" i="4"/>
  <c r="B12" i="4"/>
  <c r="B12" i="5"/>
  <c r="B11" i="4"/>
  <c r="B11" i="5"/>
  <c r="B10" i="4"/>
  <c r="B10" i="5"/>
  <c r="B9" i="4"/>
  <c r="B9" i="5"/>
  <c r="B8" i="5"/>
  <c r="B8" i="4"/>
  <c r="B8" i="3"/>
  <c r="C8" i="3" l="1"/>
  <c r="C8" i="4"/>
  <c r="C8" i="5"/>
  <c r="F8" i="5"/>
  <c r="K8" i="1"/>
  <c r="G8" i="4" s="1"/>
  <c r="P8" i="1"/>
  <c r="L8" i="4" s="1"/>
  <c r="F8" i="4"/>
  <c r="C9" i="3"/>
  <c r="C9" i="4"/>
  <c r="C9" i="5"/>
  <c r="I9" i="5" s="1"/>
  <c r="P9" i="1"/>
  <c r="L9" i="4" s="1"/>
  <c r="F9" i="5"/>
  <c r="F9" i="4"/>
  <c r="K9" i="1"/>
  <c r="G9" i="4" s="1"/>
  <c r="C10" i="3"/>
  <c r="C10" i="4"/>
  <c r="C10" i="5"/>
  <c r="P10" i="1"/>
  <c r="L10" i="4" s="1"/>
  <c r="F10" i="4"/>
  <c r="K10" i="1"/>
  <c r="G10" i="4" s="1"/>
  <c r="F10" i="5"/>
  <c r="Q10" i="5" s="1"/>
  <c r="S10" i="5" s="1"/>
  <c r="F11" i="4"/>
  <c r="F11" i="5"/>
  <c r="Q11" i="5" s="1"/>
  <c r="S11" i="5" s="1"/>
  <c r="P11" i="1"/>
  <c r="L11" i="4" s="1"/>
  <c r="C11" i="3"/>
  <c r="C11" i="4"/>
  <c r="C11" i="5"/>
  <c r="P12" i="1"/>
  <c r="L12" i="4" s="1"/>
  <c r="F12" i="5"/>
  <c r="F12" i="4"/>
  <c r="C12" i="3"/>
  <c r="C12" i="4"/>
  <c r="C12" i="5"/>
  <c r="C13" i="3"/>
  <c r="C13" i="4"/>
  <c r="C13" i="5"/>
  <c r="F13" i="5"/>
  <c r="Q13" i="5" s="1"/>
  <c r="S13" i="5" s="1"/>
  <c r="K13" i="1"/>
  <c r="G13" i="4" s="1"/>
  <c r="P13" i="1"/>
  <c r="L13" i="4" s="1"/>
  <c r="F13" i="4"/>
  <c r="C14" i="3"/>
  <c r="C14" i="5"/>
  <c r="C14" i="4"/>
  <c r="F14" i="5"/>
  <c r="P14" i="1"/>
  <c r="L14" i="4" s="1"/>
  <c r="K14" i="1"/>
  <c r="G14" i="4" s="1"/>
  <c r="F14" i="4"/>
  <c r="F15" i="4"/>
  <c r="F15" i="5"/>
  <c r="Q15" i="5" s="1"/>
  <c r="S15" i="5" s="1"/>
  <c r="K15" i="1"/>
  <c r="G15" i="4" s="1"/>
  <c r="P15" i="1"/>
  <c r="L15" i="4" s="1"/>
  <c r="C15" i="3"/>
  <c r="C15" i="5"/>
  <c r="C15" i="4"/>
  <c r="F16" i="4"/>
  <c r="K16" i="1"/>
  <c r="G16" i="4" s="1"/>
  <c r="P16" i="1"/>
  <c r="L16" i="4" s="1"/>
  <c r="C16" i="5"/>
  <c r="C16" i="4"/>
  <c r="C16" i="3"/>
  <c r="F17" i="4"/>
  <c r="K17" i="1"/>
  <c r="G17" i="4" s="1"/>
  <c r="P17" i="1"/>
  <c r="L17" i="4" s="1"/>
  <c r="F17" i="5"/>
  <c r="Q17" i="5" s="1"/>
  <c r="S17" i="5" s="1"/>
  <c r="C17" i="5"/>
  <c r="C17" i="3"/>
  <c r="C17" i="4"/>
  <c r="F18" i="4"/>
  <c r="P18" i="1"/>
  <c r="L18" i="4" s="1"/>
  <c r="K18" i="1"/>
  <c r="G18" i="4" s="1"/>
  <c r="F18" i="5"/>
  <c r="C18" i="3"/>
  <c r="C18" i="4"/>
  <c r="C18" i="5"/>
  <c r="F19" i="4"/>
  <c r="F19" i="5"/>
  <c r="Q19" i="5" s="1"/>
  <c r="S19" i="5" s="1"/>
  <c r="P19" i="1"/>
  <c r="L19" i="4" s="1"/>
  <c r="K19" i="1"/>
  <c r="G19" i="4" s="1"/>
  <c r="C19" i="5"/>
  <c r="C19" i="3"/>
  <c r="C19" i="4"/>
  <c r="F31" i="7"/>
  <c r="G31" i="7"/>
  <c r="E31" i="7"/>
  <c r="D31" i="7"/>
  <c r="B31" i="7"/>
  <c r="Q8" i="5"/>
  <c r="F209" i="4"/>
  <c r="P209" i="1"/>
  <c r="L209" i="4" s="1"/>
  <c r="F209" i="5"/>
  <c r="Q209" i="5" s="1"/>
  <c r="S209" i="5" s="1"/>
  <c r="K209" i="1"/>
  <c r="G209" i="4" s="1"/>
  <c r="C209" i="3"/>
  <c r="C209" i="5"/>
  <c r="C209" i="4"/>
  <c r="F208" i="5"/>
  <c r="Q208" i="5" s="1"/>
  <c r="S208" i="5" s="1"/>
  <c r="P208" i="1"/>
  <c r="L208" i="4" s="1"/>
  <c r="K208" i="1"/>
  <c r="G208" i="4" s="1"/>
  <c r="F208" i="4"/>
  <c r="C208" i="3"/>
  <c r="C208" i="5"/>
  <c r="C208" i="4"/>
  <c r="F207" i="5"/>
  <c r="Q207" i="5" s="1"/>
  <c r="S207" i="5" s="1"/>
  <c r="P207" i="1"/>
  <c r="L207" i="4" s="1"/>
  <c r="K207" i="1"/>
  <c r="G207" i="4" s="1"/>
  <c r="F207" i="4"/>
  <c r="C207" i="3"/>
  <c r="C207" i="5"/>
  <c r="C207" i="4"/>
  <c r="K206" i="1"/>
  <c r="G206" i="4" s="1"/>
  <c r="F206" i="5"/>
  <c r="Q206" i="5" s="1"/>
  <c r="S206" i="5" s="1"/>
  <c r="P206" i="1"/>
  <c r="L206" i="4" s="1"/>
  <c r="F206" i="4"/>
  <c r="C206" i="3"/>
  <c r="C206" i="5"/>
  <c r="C206" i="4"/>
  <c r="K205" i="1"/>
  <c r="G205" i="4" s="1"/>
  <c r="F205" i="5"/>
  <c r="Q205" i="5" s="1"/>
  <c r="S205" i="5" s="1"/>
  <c r="P205" i="1"/>
  <c r="L205" i="4" s="1"/>
  <c r="F205" i="4"/>
  <c r="C205" i="3"/>
  <c r="C205" i="4"/>
  <c r="C205" i="5"/>
  <c r="F291" i="4"/>
  <c r="F291" i="5"/>
  <c r="Q291" i="5" s="1"/>
  <c r="S291" i="5" s="1"/>
  <c r="K291" i="1"/>
  <c r="G291" i="4" s="1"/>
  <c r="P291" i="1"/>
  <c r="L291" i="4" s="1"/>
  <c r="C291" i="3"/>
  <c r="C291" i="5"/>
  <c r="C291" i="4"/>
  <c r="F290" i="5"/>
  <c r="Q290" i="5" s="1"/>
  <c r="S290" i="5" s="1"/>
  <c r="P290" i="1"/>
  <c r="L290" i="4" s="1"/>
  <c r="K290" i="1"/>
  <c r="G290" i="4" s="1"/>
  <c r="F290" i="4"/>
  <c r="C290" i="4"/>
  <c r="C290" i="3"/>
  <c r="C290" i="5"/>
  <c r="K289" i="1"/>
  <c r="G289" i="4" s="1"/>
  <c r="F289" i="5"/>
  <c r="Q289" i="5" s="1"/>
  <c r="S289" i="5" s="1"/>
  <c r="P289" i="1"/>
  <c r="L289" i="4" s="1"/>
  <c r="F289" i="4"/>
  <c r="C289" i="3"/>
  <c r="C289" i="4"/>
  <c r="C289" i="5"/>
  <c r="P288" i="1"/>
  <c r="L288" i="4" s="1"/>
  <c r="K288" i="1"/>
  <c r="G288" i="4" s="1"/>
  <c r="F288" i="5"/>
  <c r="Q288" i="5" s="1"/>
  <c r="S288" i="5" s="1"/>
  <c r="F288" i="4"/>
  <c r="C288" i="3"/>
  <c r="C288" i="4"/>
  <c r="C288" i="5"/>
  <c r="F287" i="4"/>
  <c r="P287" i="1"/>
  <c r="L287" i="4" s="1"/>
  <c r="F287" i="5"/>
  <c r="Q287" i="5" s="1"/>
  <c r="S287" i="5" s="1"/>
  <c r="K287" i="1"/>
  <c r="G287" i="4" s="1"/>
  <c r="C287" i="4"/>
  <c r="C287" i="3"/>
  <c r="C287" i="5"/>
  <c r="P286" i="1"/>
  <c r="L286" i="4" s="1"/>
  <c r="F286" i="4"/>
  <c r="F286" i="5"/>
  <c r="Q286" i="5" s="1"/>
  <c r="S286" i="5" s="1"/>
  <c r="K286" i="1"/>
  <c r="G286" i="4" s="1"/>
  <c r="C286" i="3"/>
  <c r="C286" i="5"/>
  <c r="C286" i="4"/>
  <c r="F285" i="5"/>
  <c r="Q285" i="5" s="1"/>
  <c r="S285" i="5" s="1"/>
  <c r="F285" i="4"/>
  <c r="K285" i="1"/>
  <c r="G285" i="4" s="1"/>
  <c r="P285" i="1"/>
  <c r="L285" i="4" s="1"/>
  <c r="C285" i="5"/>
  <c r="C285" i="4"/>
  <c r="C285" i="3"/>
  <c r="K284" i="1"/>
  <c r="G284" i="4" s="1"/>
  <c r="P284" i="1"/>
  <c r="L284" i="4" s="1"/>
  <c r="F284" i="5"/>
  <c r="Q284" i="5" s="1"/>
  <c r="S284" i="5" s="1"/>
  <c r="F284" i="4"/>
  <c r="C284" i="5"/>
  <c r="C284" i="4"/>
  <c r="C284" i="3"/>
  <c r="K283" i="1"/>
  <c r="G283" i="4" s="1"/>
  <c r="F283" i="4"/>
  <c r="P283" i="1"/>
  <c r="L283" i="4" s="1"/>
  <c r="F283" i="5"/>
  <c r="Q283" i="5" s="1"/>
  <c r="S283" i="5" s="1"/>
  <c r="C283" i="3"/>
  <c r="C283" i="4"/>
  <c r="C283" i="5"/>
  <c r="F282" i="5"/>
  <c r="Q282" i="5" s="1"/>
  <c r="S282" i="5" s="1"/>
  <c r="K282" i="1"/>
  <c r="G282" i="4" s="1"/>
  <c r="P282" i="1"/>
  <c r="L282" i="4" s="1"/>
  <c r="F282" i="4"/>
  <c r="C282" i="3"/>
  <c r="C282" i="4"/>
  <c r="C282" i="5"/>
  <c r="K281" i="1"/>
  <c r="G281" i="4" s="1"/>
  <c r="F281" i="4"/>
  <c r="P281" i="1"/>
  <c r="L281" i="4" s="1"/>
  <c r="F281" i="5"/>
  <c r="Q281" i="5" s="1"/>
  <c r="S281" i="5" s="1"/>
  <c r="C281" i="3"/>
  <c r="C281" i="4"/>
  <c r="C281" i="5"/>
  <c r="F280" i="5"/>
  <c r="Q280" i="5" s="1"/>
  <c r="S280" i="5" s="1"/>
  <c r="P280" i="1"/>
  <c r="L280" i="4" s="1"/>
  <c r="K280" i="1"/>
  <c r="G280" i="4" s="1"/>
  <c r="F280" i="4"/>
  <c r="C280" i="5"/>
  <c r="C280" i="4"/>
  <c r="C280" i="3"/>
  <c r="F279" i="5"/>
  <c r="Q279" i="5" s="1"/>
  <c r="S279" i="5" s="1"/>
  <c r="P279" i="1"/>
  <c r="L279" i="4" s="1"/>
  <c r="K279" i="1"/>
  <c r="G279" i="4" s="1"/>
  <c r="F279" i="4"/>
  <c r="C279" i="3"/>
  <c r="C279" i="4"/>
  <c r="C279" i="5"/>
  <c r="K278" i="1"/>
  <c r="G278" i="4" s="1"/>
  <c r="F278" i="5"/>
  <c r="Q278" i="5" s="1"/>
  <c r="S278" i="5" s="1"/>
  <c r="F278" i="4"/>
  <c r="P278" i="1"/>
  <c r="L278" i="4" s="1"/>
  <c r="C278" i="3"/>
  <c r="C278" i="5"/>
  <c r="C278" i="4"/>
  <c r="P277" i="1"/>
  <c r="L277" i="4" s="1"/>
  <c r="F277" i="5"/>
  <c r="Q277" i="5" s="1"/>
  <c r="S277" i="5" s="1"/>
  <c r="F277" i="4"/>
  <c r="K277" i="1"/>
  <c r="G277" i="4" s="1"/>
  <c r="C277" i="3"/>
  <c r="C277" i="5"/>
  <c r="C277" i="4"/>
  <c r="P204" i="1"/>
  <c r="L204" i="4" s="1"/>
  <c r="F204" i="5"/>
  <c r="Q204" i="5" s="1"/>
  <c r="S204" i="5" s="1"/>
  <c r="F204" i="4"/>
  <c r="K204" i="1"/>
  <c r="G204" i="4" s="1"/>
  <c r="C204" i="3"/>
  <c r="C204" i="5"/>
  <c r="C204" i="4"/>
  <c r="F203" i="4"/>
  <c r="K203" i="1"/>
  <c r="G203" i="4" s="1"/>
  <c r="F203" i="5"/>
  <c r="Q203" i="5" s="1"/>
  <c r="S203" i="5" s="1"/>
  <c r="P203" i="1"/>
  <c r="L203" i="4" s="1"/>
  <c r="C203" i="3"/>
  <c r="C203" i="5"/>
  <c r="C203" i="4"/>
  <c r="P202" i="1"/>
  <c r="L202" i="4" s="1"/>
  <c r="F202" i="4"/>
  <c r="K202" i="1"/>
  <c r="G202" i="4" s="1"/>
  <c r="F202" i="5"/>
  <c r="Q202" i="5" s="1"/>
  <c r="S202" i="5" s="1"/>
  <c r="C202" i="3"/>
  <c r="C202" i="5"/>
  <c r="C202" i="4"/>
  <c r="F201" i="4"/>
  <c r="P201" i="1"/>
  <c r="L201" i="4" s="1"/>
  <c r="K201" i="1"/>
  <c r="G201" i="4" s="1"/>
  <c r="F201" i="5"/>
  <c r="Q201" i="5" s="1"/>
  <c r="S201" i="5" s="1"/>
  <c r="C201" i="3"/>
  <c r="C201" i="5"/>
  <c r="C201" i="4"/>
  <c r="K200" i="1"/>
  <c r="G200" i="4" s="1"/>
  <c r="P200" i="1"/>
  <c r="L200" i="4" s="1"/>
  <c r="F200" i="4"/>
  <c r="F200" i="5"/>
  <c r="Q200" i="5" s="1"/>
  <c r="S200" i="5" s="1"/>
  <c r="C200" i="3"/>
  <c r="C200" i="4"/>
  <c r="C200" i="5"/>
  <c r="F199" i="5"/>
  <c r="Q199" i="5" s="1"/>
  <c r="S199" i="5" s="1"/>
  <c r="K199" i="1"/>
  <c r="G199" i="4" s="1"/>
  <c r="F199" i="4"/>
  <c r="P199" i="1"/>
  <c r="L199" i="4" s="1"/>
  <c r="C199" i="5"/>
  <c r="C199" i="4"/>
  <c r="C199" i="3"/>
  <c r="F198" i="5"/>
  <c r="Q198" i="5" s="1"/>
  <c r="S198" i="5" s="1"/>
  <c r="F198" i="4"/>
  <c r="K198" i="1"/>
  <c r="G198" i="4" s="1"/>
  <c r="P198" i="1"/>
  <c r="L198" i="4" s="1"/>
  <c r="C198" i="4"/>
  <c r="C198" i="5"/>
  <c r="C198" i="3"/>
  <c r="F197" i="5"/>
  <c r="Q197" i="5" s="1"/>
  <c r="S197" i="5" s="1"/>
  <c r="K197" i="1"/>
  <c r="G197" i="4" s="1"/>
  <c r="F197" i="4"/>
  <c r="P197" i="1"/>
  <c r="L197" i="4" s="1"/>
  <c r="C197" i="5"/>
  <c r="C197" i="3"/>
  <c r="C197" i="4"/>
  <c r="F196" i="5"/>
  <c r="Q196" i="5" s="1"/>
  <c r="S196" i="5" s="1"/>
  <c r="F196" i="4"/>
  <c r="K196" i="1"/>
  <c r="G196" i="4" s="1"/>
  <c r="P196" i="1"/>
  <c r="L196" i="4" s="1"/>
  <c r="C196" i="3"/>
  <c r="C196" i="4"/>
  <c r="C196" i="5"/>
  <c r="F195" i="5"/>
  <c r="Q195" i="5" s="1"/>
  <c r="S195" i="5" s="1"/>
  <c r="P195" i="1"/>
  <c r="L195" i="4" s="1"/>
  <c r="K195" i="1"/>
  <c r="G195" i="4" s="1"/>
  <c r="F195" i="4"/>
  <c r="C195" i="4"/>
  <c r="C195" i="3"/>
  <c r="C195" i="5"/>
  <c r="F194" i="5"/>
  <c r="Q194" i="5" s="1"/>
  <c r="S194" i="5" s="1"/>
  <c r="K194" i="1"/>
  <c r="G194" i="4" s="1"/>
  <c r="F194" i="4"/>
  <c r="P194" i="1"/>
  <c r="L194" i="4" s="1"/>
  <c r="C194" i="4"/>
  <c r="C194" i="5"/>
  <c r="C194" i="3"/>
  <c r="P193" i="1"/>
  <c r="L193" i="4" s="1"/>
  <c r="K193" i="1"/>
  <c r="G193" i="4" s="1"/>
  <c r="F193" i="5"/>
  <c r="Q193" i="5" s="1"/>
  <c r="S193" i="5" s="1"/>
  <c r="F193" i="4"/>
  <c r="C193" i="3"/>
  <c r="C193" i="5"/>
  <c r="C193" i="4"/>
  <c r="P192" i="1"/>
  <c r="L192" i="4" s="1"/>
  <c r="K192" i="1"/>
  <c r="G192" i="4" s="1"/>
  <c r="F192" i="4"/>
  <c r="F192" i="5"/>
  <c r="Q192" i="5" s="1"/>
  <c r="S192" i="5" s="1"/>
  <c r="C192" i="3"/>
  <c r="C192" i="4"/>
  <c r="C192" i="5"/>
  <c r="P191" i="1"/>
  <c r="L191" i="4" s="1"/>
  <c r="F191" i="4"/>
  <c r="F191" i="5"/>
  <c r="Q191" i="5" s="1"/>
  <c r="S191" i="5" s="1"/>
  <c r="K191" i="1"/>
  <c r="G191" i="4" s="1"/>
  <c r="C191" i="3"/>
  <c r="C191" i="5"/>
  <c r="C191" i="4"/>
  <c r="P190" i="1"/>
  <c r="L190" i="4" s="1"/>
  <c r="K190" i="1"/>
  <c r="G190" i="4" s="1"/>
  <c r="F190" i="4"/>
  <c r="F190" i="5"/>
  <c r="Q190" i="5" s="1"/>
  <c r="S190" i="5" s="1"/>
  <c r="C190" i="3"/>
  <c r="C190" i="4"/>
  <c r="C190" i="5"/>
  <c r="F189" i="5"/>
  <c r="Q189" i="5" s="1"/>
  <c r="S189" i="5" s="1"/>
  <c r="F189" i="4"/>
  <c r="K189" i="1"/>
  <c r="G189" i="4" s="1"/>
  <c r="P189" i="1"/>
  <c r="L189" i="4" s="1"/>
  <c r="C189" i="3"/>
  <c r="C189" i="5"/>
  <c r="C189" i="4"/>
  <c r="P188" i="1"/>
  <c r="L188" i="4" s="1"/>
  <c r="F188" i="4"/>
  <c r="K188" i="1"/>
  <c r="G188" i="4" s="1"/>
  <c r="F188" i="5"/>
  <c r="Q188" i="5" s="1"/>
  <c r="S188" i="5" s="1"/>
  <c r="C188" i="3"/>
  <c r="C188" i="4"/>
  <c r="C188" i="5"/>
  <c r="F187" i="5"/>
  <c r="Q187" i="5" s="1"/>
  <c r="S187" i="5" s="1"/>
  <c r="F187" i="4"/>
  <c r="P187" i="1"/>
  <c r="L187" i="4" s="1"/>
  <c r="K187" i="1"/>
  <c r="G187" i="4" s="1"/>
  <c r="C187" i="3"/>
  <c r="C187" i="4"/>
  <c r="C187" i="5"/>
  <c r="F186" i="5"/>
  <c r="Q186" i="5" s="1"/>
  <c r="S186" i="5" s="1"/>
  <c r="P186" i="1"/>
  <c r="L186" i="4" s="1"/>
  <c r="F186" i="4"/>
  <c r="K186" i="1"/>
  <c r="G186" i="4" s="1"/>
  <c r="C186" i="3"/>
  <c r="C186" i="5"/>
  <c r="C186" i="4"/>
  <c r="F185" i="4"/>
  <c r="K185" i="1"/>
  <c r="G185" i="4" s="1"/>
  <c r="P185" i="1"/>
  <c r="L185" i="4" s="1"/>
  <c r="F185" i="5"/>
  <c r="Q185" i="5" s="1"/>
  <c r="S185" i="5" s="1"/>
  <c r="C185" i="3"/>
  <c r="C185" i="4"/>
  <c r="C185" i="5"/>
  <c r="F184" i="4"/>
  <c r="F184" i="5"/>
  <c r="Q184" i="5" s="1"/>
  <c r="S184" i="5" s="1"/>
  <c r="P184" i="1"/>
  <c r="L184" i="4" s="1"/>
  <c r="K184" i="1"/>
  <c r="G184" i="4" s="1"/>
  <c r="C184" i="3"/>
  <c r="C184" i="4"/>
  <c r="C184" i="5"/>
  <c r="P183" i="1"/>
  <c r="L183" i="4" s="1"/>
  <c r="F183" i="4"/>
  <c r="K183" i="1"/>
  <c r="G183" i="4" s="1"/>
  <c r="F183" i="5"/>
  <c r="Q183" i="5" s="1"/>
  <c r="S183" i="5" s="1"/>
  <c r="C183" i="3"/>
  <c r="C183" i="5"/>
  <c r="C183" i="4"/>
  <c r="F182" i="4"/>
  <c r="K182" i="1"/>
  <c r="G182" i="4" s="1"/>
  <c r="F182" i="5"/>
  <c r="Q182" i="5" s="1"/>
  <c r="S182" i="5" s="1"/>
  <c r="P182" i="1"/>
  <c r="L182" i="4" s="1"/>
  <c r="C182" i="3"/>
  <c r="C182" i="4"/>
  <c r="C182" i="5"/>
  <c r="K181" i="1"/>
  <c r="G181" i="4" s="1"/>
  <c r="F181" i="5"/>
  <c r="Q181" i="5" s="1"/>
  <c r="S181" i="5" s="1"/>
  <c r="P181" i="1"/>
  <c r="L181" i="4" s="1"/>
  <c r="F181" i="4"/>
  <c r="C181" i="3"/>
  <c r="C181" i="5"/>
  <c r="C181" i="4"/>
  <c r="K180" i="1"/>
  <c r="G180" i="4" s="1"/>
  <c r="F180" i="5"/>
  <c r="Q180" i="5" s="1"/>
  <c r="S180" i="5" s="1"/>
  <c r="P180" i="1"/>
  <c r="L180" i="4" s="1"/>
  <c r="F180" i="4"/>
  <c r="C180" i="3"/>
  <c r="C180" i="5"/>
  <c r="C180" i="4"/>
  <c r="K179" i="1"/>
  <c r="G179" i="4" s="1"/>
  <c r="F179" i="4"/>
  <c r="F179" i="5"/>
  <c r="Q179" i="5" s="1"/>
  <c r="S179" i="5" s="1"/>
  <c r="P179" i="1"/>
  <c r="L179" i="4" s="1"/>
  <c r="C179" i="3"/>
  <c r="C179" i="4"/>
  <c r="C179" i="5"/>
  <c r="F178" i="4"/>
  <c r="K178" i="1"/>
  <c r="G178" i="4" s="1"/>
  <c r="P178" i="1"/>
  <c r="L178" i="4" s="1"/>
  <c r="F178" i="5"/>
  <c r="Q178" i="5" s="1"/>
  <c r="S178" i="5" s="1"/>
  <c r="C178" i="3"/>
  <c r="C178" i="4"/>
  <c r="C178" i="5"/>
  <c r="F177" i="5"/>
  <c r="Q177" i="5" s="1"/>
  <c r="S177" i="5" s="1"/>
  <c r="F177" i="4"/>
  <c r="K177" i="1"/>
  <c r="G177" i="4" s="1"/>
  <c r="P177" i="1"/>
  <c r="L177" i="4" s="1"/>
  <c r="C177" i="3"/>
  <c r="C177" i="4"/>
  <c r="C177" i="5"/>
  <c r="F176" i="4"/>
  <c r="P176" i="1"/>
  <c r="L176" i="4" s="1"/>
  <c r="F176" i="5"/>
  <c r="Q176" i="5" s="1"/>
  <c r="S176" i="5" s="1"/>
  <c r="K176" i="1"/>
  <c r="G176" i="4" s="1"/>
  <c r="C176" i="3"/>
  <c r="C176" i="4"/>
  <c r="C176" i="5"/>
  <c r="F175" i="4"/>
  <c r="P175" i="1"/>
  <c r="L175" i="4" s="1"/>
  <c r="K175" i="1"/>
  <c r="G175" i="4" s="1"/>
  <c r="F175" i="5"/>
  <c r="Q175" i="5" s="1"/>
  <c r="S175" i="5" s="1"/>
  <c r="C175" i="3"/>
  <c r="C175" i="4"/>
  <c r="C175" i="5"/>
  <c r="K174" i="1"/>
  <c r="G174" i="4" s="1"/>
  <c r="P174" i="1"/>
  <c r="L174" i="4" s="1"/>
  <c r="F174" i="4"/>
  <c r="F174" i="5"/>
  <c r="Q174" i="5" s="1"/>
  <c r="S174" i="5" s="1"/>
  <c r="C174" i="3"/>
  <c r="C174" i="5"/>
  <c r="C174" i="4"/>
  <c r="P173" i="1"/>
  <c r="L173" i="4" s="1"/>
  <c r="F173" i="5"/>
  <c r="Q173" i="5" s="1"/>
  <c r="S173" i="5" s="1"/>
  <c r="K173" i="1"/>
  <c r="G173" i="4" s="1"/>
  <c r="F173" i="4"/>
  <c r="C173" i="3"/>
  <c r="C173" i="5"/>
  <c r="C173" i="4"/>
  <c r="K172" i="1"/>
  <c r="G172" i="4" s="1"/>
  <c r="F172" i="5"/>
  <c r="Q172" i="5" s="1"/>
  <c r="S172" i="5" s="1"/>
  <c r="F172" i="4"/>
  <c r="P172" i="1"/>
  <c r="L172" i="4" s="1"/>
  <c r="C172" i="3"/>
  <c r="C172" i="4"/>
  <c r="C172" i="5"/>
  <c r="F171" i="5"/>
  <c r="Q171" i="5" s="1"/>
  <c r="S171" i="5" s="1"/>
  <c r="P171" i="1"/>
  <c r="L171" i="4" s="1"/>
  <c r="K171" i="1"/>
  <c r="G171" i="4" s="1"/>
  <c r="F171" i="4"/>
  <c r="C171" i="3"/>
  <c r="C171" i="5"/>
  <c r="C171" i="4"/>
  <c r="F170" i="4"/>
  <c r="F170" i="5"/>
  <c r="Q170" i="5" s="1"/>
  <c r="S170" i="5" s="1"/>
  <c r="K170" i="1"/>
  <c r="G170" i="4" s="1"/>
  <c r="P170" i="1"/>
  <c r="L170" i="4" s="1"/>
  <c r="C170" i="3"/>
  <c r="C170" i="4"/>
  <c r="C170" i="5"/>
  <c r="F169" i="5"/>
  <c r="Q169" i="5" s="1"/>
  <c r="S169" i="5" s="1"/>
  <c r="K169" i="1"/>
  <c r="G169" i="4" s="1"/>
  <c r="P169" i="1"/>
  <c r="L169" i="4" s="1"/>
  <c r="F169" i="4"/>
  <c r="C169" i="3"/>
  <c r="C169" i="5"/>
  <c r="C169" i="4"/>
  <c r="P168" i="1"/>
  <c r="L168" i="4" s="1"/>
  <c r="K168" i="1"/>
  <c r="G168" i="4" s="1"/>
  <c r="F168" i="5"/>
  <c r="Q168" i="5" s="1"/>
  <c r="S168" i="5" s="1"/>
  <c r="F168" i="4"/>
  <c r="C168" i="3"/>
  <c r="C168" i="5"/>
  <c r="C168" i="4"/>
  <c r="P167" i="1"/>
  <c r="L167" i="4" s="1"/>
  <c r="K167" i="1"/>
  <c r="G167" i="4" s="1"/>
  <c r="F167" i="5"/>
  <c r="Q167" i="5" s="1"/>
  <c r="S167" i="5" s="1"/>
  <c r="F167" i="4"/>
  <c r="C167" i="3"/>
  <c r="C167" i="5"/>
  <c r="C167" i="4"/>
  <c r="F166" i="5"/>
  <c r="Q166" i="5" s="1"/>
  <c r="S166" i="5" s="1"/>
  <c r="P166" i="1"/>
  <c r="L166" i="4" s="1"/>
  <c r="F166" i="4"/>
  <c r="K166" i="1"/>
  <c r="G166" i="4" s="1"/>
  <c r="C166" i="3"/>
  <c r="C166" i="5"/>
  <c r="C166" i="4"/>
  <c r="F165" i="5"/>
  <c r="Q165" i="5" s="1"/>
  <c r="S165" i="5" s="1"/>
  <c r="F165" i="4"/>
  <c r="K165" i="1"/>
  <c r="G165" i="4" s="1"/>
  <c r="P165" i="1"/>
  <c r="L165" i="4" s="1"/>
  <c r="C165" i="3"/>
  <c r="C165" i="4"/>
  <c r="C165" i="5"/>
  <c r="F164" i="5"/>
  <c r="Q164" i="5" s="1"/>
  <c r="S164" i="5" s="1"/>
  <c r="P164" i="1"/>
  <c r="L164" i="4" s="1"/>
  <c r="K164" i="1"/>
  <c r="G164" i="4" s="1"/>
  <c r="F164" i="4"/>
  <c r="C164" i="3"/>
  <c r="C164" i="5"/>
  <c r="C164" i="4"/>
  <c r="K163" i="1"/>
  <c r="G163" i="4" s="1"/>
  <c r="F163" i="4"/>
  <c r="F163" i="5"/>
  <c r="Q163" i="5" s="1"/>
  <c r="S163" i="5" s="1"/>
  <c r="P163" i="1"/>
  <c r="L163" i="4" s="1"/>
  <c r="C163" i="3"/>
  <c r="C163" i="5"/>
  <c r="C163" i="4"/>
  <c r="F162" i="5"/>
  <c r="Q162" i="5" s="1"/>
  <c r="S162" i="5" s="1"/>
  <c r="F162" i="4"/>
  <c r="K162" i="1"/>
  <c r="G162" i="4" s="1"/>
  <c r="P162" i="1"/>
  <c r="L162" i="4" s="1"/>
  <c r="C162" i="3"/>
  <c r="C162" i="4"/>
  <c r="C162" i="5"/>
  <c r="G162" i="5" s="1"/>
  <c r="F161" i="4"/>
  <c r="K161" i="1"/>
  <c r="G161" i="4" s="1"/>
  <c r="P161" i="1"/>
  <c r="L161" i="4" s="1"/>
  <c r="F161" i="5"/>
  <c r="Q161" i="5" s="1"/>
  <c r="S161" i="5" s="1"/>
  <c r="C161" i="3"/>
  <c r="C161" i="5"/>
  <c r="C161" i="4"/>
  <c r="K160" i="1"/>
  <c r="G160" i="4" s="1"/>
  <c r="F160" i="5"/>
  <c r="Q160" i="5" s="1"/>
  <c r="S160" i="5" s="1"/>
  <c r="F160" i="4"/>
  <c r="P160" i="1"/>
  <c r="L160" i="4" s="1"/>
  <c r="C160" i="3"/>
  <c r="C160" i="5"/>
  <c r="C160" i="4"/>
  <c r="K159" i="1"/>
  <c r="G159" i="4" s="1"/>
  <c r="P159" i="1"/>
  <c r="L159" i="4" s="1"/>
  <c r="F159" i="5"/>
  <c r="Q159" i="5" s="1"/>
  <c r="S159" i="5" s="1"/>
  <c r="F159" i="4"/>
  <c r="C159" i="3"/>
  <c r="C159" i="5"/>
  <c r="C159" i="4"/>
  <c r="K158" i="1"/>
  <c r="G158" i="4" s="1"/>
  <c r="P158" i="1"/>
  <c r="L158" i="4" s="1"/>
  <c r="F158" i="5"/>
  <c r="Q158" i="5" s="1"/>
  <c r="S158" i="5" s="1"/>
  <c r="F158" i="4"/>
  <c r="C158" i="3"/>
  <c r="C158" i="5"/>
  <c r="C158" i="4"/>
  <c r="K157" i="1"/>
  <c r="G157" i="4" s="1"/>
  <c r="F157" i="4"/>
  <c r="P157" i="1"/>
  <c r="L157" i="4" s="1"/>
  <c r="F157" i="5"/>
  <c r="Q157" i="5" s="1"/>
  <c r="S157" i="5" s="1"/>
  <c r="C157" i="3"/>
  <c r="C157" i="5"/>
  <c r="C157" i="4"/>
  <c r="F156" i="5"/>
  <c r="Q156" i="5" s="1"/>
  <c r="S156" i="5" s="1"/>
  <c r="F156" i="4"/>
  <c r="P156" i="1"/>
  <c r="L156" i="4" s="1"/>
  <c r="K156" i="1"/>
  <c r="G156" i="4" s="1"/>
  <c r="C156" i="3"/>
  <c r="C156" i="4"/>
  <c r="C156" i="5"/>
  <c r="F155" i="5"/>
  <c r="Q155" i="5" s="1"/>
  <c r="S155" i="5" s="1"/>
  <c r="P155" i="1"/>
  <c r="L155" i="4" s="1"/>
  <c r="K155" i="1"/>
  <c r="G155" i="4" s="1"/>
  <c r="F155" i="4"/>
  <c r="C155" i="3"/>
  <c r="C155" i="4"/>
  <c r="C155" i="5"/>
  <c r="P154" i="1"/>
  <c r="L154" i="4" s="1"/>
  <c r="F154" i="4"/>
  <c r="K154" i="1"/>
  <c r="G154" i="4" s="1"/>
  <c r="F154" i="5"/>
  <c r="Q154" i="5" s="1"/>
  <c r="S154" i="5" s="1"/>
  <c r="C154" i="3"/>
  <c r="C154" i="4"/>
  <c r="C154" i="5"/>
  <c r="F153" i="4"/>
  <c r="K153" i="1"/>
  <c r="G153" i="4" s="1"/>
  <c r="F153" i="5"/>
  <c r="Q153" i="5" s="1"/>
  <c r="S153" i="5" s="1"/>
  <c r="P153" i="1"/>
  <c r="L153" i="4" s="1"/>
  <c r="C153" i="3"/>
  <c r="C153" i="4"/>
  <c r="C153" i="5"/>
  <c r="F152" i="4"/>
  <c r="F152" i="5"/>
  <c r="Q152" i="5" s="1"/>
  <c r="S152" i="5" s="1"/>
  <c r="K152" i="1"/>
  <c r="G152" i="4" s="1"/>
  <c r="P152" i="1"/>
  <c r="L152" i="4" s="1"/>
  <c r="C152" i="3"/>
  <c r="C152" i="4"/>
  <c r="C152" i="5"/>
  <c r="F151" i="5"/>
  <c r="Q151" i="5" s="1"/>
  <c r="S151" i="5" s="1"/>
  <c r="F151" i="4"/>
  <c r="K151" i="1"/>
  <c r="G151" i="4" s="1"/>
  <c r="P151" i="1"/>
  <c r="L151" i="4" s="1"/>
  <c r="C151" i="3"/>
  <c r="C151" i="5"/>
  <c r="C151" i="4"/>
  <c r="F150" i="5"/>
  <c r="Q150" i="5" s="1"/>
  <c r="S150" i="5" s="1"/>
  <c r="F150" i="4"/>
  <c r="P150" i="1"/>
  <c r="L150" i="4" s="1"/>
  <c r="K150" i="1"/>
  <c r="G150" i="4" s="1"/>
  <c r="C150" i="3"/>
  <c r="C150" i="5"/>
  <c r="C150" i="4"/>
  <c r="F149" i="5"/>
  <c r="Q149" i="5" s="1"/>
  <c r="S149" i="5" s="1"/>
  <c r="F149" i="4"/>
  <c r="P149" i="1"/>
  <c r="L149" i="4" s="1"/>
  <c r="K149" i="1"/>
  <c r="G149" i="4" s="1"/>
  <c r="C149" i="3"/>
  <c r="C149" i="4"/>
  <c r="C149" i="5"/>
  <c r="F148" i="5"/>
  <c r="Q148" i="5" s="1"/>
  <c r="S148" i="5" s="1"/>
  <c r="P148" i="1"/>
  <c r="L148" i="4" s="1"/>
  <c r="K148" i="1"/>
  <c r="G148" i="4" s="1"/>
  <c r="F148" i="4"/>
  <c r="C148" i="3"/>
  <c r="C148" i="5"/>
  <c r="C148" i="4"/>
  <c r="F147" i="4"/>
  <c r="F147" i="5"/>
  <c r="Q147" i="5" s="1"/>
  <c r="S147" i="5" s="1"/>
  <c r="P147" i="1"/>
  <c r="L147" i="4" s="1"/>
  <c r="K147" i="1"/>
  <c r="G147" i="4" s="1"/>
  <c r="C147" i="3"/>
  <c r="C147" i="4"/>
  <c r="C147" i="5"/>
  <c r="K146" i="1"/>
  <c r="G146" i="4" s="1"/>
  <c r="F146" i="4"/>
  <c r="P146" i="1"/>
  <c r="L146" i="4" s="1"/>
  <c r="F146" i="5"/>
  <c r="Q146" i="5" s="1"/>
  <c r="S146" i="5" s="1"/>
  <c r="C146" i="3"/>
  <c r="C146" i="4"/>
  <c r="C146" i="5"/>
  <c r="F145" i="5"/>
  <c r="Q145" i="5" s="1"/>
  <c r="S145" i="5" s="1"/>
  <c r="F145" i="4"/>
  <c r="K145" i="1"/>
  <c r="G145" i="4" s="1"/>
  <c r="P145" i="1"/>
  <c r="L145" i="4" s="1"/>
  <c r="C145" i="3"/>
  <c r="C145" i="5"/>
  <c r="C145" i="4"/>
  <c r="F144" i="5"/>
  <c r="Q144" i="5" s="1"/>
  <c r="S144" i="5" s="1"/>
  <c r="P144" i="1"/>
  <c r="L144" i="4" s="1"/>
  <c r="K144" i="1"/>
  <c r="G144" i="4" s="1"/>
  <c r="F144" i="4"/>
  <c r="C144" i="3"/>
  <c r="C144" i="5"/>
  <c r="C144" i="4"/>
  <c r="F143" i="4"/>
  <c r="K143" i="1"/>
  <c r="G143" i="4" s="1"/>
  <c r="P143" i="1"/>
  <c r="L143" i="4" s="1"/>
  <c r="F143" i="5"/>
  <c r="Q143" i="5" s="1"/>
  <c r="S143" i="5" s="1"/>
  <c r="C143" i="3"/>
  <c r="C143" i="4"/>
  <c r="C143" i="5"/>
  <c r="P142" i="1"/>
  <c r="L142" i="4" s="1"/>
  <c r="K142" i="1"/>
  <c r="G142" i="4" s="1"/>
  <c r="F142" i="4"/>
  <c r="F142" i="5"/>
  <c r="Q142" i="5" s="1"/>
  <c r="S142" i="5" s="1"/>
  <c r="C142" i="3"/>
  <c r="C142" i="4"/>
  <c r="C142" i="5"/>
  <c r="P141" i="1"/>
  <c r="L141" i="4" s="1"/>
  <c r="K141" i="1"/>
  <c r="G141" i="4" s="1"/>
  <c r="F141" i="4"/>
  <c r="F141" i="5"/>
  <c r="Q141" i="5" s="1"/>
  <c r="S141" i="5" s="1"/>
  <c r="C141" i="3"/>
  <c r="C141" i="5"/>
  <c r="C141" i="4"/>
  <c r="P293" i="1"/>
  <c r="L293" i="4" s="1"/>
  <c r="F293" i="4"/>
  <c r="K293" i="1"/>
  <c r="G293" i="4" s="1"/>
  <c r="F293" i="5"/>
  <c r="Q293" i="5" s="1"/>
  <c r="S293" i="5" s="1"/>
  <c r="C293" i="4"/>
  <c r="C293" i="5"/>
  <c r="C293" i="3"/>
  <c r="C292" i="3"/>
  <c r="C292" i="5"/>
  <c r="C292" i="4"/>
  <c r="F292" i="4"/>
  <c r="K292" i="1"/>
  <c r="G292" i="4" s="1"/>
  <c r="P292" i="1"/>
  <c r="L292" i="4" s="1"/>
  <c r="F292" i="5"/>
  <c r="Q292" i="5" s="1"/>
  <c r="S292" i="5" s="1"/>
  <c r="K276" i="1"/>
  <c r="G276" i="4" s="1"/>
  <c r="P276" i="1"/>
  <c r="L276" i="4" s="1"/>
  <c r="F276" i="4"/>
  <c r="F276" i="5"/>
  <c r="Q276" i="5" s="1"/>
  <c r="S276" i="5" s="1"/>
  <c r="C276" i="4"/>
  <c r="C276" i="3"/>
  <c r="C276" i="5"/>
  <c r="K275" i="1"/>
  <c r="G275" i="4" s="1"/>
  <c r="P275" i="1"/>
  <c r="L275" i="4" s="1"/>
  <c r="F275" i="4"/>
  <c r="F275" i="5"/>
  <c r="Q275" i="5" s="1"/>
  <c r="S275" i="5" s="1"/>
  <c r="C275" i="4"/>
  <c r="C275" i="3"/>
  <c r="C275" i="5"/>
  <c r="K274" i="1"/>
  <c r="G274" i="4" s="1"/>
  <c r="P274" i="1"/>
  <c r="L274" i="4" s="1"/>
  <c r="F274" i="4"/>
  <c r="F274" i="5"/>
  <c r="Q274" i="5" s="1"/>
  <c r="S274" i="5" s="1"/>
  <c r="C274" i="3"/>
  <c r="C274" i="4"/>
  <c r="C274" i="5"/>
  <c r="C273" i="3"/>
  <c r="C273" i="4"/>
  <c r="C273" i="5"/>
  <c r="K273" i="1"/>
  <c r="G273" i="4" s="1"/>
  <c r="P273" i="1"/>
  <c r="L273" i="4" s="1"/>
  <c r="F273" i="4"/>
  <c r="F273" i="5"/>
  <c r="Q273" i="5" s="1"/>
  <c r="S273" i="5" s="1"/>
  <c r="C272" i="4"/>
  <c r="C272" i="3"/>
  <c r="C272" i="5"/>
  <c r="K272" i="1"/>
  <c r="G272" i="4" s="1"/>
  <c r="P272" i="1"/>
  <c r="L272" i="4" s="1"/>
  <c r="F272" i="4"/>
  <c r="F272" i="5"/>
  <c r="Q272" i="5" s="1"/>
  <c r="S272" i="5" s="1"/>
  <c r="C271" i="4"/>
  <c r="C271" i="3"/>
  <c r="C271" i="5"/>
  <c r="K271" i="1"/>
  <c r="G271" i="4" s="1"/>
  <c r="P271" i="1"/>
  <c r="L271" i="4" s="1"/>
  <c r="F271" i="4"/>
  <c r="F271" i="5"/>
  <c r="Q271" i="5" s="1"/>
  <c r="S271" i="5" s="1"/>
  <c r="C270" i="4"/>
  <c r="C270" i="5"/>
  <c r="C270" i="3"/>
  <c r="K270" i="1"/>
  <c r="G270" i="4" s="1"/>
  <c r="P270" i="1"/>
  <c r="L270" i="4" s="1"/>
  <c r="F270" i="4"/>
  <c r="F270" i="5"/>
  <c r="Q270" i="5" s="1"/>
  <c r="S270" i="5" s="1"/>
  <c r="C269" i="4"/>
  <c r="C269" i="3"/>
  <c r="C269" i="5"/>
  <c r="K269" i="1"/>
  <c r="G269" i="4" s="1"/>
  <c r="P269" i="1"/>
  <c r="L269" i="4" s="1"/>
  <c r="F269" i="4"/>
  <c r="F269" i="5"/>
  <c r="Q269" i="5" s="1"/>
  <c r="S269" i="5" s="1"/>
  <c r="C268" i="4"/>
  <c r="C268" i="3"/>
  <c r="C268" i="5"/>
  <c r="K268" i="1"/>
  <c r="G268" i="4" s="1"/>
  <c r="P268" i="1"/>
  <c r="L268" i="4" s="1"/>
  <c r="F268" i="4"/>
  <c r="F268" i="5"/>
  <c r="Q268" i="5" s="1"/>
  <c r="S268" i="5" s="1"/>
  <c r="C267" i="3"/>
  <c r="C267" i="4"/>
  <c r="C267" i="5"/>
  <c r="K267" i="1"/>
  <c r="G267" i="4" s="1"/>
  <c r="P267" i="1"/>
  <c r="L267" i="4" s="1"/>
  <c r="F267" i="4"/>
  <c r="F267" i="5"/>
  <c r="Q267" i="5" s="1"/>
  <c r="S267" i="5" s="1"/>
  <c r="K266" i="1"/>
  <c r="G266" i="4" s="1"/>
  <c r="P266" i="1"/>
  <c r="L266" i="4" s="1"/>
  <c r="F266" i="4"/>
  <c r="F266" i="5"/>
  <c r="Q266" i="5" s="1"/>
  <c r="S266" i="5" s="1"/>
  <c r="C266" i="4"/>
  <c r="C266" i="5"/>
  <c r="C266" i="3"/>
  <c r="K265" i="1"/>
  <c r="G265" i="4" s="1"/>
  <c r="P265" i="1"/>
  <c r="L265" i="4" s="1"/>
  <c r="F265" i="4"/>
  <c r="F265" i="5"/>
  <c r="Q265" i="5" s="1"/>
  <c r="S265" i="5" s="1"/>
  <c r="C265" i="4"/>
  <c r="C265" i="3"/>
  <c r="C265" i="5"/>
  <c r="C264" i="4"/>
  <c r="C264" i="3"/>
  <c r="C264" i="5"/>
  <c r="K264" i="1"/>
  <c r="G264" i="4" s="1"/>
  <c r="P264" i="1"/>
  <c r="L264" i="4" s="1"/>
  <c r="F264" i="4"/>
  <c r="F264" i="5"/>
  <c r="Q264" i="5" s="1"/>
  <c r="S264" i="5" s="1"/>
  <c r="C263" i="4"/>
  <c r="C263" i="5"/>
  <c r="C263" i="3"/>
  <c r="K263" i="1"/>
  <c r="G263" i="4" s="1"/>
  <c r="P263" i="1"/>
  <c r="L263" i="4" s="1"/>
  <c r="F263" i="4"/>
  <c r="F263" i="5"/>
  <c r="Q263" i="5" s="1"/>
  <c r="S263" i="5" s="1"/>
  <c r="K262" i="1"/>
  <c r="G262" i="4" s="1"/>
  <c r="P262" i="1"/>
  <c r="L262" i="4" s="1"/>
  <c r="F262" i="4"/>
  <c r="F262" i="5"/>
  <c r="Q262" i="5" s="1"/>
  <c r="S262" i="5" s="1"/>
  <c r="C262" i="4"/>
  <c r="C262" i="5"/>
  <c r="C262" i="3"/>
  <c r="C261" i="4"/>
  <c r="C261" i="3"/>
  <c r="C261" i="5"/>
  <c r="K261" i="1"/>
  <c r="G261" i="4" s="1"/>
  <c r="P261" i="1"/>
  <c r="L261" i="4" s="1"/>
  <c r="F261" i="4"/>
  <c r="F261" i="5"/>
  <c r="Q261" i="5" s="1"/>
  <c r="S261" i="5" s="1"/>
  <c r="C260" i="3"/>
  <c r="C260" i="4"/>
  <c r="C260" i="5"/>
  <c r="K260" i="1"/>
  <c r="G260" i="4" s="1"/>
  <c r="P260" i="1"/>
  <c r="L260" i="4" s="1"/>
  <c r="F260" i="4"/>
  <c r="F260" i="5"/>
  <c r="Q260" i="5" s="1"/>
  <c r="S260" i="5" s="1"/>
  <c r="C259" i="3"/>
  <c r="C259" i="4"/>
  <c r="C259" i="5"/>
  <c r="K259" i="1"/>
  <c r="G259" i="4" s="1"/>
  <c r="P259" i="1"/>
  <c r="L259" i="4" s="1"/>
  <c r="F259" i="4"/>
  <c r="F259" i="5"/>
  <c r="Q259" i="5" s="1"/>
  <c r="S259" i="5" s="1"/>
  <c r="C258" i="3"/>
  <c r="C258" i="4"/>
  <c r="C258" i="5"/>
  <c r="K258" i="1"/>
  <c r="G258" i="4" s="1"/>
  <c r="P258" i="1"/>
  <c r="L258" i="4" s="1"/>
  <c r="F258" i="4"/>
  <c r="F258" i="5"/>
  <c r="Q258" i="5" s="1"/>
  <c r="S258" i="5" s="1"/>
  <c r="C257" i="3"/>
  <c r="C257" i="4"/>
  <c r="C257" i="5"/>
  <c r="K257" i="1"/>
  <c r="G257" i="4" s="1"/>
  <c r="P257" i="1"/>
  <c r="L257" i="4" s="1"/>
  <c r="F257" i="4"/>
  <c r="F257" i="5"/>
  <c r="Q257" i="5" s="1"/>
  <c r="S257" i="5" s="1"/>
  <c r="C256" i="4"/>
  <c r="C256" i="3"/>
  <c r="C256" i="5"/>
  <c r="K256" i="1"/>
  <c r="G256" i="4" s="1"/>
  <c r="P256" i="1"/>
  <c r="L256" i="4" s="1"/>
  <c r="F256" i="4"/>
  <c r="F256" i="5"/>
  <c r="Q256" i="5" s="1"/>
  <c r="S256" i="5" s="1"/>
  <c r="C255" i="4"/>
  <c r="C255" i="3"/>
  <c r="C255" i="5"/>
  <c r="K255" i="1"/>
  <c r="G255" i="4" s="1"/>
  <c r="P255" i="1"/>
  <c r="L255" i="4" s="1"/>
  <c r="F255" i="4"/>
  <c r="F255" i="5"/>
  <c r="Q255" i="5" s="1"/>
  <c r="S255" i="5" s="1"/>
  <c r="C254" i="3"/>
  <c r="C254" i="4"/>
  <c r="C254" i="5"/>
  <c r="K254" i="1"/>
  <c r="G254" i="4" s="1"/>
  <c r="P254" i="1"/>
  <c r="L254" i="4" s="1"/>
  <c r="F254" i="4"/>
  <c r="F254" i="5"/>
  <c r="Q254" i="5" s="1"/>
  <c r="S254" i="5" s="1"/>
  <c r="C253" i="3"/>
  <c r="C253" i="4"/>
  <c r="C253" i="5"/>
  <c r="K253" i="1"/>
  <c r="G253" i="4" s="1"/>
  <c r="P253" i="1"/>
  <c r="L253" i="4" s="1"/>
  <c r="F253" i="4"/>
  <c r="F253" i="5"/>
  <c r="Q253" i="5" s="1"/>
  <c r="S253" i="5" s="1"/>
  <c r="K252" i="1"/>
  <c r="G252" i="4" s="1"/>
  <c r="P252" i="1"/>
  <c r="L252" i="4" s="1"/>
  <c r="F252" i="4"/>
  <c r="F252" i="5"/>
  <c r="Q252" i="5" s="1"/>
  <c r="S252" i="5" s="1"/>
  <c r="C252" i="3"/>
  <c r="C252" i="4"/>
  <c r="C252" i="5"/>
  <c r="C251" i="3"/>
  <c r="C251" i="4"/>
  <c r="C251" i="5"/>
  <c r="K251" i="1"/>
  <c r="G251" i="4" s="1"/>
  <c r="P251" i="1"/>
  <c r="L251" i="4" s="1"/>
  <c r="F251" i="4"/>
  <c r="F251" i="5"/>
  <c r="Q251" i="5" s="1"/>
  <c r="S251" i="5" s="1"/>
  <c r="C250" i="4"/>
  <c r="C250" i="3"/>
  <c r="C250" i="5"/>
  <c r="K250" i="1"/>
  <c r="G250" i="4" s="1"/>
  <c r="P250" i="1"/>
  <c r="L250" i="4" s="1"/>
  <c r="F250" i="4"/>
  <c r="F250" i="5"/>
  <c r="Q250" i="5" s="1"/>
  <c r="S250" i="5" s="1"/>
  <c r="C249" i="4"/>
  <c r="C249" i="5"/>
  <c r="C249" i="3"/>
  <c r="K249" i="1"/>
  <c r="G249" i="4" s="1"/>
  <c r="P249" i="1"/>
  <c r="L249" i="4" s="1"/>
  <c r="F249" i="4"/>
  <c r="F249" i="5"/>
  <c r="Q249" i="5" s="1"/>
  <c r="S249" i="5" s="1"/>
  <c r="C248" i="4"/>
  <c r="C248" i="5"/>
  <c r="C248" i="3"/>
  <c r="K248" i="1"/>
  <c r="G248" i="4" s="1"/>
  <c r="P248" i="1"/>
  <c r="L248" i="4" s="1"/>
  <c r="F248" i="4"/>
  <c r="F248" i="5"/>
  <c r="Q248" i="5" s="1"/>
  <c r="S248" i="5" s="1"/>
  <c r="K247" i="1"/>
  <c r="G247" i="4" s="1"/>
  <c r="P247" i="1"/>
  <c r="L247" i="4" s="1"/>
  <c r="F247" i="4"/>
  <c r="F247" i="5"/>
  <c r="Q247" i="5" s="1"/>
  <c r="S247" i="5" s="1"/>
  <c r="C247" i="3"/>
  <c r="C247" i="4"/>
  <c r="C247" i="5"/>
  <c r="K246" i="1"/>
  <c r="G246" i="4" s="1"/>
  <c r="P246" i="1"/>
  <c r="L246" i="4" s="1"/>
  <c r="F246" i="4"/>
  <c r="F246" i="5"/>
  <c r="Q246" i="5" s="1"/>
  <c r="S246" i="5" s="1"/>
  <c r="C246" i="4"/>
  <c r="C246" i="5"/>
  <c r="C246" i="3"/>
  <c r="K245" i="1"/>
  <c r="G245" i="4" s="1"/>
  <c r="P245" i="1"/>
  <c r="L245" i="4" s="1"/>
  <c r="F245" i="4"/>
  <c r="F245" i="5"/>
  <c r="Q245" i="5" s="1"/>
  <c r="S245" i="5" s="1"/>
  <c r="C245" i="4"/>
  <c r="C245" i="3"/>
  <c r="C245" i="5"/>
  <c r="K244" i="1"/>
  <c r="G244" i="4" s="1"/>
  <c r="P244" i="1"/>
  <c r="L244" i="4" s="1"/>
  <c r="F244" i="4"/>
  <c r="F244" i="5"/>
  <c r="Q244" i="5" s="1"/>
  <c r="S244" i="5" s="1"/>
  <c r="C244" i="4"/>
  <c r="C244" i="5"/>
  <c r="C244" i="3"/>
  <c r="K243" i="1"/>
  <c r="G243" i="4" s="1"/>
  <c r="P243" i="1"/>
  <c r="L243" i="4" s="1"/>
  <c r="F243" i="4"/>
  <c r="F243" i="5"/>
  <c r="Q243" i="5" s="1"/>
  <c r="S243" i="5" s="1"/>
  <c r="C243" i="3"/>
  <c r="C243" i="4"/>
  <c r="C243" i="5"/>
  <c r="K242" i="1"/>
  <c r="G242" i="4" s="1"/>
  <c r="P242" i="1"/>
  <c r="L242" i="4" s="1"/>
  <c r="F242" i="4"/>
  <c r="F242" i="5"/>
  <c r="Q242" i="5" s="1"/>
  <c r="S242" i="5" s="1"/>
  <c r="C242" i="3"/>
  <c r="C242" i="4"/>
  <c r="C242" i="5"/>
  <c r="K241" i="1"/>
  <c r="G241" i="4" s="1"/>
  <c r="P241" i="1"/>
  <c r="L241" i="4" s="1"/>
  <c r="F241" i="4"/>
  <c r="F241" i="5"/>
  <c r="Q241" i="5" s="1"/>
  <c r="S241" i="5" s="1"/>
  <c r="C241" i="3"/>
  <c r="C241" i="4"/>
  <c r="C241" i="5"/>
  <c r="K240" i="1"/>
  <c r="G240" i="4" s="1"/>
  <c r="P240" i="1"/>
  <c r="L240" i="4" s="1"/>
  <c r="F240" i="4"/>
  <c r="F240" i="5"/>
  <c r="Q240" i="5" s="1"/>
  <c r="S240" i="5" s="1"/>
  <c r="C240" i="3"/>
  <c r="C240" i="4"/>
  <c r="C240" i="5"/>
  <c r="K239" i="1"/>
  <c r="G239" i="4" s="1"/>
  <c r="P239" i="1"/>
  <c r="L239" i="4" s="1"/>
  <c r="F239" i="4"/>
  <c r="F239" i="5"/>
  <c r="Q239" i="5" s="1"/>
  <c r="S239" i="5" s="1"/>
  <c r="C239" i="3"/>
  <c r="C239" i="4"/>
  <c r="C239" i="5"/>
  <c r="C238" i="3"/>
  <c r="C238" i="4"/>
  <c r="C238" i="5"/>
  <c r="K238" i="1"/>
  <c r="G238" i="4" s="1"/>
  <c r="P238" i="1"/>
  <c r="L238" i="4" s="1"/>
  <c r="F238" i="4"/>
  <c r="F238" i="5"/>
  <c r="Q238" i="5" s="1"/>
  <c r="S238" i="5" s="1"/>
  <c r="C237" i="3"/>
  <c r="C237" i="4"/>
  <c r="C237" i="5"/>
  <c r="K237" i="1"/>
  <c r="G237" i="4" s="1"/>
  <c r="P237" i="1"/>
  <c r="L237" i="4" s="1"/>
  <c r="F237" i="4"/>
  <c r="F237" i="5"/>
  <c r="Q237" i="5" s="1"/>
  <c r="S237" i="5" s="1"/>
  <c r="C236" i="3"/>
  <c r="C236" i="4"/>
  <c r="C236" i="5"/>
  <c r="K236" i="1"/>
  <c r="G236" i="4" s="1"/>
  <c r="P236" i="1"/>
  <c r="L236" i="4" s="1"/>
  <c r="F236" i="4"/>
  <c r="F236" i="5"/>
  <c r="Q236" i="5" s="1"/>
  <c r="S236" i="5" s="1"/>
  <c r="C235" i="3"/>
  <c r="C235" i="4"/>
  <c r="C235" i="5"/>
  <c r="K235" i="1"/>
  <c r="G235" i="4" s="1"/>
  <c r="P235" i="1"/>
  <c r="L235" i="4" s="1"/>
  <c r="F235" i="4"/>
  <c r="F235" i="5"/>
  <c r="Q235" i="5" s="1"/>
  <c r="S235" i="5" s="1"/>
  <c r="K234" i="1"/>
  <c r="G234" i="4" s="1"/>
  <c r="P234" i="1"/>
  <c r="L234" i="4" s="1"/>
  <c r="F234" i="4"/>
  <c r="F234" i="5"/>
  <c r="Q234" i="5" s="1"/>
  <c r="S234" i="5" s="1"/>
  <c r="C234" i="3"/>
  <c r="C234" i="4"/>
  <c r="C234" i="5"/>
  <c r="K233" i="1"/>
  <c r="G233" i="4" s="1"/>
  <c r="P233" i="1"/>
  <c r="L233" i="4" s="1"/>
  <c r="F233" i="4"/>
  <c r="F233" i="5"/>
  <c r="Q233" i="5" s="1"/>
  <c r="S233" i="5" s="1"/>
  <c r="C233" i="3"/>
  <c r="C233" i="4"/>
  <c r="C233" i="5"/>
  <c r="K232" i="1"/>
  <c r="G232" i="4" s="1"/>
  <c r="P232" i="1"/>
  <c r="L232" i="4" s="1"/>
  <c r="F232" i="4"/>
  <c r="F232" i="5"/>
  <c r="Q232" i="5" s="1"/>
  <c r="S232" i="5" s="1"/>
  <c r="C232" i="3"/>
  <c r="C232" i="4"/>
  <c r="C232" i="5"/>
  <c r="K231" i="1"/>
  <c r="G231" i="4" s="1"/>
  <c r="P231" i="1"/>
  <c r="L231" i="4" s="1"/>
  <c r="F231" i="4"/>
  <c r="F231" i="5"/>
  <c r="Q231" i="5" s="1"/>
  <c r="S231" i="5" s="1"/>
  <c r="C231" i="3"/>
  <c r="C231" i="4"/>
  <c r="C231" i="5"/>
  <c r="C230" i="3"/>
  <c r="C230" i="4"/>
  <c r="C230" i="5"/>
  <c r="K230" i="1"/>
  <c r="G230" i="4" s="1"/>
  <c r="P230" i="1"/>
  <c r="L230" i="4" s="1"/>
  <c r="F230" i="4"/>
  <c r="F230" i="5"/>
  <c r="Q230" i="5" s="1"/>
  <c r="S230" i="5" s="1"/>
  <c r="C229" i="3"/>
  <c r="C229" i="4"/>
  <c r="C229" i="5"/>
  <c r="K229" i="1"/>
  <c r="G229" i="4" s="1"/>
  <c r="P229" i="1"/>
  <c r="L229" i="4" s="1"/>
  <c r="F229" i="4"/>
  <c r="F229" i="5"/>
  <c r="Q229" i="5" s="1"/>
  <c r="S229" i="5" s="1"/>
  <c r="C228" i="3"/>
  <c r="C228" i="4"/>
  <c r="C228" i="5"/>
  <c r="K228" i="1"/>
  <c r="G228" i="4" s="1"/>
  <c r="P228" i="1"/>
  <c r="L228" i="4" s="1"/>
  <c r="F228" i="4"/>
  <c r="F228" i="5"/>
  <c r="Q228" i="5" s="1"/>
  <c r="S228" i="5" s="1"/>
  <c r="K227" i="1"/>
  <c r="G227" i="4" s="1"/>
  <c r="P227" i="1"/>
  <c r="L227" i="4" s="1"/>
  <c r="F227" i="4"/>
  <c r="F227" i="5"/>
  <c r="Q227" i="5" s="1"/>
  <c r="S227" i="5" s="1"/>
  <c r="C227" i="3"/>
  <c r="C227" i="4"/>
  <c r="C227" i="5"/>
  <c r="C226" i="3"/>
  <c r="C226" i="4"/>
  <c r="C226" i="5"/>
  <c r="K226" i="1"/>
  <c r="G226" i="4" s="1"/>
  <c r="P226" i="1"/>
  <c r="L226" i="4" s="1"/>
  <c r="F226" i="4"/>
  <c r="F226" i="5"/>
  <c r="Q226" i="5" s="1"/>
  <c r="S226" i="5" s="1"/>
  <c r="C225" i="3"/>
  <c r="C225" i="4"/>
  <c r="C225" i="5"/>
  <c r="K225" i="1"/>
  <c r="G225" i="4" s="1"/>
  <c r="P225" i="1"/>
  <c r="L225" i="4" s="1"/>
  <c r="F225" i="4"/>
  <c r="F225" i="5"/>
  <c r="Q225" i="5" s="1"/>
  <c r="S225" i="5" s="1"/>
  <c r="C224" i="3"/>
  <c r="C224" i="4"/>
  <c r="C224" i="5"/>
  <c r="K224" i="1"/>
  <c r="G224" i="4" s="1"/>
  <c r="P224" i="1"/>
  <c r="L224" i="4" s="1"/>
  <c r="F224" i="4"/>
  <c r="F224" i="5"/>
  <c r="Q224" i="5" s="1"/>
  <c r="S224" i="5" s="1"/>
  <c r="K223" i="1"/>
  <c r="G223" i="4" s="1"/>
  <c r="P223" i="1"/>
  <c r="L223" i="4" s="1"/>
  <c r="F223" i="4"/>
  <c r="F223" i="5"/>
  <c r="Q223" i="5" s="1"/>
  <c r="S223" i="5" s="1"/>
  <c r="C223" i="3"/>
  <c r="C223" i="4"/>
  <c r="C223" i="5"/>
  <c r="C222" i="3"/>
  <c r="C222" i="4"/>
  <c r="C222" i="5"/>
  <c r="K222" i="1"/>
  <c r="G222" i="4" s="1"/>
  <c r="P222" i="1"/>
  <c r="L222" i="4" s="1"/>
  <c r="F222" i="4"/>
  <c r="F222" i="5"/>
  <c r="Q222" i="5" s="1"/>
  <c r="S222" i="5" s="1"/>
  <c r="K221" i="1"/>
  <c r="G221" i="4" s="1"/>
  <c r="P221" i="1"/>
  <c r="L221" i="4" s="1"/>
  <c r="F221" i="4"/>
  <c r="F221" i="5"/>
  <c r="Q221" i="5" s="1"/>
  <c r="S221" i="5" s="1"/>
  <c r="C221" i="3"/>
  <c r="C221" i="4"/>
  <c r="C221" i="5"/>
  <c r="K220" i="1"/>
  <c r="G220" i="4" s="1"/>
  <c r="P220" i="1"/>
  <c r="L220" i="4" s="1"/>
  <c r="F220" i="4"/>
  <c r="F220" i="5"/>
  <c r="Q220" i="5" s="1"/>
  <c r="S220" i="5" s="1"/>
  <c r="C220" i="3"/>
  <c r="C220" i="4"/>
  <c r="C220" i="5"/>
  <c r="K219" i="1"/>
  <c r="G219" i="4" s="1"/>
  <c r="P219" i="1"/>
  <c r="L219" i="4" s="1"/>
  <c r="F219" i="4"/>
  <c r="F219" i="5"/>
  <c r="Q219" i="5" s="1"/>
  <c r="S219" i="5" s="1"/>
  <c r="C219" i="3"/>
  <c r="C219" i="4"/>
  <c r="C219" i="5"/>
  <c r="K218" i="1"/>
  <c r="G218" i="4" s="1"/>
  <c r="P218" i="1"/>
  <c r="L218" i="4" s="1"/>
  <c r="F218" i="4"/>
  <c r="F218" i="5"/>
  <c r="Q218" i="5" s="1"/>
  <c r="S218" i="5" s="1"/>
  <c r="C218" i="3"/>
  <c r="C218" i="4"/>
  <c r="C218" i="5"/>
  <c r="C217" i="3"/>
  <c r="C217" i="4"/>
  <c r="C217" i="5"/>
  <c r="K217" i="1"/>
  <c r="G217" i="4" s="1"/>
  <c r="P217" i="1"/>
  <c r="L217" i="4" s="1"/>
  <c r="F217" i="4"/>
  <c r="F217" i="5"/>
  <c r="Q217" i="5" s="1"/>
  <c r="S217" i="5" s="1"/>
  <c r="C216" i="3"/>
  <c r="C216" i="4"/>
  <c r="C216" i="5"/>
  <c r="K216" i="1"/>
  <c r="G216" i="4" s="1"/>
  <c r="P216" i="1"/>
  <c r="L216" i="4" s="1"/>
  <c r="F216" i="4"/>
  <c r="F216" i="5"/>
  <c r="Q216" i="5" s="1"/>
  <c r="S216" i="5" s="1"/>
  <c r="K215" i="1"/>
  <c r="G215" i="4" s="1"/>
  <c r="P215" i="1"/>
  <c r="L215" i="4" s="1"/>
  <c r="F215" i="4"/>
  <c r="F215" i="5"/>
  <c r="Q215" i="5" s="1"/>
  <c r="S215" i="5" s="1"/>
  <c r="C215" i="3"/>
  <c r="C215" i="4"/>
  <c r="C215" i="5"/>
  <c r="C214" i="3"/>
  <c r="C214" i="4"/>
  <c r="C214" i="5"/>
  <c r="K214" i="1"/>
  <c r="G214" i="4" s="1"/>
  <c r="P214" i="1"/>
  <c r="L214" i="4" s="1"/>
  <c r="F214" i="4"/>
  <c r="F214" i="5"/>
  <c r="Q214" i="5" s="1"/>
  <c r="S214" i="5" s="1"/>
  <c r="C213" i="3"/>
  <c r="C213" i="4"/>
  <c r="C213" i="5"/>
  <c r="K213" i="1"/>
  <c r="G213" i="4" s="1"/>
  <c r="P213" i="1"/>
  <c r="L213" i="4" s="1"/>
  <c r="F213" i="4"/>
  <c r="F213" i="5"/>
  <c r="Q213" i="5" s="1"/>
  <c r="S213" i="5" s="1"/>
  <c r="C212" i="3"/>
  <c r="C212" i="4"/>
  <c r="C212" i="5"/>
  <c r="K212" i="1"/>
  <c r="G212" i="4" s="1"/>
  <c r="P212" i="1"/>
  <c r="L212" i="4" s="1"/>
  <c r="F212" i="4"/>
  <c r="F212" i="5"/>
  <c r="Q212" i="5" s="1"/>
  <c r="S212" i="5" s="1"/>
  <c r="K211" i="1"/>
  <c r="G211" i="4" s="1"/>
  <c r="P211" i="1"/>
  <c r="L211" i="4" s="1"/>
  <c r="F211" i="4"/>
  <c r="F211" i="5"/>
  <c r="Q211" i="5" s="1"/>
  <c r="S211" i="5" s="1"/>
  <c r="C211" i="3"/>
  <c r="C211" i="4"/>
  <c r="C211" i="5"/>
  <c r="K210" i="1"/>
  <c r="G210" i="4" s="1"/>
  <c r="P210" i="1"/>
  <c r="L210" i="4" s="1"/>
  <c r="F210" i="4"/>
  <c r="F210" i="5"/>
  <c r="Q210" i="5" s="1"/>
  <c r="S210" i="5" s="1"/>
  <c r="K140" i="1"/>
  <c r="G140" i="4" s="1"/>
  <c r="P140" i="1"/>
  <c r="L140" i="4" s="1"/>
  <c r="F140" i="4"/>
  <c r="F140" i="5"/>
  <c r="Q140" i="5" s="1"/>
  <c r="S140" i="5" s="1"/>
  <c r="C140" i="3"/>
  <c r="C140" i="4"/>
  <c r="C140" i="5"/>
  <c r="C139" i="3"/>
  <c r="C139" i="4"/>
  <c r="C139" i="5"/>
  <c r="K139" i="1"/>
  <c r="G139" i="4" s="1"/>
  <c r="P139" i="1"/>
  <c r="L139" i="4" s="1"/>
  <c r="F139" i="4"/>
  <c r="F139" i="5"/>
  <c r="Q139" i="5" s="1"/>
  <c r="S139" i="5" s="1"/>
  <c r="C138" i="3"/>
  <c r="C138" i="4"/>
  <c r="C138" i="5"/>
  <c r="K138" i="1"/>
  <c r="G138" i="4" s="1"/>
  <c r="P138" i="1"/>
  <c r="L138" i="4" s="1"/>
  <c r="F138" i="4"/>
  <c r="F138" i="5"/>
  <c r="Q138" i="5" s="1"/>
  <c r="S138" i="5" s="1"/>
  <c r="C137" i="3"/>
  <c r="C137" i="4"/>
  <c r="C137" i="5"/>
  <c r="K137" i="1"/>
  <c r="G137" i="4" s="1"/>
  <c r="P137" i="1"/>
  <c r="L137" i="4" s="1"/>
  <c r="F137" i="4"/>
  <c r="F137" i="5"/>
  <c r="Q137" i="5" s="1"/>
  <c r="S137" i="5" s="1"/>
  <c r="C136" i="4"/>
  <c r="C136" i="3"/>
  <c r="C136" i="5"/>
  <c r="K136" i="1"/>
  <c r="G136" i="4" s="1"/>
  <c r="P136" i="1"/>
  <c r="L136" i="4" s="1"/>
  <c r="F136" i="4"/>
  <c r="F136" i="5"/>
  <c r="Q136" i="5" s="1"/>
  <c r="S136" i="5" s="1"/>
  <c r="C135" i="4"/>
  <c r="C135" i="3"/>
  <c r="C135" i="5"/>
  <c r="K135" i="1"/>
  <c r="G135" i="4" s="1"/>
  <c r="P135" i="1"/>
  <c r="L135" i="4" s="1"/>
  <c r="F135" i="4"/>
  <c r="F135" i="5"/>
  <c r="Q135" i="5" s="1"/>
  <c r="S135" i="5" s="1"/>
  <c r="K134" i="1"/>
  <c r="G134" i="4" s="1"/>
  <c r="P134" i="1"/>
  <c r="L134" i="4" s="1"/>
  <c r="F134" i="4"/>
  <c r="F134" i="5"/>
  <c r="Q134" i="5" s="1"/>
  <c r="S134" i="5" s="1"/>
  <c r="C134" i="4"/>
  <c r="C134" i="5"/>
  <c r="C134" i="3"/>
  <c r="K133" i="1"/>
  <c r="G133" i="4" s="1"/>
  <c r="P133" i="1"/>
  <c r="L133" i="4" s="1"/>
  <c r="F133" i="4"/>
  <c r="F133" i="5"/>
  <c r="Q133" i="5" s="1"/>
  <c r="S133" i="5" s="1"/>
  <c r="C133" i="3"/>
  <c r="C133" i="4"/>
  <c r="C133" i="5"/>
  <c r="C132" i="4"/>
  <c r="C132" i="3"/>
  <c r="C132" i="5"/>
  <c r="K132" i="1"/>
  <c r="G132" i="4" s="1"/>
  <c r="P132" i="1"/>
  <c r="L132" i="4" s="1"/>
  <c r="F132" i="4"/>
  <c r="F132" i="5"/>
  <c r="Q132" i="5" s="1"/>
  <c r="S132" i="5" s="1"/>
  <c r="K131" i="1"/>
  <c r="G131" i="4" s="1"/>
  <c r="P131" i="1"/>
  <c r="L131" i="4" s="1"/>
  <c r="F131" i="4"/>
  <c r="F131" i="5"/>
  <c r="Q131" i="5" s="1"/>
  <c r="S131" i="5" s="1"/>
  <c r="C131" i="4"/>
  <c r="C131" i="3"/>
  <c r="C131" i="5"/>
  <c r="K130" i="1"/>
  <c r="G130" i="4" s="1"/>
  <c r="P130" i="1"/>
  <c r="L130" i="4" s="1"/>
  <c r="F130" i="4"/>
  <c r="F130" i="5"/>
  <c r="Q130" i="5" s="1"/>
  <c r="S130" i="5" s="1"/>
  <c r="C130" i="3"/>
  <c r="C130" i="4"/>
  <c r="C130" i="5"/>
  <c r="K129" i="1"/>
  <c r="G129" i="4" s="1"/>
  <c r="P129" i="1"/>
  <c r="L129" i="4" s="1"/>
  <c r="F129" i="4"/>
  <c r="F129" i="5"/>
  <c r="Q129" i="5" s="1"/>
  <c r="S129" i="5" s="1"/>
  <c r="C129" i="3"/>
  <c r="C129" i="4"/>
  <c r="C129" i="5"/>
  <c r="C128" i="4"/>
  <c r="C128" i="5"/>
  <c r="C128" i="3"/>
  <c r="K128" i="1"/>
  <c r="G128" i="4" s="1"/>
  <c r="P128" i="1"/>
  <c r="L128" i="4" s="1"/>
  <c r="F128" i="4"/>
  <c r="F128" i="5"/>
  <c r="Q128" i="5" s="1"/>
  <c r="S128" i="5" s="1"/>
  <c r="C127" i="4"/>
  <c r="C127" i="3"/>
  <c r="C127" i="5"/>
  <c r="K127" i="1"/>
  <c r="G127" i="4" s="1"/>
  <c r="P127" i="1"/>
  <c r="L127" i="4" s="1"/>
  <c r="F127" i="4"/>
  <c r="F127" i="5"/>
  <c r="Q127" i="5" s="1"/>
  <c r="S127" i="5" s="1"/>
  <c r="K126" i="1"/>
  <c r="G126" i="4" s="1"/>
  <c r="P126" i="1"/>
  <c r="L126" i="4" s="1"/>
  <c r="F126" i="4"/>
  <c r="F126" i="5"/>
  <c r="Q126" i="5" s="1"/>
  <c r="S126" i="5" s="1"/>
  <c r="C126" i="4"/>
  <c r="C126" i="3"/>
  <c r="C126" i="5"/>
  <c r="C125" i="3"/>
  <c r="C125" i="4"/>
  <c r="C125" i="5"/>
  <c r="K125" i="1"/>
  <c r="G125" i="4" s="1"/>
  <c r="P125" i="1"/>
  <c r="L125" i="4" s="1"/>
  <c r="F125" i="4"/>
  <c r="F125" i="5"/>
  <c r="Q125" i="5" s="1"/>
  <c r="S125" i="5" s="1"/>
  <c r="C124" i="3"/>
  <c r="C124" i="4"/>
  <c r="C124" i="5"/>
  <c r="K124" i="1"/>
  <c r="G124" i="4" s="1"/>
  <c r="P124" i="1"/>
  <c r="L124" i="4" s="1"/>
  <c r="F124" i="4"/>
  <c r="F124" i="5"/>
  <c r="Q124" i="5" s="1"/>
  <c r="S124" i="5" s="1"/>
  <c r="C123" i="3"/>
  <c r="C123" i="4"/>
  <c r="C123" i="5"/>
  <c r="K123" i="1"/>
  <c r="G123" i="4" s="1"/>
  <c r="P123" i="1"/>
  <c r="L123" i="4" s="1"/>
  <c r="F123" i="4"/>
  <c r="F123" i="5"/>
  <c r="Q123" i="5" s="1"/>
  <c r="S123" i="5" s="1"/>
  <c r="K122" i="1"/>
  <c r="G122" i="4" s="1"/>
  <c r="P122" i="1"/>
  <c r="L122" i="4" s="1"/>
  <c r="F122" i="4"/>
  <c r="F122" i="5"/>
  <c r="Q122" i="5" s="1"/>
  <c r="S122" i="5" s="1"/>
  <c r="C122" i="3"/>
  <c r="C122" i="4"/>
  <c r="C122" i="5"/>
  <c r="C121" i="3"/>
  <c r="C121" i="4"/>
  <c r="C121" i="5"/>
  <c r="K121" i="1"/>
  <c r="G121" i="4" s="1"/>
  <c r="P121" i="1"/>
  <c r="L121" i="4" s="1"/>
  <c r="F121" i="4"/>
  <c r="F121" i="5"/>
  <c r="Q121" i="5" s="1"/>
  <c r="S121" i="5" s="1"/>
  <c r="K120" i="1"/>
  <c r="G120" i="4" s="1"/>
  <c r="P120" i="1"/>
  <c r="L120" i="4" s="1"/>
  <c r="F120" i="4"/>
  <c r="F120" i="5"/>
  <c r="Q120" i="5" s="1"/>
  <c r="S120" i="5" s="1"/>
  <c r="C120" i="3"/>
  <c r="C120" i="4"/>
  <c r="C120" i="5"/>
  <c r="K119" i="1"/>
  <c r="G119" i="4" s="1"/>
  <c r="P119" i="1"/>
  <c r="L119" i="4" s="1"/>
  <c r="F119" i="4"/>
  <c r="F119" i="5"/>
  <c r="Q119" i="5" s="1"/>
  <c r="S119" i="5" s="1"/>
  <c r="C119" i="3"/>
  <c r="C119" i="4"/>
  <c r="C119" i="5"/>
  <c r="K118" i="1"/>
  <c r="G118" i="4" s="1"/>
  <c r="P118" i="1"/>
  <c r="L118" i="4" s="1"/>
  <c r="F118" i="4"/>
  <c r="F118" i="5"/>
  <c r="Q118" i="5" s="1"/>
  <c r="S118" i="5" s="1"/>
  <c r="C118" i="3"/>
  <c r="C118" i="4"/>
  <c r="C118" i="5"/>
  <c r="K117" i="1"/>
  <c r="G117" i="4" s="1"/>
  <c r="P117" i="1"/>
  <c r="L117" i="4" s="1"/>
  <c r="F117" i="4"/>
  <c r="F117" i="5"/>
  <c r="Q117" i="5" s="1"/>
  <c r="S117" i="5" s="1"/>
  <c r="C117" i="3"/>
  <c r="C117" i="4"/>
  <c r="C117" i="5"/>
  <c r="C116" i="3"/>
  <c r="C116" i="4"/>
  <c r="C116" i="5"/>
  <c r="K116" i="1"/>
  <c r="G116" i="4" s="1"/>
  <c r="P116" i="1"/>
  <c r="L116" i="4" s="1"/>
  <c r="F116" i="4"/>
  <c r="F116" i="5"/>
  <c r="Q116" i="5" s="1"/>
  <c r="S116" i="5" s="1"/>
  <c r="C115" i="3"/>
  <c r="C115" i="4"/>
  <c r="C115" i="5"/>
  <c r="K115" i="1"/>
  <c r="G115" i="4" s="1"/>
  <c r="P115" i="1"/>
  <c r="L115" i="4" s="1"/>
  <c r="F115" i="4"/>
  <c r="F115" i="5"/>
  <c r="Q115" i="5" s="1"/>
  <c r="S115" i="5" s="1"/>
  <c r="K114" i="1"/>
  <c r="G114" i="4" s="1"/>
  <c r="P114" i="1"/>
  <c r="L114" i="4" s="1"/>
  <c r="F114" i="4"/>
  <c r="F114" i="5"/>
  <c r="Q114" i="5" s="1"/>
  <c r="S114" i="5" s="1"/>
  <c r="C114" i="3"/>
  <c r="C114" i="4"/>
  <c r="C114" i="5"/>
  <c r="K113" i="1"/>
  <c r="G113" i="4" s="1"/>
  <c r="P113" i="1"/>
  <c r="L113" i="4" s="1"/>
  <c r="F113" i="4"/>
  <c r="F113" i="5"/>
  <c r="Q113" i="5" s="1"/>
  <c r="S113" i="5" s="1"/>
  <c r="C113" i="3"/>
  <c r="C113" i="4"/>
  <c r="C113" i="5"/>
  <c r="C112" i="3"/>
  <c r="C112" i="4"/>
  <c r="C112" i="5"/>
  <c r="K112" i="1"/>
  <c r="G112" i="4" s="1"/>
  <c r="P112" i="1"/>
  <c r="L112" i="4" s="1"/>
  <c r="F112" i="4"/>
  <c r="F112" i="5"/>
  <c r="Q112" i="5" s="1"/>
  <c r="S112" i="5" s="1"/>
  <c r="K111" i="1"/>
  <c r="G111" i="4" s="1"/>
  <c r="P111" i="1"/>
  <c r="L111" i="4" s="1"/>
  <c r="F111" i="4"/>
  <c r="F111" i="5"/>
  <c r="Q111" i="5" s="1"/>
  <c r="S111" i="5" s="1"/>
  <c r="C111" i="3"/>
  <c r="C111" i="4"/>
  <c r="C111" i="5"/>
  <c r="K110" i="1"/>
  <c r="G110" i="4" s="1"/>
  <c r="P110" i="1"/>
  <c r="L110" i="4" s="1"/>
  <c r="F110" i="4"/>
  <c r="F110" i="5"/>
  <c r="Q110" i="5" s="1"/>
  <c r="S110" i="5" s="1"/>
  <c r="C110" i="3"/>
  <c r="C110" i="4"/>
  <c r="C110" i="5"/>
  <c r="C109" i="3"/>
  <c r="C109" i="4"/>
  <c r="C109" i="5"/>
  <c r="K109" i="1"/>
  <c r="G109" i="4" s="1"/>
  <c r="P109" i="1"/>
  <c r="L109" i="4" s="1"/>
  <c r="F109" i="4"/>
  <c r="F109" i="5"/>
  <c r="Q109" i="5" s="1"/>
  <c r="S109" i="5" s="1"/>
  <c r="C108" i="3"/>
  <c r="C108" i="4"/>
  <c r="C108" i="5"/>
  <c r="K108" i="1"/>
  <c r="G108" i="4" s="1"/>
  <c r="P108" i="1"/>
  <c r="L108" i="4" s="1"/>
  <c r="F108" i="4"/>
  <c r="F108" i="5"/>
  <c r="Q108" i="5" s="1"/>
  <c r="S108" i="5" s="1"/>
  <c r="C107" i="3"/>
  <c r="C107" i="4"/>
  <c r="C107" i="5"/>
  <c r="K107" i="1"/>
  <c r="G107" i="4" s="1"/>
  <c r="P107" i="1"/>
  <c r="L107" i="4" s="1"/>
  <c r="F107" i="4"/>
  <c r="F107" i="5"/>
  <c r="Q107" i="5" s="1"/>
  <c r="S107" i="5" s="1"/>
  <c r="C106" i="3"/>
  <c r="C106" i="4"/>
  <c r="C106" i="5"/>
  <c r="K106" i="1"/>
  <c r="G106" i="4" s="1"/>
  <c r="P106" i="1"/>
  <c r="L106" i="4" s="1"/>
  <c r="F106" i="4"/>
  <c r="F106" i="5"/>
  <c r="Q106" i="5" s="1"/>
  <c r="S106" i="5" s="1"/>
  <c r="C105" i="3"/>
  <c r="C105" i="4"/>
  <c r="C105" i="5"/>
  <c r="K105" i="1"/>
  <c r="G105" i="4" s="1"/>
  <c r="P105" i="1"/>
  <c r="L105" i="4" s="1"/>
  <c r="F105" i="4"/>
  <c r="F105" i="5"/>
  <c r="Q105" i="5" s="1"/>
  <c r="S105" i="5" s="1"/>
  <c r="C104" i="3"/>
  <c r="C104" i="4"/>
  <c r="C104" i="5"/>
  <c r="K104" i="1"/>
  <c r="G104" i="4" s="1"/>
  <c r="P104" i="1"/>
  <c r="L104" i="4" s="1"/>
  <c r="F104" i="4"/>
  <c r="F104" i="5"/>
  <c r="Q104" i="5" s="1"/>
  <c r="S104" i="5" s="1"/>
  <c r="C103" i="3"/>
  <c r="C103" i="4"/>
  <c r="C103" i="5"/>
  <c r="K103" i="1"/>
  <c r="G103" i="4" s="1"/>
  <c r="P103" i="1"/>
  <c r="L103" i="4" s="1"/>
  <c r="F103" i="4"/>
  <c r="F103" i="5"/>
  <c r="Q103" i="5" s="1"/>
  <c r="S103" i="5" s="1"/>
  <c r="K102" i="1"/>
  <c r="G102" i="4" s="1"/>
  <c r="P102" i="1"/>
  <c r="L102" i="4" s="1"/>
  <c r="F102" i="4"/>
  <c r="F102" i="5"/>
  <c r="Q102" i="5" s="1"/>
  <c r="S102" i="5" s="1"/>
  <c r="C102" i="3"/>
  <c r="C102" i="4"/>
  <c r="C102" i="5"/>
  <c r="C101" i="3"/>
  <c r="C101" i="4"/>
  <c r="C101" i="5"/>
  <c r="K101" i="1"/>
  <c r="G101" i="4" s="1"/>
  <c r="P101" i="1"/>
  <c r="L101" i="4" s="1"/>
  <c r="F101" i="4"/>
  <c r="F101" i="5"/>
  <c r="Q101" i="5" s="1"/>
  <c r="S101" i="5" s="1"/>
  <c r="C100" i="3"/>
  <c r="C100" i="4"/>
  <c r="C100" i="5"/>
  <c r="K100" i="1"/>
  <c r="G100" i="4" s="1"/>
  <c r="P100" i="1"/>
  <c r="L100" i="4" s="1"/>
  <c r="F100" i="4"/>
  <c r="F100" i="5"/>
  <c r="Q100" i="5" s="1"/>
  <c r="S100" i="5" s="1"/>
  <c r="K99" i="1"/>
  <c r="G99" i="4" s="1"/>
  <c r="P99" i="1"/>
  <c r="L99" i="4" s="1"/>
  <c r="F99" i="4"/>
  <c r="F99" i="5"/>
  <c r="Q99" i="5" s="1"/>
  <c r="S99" i="5" s="1"/>
  <c r="C99" i="3"/>
  <c r="C99" i="4"/>
  <c r="C99" i="5"/>
  <c r="K98" i="1"/>
  <c r="G98" i="4" s="1"/>
  <c r="P98" i="1"/>
  <c r="L98" i="4" s="1"/>
  <c r="F98" i="4"/>
  <c r="F98" i="5"/>
  <c r="Q98" i="5" s="1"/>
  <c r="S98" i="5" s="1"/>
  <c r="C98" i="3"/>
  <c r="C98" i="4"/>
  <c r="C98" i="5"/>
  <c r="K97" i="1"/>
  <c r="G97" i="4" s="1"/>
  <c r="P97" i="1"/>
  <c r="L97" i="4" s="1"/>
  <c r="F97" i="4"/>
  <c r="F97" i="5"/>
  <c r="Q97" i="5" s="1"/>
  <c r="S97" i="5" s="1"/>
  <c r="C97" i="3"/>
  <c r="C97" i="4"/>
  <c r="C97" i="5"/>
  <c r="K96" i="1"/>
  <c r="G96" i="4" s="1"/>
  <c r="P96" i="1"/>
  <c r="L96" i="4" s="1"/>
  <c r="F96" i="4"/>
  <c r="F96" i="5"/>
  <c r="Q96" i="5" s="1"/>
  <c r="S96" i="5" s="1"/>
  <c r="C96" i="3"/>
  <c r="C96" i="4"/>
  <c r="C96" i="5"/>
  <c r="C95" i="3"/>
  <c r="C95" i="4"/>
  <c r="C95" i="5"/>
  <c r="K95" i="1"/>
  <c r="G95" i="4" s="1"/>
  <c r="P95" i="1"/>
  <c r="L95" i="4" s="1"/>
  <c r="F95" i="4"/>
  <c r="F95" i="5"/>
  <c r="Q95" i="5" s="1"/>
  <c r="S95" i="5" s="1"/>
  <c r="K94" i="1"/>
  <c r="G94" i="4" s="1"/>
  <c r="P94" i="1"/>
  <c r="L94" i="4" s="1"/>
  <c r="F94" i="4"/>
  <c r="F94" i="5"/>
  <c r="Q94" i="5" s="1"/>
  <c r="S94" i="5" s="1"/>
  <c r="C94" i="3"/>
  <c r="C94" i="4"/>
  <c r="C94" i="5"/>
  <c r="K93" i="1"/>
  <c r="G93" i="4" s="1"/>
  <c r="P93" i="1"/>
  <c r="L93" i="4" s="1"/>
  <c r="F93" i="4"/>
  <c r="F93" i="5"/>
  <c r="Q93" i="5" s="1"/>
  <c r="S93" i="5" s="1"/>
  <c r="C93" i="3"/>
  <c r="C93" i="4"/>
  <c r="C93" i="5"/>
  <c r="K92" i="1"/>
  <c r="G92" i="4" s="1"/>
  <c r="P92" i="1"/>
  <c r="L92" i="4" s="1"/>
  <c r="F92" i="4"/>
  <c r="F92" i="5"/>
  <c r="Q92" i="5" s="1"/>
  <c r="S92" i="5" s="1"/>
  <c r="C92" i="3"/>
  <c r="C92" i="4"/>
  <c r="C92" i="5"/>
  <c r="K91" i="1"/>
  <c r="G91" i="4" s="1"/>
  <c r="P91" i="1"/>
  <c r="L91" i="4" s="1"/>
  <c r="F91" i="4"/>
  <c r="F91" i="5"/>
  <c r="Q91" i="5" s="1"/>
  <c r="S91" i="5" s="1"/>
  <c r="C91" i="3"/>
  <c r="C91" i="4"/>
  <c r="C91" i="5"/>
  <c r="K90" i="1"/>
  <c r="G90" i="4" s="1"/>
  <c r="P90" i="1"/>
  <c r="L90" i="4" s="1"/>
  <c r="F90" i="4"/>
  <c r="F90" i="5"/>
  <c r="Q90" i="5" s="1"/>
  <c r="S90" i="5" s="1"/>
  <c r="C90" i="3"/>
  <c r="C90" i="4"/>
  <c r="C90" i="5"/>
  <c r="K89" i="1"/>
  <c r="G89" i="4" s="1"/>
  <c r="P89" i="1"/>
  <c r="L89" i="4" s="1"/>
  <c r="F89" i="4"/>
  <c r="F89" i="5"/>
  <c r="Q89" i="5" s="1"/>
  <c r="S89" i="5" s="1"/>
  <c r="C89" i="3"/>
  <c r="C89" i="4"/>
  <c r="C89" i="5"/>
  <c r="C88" i="3"/>
  <c r="C88" i="4"/>
  <c r="C88" i="5"/>
  <c r="K88" i="1"/>
  <c r="G88" i="4" s="1"/>
  <c r="P88" i="1"/>
  <c r="L88" i="4" s="1"/>
  <c r="F88" i="4"/>
  <c r="F88" i="5"/>
  <c r="Q88" i="5" s="1"/>
  <c r="S88" i="5" s="1"/>
  <c r="K87" i="1"/>
  <c r="G87" i="4" s="1"/>
  <c r="P87" i="1"/>
  <c r="L87" i="4" s="1"/>
  <c r="F87" i="4"/>
  <c r="F87" i="5"/>
  <c r="Q87" i="5" s="1"/>
  <c r="S87" i="5" s="1"/>
  <c r="C87" i="3"/>
  <c r="C87" i="4"/>
  <c r="C87" i="5"/>
  <c r="C86" i="3"/>
  <c r="C86" i="4"/>
  <c r="C86" i="5"/>
  <c r="K86" i="1"/>
  <c r="G86" i="4" s="1"/>
  <c r="P86" i="1"/>
  <c r="L86" i="4" s="1"/>
  <c r="F86" i="4"/>
  <c r="F86" i="5"/>
  <c r="Q86" i="5" s="1"/>
  <c r="S86" i="5" s="1"/>
  <c r="K85" i="1"/>
  <c r="G85" i="4" s="1"/>
  <c r="P85" i="1"/>
  <c r="L85" i="4" s="1"/>
  <c r="F85" i="4"/>
  <c r="F85" i="5"/>
  <c r="Q85" i="5" s="1"/>
  <c r="S85" i="5" s="1"/>
  <c r="C85" i="3"/>
  <c r="C85" i="4"/>
  <c r="C85" i="5"/>
  <c r="C84" i="3"/>
  <c r="C84" i="4"/>
  <c r="C84" i="5"/>
  <c r="K84" i="1"/>
  <c r="G84" i="4" s="1"/>
  <c r="P84" i="1"/>
  <c r="L84" i="4" s="1"/>
  <c r="F84" i="4"/>
  <c r="F84" i="5"/>
  <c r="Q84" i="5" s="1"/>
  <c r="S84" i="5" s="1"/>
  <c r="C83" i="3"/>
  <c r="C83" i="4"/>
  <c r="C83" i="5"/>
  <c r="K83" i="1"/>
  <c r="G83" i="4" s="1"/>
  <c r="P83" i="1"/>
  <c r="L83" i="4" s="1"/>
  <c r="F83" i="4"/>
  <c r="F83" i="5"/>
  <c r="Q83" i="5" s="1"/>
  <c r="S83" i="5" s="1"/>
  <c r="K82" i="1"/>
  <c r="G82" i="4" s="1"/>
  <c r="P82" i="1"/>
  <c r="L82" i="4" s="1"/>
  <c r="F82" i="4"/>
  <c r="F82" i="5"/>
  <c r="Q82" i="5" s="1"/>
  <c r="S82" i="5" s="1"/>
  <c r="C82" i="3"/>
  <c r="C82" i="4"/>
  <c r="C82" i="5"/>
  <c r="C81" i="3"/>
  <c r="C81" i="4"/>
  <c r="C81" i="5"/>
  <c r="K81" i="1"/>
  <c r="G81" i="4" s="1"/>
  <c r="P81" i="1"/>
  <c r="L81" i="4" s="1"/>
  <c r="F81" i="4"/>
  <c r="F81" i="5"/>
  <c r="Q81" i="5" s="1"/>
  <c r="S81" i="5" s="1"/>
  <c r="K80" i="1"/>
  <c r="G80" i="4" s="1"/>
  <c r="P80" i="1"/>
  <c r="L80" i="4" s="1"/>
  <c r="F80" i="4"/>
  <c r="F80" i="5"/>
  <c r="Q80" i="5" s="1"/>
  <c r="S80" i="5" s="1"/>
  <c r="C80" i="3"/>
  <c r="C80" i="4"/>
  <c r="C80" i="5"/>
  <c r="C79" i="3"/>
  <c r="C79" i="4"/>
  <c r="C79" i="5"/>
  <c r="K79" i="1"/>
  <c r="G79" i="4" s="1"/>
  <c r="P79" i="1"/>
  <c r="L79" i="4" s="1"/>
  <c r="F79" i="4"/>
  <c r="F79" i="5"/>
  <c r="Q79" i="5" s="1"/>
  <c r="S79" i="5" s="1"/>
  <c r="C78" i="3"/>
  <c r="C78" i="4"/>
  <c r="C78" i="5"/>
  <c r="K78" i="1"/>
  <c r="G78" i="4" s="1"/>
  <c r="P78" i="1"/>
  <c r="L78" i="4" s="1"/>
  <c r="F78" i="4"/>
  <c r="F78" i="5"/>
  <c r="Q78" i="5" s="1"/>
  <c r="S78" i="5" s="1"/>
  <c r="C77" i="3"/>
  <c r="C77" i="4"/>
  <c r="C77" i="5"/>
  <c r="K77" i="1"/>
  <c r="G77" i="4" s="1"/>
  <c r="P77" i="1"/>
  <c r="L77" i="4" s="1"/>
  <c r="F77" i="4"/>
  <c r="F77" i="5"/>
  <c r="Q77" i="5" s="1"/>
  <c r="S77" i="5" s="1"/>
  <c r="K76" i="1"/>
  <c r="G76" i="4" s="1"/>
  <c r="P76" i="1"/>
  <c r="L76" i="4" s="1"/>
  <c r="F76" i="4"/>
  <c r="F76" i="5"/>
  <c r="Q76" i="5" s="1"/>
  <c r="S76" i="5" s="1"/>
  <c r="C76" i="3"/>
  <c r="C76" i="4"/>
  <c r="C76" i="5"/>
  <c r="C75" i="3"/>
  <c r="C75" i="4"/>
  <c r="C75" i="5"/>
  <c r="K75" i="1"/>
  <c r="G75" i="4" s="1"/>
  <c r="P75" i="1"/>
  <c r="L75" i="4" s="1"/>
  <c r="F75" i="4"/>
  <c r="F75" i="5"/>
  <c r="Q75" i="5" s="1"/>
  <c r="S75" i="5" s="1"/>
  <c r="C74" i="3"/>
  <c r="C74" i="4"/>
  <c r="C74" i="5"/>
  <c r="K74" i="1"/>
  <c r="G74" i="4" s="1"/>
  <c r="P74" i="1"/>
  <c r="L74" i="4" s="1"/>
  <c r="F74" i="4"/>
  <c r="F74" i="5"/>
  <c r="Q74" i="5" s="1"/>
  <c r="S74" i="5" s="1"/>
  <c r="K73" i="1"/>
  <c r="G73" i="4" s="1"/>
  <c r="P73" i="1"/>
  <c r="L73" i="4" s="1"/>
  <c r="F73" i="4"/>
  <c r="F73" i="5"/>
  <c r="Q73" i="5" s="1"/>
  <c r="S73" i="5" s="1"/>
  <c r="C73" i="3"/>
  <c r="C73" i="4"/>
  <c r="C73" i="5"/>
  <c r="K72" i="1"/>
  <c r="G72" i="4" s="1"/>
  <c r="P72" i="1"/>
  <c r="L72" i="4" s="1"/>
  <c r="F72" i="4"/>
  <c r="F72" i="5"/>
  <c r="Q72" i="5" s="1"/>
  <c r="S72" i="5" s="1"/>
  <c r="C72" i="3"/>
  <c r="C72" i="4"/>
  <c r="C72" i="5"/>
  <c r="C71" i="3"/>
  <c r="C71" i="4"/>
  <c r="C71" i="5"/>
  <c r="K71" i="1"/>
  <c r="G71" i="4" s="1"/>
  <c r="P71" i="1"/>
  <c r="L71" i="4" s="1"/>
  <c r="F71" i="4"/>
  <c r="F71" i="5"/>
  <c r="Q71" i="5" s="1"/>
  <c r="S71" i="5" s="1"/>
  <c r="K70" i="1"/>
  <c r="G70" i="4" s="1"/>
  <c r="P70" i="1"/>
  <c r="L70" i="4" s="1"/>
  <c r="F70" i="4"/>
  <c r="F70" i="5"/>
  <c r="Q70" i="5" s="1"/>
  <c r="S70" i="5" s="1"/>
  <c r="C70" i="3"/>
  <c r="C70" i="4"/>
  <c r="C70" i="5"/>
  <c r="K69" i="1"/>
  <c r="G69" i="4" s="1"/>
  <c r="P69" i="1"/>
  <c r="L69" i="4" s="1"/>
  <c r="F69" i="4"/>
  <c r="F69" i="5"/>
  <c r="Q69" i="5" s="1"/>
  <c r="S69" i="5" s="1"/>
  <c r="C69" i="3"/>
  <c r="C69" i="4"/>
  <c r="C69" i="5"/>
  <c r="K68" i="1"/>
  <c r="G68" i="4" s="1"/>
  <c r="P68" i="1"/>
  <c r="L68" i="4" s="1"/>
  <c r="F68" i="4"/>
  <c r="F68" i="5"/>
  <c r="Q68" i="5" s="1"/>
  <c r="S68" i="5" s="1"/>
  <c r="C68" i="3"/>
  <c r="C68" i="4"/>
  <c r="C68" i="5"/>
  <c r="K67" i="1"/>
  <c r="G67" i="4" s="1"/>
  <c r="P67" i="1"/>
  <c r="L67" i="4" s="1"/>
  <c r="F67" i="4"/>
  <c r="F67" i="5"/>
  <c r="Q67" i="5" s="1"/>
  <c r="S67" i="5" s="1"/>
  <c r="C67" i="3"/>
  <c r="C67" i="4"/>
  <c r="C67" i="5"/>
  <c r="K66" i="1"/>
  <c r="G66" i="4" s="1"/>
  <c r="P66" i="1"/>
  <c r="L66" i="4" s="1"/>
  <c r="F66" i="4"/>
  <c r="F66" i="5"/>
  <c r="Q66" i="5" s="1"/>
  <c r="S66" i="5" s="1"/>
  <c r="C66" i="3"/>
  <c r="C66" i="4"/>
  <c r="C66" i="5"/>
  <c r="C65" i="3"/>
  <c r="C65" i="4"/>
  <c r="C65" i="5"/>
  <c r="K65" i="1"/>
  <c r="G65" i="4" s="1"/>
  <c r="P65" i="1"/>
  <c r="L65" i="4" s="1"/>
  <c r="F65" i="4"/>
  <c r="F65" i="5"/>
  <c r="Q65" i="5" s="1"/>
  <c r="S65" i="5" s="1"/>
  <c r="C64" i="3"/>
  <c r="C64" i="4"/>
  <c r="C64" i="5"/>
  <c r="K64" i="1"/>
  <c r="G64" i="4" s="1"/>
  <c r="P64" i="1"/>
  <c r="L64" i="4" s="1"/>
  <c r="F64" i="4"/>
  <c r="F64" i="5"/>
  <c r="Q64" i="5" s="1"/>
  <c r="S64" i="5" s="1"/>
  <c r="K63" i="1"/>
  <c r="G63" i="4" s="1"/>
  <c r="P63" i="1"/>
  <c r="L63" i="4" s="1"/>
  <c r="F63" i="4"/>
  <c r="F63" i="5"/>
  <c r="Q63" i="5" s="1"/>
  <c r="S63" i="5" s="1"/>
  <c r="C63" i="3"/>
  <c r="C63" i="4"/>
  <c r="C63" i="5"/>
  <c r="K62" i="1"/>
  <c r="G62" i="4" s="1"/>
  <c r="P62" i="1"/>
  <c r="L62" i="4" s="1"/>
  <c r="F62" i="4"/>
  <c r="F62" i="5"/>
  <c r="Q62" i="5" s="1"/>
  <c r="S62" i="5" s="1"/>
  <c r="C62" i="3"/>
  <c r="C62" i="4"/>
  <c r="C62" i="5"/>
  <c r="K61" i="1"/>
  <c r="G61" i="4" s="1"/>
  <c r="P61" i="1"/>
  <c r="L61" i="4" s="1"/>
  <c r="F61" i="4"/>
  <c r="F61" i="5"/>
  <c r="Q61" i="5" s="1"/>
  <c r="S61" i="5" s="1"/>
  <c r="C61" i="3"/>
  <c r="C61" i="4"/>
  <c r="C61" i="5"/>
  <c r="K60" i="1"/>
  <c r="G60" i="4" s="1"/>
  <c r="P60" i="1"/>
  <c r="L60" i="4" s="1"/>
  <c r="F60" i="5"/>
  <c r="Q60" i="5" s="1"/>
  <c r="S60" i="5" s="1"/>
  <c r="F60" i="4"/>
  <c r="C60" i="3"/>
  <c r="C60" i="4"/>
  <c r="C60" i="5"/>
  <c r="K59" i="1"/>
  <c r="G59" i="4" s="1"/>
  <c r="P59" i="1"/>
  <c r="L59" i="4" s="1"/>
  <c r="F59" i="4"/>
  <c r="F59" i="5"/>
  <c r="Q59" i="5" s="1"/>
  <c r="S59" i="5" s="1"/>
  <c r="C59" i="3"/>
  <c r="C59" i="5"/>
  <c r="C59" i="4"/>
  <c r="C58" i="3"/>
  <c r="C58" i="5"/>
  <c r="C58" i="4"/>
  <c r="K58" i="1"/>
  <c r="G58" i="4" s="1"/>
  <c r="P58" i="1"/>
  <c r="L58" i="4" s="1"/>
  <c r="F58" i="5"/>
  <c r="Q58" i="5" s="1"/>
  <c r="S58" i="5" s="1"/>
  <c r="F58" i="4"/>
  <c r="K57" i="1"/>
  <c r="G57" i="4" s="1"/>
  <c r="P57" i="1"/>
  <c r="L57" i="4" s="1"/>
  <c r="F57" i="5"/>
  <c r="Q57" i="5" s="1"/>
  <c r="S57" i="5" s="1"/>
  <c r="F57" i="4"/>
  <c r="C57" i="3"/>
  <c r="C57" i="4"/>
  <c r="C57" i="5"/>
  <c r="K56" i="1"/>
  <c r="G56" i="4" s="1"/>
  <c r="P56" i="1"/>
  <c r="L56" i="4" s="1"/>
  <c r="F56" i="4"/>
  <c r="F56" i="5"/>
  <c r="Q56" i="5" s="1"/>
  <c r="S56" i="5" s="1"/>
  <c r="C56" i="3"/>
  <c r="C56" i="4"/>
  <c r="C56" i="5"/>
  <c r="C55" i="3"/>
  <c r="C55" i="5"/>
  <c r="C55" i="4"/>
  <c r="K55" i="1"/>
  <c r="G55" i="4" s="1"/>
  <c r="P55" i="1"/>
  <c r="L55" i="4" s="1"/>
  <c r="F55" i="4"/>
  <c r="F55" i="5"/>
  <c r="Q55" i="5" s="1"/>
  <c r="S55" i="5" s="1"/>
  <c r="C54" i="3"/>
  <c r="C54" i="5"/>
  <c r="C54" i="4"/>
  <c r="K54" i="1"/>
  <c r="G54" i="4" s="1"/>
  <c r="P54" i="1"/>
  <c r="L54" i="4" s="1"/>
  <c r="F54" i="4"/>
  <c r="F54" i="5"/>
  <c r="Q54" i="5" s="1"/>
  <c r="S54" i="5" s="1"/>
  <c r="K53" i="1"/>
  <c r="G53" i="4" s="1"/>
  <c r="P53" i="1"/>
  <c r="L53" i="4" s="1"/>
  <c r="F53" i="4"/>
  <c r="F53" i="5"/>
  <c r="Q53" i="5" s="1"/>
  <c r="S53" i="5" s="1"/>
  <c r="C53" i="3"/>
  <c r="C53" i="4"/>
  <c r="C53" i="5"/>
  <c r="K52" i="1"/>
  <c r="G52" i="4" s="1"/>
  <c r="P52" i="1"/>
  <c r="L52" i="4" s="1"/>
  <c r="F52" i="4"/>
  <c r="F52" i="5"/>
  <c r="Q52" i="5" s="1"/>
  <c r="S52" i="5" s="1"/>
  <c r="C52" i="3"/>
  <c r="C52" i="4"/>
  <c r="C52" i="5"/>
  <c r="K51" i="1"/>
  <c r="G51" i="4" s="1"/>
  <c r="P51" i="1"/>
  <c r="L51" i="4" s="1"/>
  <c r="F51" i="4"/>
  <c r="F51" i="5"/>
  <c r="Q51" i="5" s="1"/>
  <c r="S51" i="5" s="1"/>
  <c r="C51" i="3"/>
  <c r="C51" i="4"/>
  <c r="C51" i="5"/>
  <c r="K50" i="1"/>
  <c r="G50" i="4" s="1"/>
  <c r="P50" i="1"/>
  <c r="L50" i="4" s="1"/>
  <c r="F50" i="4"/>
  <c r="F50" i="5"/>
  <c r="Q50" i="5" s="1"/>
  <c r="S50" i="5" s="1"/>
  <c r="C50" i="3"/>
  <c r="C50" i="4"/>
  <c r="C50" i="5"/>
  <c r="K49" i="1"/>
  <c r="G49" i="4" s="1"/>
  <c r="P49" i="1"/>
  <c r="L49" i="4" s="1"/>
  <c r="F49" i="4"/>
  <c r="F49" i="5"/>
  <c r="Q49" i="5" s="1"/>
  <c r="S49" i="5" s="1"/>
  <c r="C49" i="3"/>
  <c r="C49" i="4"/>
  <c r="C49" i="5"/>
  <c r="K48" i="1"/>
  <c r="G48" i="4" s="1"/>
  <c r="P48" i="1"/>
  <c r="L48" i="4" s="1"/>
  <c r="F48" i="4"/>
  <c r="F48" i="5"/>
  <c r="Q48" i="5" s="1"/>
  <c r="S48" i="5" s="1"/>
  <c r="C48" i="3"/>
  <c r="C48" i="4"/>
  <c r="C48" i="5"/>
  <c r="K47" i="1"/>
  <c r="G47" i="4" s="1"/>
  <c r="P47" i="1"/>
  <c r="L47" i="4" s="1"/>
  <c r="F47" i="4"/>
  <c r="F47" i="5"/>
  <c r="Q47" i="5" s="1"/>
  <c r="S47" i="5" s="1"/>
  <c r="C47" i="3"/>
  <c r="C47" i="4"/>
  <c r="C47" i="5"/>
  <c r="K46" i="1"/>
  <c r="G46" i="4" s="1"/>
  <c r="P46" i="1"/>
  <c r="L46" i="4" s="1"/>
  <c r="F46" i="4"/>
  <c r="F46" i="5"/>
  <c r="Q46" i="5" s="1"/>
  <c r="S46" i="5" s="1"/>
  <c r="C46" i="3"/>
  <c r="C46" i="4"/>
  <c r="C46" i="5"/>
  <c r="K45" i="1"/>
  <c r="G45" i="4" s="1"/>
  <c r="P45" i="1"/>
  <c r="L45" i="4" s="1"/>
  <c r="F45" i="4"/>
  <c r="F45" i="5"/>
  <c r="Q45" i="5" s="1"/>
  <c r="S45" i="5" s="1"/>
  <c r="C45" i="3"/>
  <c r="C45" i="4"/>
  <c r="C45" i="5"/>
  <c r="K44" i="1"/>
  <c r="G44" i="4" s="1"/>
  <c r="P44" i="1"/>
  <c r="L44" i="4" s="1"/>
  <c r="F44" i="4"/>
  <c r="F44" i="5"/>
  <c r="Q44" i="5" s="1"/>
  <c r="S44" i="5" s="1"/>
  <c r="C44" i="3"/>
  <c r="C44" i="4"/>
  <c r="C44" i="5"/>
  <c r="K43" i="1"/>
  <c r="G43" i="4" s="1"/>
  <c r="P43" i="1"/>
  <c r="L43" i="4" s="1"/>
  <c r="F43" i="4"/>
  <c r="F43" i="5"/>
  <c r="Q43" i="5" s="1"/>
  <c r="S43" i="5" s="1"/>
  <c r="C43" i="3"/>
  <c r="C43" i="4"/>
  <c r="C43" i="5"/>
  <c r="K42" i="1"/>
  <c r="G42" i="4" s="1"/>
  <c r="P42" i="1"/>
  <c r="L42" i="4" s="1"/>
  <c r="F42" i="4"/>
  <c r="F42" i="5"/>
  <c r="Q42" i="5" s="1"/>
  <c r="S42" i="5" s="1"/>
  <c r="C42" i="3"/>
  <c r="C42" i="4"/>
  <c r="C42" i="5"/>
  <c r="K41" i="1"/>
  <c r="G41" i="4" s="1"/>
  <c r="P41" i="1"/>
  <c r="L41" i="4" s="1"/>
  <c r="F41" i="4"/>
  <c r="F41" i="5"/>
  <c r="Q41" i="5" s="1"/>
  <c r="S41" i="5" s="1"/>
  <c r="C41" i="3"/>
  <c r="C41" i="4"/>
  <c r="C41" i="5"/>
  <c r="K40" i="1"/>
  <c r="G40" i="4" s="1"/>
  <c r="P40" i="1"/>
  <c r="L40" i="4" s="1"/>
  <c r="F40" i="4"/>
  <c r="F40" i="5"/>
  <c r="Q40" i="5" s="1"/>
  <c r="S40" i="5" s="1"/>
  <c r="C40" i="3"/>
  <c r="C40" i="4"/>
  <c r="C40" i="5"/>
  <c r="C39" i="3"/>
  <c r="C39" i="4"/>
  <c r="C39" i="5"/>
  <c r="K39" i="1"/>
  <c r="G39" i="4" s="1"/>
  <c r="P39" i="1"/>
  <c r="L39" i="4" s="1"/>
  <c r="F39" i="4"/>
  <c r="F39" i="5"/>
  <c r="Q39" i="5" s="1"/>
  <c r="S39" i="5" s="1"/>
  <c r="C38" i="3"/>
  <c r="C38" i="4"/>
  <c r="C38" i="5"/>
  <c r="K38" i="1"/>
  <c r="G38" i="4" s="1"/>
  <c r="P38" i="1"/>
  <c r="L38" i="4" s="1"/>
  <c r="F38" i="4"/>
  <c r="F38" i="5"/>
  <c r="Q38" i="5" s="1"/>
  <c r="S38" i="5" s="1"/>
  <c r="K37" i="1"/>
  <c r="G37" i="4" s="1"/>
  <c r="P37" i="1"/>
  <c r="L37" i="4" s="1"/>
  <c r="F37" i="4"/>
  <c r="F37" i="5"/>
  <c r="Q37" i="5" s="1"/>
  <c r="S37" i="5" s="1"/>
  <c r="C37" i="3"/>
  <c r="C37" i="4"/>
  <c r="C37" i="5"/>
  <c r="K36" i="1"/>
  <c r="G36" i="4" s="1"/>
  <c r="P36" i="1"/>
  <c r="L36" i="4" s="1"/>
  <c r="F36" i="4"/>
  <c r="F36" i="5"/>
  <c r="Q36" i="5" s="1"/>
  <c r="S36" i="5" s="1"/>
  <c r="C36" i="3"/>
  <c r="C36" i="4"/>
  <c r="C36" i="5"/>
  <c r="C35" i="3"/>
  <c r="C35" i="4"/>
  <c r="C35" i="5"/>
  <c r="K35" i="1"/>
  <c r="G35" i="4" s="1"/>
  <c r="P35" i="1"/>
  <c r="L35" i="4" s="1"/>
  <c r="F35" i="4"/>
  <c r="F35" i="5"/>
  <c r="Q35" i="5" s="1"/>
  <c r="S35" i="5" s="1"/>
  <c r="C34" i="3"/>
  <c r="C34" i="4"/>
  <c r="C34" i="5"/>
  <c r="K34" i="1"/>
  <c r="G34" i="4" s="1"/>
  <c r="P34" i="1"/>
  <c r="L34" i="4" s="1"/>
  <c r="F34" i="4"/>
  <c r="F34" i="5"/>
  <c r="Q34" i="5" s="1"/>
  <c r="S34" i="5" s="1"/>
  <c r="C33" i="3"/>
  <c r="C33" i="4"/>
  <c r="C33" i="5"/>
  <c r="K33" i="1"/>
  <c r="G33" i="4" s="1"/>
  <c r="P33" i="1"/>
  <c r="L33" i="4" s="1"/>
  <c r="F33" i="4"/>
  <c r="F33" i="5"/>
  <c r="Q33" i="5" s="1"/>
  <c r="S33" i="5" s="1"/>
  <c r="C32" i="3"/>
  <c r="C32" i="4"/>
  <c r="C32" i="5"/>
  <c r="K32" i="1"/>
  <c r="G32" i="4" s="1"/>
  <c r="P32" i="1"/>
  <c r="L32" i="4" s="1"/>
  <c r="F32" i="4"/>
  <c r="F32" i="5"/>
  <c r="Q32" i="5" s="1"/>
  <c r="S32" i="5" s="1"/>
  <c r="C31" i="3"/>
  <c r="C31" i="4"/>
  <c r="C31" i="5"/>
  <c r="K31" i="1"/>
  <c r="G31" i="4" s="1"/>
  <c r="P31" i="1"/>
  <c r="L31" i="4" s="1"/>
  <c r="F31" i="4"/>
  <c r="F31" i="5"/>
  <c r="Q31" i="5" s="1"/>
  <c r="S31" i="5" s="1"/>
  <c r="K30" i="1"/>
  <c r="G30" i="4" s="1"/>
  <c r="P30" i="1"/>
  <c r="L30" i="4" s="1"/>
  <c r="F30" i="4"/>
  <c r="F30" i="5"/>
  <c r="Q30" i="5" s="1"/>
  <c r="S30" i="5" s="1"/>
  <c r="C30" i="3"/>
  <c r="C30" i="4"/>
  <c r="C30" i="5"/>
  <c r="K29" i="1"/>
  <c r="G29" i="4" s="1"/>
  <c r="P29" i="1"/>
  <c r="L29" i="4" s="1"/>
  <c r="F29" i="4"/>
  <c r="F29" i="5"/>
  <c r="Q29" i="5" s="1"/>
  <c r="S29" i="5" s="1"/>
  <c r="C29" i="3"/>
  <c r="C29" i="4"/>
  <c r="C29" i="5"/>
  <c r="K28" i="1"/>
  <c r="G28" i="4" s="1"/>
  <c r="P28" i="1"/>
  <c r="L28" i="4" s="1"/>
  <c r="F28" i="4"/>
  <c r="F28" i="5"/>
  <c r="Q28" i="5" s="1"/>
  <c r="S28" i="5" s="1"/>
  <c r="C28" i="3"/>
  <c r="C28" i="4"/>
  <c r="C28" i="5"/>
  <c r="K27" i="1"/>
  <c r="G27" i="4" s="1"/>
  <c r="P27" i="1"/>
  <c r="L27" i="4" s="1"/>
  <c r="F27" i="4"/>
  <c r="F27" i="5"/>
  <c r="Q27" i="5" s="1"/>
  <c r="S27" i="5" s="1"/>
  <c r="C27" i="3"/>
  <c r="C27" i="4"/>
  <c r="C27" i="5"/>
  <c r="K26" i="1"/>
  <c r="G26" i="4" s="1"/>
  <c r="P26" i="1"/>
  <c r="L26" i="4" s="1"/>
  <c r="F26" i="4"/>
  <c r="F26" i="5"/>
  <c r="Q26" i="5" s="1"/>
  <c r="S26" i="5" s="1"/>
  <c r="C26" i="3"/>
  <c r="C26" i="4"/>
  <c r="C26" i="5"/>
  <c r="C25" i="3"/>
  <c r="C25" i="4"/>
  <c r="C25" i="5"/>
  <c r="K25" i="1"/>
  <c r="G25" i="4" s="1"/>
  <c r="P25" i="1"/>
  <c r="L25" i="4" s="1"/>
  <c r="F25" i="4"/>
  <c r="F25" i="5"/>
  <c r="Q25" i="5" s="1"/>
  <c r="S25" i="5" s="1"/>
  <c r="C24" i="3"/>
  <c r="C24" i="4"/>
  <c r="C24" i="5"/>
  <c r="K24" i="1"/>
  <c r="G24" i="4" s="1"/>
  <c r="P24" i="1"/>
  <c r="L24" i="4" s="1"/>
  <c r="F24" i="4"/>
  <c r="F24" i="5"/>
  <c r="Q24" i="5" s="1"/>
  <c r="S24" i="5" s="1"/>
  <c r="K23" i="1"/>
  <c r="G23" i="4" s="1"/>
  <c r="P23" i="1"/>
  <c r="L23" i="4" s="1"/>
  <c r="F23" i="4"/>
  <c r="F23" i="5"/>
  <c r="Q23" i="5" s="1"/>
  <c r="S23" i="5" s="1"/>
  <c r="C23" i="3"/>
  <c r="C23" i="4"/>
  <c r="C23" i="5"/>
  <c r="C22" i="4"/>
  <c r="C22" i="3"/>
  <c r="C22" i="5"/>
  <c r="K22" i="1"/>
  <c r="G22" i="4" s="1"/>
  <c r="P22" i="1"/>
  <c r="L22" i="4" s="1"/>
  <c r="F22" i="4"/>
  <c r="F22" i="5"/>
  <c r="Q22" i="5" s="1"/>
  <c r="S22" i="5" s="1"/>
  <c r="K21" i="1"/>
  <c r="G21" i="4" s="1"/>
  <c r="P21" i="1"/>
  <c r="L21" i="4" s="1"/>
  <c r="F21" i="4"/>
  <c r="F21" i="5"/>
  <c r="Q21" i="5" s="1"/>
  <c r="S21" i="5" s="1"/>
  <c r="C21" i="4"/>
  <c r="C21" i="5"/>
  <c r="C21" i="3"/>
  <c r="K20" i="1"/>
  <c r="G20" i="4" s="1"/>
  <c r="P20" i="1"/>
  <c r="L20" i="4" s="1"/>
  <c r="F20" i="4"/>
  <c r="F20" i="5"/>
  <c r="Q20" i="5" s="1"/>
  <c r="S20" i="5" s="1"/>
  <c r="C20" i="4"/>
  <c r="C20" i="3"/>
  <c r="C20" i="5"/>
  <c r="G210" i="5"/>
  <c r="I210" i="5"/>
  <c r="K210" i="5"/>
  <c r="M210" i="5"/>
  <c r="O210" i="5"/>
  <c r="R210" i="5"/>
  <c r="G10" i="5"/>
  <c r="I10" i="5"/>
  <c r="K10" i="5"/>
  <c r="M10" i="5"/>
  <c r="O10" i="5"/>
  <c r="R10" i="5"/>
  <c r="G9" i="5"/>
  <c r="G8" i="5"/>
  <c r="I8" i="5"/>
  <c r="K8" i="5"/>
  <c r="M8" i="5"/>
  <c r="O8" i="5"/>
  <c r="R8" i="5"/>
  <c r="M9" i="5" l="1"/>
  <c r="O9" i="5"/>
  <c r="K9" i="5"/>
  <c r="G11" i="5"/>
  <c r="I11" i="5"/>
  <c r="K11" i="5"/>
  <c r="M11" i="5"/>
  <c r="O11" i="5"/>
  <c r="R11" i="5"/>
  <c r="G12" i="5"/>
  <c r="I12" i="5"/>
  <c r="K12" i="5"/>
  <c r="M12" i="5"/>
  <c r="O12" i="5"/>
  <c r="G13" i="5"/>
  <c r="K13" i="5"/>
  <c r="O13" i="5"/>
  <c r="R13" i="5"/>
  <c r="I13" i="5"/>
  <c r="M13" i="5"/>
  <c r="G14" i="5"/>
  <c r="I14" i="5"/>
  <c r="M14" i="5"/>
  <c r="O14" i="5"/>
  <c r="K14" i="5"/>
  <c r="G15" i="5"/>
  <c r="I15" i="5"/>
  <c r="K15" i="5"/>
  <c r="M15" i="5"/>
  <c r="O15" i="5"/>
  <c r="R15" i="5"/>
  <c r="M16" i="5"/>
  <c r="G16" i="5"/>
  <c r="I16" i="5"/>
  <c r="K16" i="5"/>
  <c r="O16" i="5"/>
  <c r="G17" i="5"/>
  <c r="I17" i="5"/>
  <c r="K17" i="5"/>
  <c r="M17" i="5"/>
  <c r="O17" i="5"/>
  <c r="R17" i="5"/>
  <c r="G18" i="5"/>
  <c r="M18" i="5"/>
  <c r="I18" i="5"/>
  <c r="O18" i="5"/>
  <c r="K18" i="5"/>
  <c r="G19" i="5"/>
  <c r="I19" i="5"/>
  <c r="K19" i="5"/>
  <c r="M19" i="5"/>
  <c r="O19" i="5"/>
  <c r="R19" i="5"/>
  <c r="G209" i="5"/>
  <c r="I209" i="5"/>
  <c r="K209" i="5"/>
  <c r="M209" i="5"/>
  <c r="O209" i="5"/>
  <c r="R209" i="5"/>
  <c r="G208" i="5"/>
  <c r="I208" i="5"/>
  <c r="K208" i="5"/>
  <c r="M208" i="5"/>
  <c r="O208" i="5"/>
  <c r="R208" i="5"/>
  <c r="G207" i="5"/>
  <c r="I207" i="5"/>
  <c r="K207" i="5"/>
  <c r="M207" i="5"/>
  <c r="O207" i="5"/>
  <c r="R207" i="5"/>
  <c r="G206" i="5"/>
  <c r="I206" i="5"/>
  <c r="K206" i="5"/>
  <c r="M206" i="5"/>
  <c r="O206" i="5"/>
  <c r="R206" i="5"/>
  <c r="G205" i="5"/>
  <c r="I205" i="5"/>
  <c r="K205" i="5"/>
  <c r="M205" i="5"/>
  <c r="O205" i="5"/>
  <c r="R205" i="5"/>
  <c r="O197" i="5"/>
  <c r="I197" i="5"/>
  <c r="R197" i="5"/>
  <c r="K197" i="5"/>
  <c r="G197" i="5"/>
  <c r="M197" i="5"/>
  <c r="O196" i="5"/>
  <c r="M196" i="5"/>
  <c r="G196" i="5"/>
  <c r="K196" i="5"/>
  <c r="R196" i="5"/>
  <c r="I196" i="5"/>
  <c r="G195" i="5"/>
  <c r="M195" i="5"/>
  <c r="R195" i="5"/>
  <c r="O195" i="5"/>
  <c r="K195" i="5"/>
  <c r="I195" i="5"/>
  <c r="G194" i="5"/>
  <c r="I194" i="5"/>
  <c r="R194" i="5"/>
  <c r="M194" i="5"/>
  <c r="O194" i="5"/>
  <c r="K194" i="5"/>
  <c r="G291" i="5"/>
  <c r="K291" i="5"/>
  <c r="O291" i="5"/>
  <c r="R291" i="5"/>
  <c r="I291" i="5"/>
  <c r="M291" i="5"/>
  <c r="R290" i="5"/>
  <c r="O290" i="5"/>
  <c r="K290" i="5"/>
  <c r="I290" i="5"/>
  <c r="M290" i="5"/>
  <c r="G290" i="5"/>
  <c r="O289" i="5"/>
  <c r="R289" i="5"/>
  <c r="I289" i="5"/>
  <c r="K289" i="5"/>
  <c r="G289" i="5"/>
  <c r="M289" i="5"/>
  <c r="G288" i="5"/>
  <c r="R288" i="5"/>
  <c r="M288" i="5"/>
  <c r="I288" i="5"/>
  <c r="O288" i="5"/>
  <c r="K288" i="5"/>
  <c r="G287" i="5"/>
  <c r="O287" i="5"/>
  <c r="I287" i="5"/>
  <c r="R287" i="5"/>
  <c r="M287" i="5"/>
  <c r="K287" i="5"/>
  <c r="M286" i="5"/>
  <c r="I286" i="5"/>
  <c r="R286" i="5"/>
  <c r="O286" i="5"/>
  <c r="K286" i="5"/>
  <c r="G286" i="5"/>
  <c r="M285" i="5"/>
  <c r="G285" i="5"/>
  <c r="K285" i="5"/>
  <c r="I285" i="5"/>
  <c r="O285" i="5"/>
  <c r="R285" i="5"/>
  <c r="K284" i="5"/>
  <c r="O284" i="5"/>
  <c r="R284" i="5"/>
  <c r="G284" i="5"/>
  <c r="I284" i="5"/>
  <c r="M284" i="5"/>
  <c r="G283" i="5"/>
  <c r="M283" i="5"/>
  <c r="I283" i="5"/>
  <c r="R283" i="5"/>
  <c r="O283" i="5"/>
  <c r="K283" i="5"/>
  <c r="K282" i="5"/>
  <c r="O282" i="5"/>
  <c r="M282" i="5"/>
  <c r="I282" i="5"/>
  <c r="R282" i="5"/>
  <c r="G282" i="5"/>
  <c r="G281" i="5"/>
  <c r="R281" i="5"/>
  <c r="K281" i="5"/>
  <c r="I281" i="5"/>
  <c r="O281" i="5"/>
  <c r="M281" i="5"/>
  <c r="K280" i="5"/>
  <c r="G280" i="5"/>
  <c r="I280" i="5"/>
  <c r="R280" i="5"/>
  <c r="M280" i="5"/>
  <c r="O280" i="5"/>
  <c r="G279" i="5"/>
  <c r="K279" i="5"/>
  <c r="M279" i="5"/>
  <c r="R279" i="5"/>
  <c r="I279" i="5"/>
  <c r="O279" i="5"/>
  <c r="G278" i="5"/>
  <c r="K278" i="5"/>
  <c r="M278" i="5"/>
  <c r="I278" i="5"/>
  <c r="O278" i="5"/>
  <c r="R278" i="5"/>
  <c r="G277" i="5"/>
  <c r="I277" i="5"/>
  <c r="M277" i="5"/>
  <c r="R277" i="5"/>
  <c r="K277" i="5"/>
  <c r="O277" i="5"/>
  <c r="I198" i="5"/>
  <c r="K198" i="5"/>
  <c r="O198" i="5"/>
  <c r="G198" i="5"/>
  <c r="M198" i="5"/>
  <c r="R198" i="5"/>
  <c r="I170" i="5"/>
  <c r="K170" i="5"/>
  <c r="M170" i="5"/>
  <c r="O170" i="5"/>
  <c r="R170" i="5"/>
  <c r="G170" i="5"/>
  <c r="I169" i="5"/>
  <c r="K169" i="5"/>
  <c r="M169" i="5"/>
  <c r="O169" i="5"/>
  <c r="R169" i="5"/>
  <c r="G169" i="5"/>
  <c r="K168" i="5"/>
  <c r="G168" i="5"/>
  <c r="I168" i="5"/>
  <c r="M168" i="5"/>
  <c r="O168" i="5"/>
  <c r="R168" i="5"/>
  <c r="G167" i="5"/>
  <c r="I167" i="5"/>
  <c r="K167" i="5"/>
  <c r="M167" i="5"/>
  <c r="O167" i="5"/>
  <c r="R167" i="5"/>
  <c r="G166" i="5"/>
  <c r="I166" i="5"/>
  <c r="K166" i="5"/>
  <c r="M166" i="5"/>
  <c r="O166" i="5"/>
  <c r="R166" i="5"/>
  <c r="O165" i="5"/>
  <c r="R165" i="5"/>
  <c r="G165" i="5"/>
  <c r="I165" i="5"/>
  <c r="K165" i="5"/>
  <c r="M165" i="5"/>
  <c r="O164" i="5"/>
  <c r="R164" i="5"/>
  <c r="G164" i="5"/>
  <c r="I164" i="5"/>
  <c r="K164" i="5"/>
  <c r="M164" i="5"/>
  <c r="G163" i="5"/>
  <c r="I163" i="5"/>
  <c r="K163" i="5"/>
  <c r="M163" i="5"/>
  <c r="O163" i="5"/>
  <c r="R163" i="5"/>
  <c r="S8" i="5"/>
  <c r="G199" i="5"/>
  <c r="K199" i="5"/>
  <c r="M199" i="5"/>
  <c r="O199" i="5"/>
  <c r="R199" i="5"/>
  <c r="I199" i="5"/>
  <c r="G204" i="5"/>
  <c r="I204" i="5"/>
  <c r="K204" i="5"/>
  <c r="M204" i="5"/>
  <c r="O204" i="5"/>
  <c r="R204" i="5"/>
  <c r="G203" i="5"/>
  <c r="I203" i="5"/>
  <c r="K203" i="5"/>
  <c r="M203" i="5"/>
  <c r="O203" i="5"/>
  <c r="R203" i="5"/>
  <c r="G202" i="5"/>
  <c r="I202" i="5"/>
  <c r="K202" i="5"/>
  <c r="M202" i="5"/>
  <c r="O202" i="5"/>
  <c r="R202" i="5"/>
  <c r="G201" i="5"/>
  <c r="I201" i="5"/>
  <c r="K201" i="5"/>
  <c r="M201" i="5"/>
  <c r="O201" i="5"/>
  <c r="R201" i="5"/>
  <c r="G200" i="5"/>
  <c r="I200" i="5"/>
  <c r="K200" i="5"/>
  <c r="M200" i="5"/>
  <c r="O200" i="5"/>
  <c r="R200" i="5"/>
  <c r="G193" i="5"/>
  <c r="I193" i="5"/>
  <c r="K193" i="5"/>
  <c r="M193" i="5"/>
  <c r="O193" i="5"/>
  <c r="R193" i="5"/>
  <c r="G192" i="5"/>
  <c r="I192" i="5"/>
  <c r="K192" i="5"/>
  <c r="M192" i="5"/>
  <c r="O192" i="5"/>
  <c r="R192" i="5"/>
  <c r="G191" i="5"/>
  <c r="I191" i="5"/>
  <c r="K191" i="5"/>
  <c r="M191" i="5"/>
  <c r="O191" i="5"/>
  <c r="R191" i="5"/>
  <c r="G190" i="5"/>
  <c r="I190" i="5"/>
  <c r="K190" i="5"/>
  <c r="M190" i="5"/>
  <c r="O190" i="5"/>
  <c r="R190" i="5"/>
  <c r="G189" i="5"/>
  <c r="I189" i="5"/>
  <c r="K189" i="5"/>
  <c r="M189" i="5"/>
  <c r="O189" i="5"/>
  <c r="R189" i="5"/>
  <c r="G188" i="5"/>
  <c r="I188" i="5"/>
  <c r="K188" i="5"/>
  <c r="M188" i="5"/>
  <c r="O188" i="5"/>
  <c r="R188" i="5"/>
  <c r="G187" i="5"/>
  <c r="I187" i="5"/>
  <c r="K187" i="5"/>
  <c r="M187" i="5"/>
  <c r="O187" i="5"/>
  <c r="R187" i="5"/>
  <c r="G186" i="5"/>
  <c r="I186" i="5"/>
  <c r="K186" i="5"/>
  <c r="M186" i="5"/>
  <c r="O186" i="5"/>
  <c r="R186" i="5"/>
  <c r="G185" i="5"/>
  <c r="I185" i="5"/>
  <c r="K185" i="5"/>
  <c r="M185" i="5"/>
  <c r="O185" i="5"/>
  <c r="R185" i="5"/>
  <c r="G184" i="5"/>
  <c r="I184" i="5"/>
  <c r="K184" i="5"/>
  <c r="M184" i="5"/>
  <c r="O184" i="5"/>
  <c r="R184" i="5"/>
  <c r="G183" i="5"/>
  <c r="I183" i="5"/>
  <c r="K183" i="5"/>
  <c r="M183" i="5"/>
  <c r="O183" i="5"/>
  <c r="R183" i="5"/>
  <c r="G182" i="5"/>
  <c r="I182" i="5"/>
  <c r="K182" i="5"/>
  <c r="M182" i="5"/>
  <c r="O182" i="5"/>
  <c r="R182" i="5"/>
  <c r="G181" i="5"/>
  <c r="I181" i="5"/>
  <c r="K181" i="5"/>
  <c r="M181" i="5"/>
  <c r="O181" i="5"/>
  <c r="R181" i="5"/>
  <c r="G180" i="5"/>
  <c r="I180" i="5"/>
  <c r="K180" i="5"/>
  <c r="M180" i="5"/>
  <c r="O180" i="5"/>
  <c r="R180" i="5"/>
  <c r="G179" i="5"/>
  <c r="I179" i="5"/>
  <c r="K179" i="5"/>
  <c r="M179" i="5"/>
  <c r="O179" i="5"/>
  <c r="R179" i="5"/>
  <c r="M178" i="5"/>
  <c r="O178" i="5"/>
  <c r="R178" i="5"/>
  <c r="G178" i="5"/>
  <c r="I178" i="5"/>
  <c r="K178" i="5"/>
  <c r="M177" i="5"/>
  <c r="O177" i="5"/>
  <c r="R177" i="5"/>
  <c r="G177" i="5"/>
  <c r="I177" i="5"/>
  <c r="K177" i="5"/>
  <c r="G176" i="5"/>
  <c r="I176" i="5"/>
  <c r="K176" i="5"/>
  <c r="M176" i="5"/>
  <c r="O176" i="5"/>
  <c r="R176" i="5"/>
  <c r="G175" i="5"/>
  <c r="I175" i="5"/>
  <c r="K175" i="5"/>
  <c r="O175" i="5"/>
  <c r="R175" i="5"/>
  <c r="M175" i="5"/>
  <c r="G174" i="5"/>
  <c r="I174" i="5"/>
  <c r="K174" i="5"/>
  <c r="M174" i="5"/>
  <c r="O174" i="5"/>
  <c r="R174" i="5"/>
  <c r="I173" i="5"/>
  <c r="G173" i="5"/>
  <c r="M173" i="5"/>
  <c r="O173" i="5"/>
  <c r="R173" i="5"/>
  <c r="K173" i="5"/>
  <c r="G172" i="5"/>
  <c r="I172" i="5"/>
  <c r="K172" i="5"/>
  <c r="M172" i="5"/>
  <c r="O172" i="5"/>
  <c r="R172" i="5"/>
  <c r="G171" i="5"/>
  <c r="I171" i="5"/>
  <c r="K171" i="5"/>
  <c r="M171" i="5"/>
  <c r="R171" i="5"/>
  <c r="O171" i="5"/>
  <c r="I162" i="5"/>
  <c r="K162" i="5"/>
  <c r="M162" i="5"/>
  <c r="O162" i="5"/>
  <c r="R162" i="5"/>
  <c r="G161" i="5"/>
  <c r="I161" i="5"/>
  <c r="K161" i="5"/>
  <c r="M161" i="5"/>
  <c r="O161" i="5"/>
  <c r="R161" i="5"/>
  <c r="K160" i="5"/>
  <c r="M160" i="5"/>
  <c r="O160" i="5"/>
  <c r="R160" i="5"/>
  <c r="G160" i="5"/>
  <c r="I160" i="5"/>
  <c r="K159" i="5"/>
  <c r="M159" i="5"/>
  <c r="O159" i="5"/>
  <c r="R159" i="5"/>
  <c r="G159" i="5"/>
  <c r="I159" i="5"/>
  <c r="G158" i="5"/>
  <c r="I158" i="5"/>
  <c r="K158" i="5"/>
  <c r="M158" i="5"/>
  <c r="O158" i="5"/>
  <c r="R158" i="5"/>
  <c r="R157" i="5"/>
  <c r="G157" i="5"/>
  <c r="I157" i="5"/>
  <c r="K157" i="5"/>
  <c r="M157" i="5"/>
  <c r="O157" i="5"/>
  <c r="K156" i="5"/>
  <c r="G156" i="5"/>
  <c r="I156" i="5"/>
  <c r="M156" i="5"/>
  <c r="O156" i="5"/>
  <c r="R156" i="5"/>
  <c r="G155" i="5"/>
  <c r="I155" i="5"/>
  <c r="K155" i="5"/>
  <c r="M155" i="5"/>
  <c r="O155" i="5"/>
  <c r="R155" i="5"/>
  <c r="G154" i="5"/>
  <c r="I154" i="5"/>
  <c r="K154" i="5"/>
  <c r="M154" i="5"/>
  <c r="O154" i="5"/>
  <c r="R154" i="5"/>
  <c r="M153" i="5"/>
  <c r="O153" i="5"/>
  <c r="R153" i="5"/>
  <c r="K153" i="5"/>
  <c r="G153" i="5"/>
  <c r="I153" i="5"/>
  <c r="K152" i="5"/>
  <c r="M152" i="5"/>
  <c r="O152" i="5"/>
  <c r="R152" i="5"/>
  <c r="G152" i="5"/>
  <c r="I152" i="5"/>
  <c r="R151" i="5"/>
  <c r="G151" i="5"/>
  <c r="I151" i="5"/>
  <c r="K151" i="5"/>
  <c r="M151" i="5"/>
  <c r="O151" i="5"/>
  <c r="G150" i="5"/>
  <c r="I150" i="5"/>
  <c r="K150" i="5"/>
  <c r="M150" i="5"/>
  <c r="O150" i="5"/>
  <c r="R150" i="5"/>
  <c r="K149" i="5"/>
  <c r="G149" i="5"/>
  <c r="I149" i="5"/>
  <c r="M149" i="5"/>
  <c r="O149" i="5"/>
  <c r="R149" i="5"/>
  <c r="M148" i="5"/>
  <c r="O148" i="5"/>
  <c r="R148" i="5"/>
  <c r="G148" i="5"/>
  <c r="I148" i="5"/>
  <c r="K148" i="5"/>
  <c r="M147" i="5"/>
  <c r="O147" i="5"/>
  <c r="R147" i="5"/>
  <c r="G147" i="5"/>
  <c r="I147" i="5"/>
  <c r="K147" i="5"/>
  <c r="K146" i="5"/>
  <c r="G146" i="5"/>
  <c r="I146" i="5"/>
  <c r="M146" i="5"/>
  <c r="O146" i="5"/>
  <c r="R146" i="5"/>
  <c r="G145" i="5"/>
  <c r="I145" i="5"/>
  <c r="K145" i="5"/>
  <c r="M145" i="5"/>
  <c r="O145" i="5"/>
  <c r="R145" i="5"/>
  <c r="G144" i="5"/>
  <c r="I144" i="5"/>
  <c r="K144" i="5"/>
  <c r="M144" i="5"/>
  <c r="O144" i="5"/>
  <c r="R144" i="5"/>
  <c r="I143" i="5"/>
  <c r="M143" i="5"/>
  <c r="O143" i="5"/>
  <c r="R143" i="5"/>
  <c r="K143" i="5"/>
  <c r="G143" i="5"/>
  <c r="I142" i="5"/>
  <c r="K142" i="5"/>
  <c r="M142" i="5"/>
  <c r="O142" i="5"/>
  <c r="R142" i="5"/>
  <c r="G142" i="5"/>
  <c r="G141" i="5"/>
  <c r="I141" i="5"/>
  <c r="K141" i="5"/>
  <c r="O141" i="5"/>
  <c r="R141" i="5"/>
  <c r="M141" i="5"/>
  <c r="R12" i="5"/>
  <c r="Q12" i="5"/>
  <c r="S12" i="5" s="1"/>
  <c r="G293" i="5"/>
  <c r="K293" i="5"/>
  <c r="O293" i="5"/>
  <c r="I293" i="5"/>
  <c r="M293" i="5"/>
  <c r="R293" i="5"/>
  <c r="I292" i="5"/>
  <c r="M292" i="5"/>
  <c r="G292" i="5"/>
  <c r="K292" i="5"/>
  <c r="O292" i="5"/>
  <c r="R292" i="5"/>
  <c r="I276" i="5"/>
  <c r="M276" i="5"/>
  <c r="R276" i="5"/>
  <c r="G276" i="5"/>
  <c r="K276" i="5"/>
  <c r="O276" i="5"/>
  <c r="G275" i="5"/>
  <c r="K275" i="5"/>
  <c r="O275" i="5"/>
  <c r="R275" i="5"/>
  <c r="I275" i="5"/>
  <c r="M275" i="5"/>
  <c r="I274" i="5"/>
  <c r="M274" i="5"/>
  <c r="R274" i="5"/>
  <c r="G274" i="5"/>
  <c r="K274" i="5"/>
  <c r="O274" i="5"/>
  <c r="I273" i="5"/>
  <c r="M273" i="5"/>
  <c r="R273" i="5"/>
  <c r="G273" i="5"/>
  <c r="K273" i="5"/>
  <c r="O273" i="5"/>
  <c r="G272" i="5"/>
  <c r="I272" i="5"/>
  <c r="K272" i="5"/>
  <c r="M272" i="5"/>
  <c r="O272" i="5"/>
  <c r="R272" i="5"/>
  <c r="G271" i="5"/>
  <c r="K271" i="5"/>
  <c r="O271" i="5"/>
  <c r="I271" i="5"/>
  <c r="M271" i="5"/>
  <c r="R271" i="5"/>
  <c r="G270" i="5"/>
  <c r="K270" i="5"/>
  <c r="O270" i="5"/>
  <c r="I270" i="5"/>
  <c r="M270" i="5"/>
  <c r="R270" i="5"/>
  <c r="I269" i="5"/>
  <c r="M269" i="5"/>
  <c r="R269" i="5"/>
  <c r="G269" i="5"/>
  <c r="K269" i="5"/>
  <c r="O269" i="5"/>
  <c r="G268" i="5"/>
  <c r="K268" i="5"/>
  <c r="O268" i="5"/>
  <c r="R268" i="5"/>
  <c r="I268" i="5"/>
  <c r="M268" i="5"/>
  <c r="I267" i="5"/>
  <c r="O267" i="5"/>
  <c r="G267" i="5"/>
  <c r="K267" i="5"/>
  <c r="M267" i="5"/>
  <c r="R267" i="5"/>
  <c r="G266" i="5"/>
  <c r="I266" i="5"/>
  <c r="K266" i="5"/>
  <c r="M266" i="5"/>
  <c r="O266" i="5"/>
  <c r="R266" i="5"/>
  <c r="G265" i="5"/>
  <c r="I265" i="5"/>
  <c r="K265" i="5"/>
  <c r="M265" i="5"/>
  <c r="O265" i="5"/>
  <c r="R265" i="5"/>
  <c r="G264" i="5"/>
  <c r="I264" i="5"/>
  <c r="K264" i="5"/>
  <c r="M264" i="5"/>
  <c r="O264" i="5"/>
  <c r="R264" i="5"/>
  <c r="G263" i="5"/>
  <c r="I263" i="5"/>
  <c r="K263" i="5"/>
  <c r="M263" i="5"/>
  <c r="O263" i="5"/>
  <c r="R263" i="5"/>
  <c r="G262" i="5"/>
  <c r="I262" i="5"/>
  <c r="K262" i="5"/>
  <c r="M262" i="5"/>
  <c r="O262" i="5"/>
  <c r="R262" i="5"/>
  <c r="G261" i="5"/>
  <c r="I261" i="5"/>
  <c r="K261" i="5"/>
  <c r="M261" i="5"/>
  <c r="O261" i="5"/>
  <c r="R261" i="5"/>
  <c r="G260" i="5"/>
  <c r="I260" i="5"/>
  <c r="K260" i="5"/>
  <c r="M260" i="5"/>
  <c r="O260" i="5"/>
  <c r="R260" i="5"/>
  <c r="G259" i="5"/>
  <c r="I259" i="5"/>
  <c r="K259" i="5"/>
  <c r="M259" i="5"/>
  <c r="O259" i="5"/>
  <c r="R259" i="5"/>
  <c r="G258" i="5"/>
  <c r="I258" i="5"/>
  <c r="K258" i="5"/>
  <c r="M258" i="5"/>
  <c r="O258" i="5"/>
  <c r="R258" i="5"/>
  <c r="G257" i="5"/>
  <c r="I257" i="5"/>
  <c r="K257" i="5"/>
  <c r="M257" i="5"/>
  <c r="O257" i="5"/>
  <c r="R257" i="5"/>
  <c r="G256" i="5"/>
  <c r="I256" i="5"/>
  <c r="K256" i="5"/>
  <c r="M256" i="5"/>
  <c r="O256" i="5"/>
  <c r="R256" i="5"/>
  <c r="G255" i="5"/>
  <c r="I255" i="5"/>
  <c r="K255" i="5"/>
  <c r="M255" i="5"/>
  <c r="O255" i="5"/>
  <c r="R255" i="5"/>
  <c r="G254" i="5"/>
  <c r="I254" i="5"/>
  <c r="K254" i="5"/>
  <c r="M254" i="5"/>
  <c r="O254" i="5"/>
  <c r="R254" i="5"/>
  <c r="G253" i="5"/>
  <c r="I253" i="5"/>
  <c r="K253" i="5"/>
  <c r="M253" i="5"/>
  <c r="O253" i="5"/>
  <c r="R253" i="5"/>
  <c r="G252" i="5"/>
  <c r="I252" i="5"/>
  <c r="K252" i="5"/>
  <c r="M252" i="5"/>
  <c r="O252" i="5"/>
  <c r="R252" i="5"/>
  <c r="G251" i="5"/>
  <c r="I251" i="5"/>
  <c r="K251" i="5"/>
  <c r="M251" i="5"/>
  <c r="O251" i="5"/>
  <c r="R251" i="5"/>
  <c r="G250" i="5"/>
  <c r="I250" i="5"/>
  <c r="K250" i="5"/>
  <c r="M250" i="5"/>
  <c r="O250" i="5"/>
  <c r="R250" i="5"/>
  <c r="G249" i="5"/>
  <c r="I249" i="5"/>
  <c r="K249" i="5"/>
  <c r="M249" i="5"/>
  <c r="O249" i="5"/>
  <c r="R249" i="5"/>
  <c r="G248" i="5"/>
  <c r="I248" i="5"/>
  <c r="K248" i="5"/>
  <c r="M248" i="5"/>
  <c r="O248" i="5"/>
  <c r="R248" i="5"/>
  <c r="G247" i="5"/>
  <c r="I247" i="5"/>
  <c r="K247" i="5"/>
  <c r="M247" i="5"/>
  <c r="O247" i="5"/>
  <c r="R247" i="5"/>
  <c r="G246" i="5"/>
  <c r="I246" i="5"/>
  <c r="K246" i="5"/>
  <c r="M246" i="5"/>
  <c r="O246" i="5"/>
  <c r="R246" i="5"/>
  <c r="G245" i="5"/>
  <c r="I245" i="5"/>
  <c r="K245" i="5"/>
  <c r="M245" i="5"/>
  <c r="O245" i="5"/>
  <c r="R245" i="5"/>
  <c r="G244" i="5"/>
  <c r="I244" i="5"/>
  <c r="K244" i="5"/>
  <c r="M244" i="5"/>
  <c r="O244" i="5"/>
  <c r="R244" i="5"/>
  <c r="G243" i="5"/>
  <c r="I243" i="5"/>
  <c r="K243" i="5"/>
  <c r="M243" i="5"/>
  <c r="O243" i="5"/>
  <c r="R243" i="5"/>
  <c r="G242" i="5"/>
  <c r="I242" i="5"/>
  <c r="K242" i="5"/>
  <c r="M242" i="5"/>
  <c r="O242" i="5"/>
  <c r="R242" i="5"/>
  <c r="G241" i="5"/>
  <c r="I241" i="5"/>
  <c r="K241" i="5"/>
  <c r="M241" i="5"/>
  <c r="O241" i="5"/>
  <c r="R241" i="5"/>
  <c r="G240" i="5"/>
  <c r="I240" i="5"/>
  <c r="K240" i="5"/>
  <c r="M240" i="5"/>
  <c r="O240" i="5"/>
  <c r="R240" i="5"/>
  <c r="G239" i="5"/>
  <c r="I239" i="5"/>
  <c r="K239" i="5"/>
  <c r="M239" i="5"/>
  <c r="O239" i="5"/>
  <c r="R239" i="5"/>
  <c r="G238" i="5"/>
  <c r="I238" i="5"/>
  <c r="K238" i="5"/>
  <c r="M238" i="5"/>
  <c r="O238" i="5"/>
  <c r="R238" i="5"/>
  <c r="G237" i="5"/>
  <c r="I237" i="5"/>
  <c r="K237" i="5"/>
  <c r="M237" i="5"/>
  <c r="O237" i="5"/>
  <c r="R237" i="5"/>
  <c r="G236" i="5"/>
  <c r="I236" i="5"/>
  <c r="K236" i="5"/>
  <c r="M236" i="5"/>
  <c r="O236" i="5"/>
  <c r="R236" i="5"/>
  <c r="G235" i="5"/>
  <c r="I235" i="5"/>
  <c r="K235" i="5"/>
  <c r="M235" i="5"/>
  <c r="O235" i="5"/>
  <c r="R235" i="5"/>
  <c r="G234" i="5"/>
  <c r="I234" i="5"/>
  <c r="K234" i="5"/>
  <c r="M234" i="5"/>
  <c r="O234" i="5"/>
  <c r="R234" i="5"/>
  <c r="G233" i="5"/>
  <c r="I233" i="5"/>
  <c r="K233" i="5"/>
  <c r="M233" i="5"/>
  <c r="O233" i="5"/>
  <c r="R233" i="5"/>
  <c r="G232" i="5"/>
  <c r="I232" i="5"/>
  <c r="K232" i="5"/>
  <c r="M232" i="5"/>
  <c r="O232" i="5"/>
  <c r="R232" i="5"/>
  <c r="G231" i="5"/>
  <c r="I231" i="5"/>
  <c r="K231" i="5"/>
  <c r="M231" i="5"/>
  <c r="O231" i="5"/>
  <c r="R231" i="5"/>
  <c r="G230" i="5"/>
  <c r="I230" i="5"/>
  <c r="K230" i="5"/>
  <c r="M230" i="5"/>
  <c r="O230" i="5"/>
  <c r="R230" i="5"/>
  <c r="G229" i="5"/>
  <c r="I229" i="5"/>
  <c r="K229" i="5"/>
  <c r="M229" i="5"/>
  <c r="O229" i="5"/>
  <c r="R229" i="5"/>
  <c r="G228" i="5"/>
  <c r="I228" i="5"/>
  <c r="K228" i="5"/>
  <c r="M228" i="5"/>
  <c r="O228" i="5"/>
  <c r="R228" i="5"/>
  <c r="G227" i="5"/>
  <c r="I227" i="5"/>
  <c r="K227" i="5"/>
  <c r="M227" i="5"/>
  <c r="O227" i="5"/>
  <c r="R227" i="5"/>
  <c r="G226" i="5"/>
  <c r="I226" i="5"/>
  <c r="K226" i="5"/>
  <c r="M226" i="5"/>
  <c r="O226" i="5"/>
  <c r="R226" i="5"/>
  <c r="G225" i="5"/>
  <c r="I225" i="5"/>
  <c r="K225" i="5"/>
  <c r="M225" i="5"/>
  <c r="O225" i="5"/>
  <c r="R225" i="5"/>
  <c r="G224" i="5"/>
  <c r="I224" i="5"/>
  <c r="K224" i="5"/>
  <c r="M224" i="5"/>
  <c r="O224" i="5"/>
  <c r="R224" i="5"/>
  <c r="G223" i="5"/>
  <c r="I223" i="5"/>
  <c r="K223" i="5"/>
  <c r="M223" i="5"/>
  <c r="O223" i="5"/>
  <c r="R223" i="5"/>
  <c r="G222" i="5"/>
  <c r="I222" i="5"/>
  <c r="K222" i="5"/>
  <c r="M222" i="5"/>
  <c r="O222" i="5"/>
  <c r="R222" i="5"/>
  <c r="G221" i="5"/>
  <c r="I221" i="5"/>
  <c r="K221" i="5"/>
  <c r="M221" i="5"/>
  <c r="O221" i="5"/>
  <c r="R221" i="5"/>
  <c r="G220" i="5"/>
  <c r="I220" i="5"/>
  <c r="K220" i="5"/>
  <c r="M220" i="5"/>
  <c r="O220" i="5"/>
  <c r="R220" i="5"/>
  <c r="G219" i="5"/>
  <c r="I219" i="5"/>
  <c r="K219" i="5"/>
  <c r="M219" i="5"/>
  <c r="O219" i="5"/>
  <c r="R219" i="5"/>
  <c r="G218" i="5"/>
  <c r="I218" i="5"/>
  <c r="K218" i="5"/>
  <c r="M218" i="5"/>
  <c r="O218" i="5"/>
  <c r="R218" i="5"/>
  <c r="G217" i="5"/>
  <c r="I217" i="5"/>
  <c r="K217" i="5"/>
  <c r="M217" i="5"/>
  <c r="O217" i="5"/>
  <c r="R217" i="5"/>
  <c r="G216" i="5"/>
  <c r="I216" i="5"/>
  <c r="K216" i="5"/>
  <c r="M216" i="5"/>
  <c r="O216" i="5"/>
  <c r="R216" i="5"/>
  <c r="G215" i="5"/>
  <c r="I215" i="5"/>
  <c r="K215" i="5"/>
  <c r="M215" i="5"/>
  <c r="O215" i="5"/>
  <c r="R215" i="5"/>
  <c r="G214" i="5"/>
  <c r="I214" i="5"/>
  <c r="K214" i="5"/>
  <c r="M214" i="5"/>
  <c r="O214" i="5"/>
  <c r="R214" i="5"/>
  <c r="G213" i="5"/>
  <c r="I213" i="5"/>
  <c r="K213" i="5"/>
  <c r="M213" i="5"/>
  <c r="O213" i="5"/>
  <c r="R213" i="5"/>
  <c r="G212" i="5"/>
  <c r="I212" i="5"/>
  <c r="K212" i="5"/>
  <c r="M212" i="5"/>
  <c r="O212" i="5"/>
  <c r="R212" i="5"/>
  <c r="G211" i="5"/>
  <c r="I211" i="5"/>
  <c r="K211" i="5"/>
  <c r="M211" i="5"/>
  <c r="O211" i="5"/>
  <c r="R211" i="5"/>
  <c r="G140" i="5"/>
  <c r="I140" i="5"/>
  <c r="K140" i="5"/>
  <c r="M140" i="5"/>
  <c r="O140" i="5"/>
  <c r="R140" i="5"/>
  <c r="G139" i="5"/>
  <c r="I139" i="5"/>
  <c r="K139" i="5"/>
  <c r="M139" i="5"/>
  <c r="O139" i="5"/>
  <c r="R139" i="5"/>
  <c r="G138" i="5"/>
  <c r="I138" i="5"/>
  <c r="K138" i="5"/>
  <c r="M138" i="5"/>
  <c r="O138" i="5"/>
  <c r="R138" i="5"/>
  <c r="I137" i="5"/>
  <c r="M137" i="5"/>
  <c r="G137" i="5"/>
  <c r="K137" i="5"/>
  <c r="O137" i="5"/>
  <c r="R137" i="5"/>
  <c r="G136" i="5"/>
  <c r="I136" i="5"/>
  <c r="M136" i="5"/>
  <c r="R136" i="5"/>
  <c r="K136" i="5"/>
  <c r="O136" i="5"/>
  <c r="K135" i="5"/>
  <c r="G135" i="5"/>
  <c r="I135" i="5"/>
  <c r="M135" i="5"/>
  <c r="O135" i="5"/>
  <c r="R135" i="5"/>
  <c r="G134" i="5"/>
  <c r="K134" i="5"/>
  <c r="I134" i="5"/>
  <c r="O134" i="5"/>
  <c r="R134" i="5"/>
  <c r="M134" i="5"/>
  <c r="I133" i="5"/>
  <c r="M133" i="5"/>
  <c r="O133" i="5"/>
  <c r="R133" i="5"/>
  <c r="G133" i="5"/>
  <c r="K133" i="5"/>
  <c r="G132" i="5"/>
  <c r="M132" i="5"/>
  <c r="R132" i="5"/>
  <c r="K132" i="5"/>
  <c r="I132" i="5"/>
  <c r="O132" i="5"/>
  <c r="K131" i="5"/>
  <c r="O131" i="5"/>
  <c r="M131" i="5"/>
  <c r="I131" i="5"/>
  <c r="R131" i="5"/>
  <c r="G131" i="5"/>
  <c r="K130" i="5"/>
  <c r="R130" i="5"/>
  <c r="I130" i="5"/>
  <c r="O130" i="5"/>
  <c r="G130" i="5"/>
  <c r="M130" i="5"/>
  <c r="I129" i="5"/>
  <c r="G129" i="5"/>
  <c r="R129" i="5"/>
  <c r="M129" i="5"/>
  <c r="K129" i="5"/>
  <c r="O129" i="5"/>
  <c r="I128" i="5"/>
  <c r="R128" i="5"/>
  <c r="K128" i="5"/>
  <c r="M128" i="5"/>
  <c r="G128" i="5"/>
  <c r="O128" i="5"/>
  <c r="K127" i="5"/>
  <c r="O127" i="5"/>
  <c r="I127" i="5"/>
  <c r="G127" i="5"/>
  <c r="M127" i="5"/>
  <c r="R127" i="5"/>
  <c r="I126" i="5"/>
  <c r="R126" i="5"/>
  <c r="G126" i="5"/>
  <c r="O126" i="5"/>
  <c r="K126" i="5"/>
  <c r="M126" i="5"/>
  <c r="M125" i="5"/>
  <c r="R125" i="5"/>
  <c r="I125" i="5"/>
  <c r="G125" i="5"/>
  <c r="K125" i="5"/>
  <c r="O125" i="5"/>
  <c r="I124" i="5"/>
  <c r="O124" i="5"/>
  <c r="G124" i="5"/>
  <c r="M124" i="5"/>
  <c r="K124" i="5"/>
  <c r="R124" i="5"/>
  <c r="K123" i="5"/>
  <c r="I123" i="5"/>
  <c r="O123" i="5"/>
  <c r="G123" i="5"/>
  <c r="M123" i="5"/>
  <c r="R123" i="5"/>
  <c r="I122" i="5"/>
  <c r="O122" i="5"/>
  <c r="R122" i="5"/>
  <c r="G122" i="5"/>
  <c r="K122" i="5"/>
  <c r="M122" i="5"/>
  <c r="I121" i="5"/>
  <c r="K121" i="5"/>
  <c r="O121" i="5"/>
  <c r="G121" i="5"/>
  <c r="M121" i="5"/>
  <c r="R121" i="5"/>
  <c r="M120" i="5"/>
  <c r="R120" i="5"/>
  <c r="I120" i="5"/>
  <c r="G120" i="5"/>
  <c r="K120" i="5"/>
  <c r="O120" i="5"/>
  <c r="G119" i="5"/>
  <c r="I119" i="5"/>
  <c r="K119" i="5"/>
  <c r="M119" i="5"/>
  <c r="O119" i="5"/>
  <c r="R119" i="5"/>
  <c r="G118" i="5"/>
  <c r="I118" i="5"/>
  <c r="K118" i="5"/>
  <c r="M118" i="5"/>
  <c r="O118" i="5"/>
  <c r="R118" i="5"/>
  <c r="G117" i="5"/>
  <c r="I117" i="5"/>
  <c r="K117" i="5"/>
  <c r="M117" i="5"/>
  <c r="O117" i="5"/>
  <c r="R117" i="5"/>
  <c r="G116" i="5"/>
  <c r="I116" i="5"/>
  <c r="K116" i="5"/>
  <c r="M116" i="5"/>
  <c r="O116" i="5"/>
  <c r="R116" i="5"/>
  <c r="G115" i="5"/>
  <c r="I115" i="5"/>
  <c r="K115" i="5"/>
  <c r="M115" i="5"/>
  <c r="O115" i="5"/>
  <c r="R115" i="5"/>
  <c r="G114" i="5"/>
  <c r="I114" i="5"/>
  <c r="K114" i="5"/>
  <c r="M114" i="5"/>
  <c r="O114" i="5"/>
  <c r="R114" i="5"/>
  <c r="G113" i="5"/>
  <c r="I113" i="5"/>
  <c r="K113" i="5"/>
  <c r="M113" i="5"/>
  <c r="O113" i="5"/>
  <c r="R113" i="5"/>
  <c r="G112" i="5"/>
  <c r="I112" i="5"/>
  <c r="K112" i="5"/>
  <c r="M112" i="5"/>
  <c r="O112" i="5"/>
  <c r="R112" i="5"/>
  <c r="G111" i="5"/>
  <c r="I111" i="5"/>
  <c r="K111" i="5"/>
  <c r="M111" i="5"/>
  <c r="O111" i="5"/>
  <c r="R111" i="5"/>
  <c r="G110" i="5"/>
  <c r="I110" i="5"/>
  <c r="K110" i="5"/>
  <c r="M110" i="5"/>
  <c r="O110" i="5"/>
  <c r="R110" i="5"/>
  <c r="G109" i="5"/>
  <c r="I109" i="5"/>
  <c r="K109" i="5"/>
  <c r="M109" i="5"/>
  <c r="O109" i="5"/>
  <c r="R109" i="5"/>
  <c r="G108" i="5"/>
  <c r="I108" i="5"/>
  <c r="K108" i="5"/>
  <c r="M108" i="5"/>
  <c r="O108" i="5"/>
  <c r="R108" i="5"/>
  <c r="G107" i="5"/>
  <c r="I107" i="5"/>
  <c r="K107" i="5"/>
  <c r="M107" i="5"/>
  <c r="O107" i="5"/>
  <c r="R107" i="5"/>
  <c r="G106" i="5"/>
  <c r="I106" i="5"/>
  <c r="K106" i="5"/>
  <c r="M106" i="5"/>
  <c r="O106" i="5"/>
  <c r="R106" i="5"/>
  <c r="G105" i="5"/>
  <c r="I105" i="5"/>
  <c r="K105" i="5"/>
  <c r="M105" i="5"/>
  <c r="O105" i="5"/>
  <c r="R105" i="5"/>
  <c r="G104" i="5"/>
  <c r="I104" i="5"/>
  <c r="K104" i="5"/>
  <c r="M104" i="5"/>
  <c r="O104" i="5"/>
  <c r="R104" i="5"/>
  <c r="G103" i="5"/>
  <c r="I103" i="5"/>
  <c r="K103" i="5"/>
  <c r="M103" i="5"/>
  <c r="O103" i="5"/>
  <c r="R103" i="5"/>
  <c r="G102" i="5"/>
  <c r="I102" i="5"/>
  <c r="K102" i="5"/>
  <c r="M102" i="5"/>
  <c r="O102" i="5"/>
  <c r="R102" i="5"/>
  <c r="G101" i="5"/>
  <c r="I101" i="5"/>
  <c r="K101" i="5"/>
  <c r="M101" i="5"/>
  <c r="O101" i="5"/>
  <c r="R101" i="5"/>
  <c r="G100" i="5"/>
  <c r="I100" i="5"/>
  <c r="K100" i="5"/>
  <c r="M100" i="5"/>
  <c r="O100" i="5"/>
  <c r="R100" i="5"/>
  <c r="G99" i="5"/>
  <c r="I99" i="5"/>
  <c r="K99" i="5"/>
  <c r="M99" i="5"/>
  <c r="O99" i="5"/>
  <c r="R99" i="5"/>
  <c r="G98" i="5"/>
  <c r="I98" i="5"/>
  <c r="K98" i="5"/>
  <c r="M98" i="5"/>
  <c r="O98" i="5"/>
  <c r="R98" i="5"/>
  <c r="G97" i="5"/>
  <c r="I97" i="5"/>
  <c r="K97" i="5"/>
  <c r="M97" i="5"/>
  <c r="O97" i="5"/>
  <c r="R97" i="5"/>
  <c r="G96" i="5"/>
  <c r="I96" i="5"/>
  <c r="K96" i="5"/>
  <c r="M96" i="5"/>
  <c r="O96" i="5"/>
  <c r="R96" i="5"/>
  <c r="G95" i="5"/>
  <c r="I95" i="5"/>
  <c r="K95" i="5"/>
  <c r="M95" i="5"/>
  <c r="O95" i="5"/>
  <c r="R95" i="5"/>
  <c r="G94" i="5"/>
  <c r="I94" i="5"/>
  <c r="K94" i="5"/>
  <c r="M94" i="5"/>
  <c r="O94" i="5"/>
  <c r="R94" i="5"/>
  <c r="G93" i="5"/>
  <c r="I93" i="5"/>
  <c r="K93" i="5"/>
  <c r="M93" i="5"/>
  <c r="O93" i="5"/>
  <c r="R93" i="5"/>
  <c r="G92" i="5"/>
  <c r="I92" i="5"/>
  <c r="K92" i="5"/>
  <c r="M92" i="5"/>
  <c r="O92" i="5"/>
  <c r="R92" i="5"/>
  <c r="G91" i="5"/>
  <c r="I91" i="5"/>
  <c r="K91" i="5"/>
  <c r="M91" i="5"/>
  <c r="O91" i="5"/>
  <c r="R91" i="5"/>
  <c r="G90" i="5"/>
  <c r="I90" i="5"/>
  <c r="K90" i="5"/>
  <c r="M90" i="5"/>
  <c r="O90" i="5"/>
  <c r="R90" i="5"/>
  <c r="G89" i="5"/>
  <c r="I89" i="5"/>
  <c r="K89" i="5"/>
  <c r="M89" i="5"/>
  <c r="O89" i="5"/>
  <c r="R89" i="5"/>
  <c r="G88" i="5"/>
  <c r="I88" i="5"/>
  <c r="K88" i="5"/>
  <c r="M88" i="5"/>
  <c r="O88" i="5"/>
  <c r="R88" i="5"/>
  <c r="G87" i="5"/>
  <c r="I87" i="5"/>
  <c r="K87" i="5"/>
  <c r="M87" i="5"/>
  <c r="O87" i="5"/>
  <c r="R87" i="5"/>
  <c r="G86" i="5"/>
  <c r="I86" i="5"/>
  <c r="K86" i="5"/>
  <c r="M86" i="5"/>
  <c r="O86" i="5"/>
  <c r="R86" i="5"/>
  <c r="G85" i="5"/>
  <c r="I85" i="5"/>
  <c r="K85" i="5"/>
  <c r="M85" i="5"/>
  <c r="O85" i="5"/>
  <c r="R85" i="5"/>
  <c r="G84" i="5"/>
  <c r="I84" i="5"/>
  <c r="K84" i="5"/>
  <c r="M84" i="5"/>
  <c r="O84" i="5"/>
  <c r="R84" i="5"/>
  <c r="G83" i="5"/>
  <c r="I83" i="5"/>
  <c r="K83" i="5"/>
  <c r="M83" i="5"/>
  <c r="O83" i="5"/>
  <c r="R83" i="5"/>
  <c r="G82" i="5"/>
  <c r="I82" i="5"/>
  <c r="K82" i="5"/>
  <c r="M82" i="5"/>
  <c r="O82" i="5"/>
  <c r="R82" i="5"/>
  <c r="G81" i="5"/>
  <c r="I81" i="5"/>
  <c r="K81" i="5"/>
  <c r="M81" i="5"/>
  <c r="O81" i="5"/>
  <c r="R81" i="5"/>
  <c r="G80" i="5"/>
  <c r="I80" i="5"/>
  <c r="K80" i="5"/>
  <c r="M80" i="5"/>
  <c r="O80" i="5"/>
  <c r="R80" i="5"/>
  <c r="G79" i="5"/>
  <c r="I79" i="5"/>
  <c r="K79" i="5"/>
  <c r="M79" i="5"/>
  <c r="O79" i="5"/>
  <c r="R79" i="5"/>
  <c r="G78" i="5"/>
  <c r="I78" i="5"/>
  <c r="K78" i="5"/>
  <c r="M78" i="5"/>
  <c r="O78" i="5"/>
  <c r="R78" i="5"/>
  <c r="G77" i="5"/>
  <c r="I77" i="5"/>
  <c r="K77" i="5"/>
  <c r="M77" i="5"/>
  <c r="O77" i="5"/>
  <c r="R77" i="5"/>
  <c r="G76" i="5"/>
  <c r="I76" i="5"/>
  <c r="K76" i="5"/>
  <c r="M76" i="5"/>
  <c r="O76" i="5"/>
  <c r="R76" i="5"/>
  <c r="G75" i="5"/>
  <c r="I75" i="5"/>
  <c r="K75" i="5"/>
  <c r="M75" i="5"/>
  <c r="O75" i="5"/>
  <c r="R75" i="5"/>
  <c r="G74" i="5"/>
  <c r="I74" i="5"/>
  <c r="K74" i="5"/>
  <c r="M74" i="5"/>
  <c r="O74" i="5"/>
  <c r="R74" i="5"/>
  <c r="G73" i="5"/>
  <c r="I73" i="5"/>
  <c r="K73" i="5"/>
  <c r="M73" i="5"/>
  <c r="O73" i="5"/>
  <c r="R73" i="5"/>
  <c r="G72" i="5"/>
  <c r="I72" i="5"/>
  <c r="K72" i="5"/>
  <c r="M72" i="5"/>
  <c r="O72" i="5"/>
  <c r="R72" i="5"/>
  <c r="G71" i="5"/>
  <c r="I71" i="5"/>
  <c r="K71" i="5"/>
  <c r="M71" i="5"/>
  <c r="O71" i="5"/>
  <c r="R71" i="5"/>
  <c r="G70" i="5"/>
  <c r="I70" i="5"/>
  <c r="K70" i="5"/>
  <c r="M70" i="5"/>
  <c r="O70" i="5"/>
  <c r="R70" i="5"/>
  <c r="G69" i="5"/>
  <c r="I69" i="5"/>
  <c r="K69" i="5"/>
  <c r="M69" i="5"/>
  <c r="O69" i="5"/>
  <c r="R69" i="5"/>
  <c r="G68" i="5"/>
  <c r="I68" i="5"/>
  <c r="K68" i="5"/>
  <c r="M68" i="5"/>
  <c r="O68" i="5"/>
  <c r="R68" i="5"/>
  <c r="G67" i="5"/>
  <c r="I67" i="5"/>
  <c r="K67" i="5"/>
  <c r="M67" i="5"/>
  <c r="O67" i="5"/>
  <c r="R67" i="5"/>
  <c r="G66" i="5"/>
  <c r="I66" i="5"/>
  <c r="K66" i="5"/>
  <c r="M66" i="5"/>
  <c r="O66" i="5"/>
  <c r="R66" i="5"/>
  <c r="G65" i="5"/>
  <c r="I65" i="5"/>
  <c r="K65" i="5"/>
  <c r="M65" i="5"/>
  <c r="O65" i="5"/>
  <c r="R65" i="5"/>
  <c r="G64" i="5"/>
  <c r="I64" i="5"/>
  <c r="K64" i="5"/>
  <c r="M64" i="5"/>
  <c r="O64" i="5"/>
  <c r="R64" i="5"/>
  <c r="G63" i="5"/>
  <c r="I63" i="5"/>
  <c r="K63" i="5"/>
  <c r="M63" i="5"/>
  <c r="O63" i="5"/>
  <c r="R63" i="5"/>
  <c r="G62" i="5"/>
  <c r="I62" i="5"/>
  <c r="K62" i="5"/>
  <c r="M62" i="5"/>
  <c r="O62" i="5"/>
  <c r="R62" i="5"/>
  <c r="G61" i="5"/>
  <c r="I61" i="5"/>
  <c r="K61" i="5"/>
  <c r="M61" i="5"/>
  <c r="O61" i="5"/>
  <c r="R61" i="5"/>
  <c r="G60" i="5"/>
  <c r="I60" i="5"/>
  <c r="K60" i="5"/>
  <c r="M60" i="5"/>
  <c r="O60" i="5"/>
  <c r="R60" i="5"/>
  <c r="G59" i="5"/>
  <c r="I59" i="5"/>
  <c r="K59" i="5"/>
  <c r="M59" i="5"/>
  <c r="O59" i="5"/>
  <c r="R59" i="5"/>
  <c r="G58" i="5"/>
  <c r="I58" i="5"/>
  <c r="K58" i="5"/>
  <c r="M58" i="5"/>
  <c r="O58" i="5"/>
  <c r="R58" i="5"/>
  <c r="G57" i="5"/>
  <c r="I57" i="5"/>
  <c r="K57" i="5"/>
  <c r="M57" i="5"/>
  <c r="O57" i="5"/>
  <c r="R57" i="5"/>
  <c r="G56" i="5"/>
  <c r="I56" i="5"/>
  <c r="K56" i="5"/>
  <c r="M56" i="5"/>
  <c r="O56" i="5"/>
  <c r="R56" i="5"/>
  <c r="G55" i="5"/>
  <c r="I55" i="5"/>
  <c r="K55" i="5"/>
  <c r="M55" i="5"/>
  <c r="O55" i="5"/>
  <c r="R55" i="5"/>
  <c r="G54" i="5"/>
  <c r="I54" i="5"/>
  <c r="K54" i="5"/>
  <c r="M54" i="5"/>
  <c r="O54" i="5"/>
  <c r="R54" i="5"/>
  <c r="G53" i="5"/>
  <c r="I53" i="5"/>
  <c r="K53" i="5"/>
  <c r="M53" i="5"/>
  <c r="O53" i="5"/>
  <c r="R53" i="5"/>
  <c r="G52" i="5"/>
  <c r="I52" i="5"/>
  <c r="K52" i="5"/>
  <c r="M52" i="5"/>
  <c r="O52" i="5"/>
  <c r="R52" i="5"/>
  <c r="G51" i="5"/>
  <c r="I51" i="5"/>
  <c r="K51" i="5"/>
  <c r="M51" i="5"/>
  <c r="O51" i="5"/>
  <c r="R51" i="5"/>
  <c r="G50" i="5"/>
  <c r="I50" i="5"/>
  <c r="K50" i="5"/>
  <c r="M50" i="5"/>
  <c r="O50" i="5"/>
  <c r="R50" i="5"/>
  <c r="G49" i="5"/>
  <c r="I49" i="5"/>
  <c r="K49" i="5"/>
  <c r="M49" i="5"/>
  <c r="O49" i="5"/>
  <c r="R49" i="5"/>
  <c r="G48" i="5"/>
  <c r="I48" i="5"/>
  <c r="K48" i="5"/>
  <c r="M48" i="5"/>
  <c r="O48" i="5"/>
  <c r="R48" i="5"/>
  <c r="G47" i="5"/>
  <c r="I47" i="5"/>
  <c r="K47" i="5"/>
  <c r="M47" i="5"/>
  <c r="O47" i="5"/>
  <c r="R47" i="5"/>
  <c r="G46" i="5"/>
  <c r="I46" i="5"/>
  <c r="K46" i="5"/>
  <c r="M46" i="5"/>
  <c r="O46" i="5"/>
  <c r="R46" i="5"/>
  <c r="G45" i="5"/>
  <c r="I45" i="5"/>
  <c r="K45" i="5"/>
  <c r="M45" i="5"/>
  <c r="O45" i="5"/>
  <c r="R45" i="5"/>
  <c r="G44" i="5"/>
  <c r="I44" i="5"/>
  <c r="K44" i="5"/>
  <c r="M44" i="5"/>
  <c r="O44" i="5"/>
  <c r="R44" i="5"/>
  <c r="G43" i="5"/>
  <c r="I43" i="5"/>
  <c r="K43" i="5"/>
  <c r="M43" i="5"/>
  <c r="O43" i="5"/>
  <c r="R43" i="5"/>
  <c r="G42" i="5"/>
  <c r="I42" i="5"/>
  <c r="K42" i="5"/>
  <c r="M42" i="5"/>
  <c r="O42" i="5"/>
  <c r="R42" i="5"/>
  <c r="G41" i="5"/>
  <c r="I41" i="5"/>
  <c r="K41" i="5"/>
  <c r="M41" i="5"/>
  <c r="O41" i="5"/>
  <c r="R41" i="5"/>
  <c r="G40" i="5"/>
  <c r="I40" i="5"/>
  <c r="K40" i="5"/>
  <c r="M40" i="5"/>
  <c r="O40" i="5"/>
  <c r="R40" i="5"/>
  <c r="G39" i="5"/>
  <c r="I39" i="5"/>
  <c r="K39" i="5"/>
  <c r="M39" i="5"/>
  <c r="O39" i="5"/>
  <c r="R39" i="5"/>
  <c r="G38" i="5"/>
  <c r="I38" i="5"/>
  <c r="K38" i="5"/>
  <c r="M38" i="5"/>
  <c r="O38" i="5"/>
  <c r="R38" i="5"/>
  <c r="G37" i="5"/>
  <c r="I37" i="5"/>
  <c r="K37" i="5"/>
  <c r="M37" i="5"/>
  <c r="O37" i="5"/>
  <c r="R37" i="5"/>
  <c r="G36" i="5"/>
  <c r="I36" i="5"/>
  <c r="K36" i="5"/>
  <c r="M36" i="5"/>
  <c r="O36" i="5"/>
  <c r="R36" i="5"/>
  <c r="G35" i="5"/>
  <c r="I35" i="5"/>
  <c r="K35" i="5"/>
  <c r="M35" i="5"/>
  <c r="O35" i="5"/>
  <c r="R35" i="5"/>
  <c r="G34" i="5"/>
  <c r="I34" i="5"/>
  <c r="K34" i="5"/>
  <c r="M34" i="5"/>
  <c r="O34" i="5"/>
  <c r="R34" i="5"/>
  <c r="G33" i="5"/>
  <c r="I33" i="5"/>
  <c r="K33" i="5"/>
  <c r="M33" i="5"/>
  <c r="O33" i="5"/>
  <c r="R33" i="5"/>
  <c r="G32" i="5"/>
  <c r="I32" i="5"/>
  <c r="K32" i="5"/>
  <c r="M32" i="5"/>
  <c r="O32" i="5"/>
  <c r="R32" i="5"/>
  <c r="G31" i="5"/>
  <c r="I31" i="5"/>
  <c r="K31" i="5"/>
  <c r="M31" i="5"/>
  <c r="O31" i="5"/>
  <c r="R31" i="5"/>
  <c r="G30" i="5"/>
  <c r="I30" i="5"/>
  <c r="K30" i="5"/>
  <c r="M30" i="5"/>
  <c r="O30" i="5"/>
  <c r="R30" i="5"/>
  <c r="G29" i="5"/>
  <c r="I29" i="5"/>
  <c r="K29" i="5"/>
  <c r="M29" i="5"/>
  <c r="O29" i="5"/>
  <c r="R29" i="5"/>
  <c r="G28" i="5"/>
  <c r="I28" i="5"/>
  <c r="K28" i="5"/>
  <c r="M28" i="5"/>
  <c r="O28" i="5"/>
  <c r="R28" i="5"/>
  <c r="G27" i="5"/>
  <c r="I27" i="5"/>
  <c r="K27" i="5"/>
  <c r="M27" i="5"/>
  <c r="O27" i="5"/>
  <c r="R27" i="5"/>
  <c r="G26" i="5"/>
  <c r="I26" i="5"/>
  <c r="K26" i="5"/>
  <c r="M26" i="5"/>
  <c r="O26" i="5"/>
  <c r="R26" i="5"/>
  <c r="G25" i="5"/>
  <c r="I25" i="5"/>
  <c r="K25" i="5"/>
  <c r="M25" i="5"/>
  <c r="O25" i="5"/>
  <c r="R25" i="5"/>
  <c r="G24" i="5"/>
  <c r="I24" i="5"/>
  <c r="K24" i="5"/>
  <c r="M24" i="5"/>
  <c r="O24" i="5"/>
  <c r="R24" i="5"/>
  <c r="G23" i="5"/>
  <c r="I23" i="5"/>
  <c r="K23" i="5"/>
  <c r="M23" i="5"/>
  <c r="O23" i="5"/>
  <c r="R23" i="5"/>
  <c r="G22" i="5"/>
  <c r="I22" i="5"/>
  <c r="K22" i="5"/>
  <c r="M22" i="5"/>
  <c r="O22" i="5"/>
  <c r="R22" i="5"/>
  <c r="G21" i="5"/>
  <c r="I21" i="5"/>
  <c r="K21" i="5"/>
  <c r="M21" i="5"/>
  <c r="O21" i="5"/>
  <c r="R21" i="5"/>
  <c r="G20" i="5"/>
  <c r="I20" i="5"/>
  <c r="K20" i="5"/>
  <c r="M20" i="5"/>
  <c r="O20" i="5"/>
  <c r="R20" i="5"/>
  <c r="Q9" i="5"/>
  <c r="R9" i="5"/>
  <c r="Q14" i="5" l="1"/>
  <c r="S14" i="5" s="1"/>
  <c r="R14" i="5"/>
  <c r="Q16" i="5"/>
  <c r="S16" i="5" s="1"/>
  <c r="R16" i="5"/>
  <c r="Q18" i="5"/>
  <c r="S18" i="5" s="1"/>
  <c r="R18" i="5"/>
  <c r="S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<sst xmlns="http://schemas.openxmlformats.org/spreadsheetml/2006/main" count="493" uniqueCount="218">
  <si>
    <t>Adresse :</t>
  </si>
  <si>
    <t>Commune :</t>
  </si>
  <si>
    <t>Nombre de logements :</t>
  </si>
  <si>
    <t>Date de livraison :</t>
  </si>
  <si>
    <t>Lot</t>
  </si>
  <si>
    <t>CIBOURE (64500)</t>
  </si>
  <si>
    <t>Nom client</t>
  </si>
  <si>
    <t>Prénom</t>
  </si>
  <si>
    <t>Adresse</t>
  </si>
  <si>
    <t>Commune</t>
  </si>
  <si>
    <t>Code postal</t>
  </si>
  <si>
    <t>Téléphone</t>
  </si>
  <si>
    <t>Email</t>
  </si>
  <si>
    <t>Date réservation</t>
  </si>
  <si>
    <t>Date limite prêt</t>
  </si>
  <si>
    <t>Alerte prêt</t>
  </si>
  <si>
    <t>Banque</t>
  </si>
  <si>
    <t>Courtier</t>
  </si>
  <si>
    <t>Offre prêt reçue</t>
  </si>
  <si>
    <t>Date limite signature acte  notarié</t>
  </si>
  <si>
    <t>Date signature acte  notarié</t>
  </si>
  <si>
    <t>Alerte acte</t>
  </si>
  <si>
    <t>TMA</t>
  </si>
  <si>
    <t>TS</t>
  </si>
  <si>
    <t>CREDIT AGRICOLE</t>
  </si>
  <si>
    <t>CREDIT MUTUEL</t>
  </si>
  <si>
    <t>Oui</t>
  </si>
  <si>
    <t>SOCIETE GENERALE</t>
  </si>
  <si>
    <t xml:space="preserve">Empruntis </t>
  </si>
  <si>
    <t>BNP</t>
  </si>
  <si>
    <t>Etage</t>
  </si>
  <si>
    <t>Type</t>
  </si>
  <si>
    <t>Orientation</t>
  </si>
  <si>
    <t>Surface SHAB (m²)</t>
  </si>
  <si>
    <t>Surface Terrasses/Balcons (m²)</t>
  </si>
  <si>
    <t>Surface Jardins (m²)</t>
  </si>
  <si>
    <t>Parkings</t>
  </si>
  <si>
    <t>Caves/Celliers</t>
  </si>
  <si>
    <t>Prix TTC (€)</t>
  </si>
  <si>
    <t>Prix €/m²</t>
  </si>
  <si>
    <t>Statut</t>
  </si>
  <si>
    <t xml:space="preserve">Date Option </t>
  </si>
  <si>
    <t>Date acte</t>
  </si>
  <si>
    <t>Commentaire</t>
  </si>
  <si>
    <t>A01</t>
  </si>
  <si>
    <t>RDC</t>
  </si>
  <si>
    <t>T2</t>
  </si>
  <si>
    <t>Sud</t>
  </si>
  <si>
    <t>12,02</t>
  </si>
  <si>
    <t>65,14</t>
  </si>
  <si>
    <t>01</t>
  </si>
  <si>
    <t>Réservé</t>
  </si>
  <si>
    <t>M. FOURNIER</t>
  </si>
  <si>
    <t>A02</t>
  </si>
  <si>
    <t>T3</t>
  </si>
  <si>
    <t>Nord-Est</t>
  </si>
  <si>
    <t>14,03</t>
  </si>
  <si>
    <t>68,52</t>
  </si>
  <si>
    <t>02/03</t>
  </si>
  <si>
    <t>03</t>
  </si>
  <si>
    <t>Acté</t>
  </si>
  <si>
    <t>Mme DUPONT</t>
  </si>
  <si>
    <t>A03</t>
  </si>
  <si>
    <t>13,38</t>
  </si>
  <si>
    <t>82,03</t>
  </si>
  <si>
    <t>04/05</t>
  </si>
  <si>
    <t>02</t>
  </si>
  <si>
    <t>Libre</t>
  </si>
  <si>
    <t>A04</t>
  </si>
  <si>
    <t>Est</t>
  </si>
  <si>
    <t>12,26</t>
  </si>
  <si>
    <t>64,35</t>
  </si>
  <si>
    <t>06</t>
  </si>
  <si>
    <t>07</t>
  </si>
  <si>
    <t>Option</t>
  </si>
  <si>
    <t>M. et Mme ARNAUD</t>
  </si>
  <si>
    <t>A101</t>
  </si>
  <si>
    <t>R+1</t>
  </si>
  <si>
    <t>11,10</t>
  </si>
  <si>
    <t>A102</t>
  </si>
  <si>
    <t>08/09</t>
  </si>
  <si>
    <t>05</t>
  </si>
  <si>
    <t>A103</t>
  </si>
  <si>
    <t>10/11</t>
  </si>
  <si>
    <t>08</t>
  </si>
  <si>
    <t>M. DESPRES</t>
  </si>
  <si>
    <t>A104</t>
  </si>
  <si>
    <t>12</t>
  </si>
  <si>
    <t>R+2</t>
  </si>
  <si>
    <t>T4</t>
  </si>
  <si>
    <t>R+3</t>
  </si>
  <si>
    <t>R+4</t>
  </si>
  <si>
    <t>R+5</t>
  </si>
  <si>
    <t>Réglé le</t>
  </si>
  <si>
    <t>Solde livraison</t>
  </si>
  <si>
    <t>Total payé</t>
  </si>
  <si>
    <t>Reste à payer</t>
  </si>
  <si>
    <t>Liste Statuts</t>
  </si>
  <si>
    <t>Liste Types</t>
  </si>
  <si>
    <t>Liste Etages</t>
  </si>
  <si>
    <t>Phasage travaux</t>
  </si>
  <si>
    <t>Avancement (%)</t>
  </si>
  <si>
    <t>Date attestation MOE</t>
  </si>
  <si>
    <t>T1</t>
  </si>
  <si>
    <t>RDJ</t>
  </si>
  <si>
    <t>Réservation</t>
  </si>
  <si>
    <t>T1bis</t>
  </si>
  <si>
    <t>Achèvement des fondations</t>
  </si>
  <si>
    <t>T2bis</t>
  </si>
  <si>
    <t>Mise hors d'air</t>
  </si>
  <si>
    <t>Achèvement des travaux</t>
  </si>
  <si>
    <t>T3bis</t>
  </si>
  <si>
    <t>Remise des clés</t>
  </si>
  <si>
    <t>T4bis</t>
  </si>
  <si>
    <t>R+6</t>
  </si>
  <si>
    <t>T5</t>
  </si>
  <si>
    <t>R+7</t>
  </si>
  <si>
    <t>T6</t>
  </si>
  <si>
    <t>R+8</t>
  </si>
  <si>
    <t>R+9</t>
  </si>
  <si>
    <t>R+10</t>
  </si>
  <si>
    <t>M. et Mme JAUREGUI</t>
  </si>
  <si>
    <t>Nicolas</t>
  </si>
  <si>
    <t>12 rue du Chatelet</t>
  </si>
  <si>
    <t>CHALON SUR SOANE</t>
  </si>
  <si>
    <t>07 68 45 XX XX</t>
  </si>
  <si>
    <t>nicXXX@gmail.com</t>
  </si>
  <si>
    <t>Françoise</t>
  </si>
  <si>
    <t>36 avenue Marc Desbats</t>
  </si>
  <si>
    <t>PESSAC</t>
  </si>
  <si>
    <t>06 54 68 XX XX</t>
  </si>
  <si>
    <t>mosXXXX@icloud.com</t>
  </si>
  <si>
    <t>Jacques</t>
  </si>
  <si>
    <t>15 rue Charles Mapou</t>
  </si>
  <si>
    <t>CIBOURE</t>
  </si>
  <si>
    <t>06 32 56 XX XX</t>
  </si>
  <si>
    <t>djeXXX@orange.fr</t>
  </si>
  <si>
    <t>Michel et Josianne</t>
  </si>
  <si>
    <t>24 rue Charles Pucheu</t>
  </si>
  <si>
    <t>URRUGNE</t>
  </si>
  <si>
    <t>06 25 47 XX XX</t>
  </si>
  <si>
    <t>micXXXX@gmail.com</t>
  </si>
  <si>
    <t>Richard</t>
  </si>
  <si>
    <t>37 impasse de la glacière</t>
  </si>
  <si>
    <t>TOULOUSE</t>
  </si>
  <si>
    <t>06 24 45 XX XX</t>
  </si>
  <si>
    <t>pluXXX@gmail.com</t>
  </si>
  <si>
    <t>Francis et Monique</t>
  </si>
  <si>
    <t>12 avenue de la Marne</t>
  </si>
  <si>
    <t>BIARRITZ</t>
  </si>
  <si>
    <t>06 38 47 XX XX</t>
  </si>
  <si>
    <t>spaXXXX@orange.fr</t>
  </si>
  <si>
    <t>ID Client</t>
  </si>
  <si>
    <t>12 avenue Jean Jaures</t>
  </si>
  <si>
    <t>ID client</t>
  </si>
  <si>
    <t xml:space="preserve"> Listing acquéreurs</t>
  </si>
  <si>
    <t>Tablau de suivi de prêts et signature acte notarié</t>
  </si>
  <si>
    <t>Tableau de suivi des appels de fonds</t>
  </si>
  <si>
    <t>Maître d'ouvrage :</t>
  </si>
  <si>
    <t>CHOIX EXPORT :</t>
  </si>
  <si>
    <t>Montant total TTC</t>
  </si>
  <si>
    <t>TVA (20 %)</t>
  </si>
  <si>
    <t>Montant total HT</t>
  </si>
  <si>
    <t>Base de donnée clients</t>
  </si>
  <si>
    <t>Légende :</t>
  </si>
  <si>
    <t>Saisie obligatoire</t>
  </si>
  <si>
    <t>Tableau de synthèse du programme</t>
  </si>
  <si>
    <t>Verrouillé - Ne pas toucher</t>
  </si>
  <si>
    <t>CHIFFRE D'AFFAIRE</t>
  </si>
  <si>
    <t>RISQUE</t>
  </si>
  <si>
    <t>CA disponible (libre)</t>
  </si>
  <si>
    <t>RÉPARTITION</t>
  </si>
  <si>
    <t>CA</t>
  </si>
  <si>
    <t>% CA</t>
  </si>
  <si>
    <t>Total</t>
  </si>
  <si>
    <t>RÉPARTITION PAR TYPOLOGIE</t>
  </si>
  <si>
    <t>Nbre Lots</t>
  </si>
  <si>
    <t>Typologie / Statut</t>
  </si>
  <si>
    <t>AVANCEMENT</t>
  </si>
  <si>
    <t>Tableau commercial</t>
  </si>
  <si>
    <t xml:space="preserve">CA sécurisé (acté) </t>
  </si>
  <si>
    <t xml:space="preserve">CA engagé (réservé) </t>
  </si>
  <si>
    <t xml:space="preserve">CA à confirmer (option) </t>
  </si>
  <si>
    <t xml:space="preserve">Lots en cours (option + réservé) </t>
  </si>
  <si>
    <t xml:space="preserve">CA à sécuriser (réservé + option) </t>
  </si>
  <si>
    <t xml:space="preserve">Taux de CA non sécurisé (non acté) </t>
  </si>
  <si>
    <t xml:space="preserve">Taux de commercialisation (acté + réservé) </t>
  </si>
  <si>
    <t xml:space="preserve">Chiffre d'affaire sécurisé (acté) </t>
  </si>
  <si>
    <t xml:space="preserve">Nbre lots disponibles (libres) </t>
  </si>
  <si>
    <t xml:space="preserve">Nbre lots actés </t>
  </si>
  <si>
    <t>Programme : Résidence Les Joliettes</t>
  </si>
  <si>
    <t>Jean et Nicole</t>
  </si>
  <si>
    <t>06 avenue Jean Jaurès</t>
  </si>
  <si>
    <t>06 12 36 XX XX</t>
  </si>
  <si>
    <t>jeaxxxx@icloud.com</t>
  </si>
  <si>
    <t>jgi@gmail.com</t>
  </si>
  <si>
    <t>AAA</t>
  </si>
  <si>
    <t>Remplir uniquement les colonnes "Réglé le"</t>
  </si>
  <si>
    <t xml:space="preserve">Mise hors d'eau </t>
  </si>
  <si>
    <t>NON</t>
  </si>
  <si>
    <t>PAS DE PRÊT</t>
  </si>
  <si>
    <t>Banque : Noter "NON" lorsqu'il n'y a pas de prêt</t>
  </si>
  <si>
    <t>A201</t>
  </si>
  <si>
    <t>A202</t>
  </si>
  <si>
    <t>A203</t>
  </si>
  <si>
    <t>A204</t>
  </si>
  <si>
    <t>Sud-Est</t>
  </si>
  <si>
    <t>13</t>
  </si>
  <si>
    <t>14/15</t>
  </si>
  <si>
    <t>16/17</t>
  </si>
  <si>
    <t>18</t>
  </si>
  <si>
    <t>09</t>
  </si>
  <si>
    <t>10</t>
  </si>
  <si>
    <t>11</t>
  </si>
  <si>
    <t>M. JUZAN</t>
  </si>
  <si>
    <t>M. et Mme RATOI</t>
  </si>
  <si>
    <t>M. et Mme JORIS</t>
  </si>
  <si>
    <t>EXPORT_Synthese_programme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</si>
</sst>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€&quot;"/>
    <numFmt numFmtId="165" formatCode="#\ ##0&quot; €&quot;"/>
    <numFmt numFmtId="166" formatCode="#,##0\ [$€-40C]"/>
    <numFmt numFmtId="167" formatCode="#,##0.00\ &quot;€&quot;"/>
  </numFmts>
  <fonts count="21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b/>
      <sz val="22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  <scheme val="minor"/>
    </font>
    <font>
      <b/>
      <sz val="14"/>
      <name val="Calibri"/>
      <family val="2"/>
    </font>
    <font>
      <b/>
      <i/>
      <sz val="11"/>
      <name val="Calibri"/>
      <family val="2"/>
    </font>
    <font>
      <sz val="12"/>
      <name val="Calibri"/>
      <family val="2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E7EEF7"/>
        <bgColor rgb="FFE7EEF7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7EEF7"/>
      </patternFill>
    </fill>
    <fill>
      <patternFill patternType="solid">
        <fgColor rgb="FFC6EF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2CE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250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vertical="center"/>
    </xf>
    <xf numFmtId="17" fontId="3" fillId="0" borderId="0" xfId="0" applyNumberFormat="1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0" fontId="1" fillId="2" borderId="0" xfId="0" applyNumberFormat="1" applyFont="1" applyFill="1" applyAlignment="1">
      <alignment horizontal="center"/>
    </xf>
    <xf numFmtId="10" fontId="0" fillId="0" borderId="0" xfId="0" applyNumberFormat="1"/>
    <xf numFmtId="14" fontId="1" fillId="2" borderId="0" xfId="0" applyNumberFormat="1" applyFont="1" applyFill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4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4" fillId="0" borderId="12" xfId="1" applyBorder="1" applyAlignment="1">
      <alignment horizontal="left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14" fontId="5" fillId="5" borderId="13" xfId="0" applyNumberFormat="1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5" borderId="0" xfId="0" applyFont="1" applyFill="1" applyAlignment="1">
      <alignment horizontal="center" vertical="center" wrapText="1"/>
    </xf>
    <xf numFmtId="14" fontId="5" fillId="5" borderId="0" xfId="0" applyNumberFormat="1" applyFont="1" applyFill="1" applyAlignment="1">
      <alignment horizontal="center" vertical="center" wrapText="1"/>
    </xf>
    <xf numFmtId="49" fontId="9" fillId="0" borderId="0" xfId="0" applyNumberFormat="1" applyFont="1" applyAlignment="1">
      <alignment horizontal="left" vertical="center" wrapText="1"/>
    </xf>
    <xf numFmtId="0" fontId="0" fillId="9" borderId="3" xfId="0" applyFill="1" applyBorder="1" applyAlignment="1" applyProtection="1">
      <alignment vertical="center"/>
      <protection locked="0"/>
    </xf>
    <xf numFmtId="164" fontId="0" fillId="8" borderId="17" xfId="0" applyNumberFormat="1" applyFill="1" applyBorder="1" applyAlignment="1">
      <alignment horizontal="center" vertical="center"/>
    </xf>
    <xf numFmtId="164" fontId="0" fillId="8" borderId="20" xfId="0" applyNumberFormat="1" applyFill="1" applyBorder="1" applyAlignment="1">
      <alignment horizontal="center" vertical="center"/>
    </xf>
    <xf numFmtId="0" fontId="5" fillId="5" borderId="25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49" fontId="5" fillId="5" borderId="23" xfId="0" applyNumberFormat="1" applyFont="1" applyFill="1" applyBorder="1" applyAlignment="1">
      <alignment horizontal="center" vertical="center" wrapText="1"/>
    </xf>
    <xf numFmtId="49" fontId="5" fillId="5" borderId="23" xfId="0" applyNumberFormat="1" applyFont="1" applyFill="1" applyBorder="1" applyAlignment="1">
      <alignment horizontal="center" vertical="center"/>
    </xf>
    <xf numFmtId="164" fontId="5" fillId="5" borderId="23" xfId="0" applyNumberFormat="1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3" borderId="24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49" fontId="0" fillId="3" borderId="17" xfId="0" applyNumberFormat="1" applyFill="1" applyBorder="1" applyAlignment="1" applyProtection="1">
      <alignment horizontal="center" vertical="center"/>
      <protection locked="0"/>
    </xf>
    <xf numFmtId="164" fontId="0" fillId="3" borderId="17" xfId="0" applyNumberFormat="1" applyFill="1" applyBorder="1" applyAlignment="1" applyProtection="1">
      <alignment horizontal="center" vertical="center"/>
      <protection locked="0"/>
    </xf>
    <xf numFmtId="49" fontId="0" fillId="3" borderId="23" xfId="0" applyNumberFormat="1" applyFill="1" applyBorder="1" applyAlignment="1" applyProtection="1">
      <alignment horizontal="center" vertical="center"/>
      <protection locked="0"/>
    </xf>
    <xf numFmtId="164" fontId="0" fillId="3" borderId="23" xfId="0" applyNumberFormat="1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3" borderId="20" xfId="0" applyFill="1" applyBorder="1" applyAlignment="1" applyProtection="1">
      <alignment horizontal="center" vertical="center"/>
      <protection locked="0"/>
    </xf>
    <xf numFmtId="49" fontId="0" fillId="3" borderId="20" xfId="0" applyNumberFormat="1" applyFill="1" applyBorder="1" applyAlignment="1" applyProtection="1">
      <alignment horizontal="center" vertical="center"/>
      <protection locked="0"/>
    </xf>
    <xf numFmtId="164" fontId="0" fillId="3" borderId="20" xfId="0" applyNumberFormat="1" applyFill="1" applyBorder="1" applyAlignment="1" applyProtection="1">
      <alignment horizontal="center" vertical="center"/>
      <protection locked="0"/>
    </xf>
    <xf numFmtId="14" fontId="0" fillId="3" borderId="17" xfId="0" applyNumberFormat="1" applyFill="1" applyBorder="1" applyAlignment="1" applyProtection="1">
      <alignment horizontal="center" vertical="center"/>
      <protection locked="0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8" borderId="0" xfId="0" applyFill="1"/>
    <xf numFmtId="10" fontId="0" fillId="7" borderId="0" xfId="0" applyNumberFormat="1" applyFill="1" applyProtection="1">
      <protection locked="0"/>
    </xf>
    <xf numFmtId="0" fontId="9" fillId="0" borderId="0" xfId="0" applyFont="1"/>
    <xf numFmtId="14" fontId="0" fillId="7" borderId="30" xfId="0" applyNumberFormat="1" applyFill="1" applyBorder="1"/>
    <xf numFmtId="0" fontId="0" fillId="8" borderId="29" xfId="0" applyFill="1" applyBorder="1"/>
    <xf numFmtId="14" fontId="0" fillId="7" borderId="0" xfId="0" applyNumberFormat="1" applyFill="1" applyAlignment="1" applyProtection="1">
      <alignment horizontal="center"/>
      <protection locked="0"/>
    </xf>
    <xf numFmtId="0" fontId="14" fillId="0" borderId="0" xfId="0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1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9" fontId="9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0" fontId="3" fillId="3" borderId="0" xfId="0" applyNumberFormat="1" applyFont="1" applyFill="1" applyAlignment="1">
      <alignment horizontal="center" vertical="center" wrapText="1"/>
    </xf>
    <xf numFmtId="164" fontId="3" fillId="3" borderId="0" xfId="0" applyNumberFormat="1" applyFont="1" applyFill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10" fontId="3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64" fontId="16" fillId="0" borderId="0" xfId="0" applyNumberFormat="1" applyFont="1" applyAlignment="1">
      <alignment horizontal="center" vertical="center" wrapText="1"/>
    </xf>
    <xf numFmtId="10" fontId="16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wrapText="1"/>
    </xf>
    <xf numFmtId="10" fontId="3" fillId="0" borderId="0" xfId="0" applyNumberFormat="1" applyFont="1" applyAlignmen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1" fillId="0" borderId="0" xfId="0" applyNumberFormat="1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8" borderId="0" xfId="0" applyFill="1" applyAlignment="1">
      <alignment horizontal="left" vertical="center" wrapText="1"/>
    </xf>
    <xf numFmtId="0" fontId="0" fillId="8" borderId="0" xfId="0" applyFill="1" applyAlignment="1">
      <alignment vertical="center" wrapText="1"/>
    </xf>
    <xf numFmtId="0" fontId="0" fillId="7" borderId="0" xfId="0" applyFill="1" applyAlignment="1" applyProtection="1">
      <alignment vertical="center" wrapText="1"/>
      <protection locked="0"/>
    </xf>
    <xf numFmtId="14" fontId="0" fillId="8" borderId="0" xfId="0" applyNumberFormat="1" applyFill="1" applyAlignment="1">
      <alignment vertical="center" wrapText="1"/>
    </xf>
    <xf numFmtId="14" fontId="0" fillId="7" borderId="0" xfId="0" applyNumberFormat="1" applyFill="1" applyAlignment="1" applyProtection="1">
      <alignment vertical="center" wrapText="1"/>
      <protection locked="0"/>
    </xf>
    <xf numFmtId="0" fontId="3" fillId="7" borderId="31" xfId="0" applyFont="1" applyFill="1" applyBorder="1" applyAlignment="1">
      <alignment vertical="center" wrapText="1"/>
    </xf>
    <xf numFmtId="0" fontId="3" fillId="8" borderId="32" xfId="0" applyFont="1" applyFill="1" applyBorder="1" applyAlignment="1">
      <alignment vertical="center" wrapText="1"/>
    </xf>
    <xf numFmtId="0" fontId="0" fillId="13" borderId="0" xfId="0" applyFill="1"/>
    <xf numFmtId="0" fontId="0" fillId="3" borderId="0" xfId="0" applyFill="1"/>
    <xf numFmtId="0" fontId="4" fillId="13" borderId="0" xfId="1" applyFill="1"/>
    <xf numFmtId="14" fontId="0" fillId="0" borderId="0" xfId="0" applyNumberFormat="1" applyProtection="1">
      <protection locked="0"/>
    </xf>
    <xf numFmtId="164" fontId="5" fillId="5" borderId="13" xfId="0" applyNumberFormat="1" applyFont="1" applyFill="1" applyBorder="1" applyAlignment="1">
      <alignment horizontal="center" vertical="center" wrapText="1"/>
    </xf>
    <xf numFmtId="164" fontId="5" fillId="5" borderId="14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66" fontId="9" fillId="0" borderId="15" xfId="0" applyNumberFormat="1" applyFont="1" applyBorder="1" applyAlignment="1">
      <alignment horizontal="center" vertical="center"/>
    </xf>
    <xf numFmtId="166" fontId="9" fillId="0" borderId="16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49" fontId="1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9" fillId="0" borderId="0" xfId="0" applyNumberFormat="1" applyFont="1" applyAlignment="1">
      <alignment horizontal="right" vertical="center" wrapText="1"/>
    </xf>
    <xf numFmtId="164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2" fillId="0" borderId="0" xfId="0" applyFont="1" applyAlignment="1">
      <alignment horizontal="left" vertical="center" wrapText="1"/>
    </xf>
    <xf numFmtId="14" fontId="3" fillId="0" borderId="0" xfId="0" applyNumberFormat="1" applyFont="1" applyAlignment="1" applyProtection="1">
      <alignment horizontal="center" vertical="center" wrapText="1"/>
      <protection locked="0"/>
    </xf>
    <xf numFmtId="14" fontId="3" fillId="0" borderId="0" xfId="0" applyNumberFormat="1" applyFont="1" applyAlignment="1">
      <alignment vertical="center" wrapText="1"/>
    </xf>
    <xf numFmtId="14" fontId="3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3" fillId="9" borderId="0" xfId="0" applyFont="1" applyFill="1" applyAlignment="1">
      <alignment horizontal="right" vertical="center" wrapText="1"/>
    </xf>
    <xf numFmtId="0" fontId="3" fillId="10" borderId="0" xfId="0" applyFont="1" applyFill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14" fontId="0" fillId="0" borderId="0" xfId="0" applyNumberFormat="1" applyAlignment="1">
      <alignment horizontal="right" vertical="center" wrapText="1"/>
    </xf>
    <xf numFmtId="0" fontId="8" fillId="14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right" vertical="center" wrapText="1"/>
    </xf>
    <xf numFmtId="0" fontId="2" fillId="0" borderId="37" xfId="0" applyFont="1" applyBorder="1" applyAlignment="1">
      <alignment vertical="center" wrapText="1"/>
    </xf>
    <xf numFmtId="0" fontId="3" fillId="0" borderId="37" xfId="0" applyFont="1" applyBorder="1" applyAlignment="1">
      <alignment vertical="center" wrapText="1"/>
    </xf>
    <xf numFmtId="0" fontId="3" fillId="0" borderId="37" xfId="0" applyFont="1" applyBorder="1" applyAlignment="1">
      <alignment horizontal="left" vertical="center" wrapText="1"/>
    </xf>
    <xf numFmtId="0" fontId="0" fillId="0" borderId="17" xfId="0" applyBorder="1" applyAlignment="1">
      <alignment horizontal="left" vertical="center"/>
    </xf>
    <xf numFmtId="0" fontId="0" fillId="0" borderId="17" xfId="0" applyBorder="1" applyAlignment="1">
      <alignment vertical="center"/>
    </xf>
    <xf numFmtId="14" fontId="0" fillId="0" borderId="17" xfId="0" applyNumberFormat="1" applyBorder="1" applyAlignment="1">
      <alignment horizontal="center" vertical="center"/>
    </xf>
    <xf numFmtId="164" fontId="0" fillId="0" borderId="17" xfId="0" applyNumberFormat="1" applyBorder="1" applyAlignment="1">
      <alignment vertical="center"/>
    </xf>
    <xf numFmtId="165" fontId="0" fillId="3" borderId="17" xfId="0" applyNumberFormat="1" applyFill="1" applyBorder="1" applyAlignment="1">
      <alignment vertical="center"/>
    </xf>
    <xf numFmtId="165" fontId="0" fillId="0" borderId="17" xfId="0" applyNumberFormat="1" applyBorder="1" applyAlignment="1">
      <alignment vertical="center"/>
    </xf>
    <xf numFmtId="14" fontId="0" fillId="0" borderId="17" xfId="0" applyNumberFormat="1" applyBorder="1" applyAlignment="1" applyProtection="1">
      <alignment horizontal="center" vertical="center"/>
      <protection locked="0"/>
    </xf>
    <xf numFmtId="166" fontId="9" fillId="0" borderId="34" xfId="0" applyNumberFormat="1" applyFont="1" applyBorder="1" applyAlignment="1">
      <alignment horizontal="center" vertical="center"/>
    </xf>
    <xf numFmtId="166" fontId="9" fillId="0" borderId="36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vertical="center" wrapText="1"/>
    </xf>
    <xf numFmtId="0" fontId="3" fillId="0" borderId="38" xfId="0" applyFont="1" applyBorder="1" applyAlignment="1">
      <alignment vertical="center" wrapText="1"/>
    </xf>
    <xf numFmtId="0" fontId="3" fillId="0" borderId="38" xfId="0" applyFont="1" applyBorder="1" applyAlignment="1">
      <alignment horizontal="left" vertical="center" wrapText="1"/>
    </xf>
    <xf numFmtId="0" fontId="0" fillId="0" borderId="38" xfId="0" applyBorder="1"/>
    <xf numFmtId="0" fontId="2" fillId="0" borderId="39" xfId="0" applyFont="1" applyBorder="1" applyAlignment="1">
      <alignment vertical="center" wrapText="1"/>
    </xf>
    <xf numFmtId="0" fontId="3" fillId="0" borderId="39" xfId="0" applyFont="1" applyBorder="1" applyAlignment="1">
      <alignment vertical="center" wrapText="1"/>
    </xf>
    <xf numFmtId="0" fontId="3" fillId="0" borderId="39" xfId="0" applyFont="1" applyBorder="1" applyAlignment="1">
      <alignment horizontal="left" vertical="center" wrapText="1"/>
    </xf>
    <xf numFmtId="0" fontId="19" fillId="0" borderId="0" xfId="0" applyFont="1" applyAlignment="1">
      <alignment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10" fillId="4" borderId="19" xfId="0" applyFont="1" applyFill="1" applyBorder="1"/>
    <xf numFmtId="0" fontId="10" fillId="4" borderId="21" xfId="0" applyFont="1" applyFill="1" applyBorder="1"/>
    <xf numFmtId="0" fontId="18" fillId="0" borderId="0" xfId="0" applyFont="1" applyAlignment="1" applyProtection="1">
      <alignment horizontal="center" vertical="center" wrapText="1"/>
      <protection locked="0"/>
    </xf>
    <xf numFmtId="0" fontId="7" fillId="4" borderId="7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7" fillId="11" borderId="7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15" fillId="12" borderId="0" xfId="0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center" wrapText="1"/>
    </xf>
    <xf numFmtId="0" fontId="13" fillId="0" borderId="0" xfId="0" applyFont="1" applyFill="1" applyBorder="1" applyAlignment="1">
      <alignment horizontal="right" vertical="center" wrapText="1"/>
    </xf>
    <xf numFmtId="14" fontId="0" fillId="0" borderId="0" xfId="0" applyNumberFormat="1" applyFill="1" applyBorder="1" applyAlignment="1">
      <alignment horizontal="right" vertical="center" wrapText="1"/>
    </xf>
    <xf numFmtId="0" fontId="3" fillId="0" borderId="0" xfId="0" applyFont="1" applyFill="1" applyBorder="1" applyAlignment="1">
      <alignment vertical="center" wrapText="1"/>
    </xf>
    <xf numFmtId="0" fontId="7" fillId="4" borderId="18" xfId="0" applyFont="1" applyFill="1" applyBorder="1" applyAlignment="1" applyProtection="1">
      <alignment horizontal="center" vertical="center"/>
    </xf>
    <xf numFmtId="0" fontId="10" fillId="4" borderId="19" xfId="0" applyFont="1" applyFill="1" applyBorder="1" applyProtection="1"/>
    <xf numFmtId="0" fontId="10" fillId="4" borderId="21" xfId="0" applyFont="1" applyFill="1" applyBorder="1" applyProtection="1"/>
    <xf numFmtId="0" fontId="0" fillId="0" borderId="0" xfId="0" applyProtection="1"/>
    <xf numFmtId="0" fontId="18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/>
    </xf>
    <xf numFmtId="0" fontId="3" fillId="0" borderId="0" xfId="0" applyFont="1" applyAlignment="1" applyProtection="1">
      <alignment horizontal="left" vertical="center" wrapText="1"/>
    </xf>
    <xf numFmtId="0" fontId="2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vertical="center" wrapText="1"/>
    </xf>
    <xf numFmtId="49" fontId="1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right" vertical="center" wrapText="1"/>
    </xf>
    <xf numFmtId="0" fontId="0" fillId="0" borderId="0" xfId="0" applyAlignment="1" applyProtection="1">
      <alignment horizontal="right" vertical="center" wrapText="1"/>
    </xf>
    <xf numFmtId="49" fontId="9" fillId="0" borderId="0" xfId="0" applyNumberFormat="1" applyFont="1" applyAlignment="1" applyProtection="1">
      <alignment horizontal="right" vertical="center" wrapText="1"/>
    </xf>
    <xf numFmtId="0" fontId="3" fillId="9" borderId="0" xfId="0" applyFont="1" applyFill="1" applyAlignment="1" applyProtection="1">
      <alignment horizontal="right" vertical="center" wrapText="1"/>
    </xf>
    <xf numFmtId="0" fontId="3" fillId="10" borderId="0" xfId="0" applyFont="1" applyFill="1" applyAlignment="1" applyProtection="1">
      <alignment horizontal="right" vertical="center" wrapText="1"/>
    </xf>
    <xf numFmtId="0" fontId="13" fillId="0" borderId="0" xfId="0" applyFont="1" applyAlignment="1" applyProtection="1">
      <alignment horizontal="right" vertical="center" wrapText="1"/>
    </xf>
    <xf numFmtId="0" fontId="2" fillId="0" borderId="0" xfId="0" applyFont="1" applyAlignment="1" applyProtection="1">
      <alignment horizontal="left" vertical="center" wrapText="1"/>
    </xf>
    <xf numFmtId="14" fontId="3" fillId="0" borderId="0" xfId="0" applyNumberFormat="1" applyFont="1" applyAlignment="1" applyProtection="1">
      <alignment horizontal="center" vertical="center" wrapText="1"/>
    </xf>
    <xf numFmtId="14" fontId="3" fillId="0" borderId="0" xfId="0" applyNumberFormat="1" applyFont="1" applyAlignment="1" applyProtection="1">
      <alignment vertical="center" wrapText="1"/>
    </xf>
    <xf numFmtId="14" fontId="3" fillId="0" borderId="0" xfId="0" applyNumberFormat="1" applyFont="1" applyAlignment="1" applyProtection="1">
      <alignment horizontal="left" vertical="center" wrapText="1"/>
    </xf>
    <xf numFmtId="0" fontId="8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right" vertical="center" wrapText="1"/>
    </xf>
    <xf numFmtId="0" fontId="3" fillId="6" borderId="0" xfId="0" applyFont="1" applyFill="1" applyAlignment="1" applyProtection="1">
      <alignment horizontal="right" vertical="center" wrapText="1"/>
    </xf>
    <xf numFmtId="14" fontId="0" fillId="0" borderId="0" xfId="0" applyNumberFormat="1" applyAlignment="1" applyProtection="1">
      <alignment horizontal="right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0" fillId="3" borderId="17" xfId="0" applyFill="1" applyBorder="1" applyAlignment="1" applyProtection="1">
      <alignment horizontal="center" vertical="center"/>
    </xf>
    <xf numFmtId="49" fontId="0" fillId="3" borderId="17" xfId="0" applyNumberFormat="1" applyFill="1" applyBorder="1" applyAlignment="1" applyProtection="1">
      <alignment horizontal="center" vertical="center"/>
    </xf>
    <xf numFmtId="164" fontId="0" fillId="3" borderId="17" xfId="0" applyNumberFormat="1" applyFill="1" applyBorder="1" applyAlignment="1" applyProtection="1">
      <alignment horizontal="center" vertical="center"/>
    </xf>
    <xf numFmtId="164" fontId="0" fillId="8" borderId="17" xfId="0" applyNumberFormat="1" applyFill="1" applyBorder="1" applyAlignment="1" applyProtection="1">
      <alignment horizontal="center" vertical="center"/>
    </xf>
    <xf numFmtId="14" fontId="0" fillId="3" borderId="17" xfId="0" applyNumberFormat="1" applyFill="1" applyBorder="1" applyAlignment="1" applyProtection="1">
      <alignment horizontal="center" vertical="center"/>
    </xf>
    <xf numFmtId="0" fontId="9" fillId="0" borderId="0" xfId="0" applyFont="1" applyProtection="1"/>
    <xf numFmtId="166" fontId="9" fillId="0" borderId="34" xfId="0" applyNumberFormat="1" applyFont="1" applyBorder="1" applyAlignment="1" applyProtection="1">
      <alignment horizontal="center" vertical="center"/>
    </xf>
    <xf numFmtId="166" fontId="9" fillId="0" borderId="36" xfId="0" applyNumberFormat="1" applyFont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5" fillId="5" borderId="18" xfId="0" applyFont="1" applyFill="1" applyBorder="1" applyAlignment="1" applyProtection="1">
      <alignment horizontal="center" vertical="center"/>
    </xf>
    <xf numFmtId="0" fontId="5" fillId="5" borderId="19" xfId="0" applyFont="1" applyFill="1" applyBorder="1" applyAlignment="1" applyProtection="1">
      <alignment horizontal="center" vertical="center"/>
    </xf>
    <xf numFmtId="49" fontId="5" fillId="5" borderId="19" xfId="0" applyNumberFormat="1" applyFont="1" applyFill="1" applyBorder="1" applyAlignment="1" applyProtection="1">
      <alignment horizontal="center" vertical="center" wrapText="1"/>
    </xf>
    <xf numFmtId="49" fontId="5" fillId="5" borderId="19" xfId="0" applyNumberFormat="1" applyFont="1" applyFill="1" applyBorder="1" applyAlignment="1" applyProtection="1">
      <alignment horizontal="center" vertical="center"/>
    </xf>
    <xf numFmtId="164" fontId="5" fillId="5" borderId="19" xfId="0" applyNumberFormat="1" applyFont="1" applyFill="1" applyBorder="1" applyAlignment="1" applyProtection="1">
      <alignment horizontal="center" vertical="center"/>
    </xf>
    <xf numFmtId="0" fontId="5" fillId="5" borderId="19" xfId="0" applyFont="1" applyFill="1" applyBorder="1" applyAlignment="1" applyProtection="1">
      <alignment horizontal="center" vertical="center" wrapText="1"/>
    </xf>
    <xf numFmtId="0" fontId="0" fillId="3" borderId="42" xfId="0" applyFill="1" applyBorder="1" applyAlignment="1" applyProtection="1">
      <alignment horizontal="center" vertical="center"/>
    </xf>
    <xf numFmtId="0" fontId="0" fillId="3" borderId="43" xfId="0" applyFill="1" applyBorder="1" applyAlignment="1" applyProtection="1">
      <alignment horizontal="center" vertical="center"/>
    </xf>
    <xf numFmtId="49" fontId="0" fillId="3" borderId="43" xfId="0" applyNumberFormat="1" applyFill="1" applyBorder="1" applyAlignment="1" applyProtection="1">
      <alignment horizontal="center" vertical="center"/>
    </xf>
    <xf numFmtId="164" fontId="0" fillId="3" borderId="43" xfId="0" applyNumberFormat="1" applyFill="1" applyBorder="1" applyAlignment="1" applyProtection="1">
      <alignment horizontal="center" vertical="center"/>
    </xf>
    <xf numFmtId="164" fontId="0" fillId="8" borderId="43" xfId="0" applyNumberFormat="1" applyFill="1" applyBorder="1" applyAlignment="1" applyProtection="1">
      <alignment horizontal="center" vertical="center"/>
    </xf>
    <xf numFmtId="0" fontId="5" fillId="5" borderId="21" xfId="0" applyFon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44" xfId="0" applyFill="1" applyBorder="1" applyAlignment="1" applyProtection="1">
      <alignment horizontal="center" vertical="center"/>
    </xf>
    <xf numFmtId="0" fontId="2" fillId="0" borderId="39" xfId="0" applyFont="1" applyBorder="1" applyAlignment="1" applyProtection="1">
      <alignment vertical="center" wrapText="1"/>
    </xf>
    <xf numFmtId="0" fontId="3" fillId="0" borderId="39" xfId="0" applyFont="1" applyBorder="1" applyAlignment="1" applyProtection="1">
      <alignment vertical="center" wrapText="1"/>
    </xf>
    <xf numFmtId="0" fontId="3" fillId="0" borderId="39" xfId="0" applyFont="1" applyBorder="1" applyAlignment="1" applyProtection="1">
      <alignment horizontal="left" vertical="center" wrapText="1"/>
    </xf>
    <xf numFmtId="0" fontId="0" fillId="0" borderId="0" xfId="0" applyBorder="1"/>
    <xf numFmtId="0" fontId="0" fillId="0" borderId="0" xfId="0" applyFill="1" applyBorder="1"/>
    <xf numFmtId="0" fontId="19" fillId="0" borderId="0" xfId="0" applyFont="1" applyFill="1" applyBorder="1"/>
    <xf numFmtId="166" fontId="9" fillId="0" borderId="0" xfId="0" applyNumberFormat="1" applyFont="1" applyBorder="1" applyAlignment="1">
      <alignment horizontal="center" vertical="center"/>
    </xf>
    <xf numFmtId="14" fontId="9" fillId="0" borderId="0" xfId="0" applyNumberFormat="1" applyFont="1" applyBorder="1" applyAlignment="1" applyProtection="1">
      <alignment horizontal="center" vertical="center"/>
      <protection locked="0"/>
    </xf>
    <xf numFmtId="0" fontId="9" fillId="0" borderId="33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14" fontId="9" fillId="0" borderId="15" xfId="0" applyNumberFormat="1" applyFont="1" applyBorder="1" applyAlignment="1" applyProtection="1">
      <alignment horizontal="center" vertical="center"/>
      <protection locked="0"/>
    </xf>
    <xf numFmtId="0" fontId="9" fillId="0" borderId="35" xfId="0" applyFont="1" applyBorder="1" applyAlignment="1">
      <alignment horizontal="center" vertical="center"/>
    </xf>
    <xf numFmtId="14" fontId="9" fillId="0" borderId="16" xfId="0" applyNumberFormat="1" applyFont="1" applyBorder="1" applyAlignment="1" applyProtection="1">
      <alignment horizontal="center" vertical="center"/>
      <protection locked="0"/>
    </xf>
    <xf numFmtId="166" fontId="9" fillId="0" borderId="4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164" fontId="0" fillId="0" borderId="0" xfId="0" applyNumberFormat="1" applyBorder="1"/>
    <xf numFmtId="165" fontId="0" fillId="0" borderId="0" xfId="0" applyNumberFormat="1" applyBorder="1"/>
    <xf numFmtId="14" fontId="0" fillId="0" borderId="0" xfId="0" applyNumberFormat="1" applyBorder="1" applyAlignment="1" applyProtection="1">
      <alignment horizontal="center"/>
      <protection locked="0"/>
    </xf>
    <xf numFmtId="14" fontId="0" fillId="0" borderId="0" xfId="0" applyNumberFormat="1" applyBorder="1" applyProtection="1">
      <protection locked="0"/>
    </xf>
    <xf numFmtId="0" fontId="2" fillId="0" borderId="45" xfId="0" applyFont="1" applyBorder="1" applyAlignment="1">
      <alignment vertical="center" wrapText="1"/>
    </xf>
    <xf numFmtId="0" fontId="3" fillId="0" borderId="45" xfId="0" applyFont="1" applyBorder="1" applyAlignment="1">
      <alignment vertical="center" wrapText="1"/>
    </xf>
    <xf numFmtId="0" fontId="3" fillId="0" borderId="45" xfId="0" applyFont="1" applyBorder="1" applyAlignment="1">
      <alignment horizontal="left" vertical="center" wrapText="1"/>
    </xf>
    <xf numFmtId="0" fontId="0" fillId="0" borderId="45" xfId="0" applyBorder="1"/>
    <xf numFmtId="0" fontId="0" fillId="0" borderId="45" xfId="0" applyFill="1" applyBorder="1"/>
    <xf numFmtId="0" fontId="3" fillId="0" borderId="45" xfId="0" applyFont="1" applyFill="1" applyBorder="1" applyAlignment="1">
      <alignment vertical="center" wrapText="1"/>
    </xf>
    <xf numFmtId="0" fontId="9" fillId="0" borderId="33" xfId="0" applyFont="1" applyBorder="1" applyAlignment="1" applyProtection="1">
      <alignment vertical="center" wrapText="1"/>
    </xf>
    <xf numFmtId="0" fontId="9" fillId="0" borderId="35" xfId="0" applyFont="1" applyBorder="1" applyAlignment="1" applyProtection="1">
      <alignment vertical="center" wrapText="1"/>
    </xf>
  </cellXfs>
  <cellStyles count="2">
    <cellStyle name="Lien hypertexte" xfId="1" builtinId="8"/>
    <cellStyle name="Normal" xfId="0" builtinId="0"/>
  </cellStyles>
  <dxfs count="82"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numFmt numFmtId="19" formatCode="dd/mm/yyyy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4" formatCode="0.00%"/>
      <fill>
        <patternFill patternType="solid">
          <fgColor indexed="64"/>
          <bgColor rgb="FFFFF2CC"/>
        </patternFill>
      </fill>
      <protection locked="0" hidden="0"/>
    </dxf>
    <dxf>
      <numFmt numFmtId="14" formatCode="0.00%"/>
      <fill>
        <patternFill patternType="solid">
          <fgColor indexed="64"/>
          <bgColor rgb="FFFFF2CC"/>
        </patternFill>
      </fill>
      <protection locked="0" hidden="0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E7EEF7"/>
          <bgColor rgb="FFE7EEF7"/>
        </patternFill>
      </fill>
      <alignment horizontal="center" vertical="bottom" textRotation="0" wrapText="0" indent="0" justifyLastLine="0" shrinkToFit="0" readingOrder="0"/>
    </dxf>
    <dxf>
      <fill>
        <patternFill>
          <bgColor rgb="FFFF7C80"/>
        </patternFill>
      </fill>
    </dxf>
    <dxf>
      <fill>
        <patternFill>
          <bgColor theme="0" tint="-4.9989318521683403E-2"/>
        </patternFill>
      </fill>
    </dxf>
    <dxf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#,##0\ &quot;€&quot;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#,##0\ &quot;€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indexed="64"/>
        </top>
        <bottom style="medium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E7EEF7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fgColor rgb="FFBDD7EE"/>
          <bgColor rgb="FFFFC7CE"/>
        </patternFill>
      </fill>
    </dxf>
    <dxf>
      <fill>
        <patternFill patternType="solid">
          <fgColor rgb="FFC6E0B4"/>
          <bgColor rgb="FFC6EFCE"/>
        </patternFill>
      </fill>
    </dxf>
    <dxf>
      <fill>
        <patternFill patternType="solid">
          <fgColor rgb="FFFFF2CC"/>
          <bgColor rgb="FFFFCC66"/>
        </patternFill>
      </fill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numFmt numFmtId="19" formatCode="dd/mm/yyyy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1" hidden="0"/>
    </dxf>
    <dxf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numFmt numFmtId="19" formatCode="dd/mm/yyyy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numFmt numFmtId="19" formatCode="dd/mm/yyyy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2CE"/>
        </patternFill>
      </fill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E7EEF7"/>
          <bgColor theme="0" tint="-0.249977111117893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F2F2"/>
      <color rgb="FFFFF2CE"/>
      <color rgb="FF66FF66"/>
      <color rgb="FFFF5050"/>
      <color rgb="FFC6EFCE"/>
      <color rgb="FFFFC7CE"/>
      <color rgb="FFFFF2CC"/>
      <color rgb="FFFFCC66"/>
      <color rgb="FFFF9966"/>
      <color rgb="FFF2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Statuts des ventes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Tableau_Commercial!$A$21:$A$25</c:f>
              <c:strCache>
                <c:ptCount val="5"/>
                <c:pt idx="0">
                  <c:v>Total</c:v>
                </c:pt>
                <c:pt idx="1">
                  <c:v>Libre</c:v>
                </c:pt>
                <c:pt idx="2">
                  <c:v>Option</c:v>
                </c:pt>
                <c:pt idx="3">
                  <c:v>Réservé</c:v>
                </c:pt>
                <c:pt idx="4">
                  <c:v>Acté</c:v>
                </c:pt>
              </c:strCache>
            </c:strRef>
          </c:cat>
          <c:val>
            <c:numRef>
              <c:f>Tableau_Commercial!$B$21:$B$25</c:f>
              <c:numCache>
                <c:formatCode>General</c:formatCode>
                <c:ptCount val="5"/>
                <c:pt idx="0">
                  <c:v>12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5-4B66-8EF7-10025135B1E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Tableau_Commercial!$A$21:$A$25</c:f>
              <c:strCache>
                <c:ptCount val="5"/>
                <c:pt idx="0">
                  <c:v>Total</c:v>
                </c:pt>
                <c:pt idx="1">
                  <c:v>Libre</c:v>
                </c:pt>
                <c:pt idx="2">
                  <c:v>Option</c:v>
                </c:pt>
                <c:pt idx="3">
                  <c:v>Réservé</c:v>
                </c:pt>
                <c:pt idx="4">
                  <c:v>Acté</c:v>
                </c:pt>
              </c:strCache>
            </c:strRef>
          </c:cat>
          <c:val>
            <c:numRef>
              <c:f>Tableau_Commercial!$C$21:$C$25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4E15-4B66-8EF7-10025135B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906960"/>
        <c:axId val="150894960"/>
      </c:barChart>
      <c:catAx>
        <c:axId val="150906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894960"/>
        <c:crosses val="autoZero"/>
        <c:auto val="1"/>
        <c:lblAlgn val="ctr"/>
        <c:lblOffset val="100"/>
        <c:noMultiLvlLbl val="0"/>
      </c:catAx>
      <c:valAx>
        <c:axId val="15089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90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</xdr:row>
          <xdr:rowOff>28575</xdr:rowOff>
        </xdr:from>
        <xdr:to>
          <xdr:col>6</xdr:col>
          <xdr:colOff>619125</xdr:colOff>
          <xdr:row>3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1247775</xdr:colOff>
      <xdr:row>19</xdr:row>
      <xdr:rowOff>152399</xdr:rowOff>
    </xdr:from>
    <xdr:to>
      <xdr:col>9</xdr:col>
      <xdr:colOff>38100</xdr:colOff>
      <xdr:row>25</xdr:row>
      <xdr:rowOff>57150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8434BDB-25B3-6608-F3E3-94B181BC39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D6482-F064-4726-9435-38B4A9C82B9E}" name="Table_Clients" displayName="Table_Clients" ref="A7:T293" totalsRowShown="0" headerRowDxfId="75" dataDxfId="74">
  <autoFilter ref="A7:T293" xr:uid="{CA3D6482-F064-4726-9435-38B4A9C82B9E}"/>
  <tableColumns count="20">
    <tableColumn id="1" xr3:uid="{1DE79F09-AF4D-498D-A2BB-89742C2E909C}" name="ID Client" dataDxfId="73">
      <calculatedColumnFormula>IF(Synthese_Programme!A8="","",Synthese_Programme!A8)</calculatedColumnFormula>
    </tableColumn>
    <tableColumn id="2" xr3:uid="{40A22164-F31E-40C5-88CA-015E9472F7F1}" name="Lot" dataDxfId="72"/>
    <tableColumn id="3" xr3:uid="{081C8A52-8CBD-4F3C-9292-1C42E030F700}" name="Nom client" dataDxfId="71">
      <calculatedColumnFormula>IF(OR(Synthese_Programme!M8="Réservé",Synthese_Programme!M8="Acté",Synthese_Programme!M8="réservé",Synthese_Programme!M8="acté"),Synthese_Programme!N8,"")</calculatedColumnFormula>
    </tableColumn>
    <tableColumn id="4" xr3:uid="{E68270F8-2FCF-460B-95CD-E26A03036FC6}" name="Prénom" dataDxfId="70"/>
    <tableColumn id="5" xr3:uid="{5970F59D-D525-4642-A6B9-90E249211443}" name="Adresse" dataDxfId="69"/>
    <tableColumn id="6" xr3:uid="{ED373342-264B-412C-801E-1C188261C3E6}" name="Commune" dataDxfId="68"/>
    <tableColumn id="7" xr3:uid="{361F2BDB-1A8F-4E4F-A2A5-38ED6B565EA1}" name="Code postal" dataDxfId="67"/>
    <tableColumn id="8" xr3:uid="{EDADECFB-59BE-4C0A-A273-49BCE715BB00}" name="Téléphone" dataDxfId="66"/>
    <tableColumn id="9" xr3:uid="{574A33F2-1998-4E17-BEE6-4FD940394A83}" name="Email" dataDxfId="65"/>
    <tableColumn id="10" xr3:uid="{4F98F32E-1A80-4486-AA55-633295AFE8B6}" name="Date réservation" dataDxfId="64">
      <calculatedColumnFormula>IF(OR(Synthese_Programme!M8="Réservé",Synthese_Programme!M8="Acté",Synthese_Programme!M8="réservé",Synthese_Programme!M8="acté"),Synthese_Programme!P8,"")</calculatedColumnFormula>
    </tableColumn>
    <tableColumn id="11" xr3:uid="{8153AE28-2CCE-4667-95EB-A8A3A17217E7}" name="Date limite prêt" dataDxfId="63">
      <calculatedColumnFormula>IF(J8="","",J8+45)</calculatedColumnFormula>
    </tableColumn>
    <tableColumn id="12" xr3:uid="{93723622-30B9-471C-9FEB-FE4CA7733F25}" name="Alerte prêt" dataDxfId="62"/>
    <tableColumn id="13" xr3:uid="{AC55F7C3-13BD-46F7-A309-9DDCC97B0434}" name="Banque" dataDxfId="61"/>
    <tableColumn id="14" xr3:uid="{DA78687C-CD22-4A12-BCBA-63A305F95176}" name="Courtier" dataDxfId="60"/>
    <tableColumn id="15" xr3:uid="{C277E72E-EFE0-4A89-8ED1-6CF946398258}" name="Offre prêt reçue" dataDxfId="59"/>
    <tableColumn id="16" xr3:uid="{BE52F79A-E46B-4EF4-AF75-244614553105}" name="Date limite signature acte  notarié" dataDxfId="58">
      <calculatedColumnFormula>IF(J8="","",EDATE(J8,3))</calculatedColumnFormula>
    </tableColumn>
    <tableColumn id="17" xr3:uid="{2BA091A2-A998-47DB-8766-049600C53295}" name="Date signature acte  notarié" dataDxfId="57">
      <calculatedColumnFormula>IF(Synthese_Programme!Q8="","",Synthese_Programme!Q8)</calculatedColumnFormula>
    </tableColumn>
    <tableColumn id="18" xr3:uid="{77FB77BD-8960-41F4-A8C0-6C0FA81C2ABC}" name="Alerte acte" dataDxfId="56"/>
    <tableColumn id="19" xr3:uid="{712CBE9E-473A-4E53-9B19-C556908213A2}" name="TMA" dataDxfId="55"/>
    <tableColumn id="20" xr3:uid="{E673B1CB-2DD6-4AEC-B311-D426DAEDF0E8}" name="TS" dataDxfId="5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F075C-35ED-42E5-AF3E-05819A7A866A}" name="Table_Synthse" displayName="Table_Synthse" ref="A7:R293" totalsRowShown="0" headerRowDxfId="50" dataDxfId="48" headerRowBorderDxfId="49" tableBorderDxfId="47">
  <autoFilter ref="A7:R293" xr:uid="{9C7F075C-35ED-42E5-AF3E-05819A7A866A}"/>
  <tableColumns count="18">
    <tableColumn id="1" xr3:uid="{CA0F8D51-CC0A-4193-BE3F-12531998B510}" name="ID client" dataDxfId="46"/>
    <tableColumn id="2" xr3:uid="{110036EE-4D74-4BE9-8112-1B6F3CA74515}" name="Lot" dataDxfId="45"/>
    <tableColumn id="3" xr3:uid="{3D084C47-E736-4376-B861-18FCBAAB781D}" name="Etage" dataDxfId="44"/>
    <tableColumn id="4" xr3:uid="{1DE29F8C-3D2E-47CE-BD3A-167F8FE1437F}" name="Type" dataDxfId="43"/>
    <tableColumn id="5" xr3:uid="{41DAFAA9-5663-4071-95AC-AC4EBC8ECBE2}" name="Orientation" dataDxfId="42"/>
    <tableColumn id="6" xr3:uid="{BFF4407F-49BA-414F-8382-B4292343F5C9}" name="Surface SHAB (m²)" dataDxfId="41"/>
    <tableColumn id="7" xr3:uid="{88D03EC7-1E27-41C4-BA80-5E3C424D8570}" name="Surface Terrasses/Balcons (m²)" dataDxfId="40"/>
    <tableColumn id="8" xr3:uid="{8E1FEB92-79AC-4C43-8741-0711C5DC5D26}" name="Surface Jardins (m²)" dataDxfId="39"/>
    <tableColumn id="9" xr3:uid="{5920EAE5-C2F1-4FEF-8E37-3F6FDB3C7AAA}" name="Parkings" dataDxfId="38"/>
    <tableColumn id="10" xr3:uid="{7073518F-2AE2-4EFD-A8F9-84543A177401}" name="Caves/Celliers" dataDxfId="37"/>
    <tableColumn id="11" xr3:uid="{4E74B732-E900-4C08-8366-282827A6543C}" name="Prix TTC (€)" dataDxfId="36"/>
    <tableColumn id="12" xr3:uid="{C269013D-7ECA-4B16-B860-CAD701101F40}" name="Prix €/m²" dataDxfId="35">
      <calculatedColumnFormula>IF(F8&gt;0,K8/F8,"")</calculatedColumnFormula>
    </tableColumn>
    <tableColumn id="13" xr3:uid="{C0430B0C-E791-4816-8FE5-444095D9AA8D}" name="Statut" dataDxfId="34">
      <calculatedColumnFormula>IF(A8="","",IF(Q8&lt;&gt;"","Acté",IF(P8&lt;&gt;"","Réservé",IF(O8&lt;&gt;"","Option","Libre"))))</calculatedColumnFormula>
    </tableColumn>
    <tableColumn id="14" xr3:uid="{D53B92AD-C19D-4E75-A797-4F051F778086}" name="Nom client" dataDxfId="33"/>
    <tableColumn id="15" xr3:uid="{D54CA28D-37BE-41A0-B153-F43CDD40368B}" name="Date Option " dataDxfId="32"/>
    <tableColumn id="16" xr3:uid="{B10E545A-F9D8-4BA6-8D3D-91BDC280756E}" name="Date réservation" dataDxfId="31"/>
    <tableColumn id="17" xr3:uid="{3CBE04A2-4B2D-4807-8F50-B2E5BA0C4D06}" name="Date acte" dataDxfId="30"/>
    <tableColumn id="18" xr3:uid="{721BCA69-55BD-409F-960F-EAC6F94359B3}" name="Commentaire" dataDxfId="2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B85AAE-9971-4335-94D4-892120CE81BD}" name="Tableau3" displayName="Tableau3" ref="A1:F98" totalsRowShown="0" headerRowDxfId="21">
  <autoFilter ref="A1:F98" xr:uid="{13B85AAE-9971-4335-94D4-892120CE81BD}"/>
  <tableColumns count="6">
    <tableColumn id="1" xr3:uid="{C9EA44E7-979E-4A4E-B155-54C75757FBF1}" name="Liste Statuts" dataDxfId="20"/>
    <tableColumn id="2" xr3:uid="{06D6FCE7-D098-4AF4-804C-2B0826D649D9}" name="Liste Types" dataDxfId="19"/>
    <tableColumn id="3" xr3:uid="{2D58A688-E34A-4556-8D67-ADD74EC480D1}" name="Liste Etages" dataDxfId="18"/>
    <tableColumn id="4" xr3:uid="{42CFCC64-3E08-49E6-8F89-B79CEA747926}" name="Phasage travaux" dataDxfId="17"/>
    <tableColumn id="5" xr3:uid="{4099A155-988D-4D59-BEF5-93F6227C3567}" name="Avancement (%)" dataDxfId="16"/>
    <tableColumn id="6" xr3:uid="{D1A06575-7F2E-4D3C-AEF5-54EFC9449A6F}" name="Date attestation MOE" dataDxf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eaxxxx@icloud.com" TargetMode="External"/><Relationship Id="rId3" Type="http://schemas.openxmlformats.org/officeDocument/2006/relationships/hyperlink" Target="mailto:djeXXX@orange.fr" TargetMode="External"/><Relationship Id="rId7" Type="http://schemas.openxmlformats.org/officeDocument/2006/relationships/hyperlink" Target="mailto:jgi@gmail.com" TargetMode="External"/><Relationship Id="rId2" Type="http://schemas.openxmlformats.org/officeDocument/2006/relationships/hyperlink" Target="mailto:mosXXXX@icloud.com" TargetMode="External"/><Relationship Id="rId1" Type="http://schemas.openxmlformats.org/officeDocument/2006/relationships/hyperlink" Target="mailto:nicXXX@gmail.com" TargetMode="External"/><Relationship Id="rId6" Type="http://schemas.openxmlformats.org/officeDocument/2006/relationships/hyperlink" Target="mailto:spaXXXX@orange.fr" TargetMode="External"/><Relationship Id="rId5" Type="http://schemas.openxmlformats.org/officeDocument/2006/relationships/hyperlink" Target="mailto:pluXXX@gmail.com" TargetMode="External"/><Relationship Id="rId4" Type="http://schemas.openxmlformats.org/officeDocument/2006/relationships/hyperlink" Target="mailto:micXXXX@gmail.com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315"/>
  <sheetViews>
    <sheetView zoomScale="66" zoomScaleNormal="66" workbookViewId="0">
      <selection activeCell="M16" sqref="M16"/>
    </sheetView>
  </sheetViews>
  <sheetFormatPr baseColWidth="10" defaultRowHeight="14.25" x14ac:dyDescent="0.45"/>
  <cols>
    <col min="1" max="1" width="17.19921875" customWidth="1"/>
    <col min="2" max="2" width="19.73046875" customWidth="1"/>
    <col min="3" max="3" width="25.19921875" customWidth="1"/>
    <col min="4" max="4" width="20.265625" customWidth="1"/>
    <col min="5" max="5" width="32.6640625" customWidth="1"/>
    <col min="6" max="6" width="21.59765625" customWidth="1"/>
    <col min="7" max="7" width="12.53125" customWidth="1"/>
    <col min="8" max="8" width="16.1328125" customWidth="1"/>
    <col min="9" max="9" width="19.33203125" style="99" customWidth="1"/>
    <col min="10" max="10" width="16.53125" style="10" customWidth="1"/>
    <col min="11" max="11" width="15.86328125" style="10" customWidth="1"/>
    <col min="12" max="12" width="11.86328125" customWidth="1"/>
    <col min="13" max="13" width="16.9296875" customWidth="1"/>
    <col min="14" max="14" width="14.1328125" customWidth="1"/>
    <col min="15" max="15" width="16.1328125" customWidth="1"/>
    <col min="16" max="16" width="30.796875" style="10" customWidth="1"/>
    <col min="17" max="17" width="25.46484375" style="10" customWidth="1"/>
    <col min="18" max="18" width="11.86328125" customWidth="1"/>
  </cols>
  <sheetData>
    <row r="1" spans="1:20" s="2" customFormat="1" ht="51.4" customHeight="1" x14ac:dyDescent="0.45">
      <c r="A1" s="153" t="s">
        <v>163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</row>
    <row r="2" spans="1:20" ht="45.75" customHeight="1" x14ac:dyDescent="0.45">
      <c r="A2" s="155" t="str">
        <f>Synthese_Programme!A2</f>
        <v>Programme : Résidence Les Joliettes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</row>
    <row r="3" spans="1:20" ht="39" customHeight="1" thickBot="1" x14ac:dyDescent="0.5">
      <c r="A3" s="47" t="s">
        <v>158</v>
      </c>
      <c r="B3" s="92" t="str">
        <f>Synthese_Programme!B3</f>
        <v>AAA</v>
      </c>
      <c r="C3" s="47" t="s">
        <v>2</v>
      </c>
      <c r="D3" s="92">
        <f>Synthese_Programme!D3</f>
        <v>12</v>
      </c>
      <c r="H3" s="33" t="s">
        <v>164</v>
      </c>
      <c r="I3"/>
      <c r="J3"/>
      <c r="K3"/>
      <c r="P3"/>
      <c r="Q3"/>
      <c r="T3" s="67"/>
    </row>
    <row r="4" spans="1:20" ht="36" customHeight="1" x14ac:dyDescent="0.45">
      <c r="A4" s="47" t="s">
        <v>0</v>
      </c>
      <c r="B4" s="92" t="str">
        <f>Synthese_Programme!B4</f>
        <v>12 avenue Jean Jaures</v>
      </c>
      <c r="C4" s="47" t="s">
        <v>3</v>
      </c>
      <c r="D4" s="94">
        <f>Synthese_Programme!D4</f>
        <v>46112</v>
      </c>
      <c r="H4" s="96" t="s">
        <v>165</v>
      </c>
      <c r="I4"/>
      <c r="J4"/>
      <c r="K4"/>
      <c r="P4"/>
      <c r="Q4"/>
      <c r="T4" s="68"/>
    </row>
    <row r="5" spans="1:20" ht="35.25" customHeight="1" thickBot="1" x14ac:dyDescent="0.5">
      <c r="A5" s="47" t="s">
        <v>1</v>
      </c>
      <c r="B5" s="92" t="str">
        <f>Synthese_Programme!B5</f>
        <v>CIBOURE (64500)</v>
      </c>
      <c r="C5" s="14"/>
      <c r="D5" s="14"/>
      <c r="H5" s="97" t="s">
        <v>167</v>
      </c>
      <c r="I5"/>
      <c r="J5"/>
      <c r="K5"/>
      <c r="M5" s="147" t="s">
        <v>201</v>
      </c>
      <c r="P5"/>
      <c r="Q5"/>
    </row>
    <row r="6" spans="1:20" ht="14.65" customHeight="1" x14ac:dyDescent="0.45">
      <c r="I6"/>
      <c r="J6"/>
      <c r="K6"/>
      <c r="P6"/>
      <c r="Q6"/>
    </row>
    <row r="7" spans="1:20" s="15" customFormat="1" ht="57" customHeight="1" x14ac:dyDescent="0.45">
      <c r="A7" s="31" t="s">
        <v>152</v>
      </c>
      <c r="B7" s="31" t="s">
        <v>4</v>
      </c>
      <c r="C7" s="31" t="s">
        <v>6</v>
      </c>
      <c r="D7" s="31" t="s">
        <v>7</v>
      </c>
      <c r="E7" s="31" t="s">
        <v>8</v>
      </c>
      <c r="F7" s="31" t="s">
        <v>9</v>
      </c>
      <c r="G7" s="31" t="s">
        <v>10</v>
      </c>
      <c r="H7" s="31" t="s">
        <v>11</v>
      </c>
      <c r="I7" s="31" t="s">
        <v>12</v>
      </c>
      <c r="J7" s="32" t="s">
        <v>13</v>
      </c>
      <c r="K7" s="32" t="s">
        <v>14</v>
      </c>
      <c r="L7" s="31" t="s">
        <v>15</v>
      </c>
      <c r="M7" s="31" t="s">
        <v>16</v>
      </c>
      <c r="N7" s="31" t="s">
        <v>17</v>
      </c>
      <c r="O7" s="31" t="s">
        <v>18</v>
      </c>
      <c r="P7" s="32" t="s">
        <v>19</v>
      </c>
      <c r="Q7" s="32" t="s">
        <v>20</v>
      </c>
      <c r="R7" s="31" t="s">
        <v>21</v>
      </c>
      <c r="S7" s="31" t="s">
        <v>22</v>
      </c>
      <c r="T7" s="31" t="s">
        <v>23</v>
      </c>
    </row>
    <row r="8" spans="1:20" s="8" customFormat="1" ht="26" customHeight="1" x14ac:dyDescent="0.45">
      <c r="A8" s="91">
        <f>IF(Synthese_Programme!A8="","",Synthese_Programme!A8)</f>
        <v>1</v>
      </c>
      <c r="B8" s="92" t="str">
        <f>IF(Synthese_Programme!B8="","",Synthese_Programme!B8)</f>
        <v>A01</v>
      </c>
      <c r="C8" s="92" t="str">
        <f>IF(OR(Synthese_Programme!M8="Réservé",Synthese_Programme!M8="Acté",Synthese_Programme!M8="réservé",Synthese_Programme!M8="acté"),Synthese_Programme!N8,"")</f>
        <v>M. FOURNIER</v>
      </c>
      <c r="D8" s="93" t="s">
        <v>122</v>
      </c>
      <c r="E8" s="93" t="s">
        <v>123</v>
      </c>
      <c r="F8" s="93" t="s">
        <v>124</v>
      </c>
      <c r="G8" s="93">
        <v>71110</v>
      </c>
      <c r="H8" s="93" t="s">
        <v>125</v>
      </c>
      <c r="I8" s="98" t="s">
        <v>126</v>
      </c>
      <c r="J8" s="94">
        <f>IF(OR(Synthese_Programme!M8="Réservé",Synthese_Programme!M8="Acté",Synthese_Programme!M8="réservé",Synthese_Programme!M8="acté"),Synthese_Programme!P8,"")</f>
        <v>45700</v>
      </c>
      <c r="K8" s="94">
        <f t="shared" ref="K8:K68" si="0">IF(J8="","",J8+45)</f>
        <v>45745</v>
      </c>
      <c r="L8" s="92"/>
      <c r="M8" s="93" t="s">
        <v>24</v>
      </c>
      <c r="N8" s="93"/>
      <c r="O8" s="95">
        <v>45744</v>
      </c>
      <c r="P8" s="94">
        <f t="shared" ref="P8:P68" si="1">IF(J8="","",EDATE(J8,3))</f>
        <v>45789</v>
      </c>
      <c r="Q8" s="94" t="str">
        <f>IF(Synthese_Programme!Q8="","",Synthese_Programme!Q8)</f>
        <v/>
      </c>
      <c r="R8" s="92"/>
      <c r="S8" s="93"/>
      <c r="T8" s="93"/>
    </row>
    <row r="9" spans="1:20" s="8" customFormat="1" ht="26" customHeight="1" x14ac:dyDescent="0.45">
      <c r="A9" s="91">
        <f>IF(Synthese_Programme!A9="","",Synthese_Programme!A9)</f>
        <v>2</v>
      </c>
      <c r="B9" s="92" t="str">
        <f>IF(Synthese_Programme!B9="","",Synthese_Programme!B9)</f>
        <v>A02</v>
      </c>
      <c r="C9" s="92" t="str">
        <f>IF(OR(Synthese_Programme!M9="Réservé",Synthese_Programme!M9="Acté",Synthese_Programme!M9="réservé",Synthese_Programme!M9="acté"),Synthese_Programme!N9,"")</f>
        <v>Mme DUPONT</v>
      </c>
      <c r="D9" s="93" t="s">
        <v>127</v>
      </c>
      <c r="E9" s="93" t="s">
        <v>128</v>
      </c>
      <c r="F9" s="93" t="s">
        <v>129</v>
      </c>
      <c r="G9" s="93">
        <v>33600</v>
      </c>
      <c r="H9" s="93" t="s">
        <v>130</v>
      </c>
      <c r="I9" s="98" t="s">
        <v>131</v>
      </c>
      <c r="J9" s="94">
        <f>IF(OR(Synthese_Programme!M9="Réservé",Synthese_Programme!M9="Acté",Synthese_Programme!M9="réservé",Synthese_Programme!M9="acté"),Synthese_Programme!P9,"")</f>
        <v>45575</v>
      </c>
      <c r="K9" s="94">
        <f t="shared" si="0"/>
        <v>45620</v>
      </c>
      <c r="L9" s="92"/>
      <c r="M9" s="93" t="s">
        <v>25</v>
      </c>
      <c r="N9" s="93"/>
      <c r="O9" s="95">
        <v>45616</v>
      </c>
      <c r="P9" s="94">
        <f t="shared" si="1"/>
        <v>45667</v>
      </c>
      <c r="Q9" s="94">
        <f>IF(Synthese_Programme!Q9="","",Synthese_Programme!Q9)</f>
        <v>45759</v>
      </c>
      <c r="R9" s="92"/>
      <c r="S9" s="93" t="s">
        <v>26</v>
      </c>
      <c r="T9" s="93"/>
    </row>
    <row r="10" spans="1:20" s="8" customFormat="1" ht="26" customHeight="1" x14ac:dyDescent="0.45">
      <c r="A10" s="91">
        <f>IF(Synthese_Programme!A10="","",Synthese_Programme!A10)</f>
        <v>3</v>
      </c>
      <c r="B10" s="92" t="str">
        <f>IF(Synthese_Programme!B10="","",Synthese_Programme!B10)</f>
        <v>A03</v>
      </c>
      <c r="C10" s="92" t="str">
        <f>IF(OR(Synthese_Programme!M10="Réservé",Synthese_Programme!M10="Acté",Synthese_Programme!M10="réservé",Synthese_Programme!M10="acté"),Synthese_Programme!N10,"")</f>
        <v/>
      </c>
      <c r="D10" s="93"/>
      <c r="E10" s="93"/>
      <c r="F10" s="93"/>
      <c r="G10" s="93"/>
      <c r="H10" s="93"/>
      <c r="I10" s="100"/>
      <c r="J10" s="94" t="str">
        <f>IF(OR(Synthese_Programme!M10="Réservé",Synthese_Programme!M10="Acté",Synthese_Programme!M10="réservé",Synthese_Programme!M10="acté"),Synthese_Programme!P10,"")</f>
        <v/>
      </c>
      <c r="K10" s="94" t="str">
        <f t="shared" si="0"/>
        <v/>
      </c>
      <c r="L10" s="92"/>
      <c r="M10" s="93"/>
      <c r="N10" s="93"/>
      <c r="O10" s="93"/>
      <c r="P10" s="94" t="str">
        <f t="shared" si="1"/>
        <v/>
      </c>
      <c r="Q10" s="94" t="str">
        <f>IF(Synthese_Programme!Q10="","",Synthese_Programme!Q10)</f>
        <v/>
      </c>
      <c r="R10" s="92"/>
      <c r="S10" s="93"/>
      <c r="T10" s="93"/>
    </row>
    <row r="11" spans="1:20" s="8" customFormat="1" ht="26" customHeight="1" x14ac:dyDescent="0.45">
      <c r="A11" s="91">
        <f>IF(Synthese_Programme!A11="","",Synthese_Programme!A11)</f>
        <v>4</v>
      </c>
      <c r="B11" s="92" t="str">
        <f>IF(Synthese_Programme!B11="","",Synthese_Programme!B11)</f>
        <v>A04</v>
      </c>
      <c r="C11" s="92" t="str">
        <f>IF(OR(Synthese_Programme!M11="Réservé",Synthese_Programme!M11="Acté",Synthese_Programme!M11="réservé",Synthese_Programme!M11="acté"),Synthese_Programme!N11,"")</f>
        <v>M. et Mme ARNAUD</v>
      </c>
      <c r="D11" s="93" t="s">
        <v>191</v>
      </c>
      <c r="E11" s="93" t="s">
        <v>192</v>
      </c>
      <c r="F11" s="93" t="s">
        <v>134</v>
      </c>
      <c r="G11" s="93">
        <v>64500</v>
      </c>
      <c r="H11" s="93" t="s">
        <v>193</v>
      </c>
      <c r="I11" s="98" t="s">
        <v>194</v>
      </c>
      <c r="J11" s="94">
        <f>IF(OR(Synthese_Programme!M11="Réservé",Synthese_Programme!M11="Acté",Synthese_Programme!M11="réservé",Synthese_Programme!M11="acté"),Synthese_Programme!P11,"")</f>
        <v>45719</v>
      </c>
      <c r="K11" s="94"/>
      <c r="L11" s="92"/>
      <c r="M11" s="93" t="s">
        <v>199</v>
      </c>
      <c r="N11" s="93"/>
      <c r="O11" s="93"/>
      <c r="P11" s="94">
        <f t="shared" si="1"/>
        <v>45811</v>
      </c>
      <c r="Q11" s="94" t="str">
        <f>IF(Synthese_Programme!Q11="","",Synthese_Programme!Q11)</f>
        <v/>
      </c>
      <c r="R11" s="92"/>
      <c r="S11" s="93"/>
      <c r="T11" s="93"/>
    </row>
    <row r="12" spans="1:20" s="8" customFormat="1" ht="26" customHeight="1" x14ac:dyDescent="0.45">
      <c r="A12" s="91">
        <f>IF(Synthese_Programme!A12="","",Synthese_Programme!A12)</f>
        <v>5</v>
      </c>
      <c r="B12" s="92" t="str">
        <f>IF(Synthese_Programme!B12="","",Synthese_Programme!B12)</f>
        <v>A101</v>
      </c>
      <c r="C12" s="92" t="str">
        <f>IF(OR(Synthese_Programme!M12="Réservé",Synthese_Programme!M12="Acté",Synthese_Programme!M12="réservé",Synthese_Programme!M12="acté"),Synthese_Programme!N12,"")</f>
        <v/>
      </c>
      <c r="D12" s="93"/>
      <c r="E12" s="93"/>
      <c r="F12" s="93"/>
      <c r="G12" s="93"/>
      <c r="H12" s="93"/>
      <c r="I12" s="98"/>
      <c r="J12" s="94" t="str">
        <f>IF(OR(Synthese_Programme!M12="Réservé",Synthese_Programme!M12="Acté",Synthese_Programme!M12="réservé",Synthese_Programme!M12="acté"),Synthese_Programme!P12,"")</f>
        <v/>
      </c>
      <c r="K12" s="94"/>
      <c r="L12" s="92"/>
      <c r="M12" s="93"/>
      <c r="N12" s="93"/>
      <c r="O12" s="95">
        <v>45782</v>
      </c>
      <c r="P12" s="94" t="str">
        <f t="shared" si="1"/>
        <v/>
      </c>
      <c r="Q12" s="94" t="str">
        <f>IF(Synthese_Programme!Q12="","",Synthese_Programme!Q12)</f>
        <v/>
      </c>
      <c r="R12" s="92"/>
      <c r="S12" s="93" t="s">
        <v>26</v>
      </c>
      <c r="T12" s="93"/>
    </row>
    <row r="13" spans="1:20" s="8" customFormat="1" ht="26" customHeight="1" x14ac:dyDescent="0.45">
      <c r="A13" s="91">
        <f>IF(Synthese_Programme!A13="","",Synthese_Programme!A13)</f>
        <v>6</v>
      </c>
      <c r="B13" s="92" t="str">
        <f>IF(Synthese_Programme!B13="","",Synthese_Programme!B13)</f>
        <v>A102</v>
      </c>
      <c r="C13" s="92" t="str">
        <f>IF(OR(Synthese_Programme!M13="Réservé",Synthese_Programme!M13="Acté",Synthese_Programme!M13="réservé",Synthese_Programme!M13="acté"),Synthese_Programme!N13,"")</f>
        <v>M. et Mme JAUREGUI</v>
      </c>
      <c r="D13" s="93" t="s">
        <v>147</v>
      </c>
      <c r="E13" s="93" t="s">
        <v>148</v>
      </c>
      <c r="F13" s="93" t="s">
        <v>149</v>
      </c>
      <c r="G13" s="93">
        <v>64200</v>
      </c>
      <c r="H13" s="93" t="s">
        <v>150</v>
      </c>
      <c r="I13" s="98" t="s">
        <v>151</v>
      </c>
      <c r="J13" s="94">
        <f>IF(OR(Synthese_Programme!M13="Réservé",Synthese_Programme!M13="Acté",Synthese_Programme!M13="réservé",Synthese_Programme!M13="acté"),Synthese_Programme!P13,"")</f>
        <v>45795</v>
      </c>
      <c r="K13" s="94">
        <f t="shared" si="0"/>
        <v>45840</v>
      </c>
      <c r="L13" s="92"/>
      <c r="M13" s="93" t="s">
        <v>24</v>
      </c>
      <c r="N13" s="93"/>
      <c r="O13" s="93"/>
      <c r="P13" s="94">
        <f t="shared" si="1"/>
        <v>45887</v>
      </c>
      <c r="Q13" s="94" t="str">
        <f>IF(Synthese_Programme!Q13="","",Synthese_Programme!Q13)</f>
        <v/>
      </c>
      <c r="R13" s="92"/>
      <c r="S13" s="93"/>
      <c r="T13" s="93"/>
    </row>
    <row r="14" spans="1:20" s="8" customFormat="1" ht="26" customHeight="1" x14ac:dyDescent="0.45">
      <c r="A14" s="91">
        <f>IF(Synthese_Programme!A14="","",Synthese_Programme!A14)</f>
        <v>7</v>
      </c>
      <c r="B14" s="92" t="str">
        <f>IF(Synthese_Programme!B14="","",Synthese_Programme!B14)</f>
        <v>A103</v>
      </c>
      <c r="C14" s="92" t="str">
        <f>IF(OR(Synthese_Programme!M14="Réservé",Synthese_Programme!M14="Acté",Synthese_Programme!M14="réservé",Synthese_Programme!M14="acté"),Synthese_Programme!N14,"")</f>
        <v>M. DESPRES</v>
      </c>
      <c r="D14" s="93" t="s">
        <v>132</v>
      </c>
      <c r="E14" s="93" t="s">
        <v>133</v>
      </c>
      <c r="F14" s="93" t="s">
        <v>134</v>
      </c>
      <c r="G14" s="93">
        <v>64500</v>
      </c>
      <c r="H14" s="93" t="s">
        <v>135</v>
      </c>
      <c r="I14" s="98" t="s">
        <v>136</v>
      </c>
      <c r="J14" s="94">
        <f>IF(OR(Synthese_Programme!M14="Réservé",Synthese_Programme!M14="Acté",Synthese_Programme!M14="réservé",Synthese_Programme!M14="acté"),Synthese_Programme!P14,"")</f>
        <v>45609</v>
      </c>
      <c r="K14" s="94">
        <f t="shared" si="0"/>
        <v>45654</v>
      </c>
      <c r="L14" s="92"/>
      <c r="M14" s="93" t="s">
        <v>27</v>
      </c>
      <c r="N14" s="93"/>
      <c r="O14" s="95">
        <v>45643</v>
      </c>
      <c r="P14" s="94">
        <f t="shared" si="1"/>
        <v>45701</v>
      </c>
      <c r="Q14" s="94">
        <f>IF(Synthese_Programme!Q14="","",Synthese_Programme!Q14)</f>
        <v>45759</v>
      </c>
      <c r="R14" s="92"/>
      <c r="S14" s="93" t="s">
        <v>26</v>
      </c>
      <c r="T14" s="93"/>
    </row>
    <row r="15" spans="1:20" s="8" customFormat="1" ht="26" customHeight="1" x14ac:dyDescent="0.45">
      <c r="A15" s="91">
        <f>IF(Synthese_Programme!A15="","",Synthese_Programme!A15)</f>
        <v>8</v>
      </c>
      <c r="B15" s="92" t="str">
        <f>IF(Synthese_Programme!B15="","",Synthese_Programme!B15)</f>
        <v>A104</v>
      </c>
      <c r="C15" s="92" t="str">
        <f>IF(OR(Synthese_Programme!M15="Réservé",Synthese_Programme!M15="Acté",Synthese_Programme!M15="réservé",Synthese_Programme!M15="acté"),Synthese_Programme!N15,"")</f>
        <v/>
      </c>
      <c r="D15" s="93"/>
      <c r="E15" s="93"/>
      <c r="F15" s="93"/>
      <c r="G15" s="93"/>
      <c r="H15" s="93"/>
      <c r="I15" s="98" t="s">
        <v>195</v>
      </c>
      <c r="J15" s="94" t="str">
        <f>IF(OR(Synthese_Programme!M15="Réservé",Synthese_Programme!M15="Acté",Synthese_Programme!M15="réservé",Synthese_Programme!M15="acté"),Synthese_Programme!P15,"")</f>
        <v/>
      </c>
      <c r="K15" s="94" t="str">
        <f t="shared" si="0"/>
        <v/>
      </c>
      <c r="L15" s="92"/>
      <c r="M15" s="93"/>
      <c r="N15" s="93"/>
      <c r="O15" s="93"/>
      <c r="P15" s="94" t="str">
        <f t="shared" si="1"/>
        <v/>
      </c>
      <c r="Q15" s="94" t="str">
        <f>IF(Synthese_Programme!Q15="","",Synthese_Programme!Q15)</f>
        <v/>
      </c>
      <c r="R15" s="92"/>
      <c r="S15" s="93"/>
      <c r="T15" s="93"/>
    </row>
    <row r="16" spans="1:20" s="8" customFormat="1" ht="26" customHeight="1" x14ac:dyDescent="0.45">
      <c r="A16" s="91">
        <f>IF(Synthese_Programme!A16="","",Synthese_Programme!A16)</f>
        <v>9</v>
      </c>
      <c r="B16" s="92" t="str">
        <f>IF(Synthese_Programme!B16="","",Synthese_Programme!B16)</f>
        <v>A201</v>
      </c>
      <c r="C16" s="92" t="str">
        <f>IF(OR(Synthese_Programme!M16="Réservé",Synthese_Programme!M16="Acté",Synthese_Programme!M16="réservé",Synthese_Programme!M16="acté"),Synthese_Programme!N16,"")</f>
        <v>M. et Mme RATOI</v>
      </c>
      <c r="D16" s="93" t="s">
        <v>137</v>
      </c>
      <c r="E16" s="93" t="s">
        <v>138</v>
      </c>
      <c r="F16" s="93" t="s">
        <v>139</v>
      </c>
      <c r="G16" s="93">
        <v>64122</v>
      </c>
      <c r="H16" s="93" t="s">
        <v>140</v>
      </c>
      <c r="I16" s="98" t="s">
        <v>141</v>
      </c>
      <c r="J16" s="94">
        <f>IF(OR(Synthese_Programme!M16="Réservé",Synthese_Programme!M16="Acté",Synthese_Programme!M16="réservé",Synthese_Programme!M16="acté"),Synthese_Programme!P16,"")</f>
        <v>45667</v>
      </c>
      <c r="K16" s="94">
        <f t="shared" si="0"/>
        <v>45712</v>
      </c>
      <c r="L16" s="92"/>
      <c r="M16" s="93" t="s">
        <v>25</v>
      </c>
      <c r="N16" s="93" t="s">
        <v>28</v>
      </c>
      <c r="O16" s="93"/>
      <c r="P16" s="94">
        <f t="shared" si="1"/>
        <v>45757</v>
      </c>
      <c r="Q16" s="94">
        <f>IF(Synthese_Programme!Q16="","",Synthese_Programme!Q16)</f>
        <v>45759</v>
      </c>
      <c r="R16" s="92"/>
      <c r="S16" s="93"/>
      <c r="T16" s="93"/>
    </row>
    <row r="17" spans="1:20" s="8" customFormat="1" ht="26" customHeight="1" x14ac:dyDescent="0.45">
      <c r="A17" s="91">
        <f>IF(Synthese_Programme!A17="","",Synthese_Programme!A17)</f>
        <v>10</v>
      </c>
      <c r="B17" s="92" t="str">
        <f>IF(Synthese_Programme!B17="","",Synthese_Programme!B17)</f>
        <v>A202</v>
      </c>
      <c r="C17" s="92" t="str">
        <f>IF(OR(Synthese_Programme!M17="Réservé",Synthese_Programme!M17="Acté",Synthese_Programme!M17="réservé",Synthese_Programme!M17="acté"),Synthese_Programme!N17,"")</f>
        <v/>
      </c>
      <c r="D17" s="93"/>
      <c r="E17" s="93"/>
      <c r="F17" s="93"/>
      <c r="G17" s="93"/>
      <c r="H17" s="93"/>
      <c r="I17" s="98"/>
      <c r="J17" s="94" t="str">
        <f>IF(OR(Synthese_Programme!M17="Réservé",Synthese_Programme!M17="Acté",Synthese_Programme!M17="réservé",Synthese_Programme!M17="acté"),Synthese_Programme!P17,"")</f>
        <v/>
      </c>
      <c r="K17" s="94" t="str">
        <f t="shared" si="0"/>
        <v/>
      </c>
      <c r="L17" s="92"/>
      <c r="M17" s="93"/>
      <c r="N17" s="93"/>
      <c r="O17" s="93"/>
      <c r="P17" s="94" t="str">
        <f t="shared" si="1"/>
        <v/>
      </c>
      <c r="Q17" s="94" t="str">
        <f>IF(Synthese_Programme!Q17="","",Synthese_Programme!Q17)</f>
        <v/>
      </c>
      <c r="R17" s="92"/>
      <c r="S17" s="93"/>
      <c r="T17" s="93"/>
    </row>
    <row r="18" spans="1:20" s="8" customFormat="1" ht="26" customHeight="1" x14ac:dyDescent="0.45">
      <c r="A18" s="91">
        <f>IF(Synthese_Programme!A18="","",Synthese_Programme!A18)</f>
        <v>11</v>
      </c>
      <c r="B18" s="92" t="str">
        <f>IF(Synthese_Programme!B18="","",Synthese_Programme!B18)</f>
        <v>A203</v>
      </c>
      <c r="C18" s="92" t="str">
        <f>IF(OR(Synthese_Programme!M18="Réservé",Synthese_Programme!M18="Acté",Synthese_Programme!M18="réservé",Synthese_Programme!M18="acté"),Synthese_Programme!N18,"")</f>
        <v>M. JUZAN</v>
      </c>
      <c r="D18" s="93" t="s">
        <v>142</v>
      </c>
      <c r="E18" s="93" t="s">
        <v>143</v>
      </c>
      <c r="F18" s="93" t="s">
        <v>144</v>
      </c>
      <c r="G18" s="93">
        <v>31200</v>
      </c>
      <c r="H18" s="93" t="s">
        <v>145</v>
      </c>
      <c r="I18" s="98" t="s">
        <v>146</v>
      </c>
      <c r="J18" s="94">
        <f>IF(OR(Synthese_Programme!M18="Réservé",Synthese_Programme!M18="Acté",Synthese_Programme!M18="réservé",Synthese_Programme!M18="acté"),Synthese_Programme!P18,"")</f>
        <v>45704</v>
      </c>
      <c r="K18" s="94">
        <f t="shared" si="0"/>
        <v>45749</v>
      </c>
      <c r="L18" s="92"/>
      <c r="M18" s="93" t="s">
        <v>29</v>
      </c>
      <c r="N18" s="93"/>
      <c r="O18" s="95">
        <v>45680</v>
      </c>
      <c r="P18" s="94">
        <f t="shared" si="1"/>
        <v>45793</v>
      </c>
      <c r="Q18" s="94" t="str">
        <f>IF(Synthese_Programme!Q18="","",Synthese_Programme!Q18)</f>
        <v/>
      </c>
      <c r="R18" s="92"/>
      <c r="S18" s="93"/>
      <c r="T18" s="93"/>
    </row>
    <row r="19" spans="1:20" s="8" customFormat="1" ht="26" customHeight="1" x14ac:dyDescent="0.45">
      <c r="A19" s="91">
        <f>IF(Synthese_Programme!A19="","",Synthese_Programme!A19)</f>
        <v>12</v>
      </c>
      <c r="B19" s="92" t="str">
        <f>IF(Synthese_Programme!B19="","",Synthese_Programme!B19)</f>
        <v>A204</v>
      </c>
      <c r="C19" s="92" t="str">
        <f>IF(OR(Synthese_Programme!M19="Réservé",Synthese_Programme!M19="Acté",Synthese_Programme!M19="réservé",Synthese_Programme!M19="acté"),Synthese_Programme!N19,"")</f>
        <v/>
      </c>
      <c r="D19" s="93"/>
      <c r="E19" s="93"/>
      <c r="F19" s="93"/>
      <c r="G19" s="93"/>
      <c r="H19" s="93"/>
      <c r="I19" s="98"/>
      <c r="J19" s="94" t="str">
        <f>IF(OR(Synthese_Programme!M19="Réservé",Synthese_Programme!M19="Acté",Synthese_Programme!M19="réservé",Synthese_Programme!M19="acté"),Synthese_Programme!P19,"")</f>
        <v/>
      </c>
      <c r="K19" s="94" t="str">
        <f t="shared" si="0"/>
        <v/>
      </c>
      <c r="L19" s="92"/>
      <c r="M19" s="93"/>
      <c r="N19" s="93"/>
      <c r="O19" s="93"/>
      <c r="P19" s="94" t="str">
        <f t="shared" si="1"/>
        <v/>
      </c>
      <c r="Q19" s="94" t="str">
        <f>IF(Synthese_Programme!Q19="","",Synthese_Programme!Q19)</f>
        <v/>
      </c>
      <c r="R19" s="92"/>
      <c r="S19" s="93"/>
      <c r="T19" s="93"/>
    </row>
    <row r="20" spans="1:20" s="8" customFormat="1" ht="26" customHeight="1" x14ac:dyDescent="0.45">
      <c r="A20" s="92" t="str">
        <f>IF(Synthese_Programme!A20="","",Synthese_Programme!A20)</f>
        <v/>
      </c>
      <c r="B20" s="92" t="str">
        <f>IF(Synthese_Programme!B20="","",Synthese_Programme!B20)</f>
        <v/>
      </c>
      <c r="C20" s="92" t="str">
        <f>IF(OR(Synthese_Programme!M20="Réservé",Synthese_Programme!M20="Acté",Synthese_Programme!M20="réservé",Synthese_Programme!M20="acté"),Synthese_Programme!N20,"")</f>
        <v/>
      </c>
      <c r="D20" s="93"/>
      <c r="E20" s="93"/>
      <c r="F20" s="93"/>
      <c r="G20" s="93"/>
      <c r="H20" s="93"/>
      <c r="I20" s="98"/>
      <c r="J20" s="94" t="str">
        <f>IF(OR(Synthese_Programme!M20="Réservé",Synthese_Programme!M20="Acté",Synthese_Programme!M20="réservé",Synthese_Programme!M20="acté"),Synthese_Programme!P20,"")</f>
        <v/>
      </c>
      <c r="K20" s="94" t="str">
        <f t="shared" si="0"/>
        <v/>
      </c>
      <c r="L20" s="92"/>
      <c r="M20" s="93"/>
      <c r="N20" s="93"/>
      <c r="O20" s="93"/>
      <c r="P20" s="92" t="str">
        <f t="shared" si="1"/>
        <v/>
      </c>
      <c r="Q20" s="94" t="str">
        <f>IF(Synthese_Programme!Q20="","",Synthese_Programme!Q20)</f>
        <v/>
      </c>
      <c r="R20" s="92"/>
      <c r="S20" s="93"/>
      <c r="T20" s="93"/>
    </row>
    <row r="21" spans="1:20" s="8" customFormat="1" ht="26" customHeight="1" x14ac:dyDescent="0.45">
      <c r="A21" s="92" t="str">
        <f>IF(Synthese_Programme!A21="","",Synthese_Programme!A21)</f>
        <v/>
      </c>
      <c r="B21" s="92" t="str">
        <f>IF(Synthese_Programme!B21="","",Synthese_Programme!B21)</f>
        <v/>
      </c>
      <c r="C21" s="92" t="str">
        <f>IF(OR(Synthese_Programme!M21="Réservé",Synthese_Programme!M21="Acté",Synthese_Programme!M21="réservé",Synthese_Programme!M21="acté"),Synthese_Programme!N21,"")</f>
        <v/>
      </c>
      <c r="D21" s="93"/>
      <c r="E21" s="93"/>
      <c r="F21" s="93"/>
      <c r="G21" s="93"/>
      <c r="H21" s="93"/>
      <c r="I21" s="98"/>
      <c r="J21" s="94" t="str">
        <f>IF(OR(Synthese_Programme!M21="Réservé",Synthese_Programme!M21="Acté",Synthese_Programme!M21="réservé",Synthese_Programme!M21="acté"),Synthese_Programme!P21,"")</f>
        <v/>
      </c>
      <c r="K21" s="94" t="str">
        <f t="shared" si="0"/>
        <v/>
      </c>
      <c r="L21" s="92"/>
      <c r="M21" s="93"/>
      <c r="N21" s="93"/>
      <c r="O21" s="93"/>
      <c r="P21" s="92" t="str">
        <f t="shared" si="1"/>
        <v/>
      </c>
      <c r="Q21" s="94" t="str">
        <f>IF(Synthese_Programme!Q21="","",Synthese_Programme!Q21)</f>
        <v/>
      </c>
      <c r="R21" s="92"/>
      <c r="S21" s="93"/>
      <c r="T21" s="93"/>
    </row>
    <row r="22" spans="1:20" s="8" customFormat="1" ht="26" customHeight="1" x14ac:dyDescent="0.45">
      <c r="A22" s="92" t="str">
        <f>IF(Synthese_Programme!A22="","",Synthese_Programme!A22)</f>
        <v/>
      </c>
      <c r="B22" s="92" t="str">
        <f>IF(Synthese_Programme!B22="","",Synthese_Programme!B22)</f>
        <v/>
      </c>
      <c r="C22" s="92" t="str">
        <f>IF(OR(Synthese_Programme!M22="Réservé",Synthese_Programme!M22="Acté",Synthese_Programme!M22="réservé",Synthese_Programme!M22="acté"),Synthese_Programme!N22,"")</f>
        <v/>
      </c>
      <c r="D22" s="93"/>
      <c r="E22" s="93"/>
      <c r="F22" s="93"/>
      <c r="G22" s="93"/>
      <c r="H22" s="93"/>
      <c r="I22" s="98"/>
      <c r="J22" s="94" t="str">
        <f>IF(OR(Synthese_Programme!M22="Réservé",Synthese_Programme!M22="Acté",Synthese_Programme!M22="réservé",Synthese_Programme!M22="acté"),Synthese_Programme!P22,"")</f>
        <v/>
      </c>
      <c r="K22" s="94" t="str">
        <f t="shared" si="0"/>
        <v/>
      </c>
      <c r="L22" s="92"/>
      <c r="M22" s="93"/>
      <c r="N22" s="93"/>
      <c r="O22" s="93"/>
      <c r="P22" s="92" t="str">
        <f t="shared" si="1"/>
        <v/>
      </c>
      <c r="Q22" s="94" t="str">
        <f>IF(Synthese_Programme!Q22="","",Synthese_Programme!Q22)</f>
        <v/>
      </c>
      <c r="R22" s="92"/>
      <c r="S22" s="93"/>
      <c r="T22" s="93"/>
    </row>
    <row r="23" spans="1:20" s="8" customFormat="1" ht="26" customHeight="1" x14ac:dyDescent="0.45">
      <c r="A23" s="92" t="str">
        <f>IF(Synthese_Programme!A23="","",Synthese_Programme!A23)</f>
        <v/>
      </c>
      <c r="B23" s="92" t="str">
        <f>IF(Synthese_Programme!B23="","",Synthese_Programme!B23)</f>
        <v/>
      </c>
      <c r="C23" s="92" t="str">
        <f>IF(OR(Synthese_Programme!M23="Réservé",Synthese_Programme!M23="Acté",Synthese_Programme!M23="réservé",Synthese_Programme!M23="acté"),Synthese_Programme!N23,"")</f>
        <v/>
      </c>
      <c r="D23" s="93"/>
      <c r="E23" s="93"/>
      <c r="F23" s="93"/>
      <c r="G23" s="93"/>
      <c r="H23" s="93"/>
      <c r="I23" s="98"/>
      <c r="J23" s="94" t="str">
        <f>IF(OR(Synthese_Programme!M23="Réservé",Synthese_Programme!M23="Acté",Synthese_Programme!M23="réservé",Synthese_Programme!M23="acté"),Synthese_Programme!P23,"")</f>
        <v/>
      </c>
      <c r="K23" s="94" t="str">
        <f t="shared" si="0"/>
        <v/>
      </c>
      <c r="L23" s="92"/>
      <c r="M23" s="93"/>
      <c r="N23" s="93"/>
      <c r="O23" s="93"/>
      <c r="P23" s="92" t="str">
        <f t="shared" si="1"/>
        <v/>
      </c>
      <c r="Q23" s="94" t="str">
        <f>IF(Synthese_Programme!Q23="","",Synthese_Programme!Q23)</f>
        <v/>
      </c>
      <c r="R23" s="92"/>
      <c r="S23" s="93"/>
      <c r="T23" s="93"/>
    </row>
    <row r="24" spans="1:20" s="8" customFormat="1" ht="26" customHeight="1" x14ac:dyDescent="0.45">
      <c r="A24" s="92" t="str">
        <f>IF(Synthese_Programme!A24="","",Synthese_Programme!A24)</f>
        <v/>
      </c>
      <c r="B24" s="92" t="str">
        <f>IF(Synthese_Programme!B24="","",Synthese_Programme!B24)</f>
        <v/>
      </c>
      <c r="C24" s="92" t="str">
        <f>IF(OR(Synthese_Programme!M24="Réservé",Synthese_Programme!M24="Acté",Synthese_Programme!M24="réservé",Synthese_Programme!M24="acté"),Synthese_Programme!N24,"")</f>
        <v/>
      </c>
      <c r="D24" s="93"/>
      <c r="E24" s="93"/>
      <c r="F24" s="93"/>
      <c r="G24" s="93"/>
      <c r="H24" s="93"/>
      <c r="I24" s="98"/>
      <c r="J24" s="94" t="str">
        <f>IF(OR(Synthese_Programme!M24="Réservé",Synthese_Programme!M24="Acté",Synthese_Programme!M24="réservé",Synthese_Programme!M24="acté"),Synthese_Programme!P24,"")</f>
        <v/>
      </c>
      <c r="K24" s="94" t="str">
        <f t="shared" si="0"/>
        <v/>
      </c>
      <c r="L24" s="92"/>
      <c r="M24" s="93"/>
      <c r="N24" s="93"/>
      <c r="O24" s="93"/>
      <c r="P24" s="92" t="str">
        <f t="shared" si="1"/>
        <v/>
      </c>
      <c r="Q24" s="94" t="str">
        <f>IF(Synthese_Programme!Q24="","",Synthese_Programme!Q24)</f>
        <v/>
      </c>
      <c r="R24" s="92"/>
      <c r="S24" s="93"/>
      <c r="T24" s="93"/>
    </row>
    <row r="25" spans="1:20" s="8" customFormat="1" ht="26" customHeight="1" x14ac:dyDescent="0.45">
      <c r="A25" s="92" t="str">
        <f>IF(Synthese_Programme!A25="","",Synthese_Programme!A25)</f>
        <v/>
      </c>
      <c r="B25" s="92" t="str">
        <f>IF(Synthese_Programme!B25="","",Synthese_Programme!B25)</f>
        <v/>
      </c>
      <c r="C25" s="92" t="str">
        <f>IF(OR(Synthese_Programme!M25="Réservé",Synthese_Programme!M25="Acté",Synthese_Programme!M25="réservé",Synthese_Programme!M25="acté"),Synthese_Programme!N25,"")</f>
        <v/>
      </c>
      <c r="D25" s="93"/>
      <c r="E25" s="93"/>
      <c r="F25" s="93"/>
      <c r="G25" s="93"/>
      <c r="H25" s="93"/>
      <c r="I25" s="98"/>
      <c r="J25" s="94" t="str">
        <f>IF(OR(Synthese_Programme!M25="Réservé",Synthese_Programme!M25="Acté",Synthese_Programme!M25="réservé",Synthese_Programme!M25="acté"),Synthese_Programme!P25,"")</f>
        <v/>
      </c>
      <c r="K25" s="94" t="str">
        <f t="shared" si="0"/>
        <v/>
      </c>
      <c r="L25" s="92"/>
      <c r="M25" s="93"/>
      <c r="N25" s="93"/>
      <c r="O25" s="93"/>
      <c r="P25" s="92" t="str">
        <f t="shared" si="1"/>
        <v/>
      </c>
      <c r="Q25" s="94" t="str">
        <f>IF(Synthese_Programme!Q25="","",Synthese_Programme!Q25)</f>
        <v/>
      </c>
      <c r="R25" s="92"/>
      <c r="S25" s="93"/>
      <c r="T25" s="93"/>
    </row>
    <row r="26" spans="1:20" s="8" customFormat="1" ht="26" customHeight="1" x14ac:dyDescent="0.45">
      <c r="A26" s="92" t="str">
        <f>IF(Synthese_Programme!A26="","",Synthese_Programme!A26)</f>
        <v/>
      </c>
      <c r="B26" s="92" t="str">
        <f>IF(Synthese_Programme!B26="","",Synthese_Programme!B26)</f>
        <v/>
      </c>
      <c r="C26" s="92" t="str">
        <f>IF(OR(Synthese_Programme!M26="Réservé",Synthese_Programme!M26="Acté",Synthese_Programme!M26="réservé",Synthese_Programme!M26="acté"),Synthese_Programme!N26,"")</f>
        <v/>
      </c>
      <c r="D26" s="93"/>
      <c r="E26" s="93"/>
      <c r="F26" s="93"/>
      <c r="G26" s="93"/>
      <c r="H26" s="93"/>
      <c r="I26" s="98"/>
      <c r="J26" s="94" t="str">
        <f>IF(OR(Synthese_Programme!M26="Réservé",Synthese_Programme!M26="Acté",Synthese_Programme!M26="réservé",Synthese_Programme!M26="acté"),Synthese_Programme!P26,"")</f>
        <v/>
      </c>
      <c r="K26" s="94" t="str">
        <f t="shared" si="0"/>
        <v/>
      </c>
      <c r="L26" s="92"/>
      <c r="M26" s="93"/>
      <c r="N26" s="93"/>
      <c r="O26" s="93"/>
      <c r="P26" s="92" t="str">
        <f t="shared" si="1"/>
        <v/>
      </c>
      <c r="Q26" s="94" t="str">
        <f>IF(Synthese_Programme!Q26="","",Synthese_Programme!Q26)</f>
        <v/>
      </c>
      <c r="R26" s="92"/>
      <c r="S26" s="93"/>
      <c r="T26" s="93"/>
    </row>
    <row r="27" spans="1:20" s="8" customFormat="1" ht="26" customHeight="1" x14ac:dyDescent="0.45">
      <c r="A27" s="92" t="str">
        <f>IF(Synthese_Programme!A27="","",Synthese_Programme!A27)</f>
        <v/>
      </c>
      <c r="B27" s="92" t="str">
        <f>IF(Synthese_Programme!B27="","",Synthese_Programme!B27)</f>
        <v/>
      </c>
      <c r="C27" s="92" t="str">
        <f>IF(OR(Synthese_Programme!M27="Réservé",Synthese_Programme!M27="Acté",Synthese_Programme!M27="réservé",Synthese_Programme!M27="acté"),Synthese_Programme!N27,"")</f>
        <v/>
      </c>
      <c r="D27" s="93"/>
      <c r="E27" s="93"/>
      <c r="F27" s="93"/>
      <c r="G27" s="93"/>
      <c r="H27" s="93"/>
      <c r="I27" s="98"/>
      <c r="J27" s="94" t="str">
        <f>IF(OR(Synthese_Programme!M27="Réservé",Synthese_Programme!M27="Acté",Synthese_Programme!M27="réservé",Synthese_Programme!M27="acté"),Synthese_Programme!P27,"")</f>
        <v/>
      </c>
      <c r="K27" s="94" t="str">
        <f t="shared" si="0"/>
        <v/>
      </c>
      <c r="L27" s="92"/>
      <c r="M27" s="93"/>
      <c r="N27" s="93"/>
      <c r="O27" s="93"/>
      <c r="P27" s="92" t="str">
        <f t="shared" si="1"/>
        <v/>
      </c>
      <c r="Q27" s="94" t="str">
        <f>IF(Synthese_Programme!Q27="","",Synthese_Programme!Q27)</f>
        <v/>
      </c>
      <c r="R27" s="92"/>
      <c r="S27" s="93"/>
      <c r="T27" s="93"/>
    </row>
    <row r="28" spans="1:20" s="8" customFormat="1" ht="26" customHeight="1" x14ac:dyDescent="0.45">
      <c r="A28" s="92" t="str">
        <f>IF(Synthese_Programme!A28="","",Synthese_Programme!A28)</f>
        <v/>
      </c>
      <c r="B28" s="92" t="str">
        <f>IF(Synthese_Programme!B28="","",Synthese_Programme!B28)</f>
        <v/>
      </c>
      <c r="C28" s="92" t="str">
        <f>IF(OR(Synthese_Programme!M28="Réservé",Synthese_Programme!M28="Acté",Synthese_Programme!M28="réservé",Synthese_Programme!M28="acté"),Synthese_Programme!N28,"")</f>
        <v/>
      </c>
      <c r="D28" s="93"/>
      <c r="E28" s="93"/>
      <c r="F28" s="93"/>
      <c r="G28" s="93"/>
      <c r="H28" s="93"/>
      <c r="I28" s="98"/>
      <c r="J28" s="94" t="str">
        <f>IF(OR(Synthese_Programme!M28="Réservé",Synthese_Programme!M28="Acté",Synthese_Programme!M28="réservé",Synthese_Programme!M28="acté"),Synthese_Programme!P28,"")</f>
        <v/>
      </c>
      <c r="K28" s="94" t="str">
        <f t="shared" si="0"/>
        <v/>
      </c>
      <c r="L28" s="92"/>
      <c r="M28" s="93"/>
      <c r="N28" s="93"/>
      <c r="O28" s="93"/>
      <c r="P28" s="92" t="str">
        <f t="shared" si="1"/>
        <v/>
      </c>
      <c r="Q28" s="94" t="str">
        <f>IF(Synthese_Programme!Q28="","",Synthese_Programme!Q28)</f>
        <v/>
      </c>
      <c r="R28" s="92"/>
      <c r="S28" s="93"/>
      <c r="T28" s="93"/>
    </row>
    <row r="29" spans="1:20" s="8" customFormat="1" ht="26" customHeight="1" x14ac:dyDescent="0.45">
      <c r="A29" s="92" t="str">
        <f>IF(Synthese_Programme!A29="","",Synthese_Programme!A29)</f>
        <v/>
      </c>
      <c r="B29" s="92" t="str">
        <f>IF(Synthese_Programme!B29="","",Synthese_Programme!B29)</f>
        <v/>
      </c>
      <c r="C29" s="92" t="str">
        <f>IF(OR(Synthese_Programme!M29="Réservé",Synthese_Programme!M29="Acté",Synthese_Programme!M29="réservé",Synthese_Programme!M29="acté"),Synthese_Programme!N29,"")</f>
        <v/>
      </c>
      <c r="D29" s="93"/>
      <c r="E29" s="93"/>
      <c r="F29" s="93"/>
      <c r="G29" s="93"/>
      <c r="H29" s="93"/>
      <c r="I29" s="98"/>
      <c r="J29" s="94" t="str">
        <f>IF(OR(Synthese_Programme!M29="Réservé",Synthese_Programme!M29="Acté",Synthese_Programme!M29="réservé",Synthese_Programme!M29="acté"),Synthese_Programme!P29,"")</f>
        <v/>
      </c>
      <c r="K29" s="94" t="str">
        <f t="shared" si="0"/>
        <v/>
      </c>
      <c r="L29" s="92"/>
      <c r="M29" s="93"/>
      <c r="N29" s="93"/>
      <c r="O29" s="93"/>
      <c r="P29" s="92" t="str">
        <f t="shared" si="1"/>
        <v/>
      </c>
      <c r="Q29" s="94" t="str">
        <f>IF(Synthese_Programme!Q29="","",Synthese_Programme!Q29)</f>
        <v/>
      </c>
      <c r="R29" s="92"/>
      <c r="S29" s="93"/>
      <c r="T29" s="93"/>
    </row>
    <row r="30" spans="1:20" s="8" customFormat="1" ht="26" customHeight="1" x14ac:dyDescent="0.45">
      <c r="A30" s="92" t="str">
        <f>IF(Synthese_Programme!A30="","",Synthese_Programme!A30)</f>
        <v/>
      </c>
      <c r="B30" s="92" t="str">
        <f>IF(Synthese_Programme!B30="","",Synthese_Programme!B30)</f>
        <v/>
      </c>
      <c r="C30" s="92" t="str">
        <f>IF(OR(Synthese_Programme!M30="Réservé",Synthese_Programme!M30="Acté",Synthese_Programme!M30="réservé",Synthese_Programme!M30="acté"),Synthese_Programme!N30,"")</f>
        <v/>
      </c>
      <c r="D30" s="93"/>
      <c r="E30" s="93"/>
      <c r="F30" s="93"/>
      <c r="G30" s="93"/>
      <c r="H30" s="93"/>
      <c r="I30" s="98"/>
      <c r="J30" s="94" t="str">
        <f>IF(OR(Synthese_Programme!M30="Réservé",Synthese_Programme!M30="Acté",Synthese_Programme!M30="réservé",Synthese_Programme!M30="acté"),Synthese_Programme!P30,"")</f>
        <v/>
      </c>
      <c r="K30" s="94" t="str">
        <f t="shared" si="0"/>
        <v/>
      </c>
      <c r="L30" s="92"/>
      <c r="M30" s="93"/>
      <c r="N30" s="93"/>
      <c r="O30" s="93"/>
      <c r="P30" s="92" t="str">
        <f t="shared" si="1"/>
        <v/>
      </c>
      <c r="Q30" s="94" t="str">
        <f>IF(Synthese_Programme!Q30="","",Synthese_Programme!Q30)</f>
        <v/>
      </c>
      <c r="R30" s="92"/>
      <c r="S30" s="93"/>
      <c r="T30" s="93"/>
    </row>
    <row r="31" spans="1:20" s="8" customFormat="1" ht="26" customHeight="1" x14ac:dyDescent="0.45">
      <c r="A31" s="92" t="str">
        <f>IF(Synthese_Programme!A31="","",Synthese_Programme!A31)</f>
        <v/>
      </c>
      <c r="B31" s="92" t="str">
        <f>IF(Synthese_Programme!B31="","",Synthese_Programme!B31)</f>
        <v/>
      </c>
      <c r="C31" s="92" t="str">
        <f>IF(OR(Synthese_Programme!M31="Réservé",Synthese_Programme!M31="Acté",Synthese_Programme!M31="réservé",Synthese_Programme!M31="acté"),Synthese_Programme!N31,"")</f>
        <v/>
      </c>
      <c r="D31" s="93"/>
      <c r="E31" s="93"/>
      <c r="F31" s="93"/>
      <c r="G31" s="93"/>
      <c r="H31" s="93"/>
      <c r="I31" s="98"/>
      <c r="J31" s="94" t="str">
        <f>IF(OR(Synthese_Programme!M31="Réservé",Synthese_Programme!M31="Acté",Synthese_Programme!M31="réservé",Synthese_Programme!M31="acté"),Synthese_Programme!P31,"")</f>
        <v/>
      </c>
      <c r="K31" s="94" t="str">
        <f t="shared" si="0"/>
        <v/>
      </c>
      <c r="L31" s="92"/>
      <c r="M31" s="93"/>
      <c r="N31" s="93"/>
      <c r="O31" s="93"/>
      <c r="P31" s="92" t="str">
        <f t="shared" si="1"/>
        <v/>
      </c>
      <c r="Q31" s="94" t="str">
        <f>IF(Synthese_Programme!Q31="","",Synthese_Programme!Q31)</f>
        <v/>
      </c>
      <c r="R31" s="92"/>
      <c r="S31" s="93"/>
      <c r="T31" s="93"/>
    </row>
    <row r="32" spans="1:20" s="8" customFormat="1" ht="26" customHeight="1" x14ac:dyDescent="0.45">
      <c r="A32" s="92" t="str">
        <f>IF(Synthese_Programme!A32="","",Synthese_Programme!A32)</f>
        <v/>
      </c>
      <c r="B32" s="92" t="str">
        <f>IF(Synthese_Programme!B32="","",Synthese_Programme!B32)</f>
        <v/>
      </c>
      <c r="C32" s="92" t="str">
        <f>IF(OR(Synthese_Programme!M32="Réservé",Synthese_Programme!M32="Acté",Synthese_Programme!M32="réservé",Synthese_Programme!M32="acté"),Synthese_Programme!N32,"")</f>
        <v/>
      </c>
      <c r="D32" s="93"/>
      <c r="E32" s="93"/>
      <c r="F32" s="93"/>
      <c r="G32" s="93"/>
      <c r="H32" s="93"/>
      <c r="I32" s="98"/>
      <c r="J32" s="94" t="str">
        <f>IF(OR(Synthese_Programme!M32="Réservé",Synthese_Programme!M32="Acté",Synthese_Programme!M32="réservé",Synthese_Programme!M32="acté"),Synthese_Programme!P32,"")</f>
        <v/>
      </c>
      <c r="K32" s="94" t="str">
        <f t="shared" si="0"/>
        <v/>
      </c>
      <c r="L32" s="92"/>
      <c r="M32" s="93"/>
      <c r="N32" s="93"/>
      <c r="O32" s="93"/>
      <c r="P32" s="92" t="str">
        <f t="shared" si="1"/>
        <v/>
      </c>
      <c r="Q32" s="94" t="str">
        <f>IF(Synthese_Programme!Q32="","",Synthese_Programme!Q32)</f>
        <v/>
      </c>
      <c r="R32" s="92"/>
      <c r="S32" s="93"/>
      <c r="T32" s="93"/>
    </row>
    <row r="33" spans="1:20" s="8" customFormat="1" ht="26" customHeight="1" x14ac:dyDescent="0.45">
      <c r="A33" s="92" t="str">
        <f>IF(Synthese_Programme!A33="","",Synthese_Programme!A33)</f>
        <v/>
      </c>
      <c r="B33" s="92" t="str">
        <f>IF(Synthese_Programme!B33="","",Synthese_Programme!B33)</f>
        <v/>
      </c>
      <c r="C33" s="92" t="str">
        <f>IF(OR(Synthese_Programme!M33="Réservé",Synthese_Programme!M33="Acté",Synthese_Programme!M33="réservé",Synthese_Programme!M33="acté"),Synthese_Programme!N33,"")</f>
        <v/>
      </c>
      <c r="D33" s="93"/>
      <c r="E33" s="93"/>
      <c r="F33" s="93"/>
      <c r="G33" s="93"/>
      <c r="H33" s="93"/>
      <c r="I33" s="98"/>
      <c r="J33" s="94" t="str">
        <f>IF(OR(Synthese_Programme!M33="Réservé",Synthese_Programme!M33="Acté",Synthese_Programme!M33="réservé",Synthese_Programme!M33="acté"),Synthese_Programme!P33,"")</f>
        <v/>
      </c>
      <c r="K33" s="94" t="str">
        <f t="shared" si="0"/>
        <v/>
      </c>
      <c r="L33" s="92"/>
      <c r="M33" s="93"/>
      <c r="N33" s="93"/>
      <c r="O33" s="93"/>
      <c r="P33" s="92" t="str">
        <f t="shared" si="1"/>
        <v/>
      </c>
      <c r="Q33" s="94" t="str">
        <f>IF(Synthese_Programme!Q33="","",Synthese_Programme!Q33)</f>
        <v/>
      </c>
      <c r="R33" s="92"/>
      <c r="S33" s="93"/>
      <c r="T33" s="93"/>
    </row>
    <row r="34" spans="1:20" s="8" customFormat="1" ht="26" customHeight="1" x14ac:dyDescent="0.45">
      <c r="A34" s="92" t="str">
        <f>IF(Synthese_Programme!A34="","",Synthese_Programme!A34)</f>
        <v/>
      </c>
      <c r="B34" s="92" t="str">
        <f>IF(Synthese_Programme!B34="","",Synthese_Programme!B34)</f>
        <v/>
      </c>
      <c r="C34" s="92" t="str">
        <f>IF(OR(Synthese_Programme!M34="Réservé",Synthese_Programme!M34="Acté",Synthese_Programme!M34="réservé",Synthese_Programme!M34="acté"),Synthese_Programme!N34,"")</f>
        <v/>
      </c>
      <c r="D34" s="93"/>
      <c r="E34" s="93"/>
      <c r="F34" s="93"/>
      <c r="G34" s="93"/>
      <c r="H34" s="93"/>
      <c r="I34" s="98"/>
      <c r="J34" s="94" t="str">
        <f>IF(OR(Synthese_Programme!M34="Réservé",Synthese_Programme!M34="Acté",Synthese_Programme!M34="réservé",Synthese_Programme!M34="acté"),Synthese_Programme!P34,"")</f>
        <v/>
      </c>
      <c r="K34" s="94" t="str">
        <f t="shared" si="0"/>
        <v/>
      </c>
      <c r="L34" s="92"/>
      <c r="M34" s="93"/>
      <c r="N34" s="93"/>
      <c r="O34" s="93"/>
      <c r="P34" s="92" t="str">
        <f t="shared" si="1"/>
        <v/>
      </c>
      <c r="Q34" s="94" t="str">
        <f>IF(Synthese_Programme!Q34="","",Synthese_Programme!Q34)</f>
        <v/>
      </c>
      <c r="R34" s="92"/>
      <c r="S34" s="93"/>
      <c r="T34" s="93"/>
    </row>
    <row r="35" spans="1:20" s="8" customFormat="1" ht="26" customHeight="1" x14ac:dyDescent="0.45">
      <c r="A35" s="92" t="str">
        <f>IF(Synthese_Programme!A35="","",Synthese_Programme!A35)</f>
        <v/>
      </c>
      <c r="B35" s="92" t="str">
        <f>IF(Synthese_Programme!B35="","",Synthese_Programme!B35)</f>
        <v/>
      </c>
      <c r="C35" s="92" t="str">
        <f>IF(OR(Synthese_Programme!M35="Réservé",Synthese_Programme!M35="Acté",Synthese_Programme!M35="réservé",Synthese_Programme!M35="acté"),Synthese_Programme!N35,"")</f>
        <v/>
      </c>
      <c r="D35" s="93"/>
      <c r="E35" s="93"/>
      <c r="F35" s="93"/>
      <c r="G35" s="93"/>
      <c r="H35" s="93"/>
      <c r="I35" s="98"/>
      <c r="J35" s="94" t="str">
        <f>IF(OR(Synthese_Programme!M35="Réservé",Synthese_Programme!M35="Acté",Synthese_Programme!M35="réservé",Synthese_Programme!M35="acté"),Synthese_Programme!P35,"")</f>
        <v/>
      </c>
      <c r="K35" s="94" t="str">
        <f t="shared" si="0"/>
        <v/>
      </c>
      <c r="L35" s="92"/>
      <c r="M35" s="93"/>
      <c r="N35" s="93"/>
      <c r="O35" s="93"/>
      <c r="P35" s="92" t="str">
        <f t="shared" si="1"/>
        <v/>
      </c>
      <c r="Q35" s="94" t="str">
        <f>IF(Synthese_Programme!Q35="","",Synthese_Programme!Q35)</f>
        <v/>
      </c>
      <c r="R35" s="92"/>
      <c r="S35" s="93"/>
      <c r="T35" s="93"/>
    </row>
    <row r="36" spans="1:20" s="8" customFormat="1" ht="26" customHeight="1" x14ac:dyDescent="0.45">
      <c r="A36" s="92" t="str">
        <f>IF(Synthese_Programme!A36="","",Synthese_Programme!A36)</f>
        <v/>
      </c>
      <c r="B36" s="92" t="str">
        <f>IF(Synthese_Programme!B36="","",Synthese_Programme!B36)</f>
        <v/>
      </c>
      <c r="C36" s="92" t="str">
        <f>IF(OR(Synthese_Programme!M36="Réservé",Synthese_Programme!M36="Acté",Synthese_Programme!M36="réservé",Synthese_Programme!M36="acté"),Synthese_Programme!N36,"")</f>
        <v/>
      </c>
      <c r="D36" s="93"/>
      <c r="E36" s="93"/>
      <c r="F36" s="93"/>
      <c r="G36" s="93"/>
      <c r="H36" s="93"/>
      <c r="I36" s="98"/>
      <c r="J36" s="94" t="str">
        <f>IF(OR(Synthese_Programme!M36="Réservé",Synthese_Programme!M36="Acté",Synthese_Programme!M36="réservé",Synthese_Programme!M36="acté"),Synthese_Programme!P36,"")</f>
        <v/>
      </c>
      <c r="K36" s="94" t="str">
        <f t="shared" si="0"/>
        <v/>
      </c>
      <c r="L36" s="92"/>
      <c r="M36" s="93"/>
      <c r="N36" s="93"/>
      <c r="O36" s="93"/>
      <c r="P36" s="92" t="str">
        <f t="shared" si="1"/>
        <v/>
      </c>
      <c r="Q36" s="94" t="str">
        <f>IF(Synthese_Programme!Q36="","",Synthese_Programme!Q36)</f>
        <v/>
      </c>
      <c r="R36" s="92"/>
      <c r="S36" s="93"/>
      <c r="T36" s="93"/>
    </row>
    <row r="37" spans="1:20" s="8" customFormat="1" ht="26" customHeight="1" x14ac:dyDescent="0.45">
      <c r="A37" s="92" t="str">
        <f>IF(Synthese_Programme!A37="","",Synthese_Programme!A37)</f>
        <v/>
      </c>
      <c r="B37" s="92" t="str">
        <f>IF(Synthese_Programme!B37="","",Synthese_Programme!B37)</f>
        <v/>
      </c>
      <c r="C37" s="92" t="str">
        <f>IF(OR(Synthese_Programme!M37="Réservé",Synthese_Programme!M37="Acté",Synthese_Programme!M37="réservé",Synthese_Programme!M37="acté"),Synthese_Programme!N37,"")</f>
        <v/>
      </c>
      <c r="D37" s="93"/>
      <c r="E37" s="93"/>
      <c r="F37" s="93"/>
      <c r="G37" s="93"/>
      <c r="H37" s="93"/>
      <c r="I37" s="98"/>
      <c r="J37" s="94" t="str">
        <f>IF(OR(Synthese_Programme!M37="Réservé",Synthese_Programme!M37="Acté",Synthese_Programme!M37="réservé",Synthese_Programme!M37="acté"),Synthese_Programme!P37,"")</f>
        <v/>
      </c>
      <c r="K37" s="94" t="str">
        <f t="shared" si="0"/>
        <v/>
      </c>
      <c r="L37" s="92"/>
      <c r="M37" s="93"/>
      <c r="N37" s="93"/>
      <c r="O37" s="93"/>
      <c r="P37" s="92" t="str">
        <f t="shared" si="1"/>
        <v/>
      </c>
      <c r="Q37" s="94" t="str">
        <f>IF(Synthese_Programme!Q37="","",Synthese_Programme!Q37)</f>
        <v/>
      </c>
      <c r="R37" s="92"/>
      <c r="S37" s="93"/>
      <c r="T37" s="93"/>
    </row>
    <row r="38" spans="1:20" s="8" customFormat="1" ht="26" customHeight="1" x14ac:dyDescent="0.45">
      <c r="A38" s="92" t="str">
        <f>IF(Synthese_Programme!A38="","",Synthese_Programme!A38)</f>
        <v/>
      </c>
      <c r="B38" s="92" t="str">
        <f>IF(Synthese_Programme!B38="","",Synthese_Programme!B38)</f>
        <v/>
      </c>
      <c r="C38" s="92" t="str">
        <f>IF(OR(Synthese_Programme!M38="Réservé",Synthese_Programme!M38="Acté",Synthese_Programme!M38="réservé",Synthese_Programme!M38="acté"),Synthese_Programme!N38,"")</f>
        <v/>
      </c>
      <c r="D38" s="93"/>
      <c r="E38" s="93"/>
      <c r="F38" s="93"/>
      <c r="G38" s="93"/>
      <c r="H38" s="93"/>
      <c r="I38" s="98"/>
      <c r="J38" s="94" t="str">
        <f>IF(OR(Synthese_Programme!M38="Réservé",Synthese_Programme!M38="Acté",Synthese_Programme!M38="réservé",Synthese_Programme!M38="acté"),Synthese_Programme!P38,"")</f>
        <v/>
      </c>
      <c r="K38" s="94" t="str">
        <f t="shared" si="0"/>
        <v/>
      </c>
      <c r="L38" s="92"/>
      <c r="M38" s="93"/>
      <c r="N38" s="93"/>
      <c r="O38" s="93"/>
      <c r="P38" s="92" t="str">
        <f t="shared" si="1"/>
        <v/>
      </c>
      <c r="Q38" s="94" t="str">
        <f>IF(Synthese_Programme!Q38="","",Synthese_Programme!Q38)</f>
        <v/>
      </c>
      <c r="R38" s="92"/>
      <c r="S38" s="93"/>
      <c r="T38" s="93"/>
    </row>
    <row r="39" spans="1:20" s="8" customFormat="1" ht="26" customHeight="1" x14ac:dyDescent="0.45">
      <c r="A39" s="92" t="str">
        <f>IF(Synthese_Programme!A39="","",Synthese_Programme!A39)</f>
        <v/>
      </c>
      <c r="B39" s="92" t="str">
        <f>IF(Synthese_Programme!B39="","",Synthese_Programme!B39)</f>
        <v/>
      </c>
      <c r="C39" s="92" t="str">
        <f>IF(OR(Synthese_Programme!M39="Réservé",Synthese_Programme!M39="Acté",Synthese_Programme!M39="réservé",Synthese_Programme!M39="acté"),Synthese_Programme!N39,"")</f>
        <v/>
      </c>
      <c r="D39" s="93"/>
      <c r="E39" s="93"/>
      <c r="F39" s="93"/>
      <c r="G39" s="93"/>
      <c r="H39" s="93"/>
      <c r="I39" s="98"/>
      <c r="J39" s="94" t="str">
        <f>IF(OR(Synthese_Programme!M39="Réservé",Synthese_Programme!M39="Acté",Synthese_Programme!M39="réservé",Synthese_Programme!M39="acté"),Synthese_Programme!P39,"")</f>
        <v/>
      </c>
      <c r="K39" s="94" t="str">
        <f t="shared" si="0"/>
        <v/>
      </c>
      <c r="L39" s="92"/>
      <c r="M39" s="93"/>
      <c r="N39" s="93"/>
      <c r="O39" s="93"/>
      <c r="P39" s="92" t="str">
        <f t="shared" si="1"/>
        <v/>
      </c>
      <c r="Q39" s="94" t="str">
        <f>IF(Synthese_Programme!Q39="","",Synthese_Programme!Q39)</f>
        <v/>
      </c>
      <c r="R39" s="92"/>
      <c r="S39" s="93"/>
      <c r="T39" s="93"/>
    </row>
    <row r="40" spans="1:20" s="8" customFormat="1" ht="26" customHeight="1" x14ac:dyDescent="0.45">
      <c r="A40" s="92" t="str">
        <f>IF(Synthese_Programme!A40="","",Synthese_Programme!A40)</f>
        <v/>
      </c>
      <c r="B40" s="92" t="str">
        <f>IF(Synthese_Programme!B40="","",Synthese_Programme!B40)</f>
        <v/>
      </c>
      <c r="C40" s="92" t="str">
        <f>IF(OR(Synthese_Programme!M40="Réservé",Synthese_Programme!M40="Acté",Synthese_Programme!M40="réservé",Synthese_Programme!M40="acté"),Synthese_Programme!N40,"")</f>
        <v/>
      </c>
      <c r="D40" s="93"/>
      <c r="E40" s="93"/>
      <c r="F40" s="93"/>
      <c r="G40" s="93"/>
      <c r="H40" s="93"/>
      <c r="I40" s="98"/>
      <c r="J40" s="94" t="str">
        <f>IF(OR(Synthese_Programme!M40="Réservé",Synthese_Programme!M40="Acté",Synthese_Programme!M40="réservé",Synthese_Programme!M40="acté"),Synthese_Programme!P40,"")</f>
        <v/>
      </c>
      <c r="K40" s="94" t="str">
        <f t="shared" si="0"/>
        <v/>
      </c>
      <c r="L40" s="92"/>
      <c r="M40" s="93"/>
      <c r="N40" s="93"/>
      <c r="O40" s="93"/>
      <c r="P40" s="92" t="str">
        <f t="shared" si="1"/>
        <v/>
      </c>
      <c r="Q40" s="94" t="str">
        <f>IF(Synthese_Programme!Q40="","",Synthese_Programme!Q40)</f>
        <v/>
      </c>
      <c r="R40" s="92"/>
      <c r="S40" s="93"/>
      <c r="T40" s="93"/>
    </row>
    <row r="41" spans="1:20" s="8" customFormat="1" ht="26" customHeight="1" x14ac:dyDescent="0.45">
      <c r="A41" s="92" t="str">
        <f>IF(Synthese_Programme!A41="","",Synthese_Programme!A41)</f>
        <v/>
      </c>
      <c r="B41" s="92" t="str">
        <f>IF(Synthese_Programme!B41="","",Synthese_Programme!B41)</f>
        <v/>
      </c>
      <c r="C41" s="92" t="str">
        <f>IF(OR(Synthese_Programme!M41="Réservé",Synthese_Programme!M41="Acté",Synthese_Programme!M41="réservé",Synthese_Programme!M41="acté"),Synthese_Programme!N41,"")</f>
        <v/>
      </c>
      <c r="D41" s="93"/>
      <c r="E41" s="93"/>
      <c r="F41" s="93"/>
      <c r="G41" s="93"/>
      <c r="H41" s="93"/>
      <c r="I41" s="98"/>
      <c r="J41" s="94" t="str">
        <f>IF(OR(Synthese_Programme!M41="Réservé",Synthese_Programme!M41="Acté",Synthese_Programme!M41="réservé",Synthese_Programme!M41="acté"),Synthese_Programme!P41,"")</f>
        <v/>
      </c>
      <c r="K41" s="94" t="str">
        <f t="shared" si="0"/>
        <v/>
      </c>
      <c r="L41" s="92"/>
      <c r="M41" s="93"/>
      <c r="N41" s="93"/>
      <c r="O41" s="93"/>
      <c r="P41" s="92" t="str">
        <f t="shared" si="1"/>
        <v/>
      </c>
      <c r="Q41" s="94" t="str">
        <f>IF(Synthese_Programme!Q41="","",Synthese_Programme!Q41)</f>
        <v/>
      </c>
      <c r="R41" s="92"/>
      <c r="S41" s="93"/>
      <c r="T41" s="93"/>
    </row>
    <row r="42" spans="1:20" s="8" customFormat="1" ht="26" customHeight="1" x14ac:dyDescent="0.45">
      <c r="A42" s="92" t="str">
        <f>IF(Synthese_Programme!A42="","",Synthese_Programme!A42)</f>
        <v/>
      </c>
      <c r="B42" s="92" t="str">
        <f>IF(Synthese_Programme!B42="","",Synthese_Programme!B42)</f>
        <v/>
      </c>
      <c r="C42" s="92" t="str">
        <f>IF(OR(Synthese_Programme!M42="Réservé",Synthese_Programme!M42="Acté",Synthese_Programme!M42="réservé",Synthese_Programme!M42="acté"),Synthese_Programme!N42,"")</f>
        <v/>
      </c>
      <c r="D42" s="93"/>
      <c r="E42" s="93"/>
      <c r="F42" s="93"/>
      <c r="G42" s="93"/>
      <c r="H42" s="93"/>
      <c r="I42" s="98"/>
      <c r="J42" s="94" t="str">
        <f>IF(OR(Synthese_Programme!M42="Réservé",Synthese_Programme!M42="Acté",Synthese_Programme!M42="réservé",Synthese_Programme!M42="acté"),Synthese_Programme!P42,"")</f>
        <v/>
      </c>
      <c r="K42" s="94" t="str">
        <f t="shared" si="0"/>
        <v/>
      </c>
      <c r="L42" s="92"/>
      <c r="M42" s="93"/>
      <c r="N42" s="93"/>
      <c r="O42" s="93"/>
      <c r="P42" s="92" t="str">
        <f t="shared" si="1"/>
        <v/>
      </c>
      <c r="Q42" s="94" t="str">
        <f>IF(Synthese_Programme!Q42="","",Synthese_Programme!Q42)</f>
        <v/>
      </c>
      <c r="R42" s="92"/>
      <c r="S42" s="93"/>
      <c r="T42" s="93"/>
    </row>
    <row r="43" spans="1:20" s="8" customFormat="1" ht="26" customHeight="1" x14ac:dyDescent="0.45">
      <c r="A43" s="92" t="str">
        <f>IF(Synthese_Programme!A43="","",Synthese_Programme!A43)</f>
        <v/>
      </c>
      <c r="B43" s="92" t="str">
        <f>IF(Synthese_Programme!B43="","",Synthese_Programme!B43)</f>
        <v/>
      </c>
      <c r="C43" s="92" t="str">
        <f>IF(OR(Synthese_Programme!M43="Réservé",Synthese_Programme!M43="Acté",Synthese_Programme!M43="réservé",Synthese_Programme!M43="acté"),Synthese_Programme!N43,"")</f>
        <v/>
      </c>
      <c r="D43" s="93"/>
      <c r="E43" s="93"/>
      <c r="F43" s="93"/>
      <c r="G43" s="93"/>
      <c r="H43" s="93"/>
      <c r="I43" s="98"/>
      <c r="J43" s="94" t="str">
        <f>IF(OR(Synthese_Programme!M43="Réservé",Synthese_Programme!M43="Acté",Synthese_Programme!M43="réservé",Synthese_Programme!M43="acté"),Synthese_Programme!P43,"")</f>
        <v/>
      </c>
      <c r="K43" s="94" t="str">
        <f t="shared" si="0"/>
        <v/>
      </c>
      <c r="L43" s="92"/>
      <c r="M43" s="93"/>
      <c r="N43" s="93"/>
      <c r="O43" s="93"/>
      <c r="P43" s="92" t="str">
        <f t="shared" si="1"/>
        <v/>
      </c>
      <c r="Q43" s="94" t="str">
        <f>IF(Synthese_Programme!Q43="","",Synthese_Programme!Q43)</f>
        <v/>
      </c>
      <c r="R43" s="92"/>
      <c r="S43" s="93"/>
      <c r="T43" s="93"/>
    </row>
    <row r="44" spans="1:20" s="8" customFormat="1" ht="26" customHeight="1" x14ac:dyDescent="0.45">
      <c r="A44" s="92" t="str">
        <f>IF(Synthese_Programme!A44="","",Synthese_Programme!A44)</f>
        <v/>
      </c>
      <c r="B44" s="92" t="str">
        <f>IF(Synthese_Programme!B44="","",Synthese_Programme!B44)</f>
        <v/>
      </c>
      <c r="C44" s="92" t="str">
        <f>IF(OR(Synthese_Programme!M44="Réservé",Synthese_Programme!M44="Acté",Synthese_Programme!M44="réservé",Synthese_Programme!M44="acté"),Synthese_Programme!N44,"")</f>
        <v/>
      </c>
      <c r="D44" s="93"/>
      <c r="E44" s="93"/>
      <c r="F44" s="93"/>
      <c r="G44" s="93"/>
      <c r="H44" s="93"/>
      <c r="I44" s="98"/>
      <c r="J44" s="94" t="str">
        <f>IF(OR(Synthese_Programme!M44="Réservé",Synthese_Programme!M44="Acté",Synthese_Programme!M44="réservé",Synthese_Programme!M44="acté"),Synthese_Programme!P44,"")</f>
        <v/>
      </c>
      <c r="K44" s="94" t="str">
        <f t="shared" si="0"/>
        <v/>
      </c>
      <c r="L44" s="92"/>
      <c r="M44" s="93"/>
      <c r="N44" s="93"/>
      <c r="O44" s="93"/>
      <c r="P44" s="92" t="str">
        <f t="shared" si="1"/>
        <v/>
      </c>
      <c r="Q44" s="94" t="str">
        <f>IF(Synthese_Programme!Q44="","",Synthese_Programme!Q44)</f>
        <v/>
      </c>
      <c r="R44" s="92"/>
      <c r="S44" s="93"/>
      <c r="T44" s="93"/>
    </row>
    <row r="45" spans="1:20" s="8" customFormat="1" ht="26" customHeight="1" x14ac:dyDescent="0.45">
      <c r="A45" s="92" t="str">
        <f>IF(Synthese_Programme!A45="","",Synthese_Programme!A45)</f>
        <v/>
      </c>
      <c r="B45" s="92" t="str">
        <f>IF(Synthese_Programme!B45="","",Synthese_Programme!B45)</f>
        <v/>
      </c>
      <c r="C45" s="92" t="str">
        <f>IF(OR(Synthese_Programme!M45="Réservé",Synthese_Programme!M45="Acté",Synthese_Programme!M45="réservé",Synthese_Programme!M45="acté"),Synthese_Programme!N45,"")</f>
        <v/>
      </c>
      <c r="D45" s="93"/>
      <c r="E45" s="93"/>
      <c r="F45" s="93"/>
      <c r="G45" s="93"/>
      <c r="H45" s="93"/>
      <c r="I45" s="98"/>
      <c r="J45" s="94" t="str">
        <f>IF(OR(Synthese_Programme!M45="Réservé",Synthese_Programme!M45="Acté",Synthese_Programme!M45="réservé",Synthese_Programme!M45="acté"),Synthese_Programme!P45,"")</f>
        <v/>
      </c>
      <c r="K45" s="94" t="str">
        <f t="shared" si="0"/>
        <v/>
      </c>
      <c r="L45" s="92"/>
      <c r="M45" s="93"/>
      <c r="N45" s="93"/>
      <c r="O45" s="93"/>
      <c r="P45" s="92" t="str">
        <f t="shared" si="1"/>
        <v/>
      </c>
      <c r="Q45" s="94" t="str">
        <f>IF(Synthese_Programme!Q45="","",Synthese_Programme!Q45)</f>
        <v/>
      </c>
      <c r="R45" s="92"/>
      <c r="S45" s="93"/>
      <c r="T45" s="93"/>
    </row>
    <row r="46" spans="1:20" s="8" customFormat="1" ht="26" customHeight="1" x14ac:dyDescent="0.45">
      <c r="A46" s="92" t="str">
        <f>IF(Synthese_Programme!A46="","",Synthese_Programme!A46)</f>
        <v/>
      </c>
      <c r="B46" s="92" t="str">
        <f>IF(Synthese_Programme!B46="","",Synthese_Programme!B46)</f>
        <v/>
      </c>
      <c r="C46" s="92" t="str">
        <f>IF(OR(Synthese_Programme!M46="Réservé",Synthese_Programme!M46="Acté",Synthese_Programme!M46="réservé",Synthese_Programme!M46="acté"),Synthese_Programme!N46,"")</f>
        <v/>
      </c>
      <c r="D46" s="93"/>
      <c r="E46" s="93"/>
      <c r="F46" s="93"/>
      <c r="G46" s="93"/>
      <c r="H46" s="93"/>
      <c r="I46" s="98"/>
      <c r="J46" s="94" t="str">
        <f>IF(OR(Synthese_Programme!M46="Réservé",Synthese_Programme!M46="Acté",Synthese_Programme!M46="réservé",Synthese_Programme!M46="acté"),Synthese_Programme!P46,"")</f>
        <v/>
      </c>
      <c r="K46" s="94" t="str">
        <f t="shared" si="0"/>
        <v/>
      </c>
      <c r="L46" s="92"/>
      <c r="M46" s="93"/>
      <c r="N46" s="93"/>
      <c r="O46" s="93"/>
      <c r="P46" s="92" t="str">
        <f t="shared" si="1"/>
        <v/>
      </c>
      <c r="Q46" s="94" t="str">
        <f>IF(Synthese_Programme!Q46="","",Synthese_Programme!Q46)</f>
        <v/>
      </c>
      <c r="R46" s="92"/>
      <c r="S46" s="93"/>
      <c r="T46" s="93"/>
    </row>
    <row r="47" spans="1:20" s="8" customFormat="1" ht="26" customHeight="1" x14ac:dyDescent="0.45">
      <c r="A47" s="92" t="str">
        <f>IF(Synthese_Programme!A47="","",Synthese_Programme!A47)</f>
        <v/>
      </c>
      <c r="B47" s="92" t="str">
        <f>IF(Synthese_Programme!B47="","",Synthese_Programme!B47)</f>
        <v/>
      </c>
      <c r="C47" s="92" t="str">
        <f>IF(OR(Synthese_Programme!M47="Réservé",Synthese_Programme!M47="Acté",Synthese_Programme!M47="réservé",Synthese_Programme!M47="acté"),Synthese_Programme!N47,"")</f>
        <v/>
      </c>
      <c r="D47" s="93"/>
      <c r="E47" s="93"/>
      <c r="F47" s="93"/>
      <c r="G47" s="93"/>
      <c r="H47" s="93"/>
      <c r="I47" s="98"/>
      <c r="J47" s="94" t="str">
        <f>IF(OR(Synthese_Programme!M47="Réservé",Synthese_Programme!M47="Acté",Synthese_Programme!M47="réservé",Synthese_Programme!M47="acté"),Synthese_Programme!P47,"")</f>
        <v/>
      </c>
      <c r="K47" s="94" t="str">
        <f t="shared" si="0"/>
        <v/>
      </c>
      <c r="L47" s="92"/>
      <c r="M47" s="93"/>
      <c r="N47" s="93"/>
      <c r="O47" s="93"/>
      <c r="P47" s="92" t="str">
        <f t="shared" si="1"/>
        <v/>
      </c>
      <c r="Q47" s="94" t="str">
        <f>IF(Synthese_Programme!Q47="","",Synthese_Programme!Q47)</f>
        <v/>
      </c>
      <c r="R47" s="92"/>
      <c r="S47" s="93"/>
      <c r="T47" s="93"/>
    </row>
    <row r="48" spans="1:20" s="8" customFormat="1" ht="26" customHeight="1" x14ac:dyDescent="0.45">
      <c r="A48" s="92" t="str">
        <f>IF(Synthese_Programme!A48="","",Synthese_Programme!A48)</f>
        <v/>
      </c>
      <c r="B48" s="92" t="str">
        <f>IF(Synthese_Programme!B48="","",Synthese_Programme!B48)</f>
        <v/>
      </c>
      <c r="C48" s="92" t="str">
        <f>IF(OR(Synthese_Programme!M48="Réservé",Synthese_Programme!M48="Acté",Synthese_Programme!M48="réservé",Synthese_Programme!M48="acté"),Synthese_Programme!N48,"")</f>
        <v/>
      </c>
      <c r="D48" s="93"/>
      <c r="E48" s="93"/>
      <c r="F48" s="93"/>
      <c r="G48" s="93"/>
      <c r="H48" s="93"/>
      <c r="I48" s="98"/>
      <c r="J48" s="94" t="str">
        <f>IF(OR(Synthese_Programme!M48="Réservé",Synthese_Programme!M48="Acté",Synthese_Programme!M48="réservé",Synthese_Programme!M48="acté"),Synthese_Programme!P48,"")</f>
        <v/>
      </c>
      <c r="K48" s="94" t="str">
        <f t="shared" si="0"/>
        <v/>
      </c>
      <c r="L48" s="92"/>
      <c r="M48" s="93"/>
      <c r="N48" s="93"/>
      <c r="O48" s="93"/>
      <c r="P48" s="92" t="str">
        <f t="shared" si="1"/>
        <v/>
      </c>
      <c r="Q48" s="94" t="str">
        <f>IF(Synthese_Programme!Q48="","",Synthese_Programme!Q48)</f>
        <v/>
      </c>
      <c r="R48" s="92"/>
      <c r="S48" s="93"/>
      <c r="T48" s="93"/>
    </row>
    <row r="49" spans="1:20" s="8" customFormat="1" ht="26" customHeight="1" x14ac:dyDescent="0.45">
      <c r="A49" s="92" t="str">
        <f>IF(Synthese_Programme!A49="","",Synthese_Programme!A49)</f>
        <v/>
      </c>
      <c r="B49" s="92" t="str">
        <f>IF(Synthese_Programme!B49="","",Synthese_Programme!B49)</f>
        <v/>
      </c>
      <c r="C49" s="92" t="str">
        <f>IF(OR(Synthese_Programme!M49="Réservé",Synthese_Programme!M49="Acté",Synthese_Programme!M49="réservé",Synthese_Programme!M49="acté"),Synthese_Programme!N49,"")</f>
        <v/>
      </c>
      <c r="D49" s="93"/>
      <c r="E49" s="93"/>
      <c r="F49" s="93"/>
      <c r="G49" s="93"/>
      <c r="H49" s="93"/>
      <c r="I49" s="98"/>
      <c r="J49" s="94" t="str">
        <f>IF(OR(Synthese_Programme!M49="Réservé",Synthese_Programme!M49="Acté",Synthese_Programme!M49="réservé",Synthese_Programme!M49="acté"),Synthese_Programme!P49,"")</f>
        <v/>
      </c>
      <c r="K49" s="94" t="str">
        <f t="shared" si="0"/>
        <v/>
      </c>
      <c r="L49" s="92"/>
      <c r="M49" s="93"/>
      <c r="N49" s="93"/>
      <c r="O49" s="93"/>
      <c r="P49" s="92" t="str">
        <f t="shared" si="1"/>
        <v/>
      </c>
      <c r="Q49" s="94" t="str">
        <f>IF(Synthese_Programme!Q49="","",Synthese_Programme!Q49)</f>
        <v/>
      </c>
      <c r="R49" s="92"/>
      <c r="S49" s="93"/>
      <c r="T49" s="93"/>
    </row>
    <row r="50" spans="1:20" s="8" customFormat="1" ht="26" customHeight="1" x14ac:dyDescent="0.45">
      <c r="A50" s="92" t="str">
        <f>IF(Synthese_Programme!A50="","",Synthese_Programme!A50)</f>
        <v/>
      </c>
      <c r="B50" s="92" t="str">
        <f>IF(Synthese_Programme!B50="","",Synthese_Programme!B50)</f>
        <v/>
      </c>
      <c r="C50" s="92" t="str">
        <f>IF(OR(Synthese_Programme!M50="Réservé",Synthese_Programme!M50="Acté",Synthese_Programme!M50="réservé",Synthese_Programme!M50="acté"),Synthese_Programme!N50,"")</f>
        <v/>
      </c>
      <c r="D50" s="93"/>
      <c r="E50" s="93"/>
      <c r="F50" s="93"/>
      <c r="G50" s="93"/>
      <c r="H50" s="93"/>
      <c r="I50" s="98"/>
      <c r="J50" s="94" t="str">
        <f>IF(OR(Synthese_Programme!M50="Réservé",Synthese_Programme!M50="Acté",Synthese_Programme!M50="réservé",Synthese_Programme!M50="acté"),Synthese_Programme!P50,"")</f>
        <v/>
      </c>
      <c r="K50" s="94" t="str">
        <f t="shared" si="0"/>
        <v/>
      </c>
      <c r="L50" s="92"/>
      <c r="M50" s="93"/>
      <c r="N50" s="93"/>
      <c r="O50" s="93"/>
      <c r="P50" s="92" t="str">
        <f t="shared" si="1"/>
        <v/>
      </c>
      <c r="Q50" s="94" t="str">
        <f>IF(Synthese_Programme!Q50="","",Synthese_Programme!Q50)</f>
        <v/>
      </c>
      <c r="R50" s="92"/>
      <c r="S50" s="93"/>
      <c r="T50" s="93"/>
    </row>
    <row r="51" spans="1:20" s="8" customFormat="1" ht="26" customHeight="1" x14ac:dyDescent="0.45">
      <c r="A51" s="92" t="str">
        <f>IF(Synthese_Programme!A51="","",Synthese_Programme!A51)</f>
        <v/>
      </c>
      <c r="B51" s="92" t="str">
        <f>IF(Synthese_Programme!B51="","",Synthese_Programme!B51)</f>
        <v/>
      </c>
      <c r="C51" s="92" t="str">
        <f>IF(OR(Synthese_Programme!M51="Réservé",Synthese_Programme!M51="Acté",Synthese_Programme!M51="réservé",Synthese_Programme!M51="acté"),Synthese_Programme!N51,"")</f>
        <v/>
      </c>
      <c r="D51" s="93"/>
      <c r="E51" s="93"/>
      <c r="F51" s="93"/>
      <c r="G51" s="93"/>
      <c r="H51" s="93"/>
      <c r="I51" s="98"/>
      <c r="J51" s="94" t="str">
        <f>IF(OR(Synthese_Programme!M51="Réservé",Synthese_Programme!M51="Acté",Synthese_Programme!M51="réservé",Synthese_Programme!M51="acté"),Synthese_Programme!P51,"")</f>
        <v/>
      </c>
      <c r="K51" s="94" t="str">
        <f t="shared" si="0"/>
        <v/>
      </c>
      <c r="L51" s="92"/>
      <c r="M51" s="93"/>
      <c r="N51" s="93"/>
      <c r="O51" s="93"/>
      <c r="P51" s="92" t="str">
        <f t="shared" si="1"/>
        <v/>
      </c>
      <c r="Q51" s="94" t="str">
        <f>IF(Synthese_Programme!Q51="","",Synthese_Programme!Q51)</f>
        <v/>
      </c>
      <c r="R51" s="92"/>
      <c r="S51" s="93"/>
      <c r="T51" s="93"/>
    </row>
    <row r="52" spans="1:20" s="8" customFormat="1" ht="26" customHeight="1" x14ac:dyDescent="0.45">
      <c r="A52" s="92" t="str">
        <f>IF(Synthese_Programme!A52="","",Synthese_Programme!A52)</f>
        <v/>
      </c>
      <c r="B52" s="92" t="str">
        <f>IF(Synthese_Programme!B52="","",Synthese_Programme!B52)</f>
        <v/>
      </c>
      <c r="C52" s="92" t="str">
        <f>IF(OR(Synthese_Programme!M52="Réservé",Synthese_Programme!M52="Acté",Synthese_Programme!M52="réservé",Synthese_Programme!M52="acté"),Synthese_Programme!N52,"")</f>
        <v/>
      </c>
      <c r="D52" s="93"/>
      <c r="E52" s="93"/>
      <c r="F52" s="93"/>
      <c r="G52" s="93"/>
      <c r="H52" s="93"/>
      <c r="I52" s="98"/>
      <c r="J52" s="94" t="str">
        <f>IF(OR(Synthese_Programme!M52="Réservé",Synthese_Programme!M52="Acté",Synthese_Programme!M52="réservé",Synthese_Programme!M52="acté"),Synthese_Programme!P52,"")</f>
        <v/>
      </c>
      <c r="K52" s="94" t="str">
        <f t="shared" si="0"/>
        <v/>
      </c>
      <c r="L52" s="92"/>
      <c r="M52" s="93"/>
      <c r="N52" s="93"/>
      <c r="O52" s="93"/>
      <c r="P52" s="92" t="str">
        <f t="shared" si="1"/>
        <v/>
      </c>
      <c r="Q52" s="94" t="str">
        <f>IF(Synthese_Programme!Q52="","",Synthese_Programme!Q52)</f>
        <v/>
      </c>
      <c r="R52" s="92"/>
      <c r="S52" s="93"/>
      <c r="T52" s="93"/>
    </row>
    <row r="53" spans="1:20" s="8" customFormat="1" ht="26" customHeight="1" x14ac:dyDescent="0.45">
      <c r="A53" s="92" t="str">
        <f>IF(Synthese_Programme!A53="","",Synthese_Programme!A53)</f>
        <v/>
      </c>
      <c r="B53" s="92" t="str">
        <f>IF(Synthese_Programme!B53="","",Synthese_Programme!B53)</f>
        <v/>
      </c>
      <c r="C53" s="92" t="str">
        <f>IF(OR(Synthese_Programme!M53="Réservé",Synthese_Programme!M53="Acté",Synthese_Programme!M53="réservé",Synthese_Programme!M53="acté"),Synthese_Programme!N53,"")</f>
        <v/>
      </c>
      <c r="D53" s="93"/>
      <c r="E53" s="93"/>
      <c r="F53" s="93"/>
      <c r="G53" s="93"/>
      <c r="H53" s="93"/>
      <c r="I53" s="98"/>
      <c r="J53" s="94" t="str">
        <f>IF(OR(Synthese_Programme!M53="Réservé",Synthese_Programme!M53="Acté",Synthese_Programme!M53="réservé",Synthese_Programme!M53="acté"),Synthese_Programme!P53,"")</f>
        <v/>
      </c>
      <c r="K53" s="94" t="str">
        <f t="shared" si="0"/>
        <v/>
      </c>
      <c r="L53" s="92"/>
      <c r="M53" s="93"/>
      <c r="N53" s="93"/>
      <c r="O53" s="93"/>
      <c r="P53" s="92" t="str">
        <f t="shared" si="1"/>
        <v/>
      </c>
      <c r="Q53" s="94" t="str">
        <f>IF(Synthese_Programme!Q53="","",Synthese_Programme!Q53)</f>
        <v/>
      </c>
      <c r="R53" s="92"/>
      <c r="S53" s="93"/>
      <c r="T53" s="93"/>
    </row>
    <row r="54" spans="1:20" s="8" customFormat="1" ht="26" customHeight="1" x14ac:dyDescent="0.45">
      <c r="A54" s="92" t="str">
        <f>IF(Synthese_Programme!A54="","",Synthese_Programme!A54)</f>
        <v/>
      </c>
      <c r="B54" s="92" t="str">
        <f>IF(Synthese_Programme!B54="","",Synthese_Programme!B54)</f>
        <v/>
      </c>
      <c r="C54" s="92" t="str">
        <f>IF(OR(Synthese_Programme!M54="Réservé",Synthese_Programme!M54="Acté",Synthese_Programme!M54="réservé",Synthese_Programme!M54="acté"),Synthese_Programme!N54,"")</f>
        <v/>
      </c>
      <c r="D54" s="93"/>
      <c r="E54" s="93"/>
      <c r="F54" s="93"/>
      <c r="G54" s="93"/>
      <c r="H54" s="93"/>
      <c r="I54" s="98"/>
      <c r="J54" s="94" t="str">
        <f>IF(OR(Synthese_Programme!M54="Réservé",Synthese_Programme!M54="Acté",Synthese_Programme!M54="réservé",Synthese_Programme!M54="acté"),Synthese_Programme!P54,"")</f>
        <v/>
      </c>
      <c r="K54" s="94" t="str">
        <f t="shared" si="0"/>
        <v/>
      </c>
      <c r="L54" s="92"/>
      <c r="M54" s="93"/>
      <c r="N54" s="93"/>
      <c r="O54" s="93"/>
      <c r="P54" s="92" t="str">
        <f t="shared" si="1"/>
        <v/>
      </c>
      <c r="Q54" s="94" t="str">
        <f>IF(Synthese_Programme!Q54="","",Synthese_Programme!Q54)</f>
        <v/>
      </c>
      <c r="R54" s="92"/>
      <c r="S54" s="93"/>
      <c r="T54" s="93"/>
    </row>
    <row r="55" spans="1:20" s="8" customFormat="1" ht="26" customHeight="1" x14ac:dyDescent="0.45">
      <c r="A55" s="92" t="str">
        <f>IF(Synthese_Programme!A55="","",Synthese_Programme!A55)</f>
        <v/>
      </c>
      <c r="B55" s="92" t="str">
        <f>IF(Synthese_Programme!B55="","",Synthese_Programme!B55)</f>
        <v/>
      </c>
      <c r="C55" s="92" t="str">
        <f>IF(OR(Synthese_Programme!M55="Réservé",Synthese_Programme!M55="Acté",Synthese_Programme!M55="réservé",Synthese_Programme!M55="acté"),Synthese_Programme!N55,"")</f>
        <v/>
      </c>
      <c r="D55" s="93"/>
      <c r="E55" s="93"/>
      <c r="F55" s="93"/>
      <c r="G55" s="93"/>
      <c r="H55" s="93"/>
      <c r="I55" s="98"/>
      <c r="J55" s="94" t="str">
        <f>IF(OR(Synthese_Programme!M55="Réservé",Synthese_Programme!M55="Acté",Synthese_Programme!M55="réservé",Synthese_Programme!M55="acté"),Synthese_Programme!P55,"")</f>
        <v/>
      </c>
      <c r="K55" s="94" t="str">
        <f t="shared" si="0"/>
        <v/>
      </c>
      <c r="L55" s="92"/>
      <c r="M55" s="93"/>
      <c r="N55" s="93"/>
      <c r="O55" s="93"/>
      <c r="P55" s="92" t="str">
        <f t="shared" si="1"/>
        <v/>
      </c>
      <c r="Q55" s="94" t="str">
        <f>IF(Synthese_Programme!Q55="","",Synthese_Programme!Q55)</f>
        <v/>
      </c>
      <c r="R55" s="92"/>
      <c r="S55" s="93"/>
      <c r="T55" s="93"/>
    </row>
    <row r="56" spans="1:20" s="8" customFormat="1" ht="26" customHeight="1" x14ac:dyDescent="0.45">
      <c r="A56" s="92" t="str">
        <f>IF(Synthese_Programme!A56="","",Synthese_Programme!A56)</f>
        <v/>
      </c>
      <c r="B56" s="92" t="str">
        <f>IF(Synthese_Programme!B56="","",Synthese_Programme!B56)</f>
        <v/>
      </c>
      <c r="C56" s="92" t="str">
        <f>IF(OR(Synthese_Programme!M56="Réservé",Synthese_Programme!M56="Acté",Synthese_Programme!M56="réservé",Synthese_Programme!M56="acté"),Synthese_Programme!N56,"")</f>
        <v/>
      </c>
      <c r="D56" s="93"/>
      <c r="E56" s="93"/>
      <c r="F56" s="93"/>
      <c r="G56" s="93"/>
      <c r="H56" s="93"/>
      <c r="I56" s="98"/>
      <c r="J56" s="94" t="str">
        <f>IF(OR(Synthese_Programme!M56="Réservé",Synthese_Programme!M56="Acté",Synthese_Programme!M56="réservé",Synthese_Programme!M56="acté"),Synthese_Programme!P56,"")</f>
        <v/>
      </c>
      <c r="K56" s="94" t="str">
        <f t="shared" si="0"/>
        <v/>
      </c>
      <c r="L56" s="92"/>
      <c r="M56" s="93"/>
      <c r="N56" s="93"/>
      <c r="O56" s="93"/>
      <c r="P56" s="92" t="str">
        <f t="shared" si="1"/>
        <v/>
      </c>
      <c r="Q56" s="94" t="str">
        <f>IF(Synthese_Programme!Q56="","",Synthese_Programme!Q56)</f>
        <v/>
      </c>
      <c r="R56" s="92"/>
      <c r="S56" s="93"/>
      <c r="T56" s="93"/>
    </row>
    <row r="57" spans="1:20" s="8" customFormat="1" ht="26" customHeight="1" x14ac:dyDescent="0.45">
      <c r="A57" s="92" t="str">
        <f>IF(Synthese_Programme!A57="","",Synthese_Programme!A57)</f>
        <v/>
      </c>
      <c r="B57" s="92" t="str">
        <f>IF(Synthese_Programme!B57="","",Synthese_Programme!B57)</f>
        <v/>
      </c>
      <c r="C57" s="92" t="str">
        <f>IF(OR(Synthese_Programme!M57="Réservé",Synthese_Programme!M57="Acté",Synthese_Programme!M57="réservé",Synthese_Programme!M57="acté"),Synthese_Programme!N57,"")</f>
        <v/>
      </c>
      <c r="D57" s="93"/>
      <c r="E57" s="93"/>
      <c r="F57" s="93"/>
      <c r="G57" s="93"/>
      <c r="H57" s="93"/>
      <c r="I57" s="98"/>
      <c r="J57" s="94" t="str">
        <f>IF(OR(Synthese_Programme!M57="Réservé",Synthese_Programme!M57="Acté",Synthese_Programme!M57="réservé",Synthese_Programme!M57="acté"),Synthese_Programme!P57,"")</f>
        <v/>
      </c>
      <c r="K57" s="94" t="str">
        <f t="shared" si="0"/>
        <v/>
      </c>
      <c r="L57" s="92"/>
      <c r="M57" s="93"/>
      <c r="N57" s="93"/>
      <c r="O57" s="93"/>
      <c r="P57" s="92" t="str">
        <f t="shared" si="1"/>
        <v/>
      </c>
      <c r="Q57" s="94" t="str">
        <f>IF(Synthese_Programme!Q57="","",Synthese_Programme!Q57)</f>
        <v/>
      </c>
      <c r="R57" s="92"/>
      <c r="S57" s="93"/>
      <c r="T57" s="93"/>
    </row>
    <row r="58" spans="1:20" s="8" customFormat="1" ht="26" customHeight="1" x14ac:dyDescent="0.45">
      <c r="A58" s="92" t="str">
        <f>IF(Synthese_Programme!A58="","",Synthese_Programme!A58)</f>
        <v/>
      </c>
      <c r="B58" s="92" t="str">
        <f>IF(Synthese_Programme!B58="","",Synthese_Programme!B58)</f>
        <v/>
      </c>
      <c r="C58" s="92" t="str">
        <f>IF(OR(Synthese_Programme!M58="Réservé",Synthese_Programme!M58="Acté",Synthese_Programme!M58="réservé",Synthese_Programme!M58="acté"),Synthese_Programme!N58,"")</f>
        <v/>
      </c>
      <c r="D58" s="93"/>
      <c r="E58" s="93"/>
      <c r="F58" s="93"/>
      <c r="G58" s="93"/>
      <c r="H58" s="93"/>
      <c r="I58" s="98"/>
      <c r="J58" s="94" t="str">
        <f>IF(OR(Synthese_Programme!M58="Réservé",Synthese_Programme!M58="Acté",Synthese_Programme!M58="réservé",Synthese_Programme!M58="acté"),Synthese_Programme!P58,"")</f>
        <v/>
      </c>
      <c r="K58" s="94" t="str">
        <f t="shared" si="0"/>
        <v/>
      </c>
      <c r="L58" s="92"/>
      <c r="M58" s="93"/>
      <c r="N58" s="93"/>
      <c r="O58" s="93"/>
      <c r="P58" s="92" t="str">
        <f t="shared" si="1"/>
        <v/>
      </c>
      <c r="Q58" s="94" t="str">
        <f>IF(Synthese_Programme!Q58="","",Synthese_Programme!Q58)</f>
        <v/>
      </c>
      <c r="R58" s="92"/>
      <c r="S58" s="93"/>
      <c r="T58" s="93"/>
    </row>
    <row r="59" spans="1:20" s="8" customFormat="1" ht="26" customHeight="1" x14ac:dyDescent="0.45">
      <c r="A59" s="92" t="str">
        <f>IF(Synthese_Programme!A59="","",Synthese_Programme!A59)</f>
        <v/>
      </c>
      <c r="B59" s="92" t="str">
        <f>IF(Synthese_Programme!B59="","",Synthese_Programme!B59)</f>
        <v/>
      </c>
      <c r="C59" s="92" t="str">
        <f>IF(OR(Synthese_Programme!M59="Réservé",Synthese_Programme!M59="Acté",Synthese_Programme!M59="réservé",Synthese_Programme!M59="acté"),Synthese_Programme!N59,"")</f>
        <v/>
      </c>
      <c r="D59" s="93"/>
      <c r="E59" s="93"/>
      <c r="F59" s="93"/>
      <c r="G59" s="93"/>
      <c r="H59" s="93"/>
      <c r="I59" s="98"/>
      <c r="J59" s="94" t="str">
        <f>IF(OR(Synthese_Programme!M59="Réservé",Synthese_Programme!M59="Acté",Synthese_Programme!M59="réservé",Synthese_Programme!M59="acté"),Synthese_Programme!P59,"")</f>
        <v/>
      </c>
      <c r="K59" s="94" t="str">
        <f t="shared" si="0"/>
        <v/>
      </c>
      <c r="L59" s="92"/>
      <c r="M59" s="93"/>
      <c r="N59" s="93"/>
      <c r="O59" s="93"/>
      <c r="P59" s="92" t="str">
        <f t="shared" si="1"/>
        <v/>
      </c>
      <c r="Q59" s="94" t="str">
        <f>IF(Synthese_Programme!Q59="","",Synthese_Programme!Q59)</f>
        <v/>
      </c>
      <c r="R59" s="92"/>
      <c r="S59" s="93"/>
      <c r="T59" s="93"/>
    </row>
    <row r="60" spans="1:20" s="8" customFormat="1" ht="26" customHeight="1" x14ac:dyDescent="0.45">
      <c r="A60" s="92" t="str">
        <f>IF(Synthese_Programme!A60="","",Synthese_Programme!A60)</f>
        <v/>
      </c>
      <c r="B60" s="92" t="str">
        <f>IF(Synthese_Programme!B60="","",Synthese_Programme!B60)</f>
        <v/>
      </c>
      <c r="C60" s="92" t="str">
        <f>IF(OR(Synthese_Programme!M60="Réservé",Synthese_Programme!M60="Acté",Synthese_Programme!M60="réservé",Synthese_Programme!M60="acté"),Synthese_Programme!N60,"")</f>
        <v/>
      </c>
      <c r="D60" s="93"/>
      <c r="E60" s="93"/>
      <c r="F60" s="93"/>
      <c r="G60" s="93"/>
      <c r="H60" s="93"/>
      <c r="I60" s="98"/>
      <c r="J60" s="94" t="str">
        <f>IF(OR(Synthese_Programme!M60="Réservé",Synthese_Programme!M60="Acté",Synthese_Programme!M60="réservé",Synthese_Programme!M60="acté"),Synthese_Programme!P60,"")</f>
        <v/>
      </c>
      <c r="K60" s="94" t="str">
        <f t="shared" si="0"/>
        <v/>
      </c>
      <c r="L60" s="92"/>
      <c r="M60" s="93"/>
      <c r="N60" s="93"/>
      <c r="O60" s="93"/>
      <c r="P60" s="92" t="str">
        <f t="shared" si="1"/>
        <v/>
      </c>
      <c r="Q60" s="94" t="str">
        <f>IF(Synthese_Programme!Q60="","",Synthese_Programme!Q60)</f>
        <v/>
      </c>
      <c r="R60" s="92"/>
      <c r="S60" s="93"/>
      <c r="T60" s="93"/>
    </row>
    <row r="61" spans="1:20" s="8" customFormat="1" ht="26" customHeight="1" x14ac:dyDescent="0.45">
      <c r="A61" s="92" t="str">
        <f>IF(Synthese_Programme!A61="","",Synthese_Programme!A61)</f>
        <v/>
      </c>
      <c r="B61" s="92" t="str">
        <f>IF(Synthese_Programme!B61="","",Synthese_Programme!B61)</f>
        <v/>
      </c>
      <c r="C61" s="92" t="str">
        <f>IF(OR(Synthese_Programme!M61="Réservé",Synthese_Programme!M61="Acté",Synthese_Programme!M61="réservé",Synthese_Programme!M61="acté"),Synthese_Programme!N61,"")</f>
        <v/>
      </c>
      <c r="D61" s="93"/>
      <c r="E61" s="93"/>
      <c r="F61" s="93"/>
      <c r="G61" s="93"/>
      <c r="H61" s="93"/>
      <c r="I61" s="98"/>
      <c r="J61" s="94" t="str">
        <f>IF(OR(Synthese_Programme!M61="Réservé",Synthese_Programme!M61="Acté",Synthese_Programme!M61="réservé",Synthese_Programme!M61="acté"),Synthese_Programme!P61,"")</f>
        <v/>
      </c>
      <c r="K61" s="94" t="str">
        <f t="shared" si="0"/>
        <v/>
      </c>
      <c r="L61" s="92"/>
      <c r="M61" s="93"/>
      <c r="N61" s="93"/>
      <c r="O61" s="93"/>
      <c r="P61" s="92" t="str">
        <f t="shared" si="1"/>
        <v/>
      </c>
      <c r="Q61" s="94" t="str">
        <f>IF(Synthese_Programme!Q61="","",Synthese_Programme!Q61)</f>
        <v/>
      </c>
      <c r="R61" s="92"/>
      <c r="S61" s="93"/>
      <c r="T61" s="93"/>
    </row>
    <row r="62" spans="1:20" s="8" customFormat="1" ht="26" customHeight="1" x14ac:dyDescent="0.45">
      <c r="A62" s="92" t="str">
        <f>IF(Synthese_Programme!A62="","",Synthese_Programme!A62)</f>
        <v/>
      </c>
      <c r="B62" s="92" t="str">
        <f>IF(Synthese_Programme!B62="","",Synthese_Programme!B62)</f>
        <v/>
      </c>
      <c r="C62" s="92" t="str">
        <f>IF(OR(Synthese_Programme!M62="Réservé",Synthese_Programme!M62="Acté",Synthese_Programme!M62="réservé",Synthese_Programme!M62="acté"),Synthese_Programme!N62,"")</f>
        <v/>
      </c>
      <c r="D62" s="93"/>
      <c r="E62" s="93"/>
      <c r="F62" s="93"/>
      <c r="G62" s="93"/>
      <c r="H62" s="93"/>
      <c r="I62" s="98"/>
      <c r="J62" s="94" t="str">
        <f>IF(OR(Synthese_Programme!M62="Réservé",Synthese_Programme!M62="Acté",Synthese_Programme!M62="réservé",Synthese_Programme!M62="acté"),Synthese_Programme!P62,"")</f>
        <v/>
      </c>
      <c r="K62" s="94" t="str">
        <f t="shared" si="0"/>
        <v/>
      </c>
      <c r="L62" s="92"/>
      <c r="M62" s="93"/>
      <c r="N62" s="93"/>
      <c r="O62" s="93"/>
      <c r="P62" s="92" t="str">
        <f t="shared" si="1"/>
        <v/>
      </c>
      <c r="Q62" s="94" t="str">
        <f>IF(Synthese_Programme!Q62="","",Synthese_Programme!Q62)</f>
        <v/>
      </c>
      <c r="R62" s="92"/>
      <c r="S62" s="93"/>
      <c r="T62" s="93"/>
    </row>
    <row r="63" spans="1:20" s="8" customFormat="1" ht="26" customHeight="1" x14ac:dyDescent="0.45">
      <c r="A63" s="92" t="str">
        <f>IF(Synthese_Programme!A63="","",Synthese_Programme!A63)</f>
        <v/>
      </c>
      <c r="B63" s="92" t="str">
        <f>IF(Synthese_Programme!B63="","",Synthese_Programme!B63)</f>
        <v/>
      </c>
      <c r="C63" s="92" t="str">
        <f>IF(OR(Synthese_Programme!M63="Réservé",Synthese_Programme!M63="Acté",Synthese_Programme!M63="réservé",Synthese_Programme!M63="acté"),Synthese_Programme!N63,"")</f>
        <v/>
      </c>
      <c r="D63" s="93"/>
      <c r="E63" s="93"/>
      <c r="F63" s="93"/>
      <c r="G63" s="93"/>
      <c r="H63" s="93"/>
      <c r="I63" s="98"/>
      <c r="J63" s="94" t="str">
        <f>IF(OR(Synthese_Programme!M63="Réservé",Synthese_Programme!M63="Acté",Synthese_Programme!M63="réservé",Synthese_Programme!M63="acté"),Synthese_Programme!P63,"")</f>
        <v/>
      </c>
      <c r="K63" s="94" t="str">
        <f t="shared" si="0"/>
        <v/>
      </c>
      <c r="L63" s="92"/>
      <c r="M63" s="93"/>
      <c r="N63" s="93"/>
      <c r="O63" s="93"/>
      <c r="P63" s="92" t="str">
        <f t="shared" si="1"/>
        <v/>
      </c>
      <c r="Q63" s="94" t="str">
        <f>IF(Synthese_Programme!Q63="","",Synthese_Programme!Q63)</f>
        <v/>
      </c>
      <c r="R63" s="92"/>
      <c r="S63" s="93"/>
      <c r="T63" s="93"/>
    </row>
    <row r="64" spans="1:20" s="8" customFormat="1" ht="26" customHeight="1" x14ac:dyDescent="0.45">
      <c r="A64" s="92" t="str">
        <f>IF(Synthese_Programme!A64="","",Synthese_Programme!A64)</f>
        <v/>
      </c>
      <c r="B64" s="92" t="str">
        <f>IF(Synthese_Programme!B64="","",Synthese_Programme!B64)</f>
        <v/>
      </c>
      <c r="C64" s="92" t="str">
        <f>IF(OR(Synthese_Programme!M64="Réservé",Synthese_Programme!M64="Acté",Synthese_Programme!M64="réservé",Synthese_Programme!M64="acté"),Synthese_Programme!N64,"")</f>
        <v/>
      </c>
      <c r="D64" s="93"/>
      <c r="E64" s="93"/>
      <c r="F64" s="93"/>
      <c r="G64" s="93"/>
      <c r="H64" s="93"/>
      <c r="I64" s="98"/>
      <c r="J64" s="94" t="str">
        <f>IF(OR(Synthese_Programme!M64="Réservé",Synthese_Programme!M64="Acté",Synthese_Programme!M64="réservé",Synthese_Programme!M64="acté"),Synthese_Programme!P64,"")</f>
        <v/>
      </c>
      <c r="K64" s="94" t="str">
        <f t="shared" si="0"/>
        <v/>
      </c>
      <c r="L64" s="92"/>
      <c r="M64" s="93"/>
      <c r="N64" s="93"/>
      <c r="O64" s="93"/>
      <c r="P64" s="92" t="str">
        <f t="shared" si="1"/>
        <v/>
      </c>
      <c r="Q64" s="94" t="str">
        <f>IF(Synthese_Programme!Q64="","",Synthese_Programme!Q64)</f>
        <v/>
      </c>
      <c r="R64" s="92"/>
      <c r="S64" s="93"/>
      <c r="T64" s="93"/>
    </row>
    <row r="65" spans="1:20" s="8" customFormat="1" ht="26" customHeight="1" x14ac:dyDescent="0.45">
      <c r="A65" s="92" t="str">
        <f>IF(Synthese_Programme!A65="","",Synthese_Programme!A65)</f>
        <v/>
      </c>
      <c r="B65" s="92" t="str">
        <f>IF(Synthese_Programme!B65="","",Synthese_Programme!B65)</f>
        <v/>
      </c>
      <c r="C65" s="92" t="str">
        <f>IF(OR(Synthese_Programme!M65="Réservé",Synthese_Programme!M65="Acté",Synthese_Programme!M65="réservé",Synthese_Programme!M65="acté"),Synthese_Programme!N65,"")</f>
        <v/>
      </c>
      <c r="D65" s="93"/>
      <c r="E65" s="93"/>
      <c r="F65" s="93"/>
      <c r="G65" s="93"/>
      <c r="H65" s="93"/>
      <c r="I65" s="98"/>
      <c r="J65" s="94" t="str">
        <f>IF(OR(Synthese_Programme!M65="Réservé",Synthese_Programme!M65="Acté",Synthese_Programme!M65="réservé",Synthese_Programme!M65="acté"),Synthese_Programme!P65,"")</f>
        <v/>
      </c>
      <c r="K65" s="94" t="str">
        <f t="shared" si="0"/>
        <v/>
      </c>
      <c r="L65" s="92"/>
      <c r="M65" s="93"/>
      <c r="N65" s="93"/>
      <c r="O65" s="93"/>
      <c r="P65" s="92" t="str">
        <f t="shared" si="1"/>
        <v/>
      </c>
      <c r="Q65" s="94" t="str">
        <f>IF(Synthese_Programme!Q65="","",Synthese_Programme!Q65)</f>
        <v/>
      </c>
      <c r="R65" s="92"/>
      <c r="S65" s="93"/>
      <c r="T65" s="93"/>
    </row>
    <row r="66" spans="1:20" s="8" customFormat="1" ht="26" customHeight="1" x14ac:dyDescent="0.45">
      <c r="A66" s="92" t="str">
        <f>IF(Synthese_Programme!A66="","",Synthese_Programme!A66)</f>
        <v/>
      </c>
      <c r="B66" s="92" t="str">
        <f>IF(Synthese_Programme!B66="","",Synthese_Programme!B66)</f>
        <v/>
      </c>
      <c r="C66" s="92" t="str">
        <f>IF(OR(Synthese_Programme!M66="Réservé",Synthese_Programme!M66="Acté",Synthese_Programme!M66="réservé",Synthese_Programme!M66="acté"),Synthese_Programme!N66,"")</f>
        <v/>
      </c>
      <c r="D66" s="93"/>
      <c r="E66" s="93"/>
      <c r="F66" s="93"/>
      <c r="G66" s="93"/>
      <c r="H66" s="93"/>
      <c r="I66" s="98"/>
      <c r="J66" s="94" t="str">
        <f>IF(OR(Synthese_Programme!M66="Réservé",Synthese_Programme!M66="Acté",Synthese_Programme!M66="réservé",Synthese_Programme!M66="acté"),Synthese_Programme!P66,"")</f>
        <v/>
      </c>
      <c r="K66" s="94" t="str">
        <f t="shared" si="0"/>
        <v/>
      </c>
      <c r="L66" s="92"/>
      <c r="M66" s="93"/>
      <c r="N66" s="93"/>
      <c r="O66" s="93"/>
      <c r="P66" s="92" t="str">
        <f t="shared" si="1"/>
        <v/>
      </c>
      <c r="Q66" s="94" t="str">
        <f>IF(Synthese_Programme!Q66="","",Synthese_Programme!Q66)</f>
        <v/>
      </c>
      <c r="R66" s="92"/>
      <c r="S66" s="93"/>
      <c r="T66" s="93"/>
    </row>
    <row r="67" spans="1:20" s="8" customFormat="1" ht="26" customHeight="1" x14ac:dyDescent="0.45">
      <c r="A67" s="92" t="str">
        <f>IF(Synthese_Programme!A67="","",Synthese_Programme!A67)</f>
        <v/>
      </c>
      <c r="B67" s="92" t="str">
        <f>IF(Synthese_Programme!B67="","",Synthese_Programme!B67)</f>
        <v/>
      </c>
      <c r="C67" s="92" t="str">
        <f>IF(OR(Synthese_Programme!M67="Réservé",Synthese_Programme!M67="Acté",Synthese_Programme!M67="réservé",Synthese_Programme!M67="acté"),Synthese_Programme!N67,"")</f>
        <v/>
      </c>
      <c r="D67" s="93"/>
      <c r="E67" s="93"/>
      <c r="F67" s="93"/>
      <c r="G67" s="93"/>
      <c r="H67" s="93"/>
      <c r="I67" s="98"/>
      <c r="J67" s="94" t="str">
        <f>IF(OR(Synthese_Programme!M67="Réservé",Synthese_Programme!M67="Acté",Synthese_Programme!M67="réservé",Synthese_Programme!M67="acté"),Synthese_Programme!P67,"")</f>
        <v/>
      </c>
      <c r="K67" s="94" t="str">
        <f t="shared" si="0"/>
        <v/>
      </c>
      <c r="L67" s="92"/>
      <c r="M67" s="93"/>
      <c r="N67" s="93"/>
      <c r="O67" s="93"/>
      <c r="P67" s="92" t="str">
        <f t="shared" si="1"/>
        <v/>
      </c>
      <c r="Q67" s="94" t="str">
        <f>IF(Synthese_Programme!Q67="","",Synthese_Programme!Q67)</f>
        <v/>
      </c>
      <c r="R67" s="92"/>
      <c r="S67" s="93"/>
      <c r="T67" s="93"/>
    </row>
    <row r="68" spans="1:20" s="8" customFormat="1" ht="26" customHeight="1" x14ac:dyDescent="0.45">
      <c r="A68" s="92" t="str">
        <f>IF(Synthese_Programme!A68="","",Synthese_Programme!A68)</f>
        <v/>
      </c>
      <c r="B68" s="92" t="str">
        <f>IF(Synthese_Programme!B68="","",Synthese_Programme!B68)</f>
        <v/>
      </c>
      <c r="C68" s="92" t="str">
        <f>IF(OR(Synthese_Programme!M68="Réservé",Synthese_Programme!M68="Acté",Synthese_Programme!M68="réservé",Synthese_Programme!M68="acté"),Synthese_Programme!N68,"")</f>
        <v/>
      </c>
      <c r="D68" s="93"/>
      <c r="E68" s="93"/>
      <c r="F68" s="93"/>
      <c r="G68" s="93"/>
      <c r="H68" s="93"/>
      <c r="I68" s="98"/>
      <c r="J68" s="94" t="str">
        <f>IF(OR(Synthese_Programme!M68="Réservé",Synthese_Programme!M68="Acté",Synthese_Programme!M68="réservé",Synthese_Programme!M68="acté"),Synthese_Programme!P68,"")</f>
        <v/>
      </c>
      <c r="K68" s="94" t="str">
        <f t="shared" si="0"/>
        <v/>
      </c>
      <c r="L68" s="92"/>
      <c r="M68" s="93"/>
      <c r="N68" s="93"/>
      <c r="O68" s="93"/>
      <c r="P68" s="92" t="str">
        <f t="shared" si="1"/>
        <v/>
      </c>
      <c r="Q68" s="94" t="str">
        <f>IF(Synthese_Programme!Q68="","",Synthese_Programme!Q68)</f>
        <v/>
      </c>
      <c r="R68" s="92"/>
      <c r="S68" s="93"/>
      <c r="T68" s="93"/>
    </row>
    <row r="69" spans="1:20" s="8" customFormat="1" ht="26" customHeight="1" x14ac:dyDescent="0.45">
      <c r="A69" s="92" t="str">
        <f>IF(Synthese_Programme!A69="","",Synthese_Programme!A69)</f>
        <v/>
      </c>
      <c r="B69" s="92" t="str">
        <f>IF(Synthese_Programme!B69="","",Synthese_Programme!B69)</f>
        <v/>
      </c>
      <c r="C69" s="92" t="str">
        <f>IF(OR(Synthese_Programme!M69="Réservé",Synthese_Programme!M69="Acté",Synthese_Programme!M69="réservé",Synthese_Programme!M69="acté"),Synthese_Programme!N69,"")</f>
        <v/>
      </c>
      <c r="D69" s="93"/>
      <c r="E69" s="93"/>
      <c r="F69" s="93"/>
      <c r="G69" s="93"/>
      <c r="H69" s="93"/>
      <c r="I69" s="98"/>
      <c r="J69" s="94" t="str">
        <f>IF(OR(Synthese_Programme!M69="Réservé",Synthese_Programme!M69="Acté",Synthese_Programme!M69="réservé",Synthese_Programme!M69="acté"),Synthese_Programme!P69,"")</f>
        <v/>
      </c>
      <c r="K69" s="94" t="str">
        <f t="shared" ref="K69:K132" si="2">IF(J69="","",J69+45)</f>
        <v/>
      </c>
      <c r="L69" s="92"/>
      <c r="M69" s="93"/>
      <c r="N69" s="93"/>
      <c r="O69" s="93"/>
      <c r="P69" s="92" t="str">
        <f t="shared" ref="P69:P132" si="3">IF(J69="","",EDATE(J69,3))</f>
        <v/>
      </c>
      <c r="Q69" s="94" t="str">
        <f>IF(Synthese_Programme!Q69="","",Synthese_Programme!Q69)</f>
        <v/>
      </c>
      <c r="R69" s="92"/>
      <c r="S69" s="93"/>
      <c r="T69" s="93"/>
    </row>
    <row r="70" spans="1:20" s="8" customFormat="1" ht="26" customHeight="1" x14ac:dyDescent="0.45">
      <c r="A70" s="92" t="str">
        <f>IF(Synthese_Programme!A70="","",Synthese_Programme!A70)</f>
        <v/>
      </c>
      <c r="B70" s="92" t="str">
        <f>IF(Synthese_Programme!B70="","",Synthese_Programme!B70)</f>
        <v/>
      </c>
      <c r="C70" s="92" t="str">
        <f>IF(OR(Synthese_Programme!M70="Réservé",Synthese_Programme!M70="Acté",Synthese_Programme!M70="réservé",Synthese_Programme!M70="acté"),Synthese_Programme!N70,"")</f>
        <v/>
      </c>
      <c r="D70" s="93"/>
      <c r="E70" s="93"/>
      <c r="F70" s="93"/>
      <c r="G70" s="93"/>
      <c r="H70" s="93"/>
      <c r="I70" s="98"/>
      <c r="J70" s="94" t="str">
        <f>IF(OR(Synthese_Programme!M70="Réservé",Synthese_Programme!M70="Acté",Synthese_Programme!M70="réservé",Synthese_Programme!M70="acté"),Synthese_Programme!P70,"")</f>
        <v/>
      </c>
      <c r="K70" s="94" t="str">
        <f t="shared" si="2"/>
        <v/>
      </c>
      <c r="L70" s="92"/>
      <c r="M70" s="93"/>
      <c r="N70" s="93"/>
      <c r="O70" s="93"/>
      <c r="P70" s="92" t="str">
        <f t="shared" si="3"/>
        <v/>
      </c>
      <c r="Q70" s="94" t="str">
        <f>IF(Synthese_Programme!Q70="","",Synthese_Programme!Q70)</f>
        <v/>
      </c>
      <c r="R70" s="92"/>
      <c r="S70" s="93"/>
      <c r="T70" s="93"/>
    </row>
    <row r="71" spans="1:20" s="8" customFormat="1" ht="26" customHeight="1" x14ac:dyDescent="0.45">
      <c r="A71" s="92" t="str">
        <f>IF(Synthese_Programme!A71="","",Synthese_Programme!A71)</f>
        <v/>
      </c>
      <c r="B71" s="92" t="str">
        <f>IF(Synthese_Programme!B71="","",Synthese_Programme!B71)</f>
        <v/>
      </c>
      <c r="C71" s="92" t="str">
        <f>IF(OR(Synthese_Programme!M71="Réservé",Synthese_Programme!M71="Acté",Synthese_Programme!M71="réservé",Synthese_Programme!M71="acté"),Synthese_Programme!N71,"")</f>
        <v/>
      </c>
      <c r="D71" s="93"/>
      <c r="E71" s="93"/>
      <c r="F71" s="93"/>
      <c r="G71" s="93"/>
      <c r="H71" s="93"/>
      <c r="I71" s="98"/>
      <c r="J71" s="94" t="str">
        <f>IF(OR(Synthese_Programme!M71="Réservé",Synthese_Programme!M71="Acté",Synthese_Programme!M71="réservé",Synthese_Programme!M71="acté"),Synthese_Programme!P71,"")</f>
        <v/>
      </c>
      <c r="K71" s="94" t="str">
        <f t="shared" si="2"/>
        <v/>
      </c>
      <c r="L71" s="92"/>
      <c r="M71" s="93"/>
      <c r="N71" s="93"/>
      <c r="O71" s="93"/>
      <c r="P71" s="92" t="str">
        <f t="shared" si="3"/>
        <v/>
      </c>
      <c r="Q71" s="94" t="str">
        <f>IF(Synthese_Programme!Q71="","",Synthese_Programme!Q71)</f>
        <v/>
      </c>
      <c r="R71" s="92"/>
      <c r="S71" s="93"/>
      <c r="T71" s="93"/>
    </row>
    <row r="72" spans="1:20" s="8" customFormat="1" ht="26" customHeight="1" x14ac:dyDescent="0.45">
      <c r="A72" s="92" t="str">
        <f>IF(Synthese_Programme!A72="","",Synthese_Programme!A72)</f>
        <v/>
      </c>
      <c r="B72" s="92" t="str">
        <f>IF(Synthese_Programme!B72="","",Synthese_Programme!B72)</f>
        <v/>
      </c>
      <c r="C72" s="92" t="str">
        <f>IF(OR(Synthese_Programme!M72="Réservé",Synthese_Programme!M72="Acté",Synthese_Programme!M72="réservé",Synthese_Programme!M72="acté"),Synthese_Programme!N72,"")</f>
        <v/>
      </c>
      <c r="D72" s="93"/>
      <c r="E72" s="93"/>
      <c r="F72" s="93"/>
      <c r="G72" s="93"/>
      <c r="H72" s="93"/>
      <c r="I72" s="98"/>
      <c r="J72" s="94" t="str">
        <f>IF(OR(Synthese_Programme!M72="Réservé",Synthese_Programme!M72="Acté",Synthese_Programme!M72="réservé",Synthese_Programme!M72="acté"),Synthese_Programme!P72,"")</f>
        <v/>
      </c>
      <c r="K72" s="94" t="str">
        <f t="shared" si="2"/>
        <v/>
      </c>
      <c r="L72" s="92"/>
      <c r="M72" s="93"/>
      <c r="N72" s="93"/>
      <c r="O72" s="93"/>
      <c r="P72" s="92" t="str">
        <f t="shared" si="3"/>
        <v/>
      </c>
      <c r="Q72" s="94" t="str">
        <f>IF(Synthese_Programme!Q72="","",Synthese_Programme!Q72)</f>
        <v/>
      </c>
      <c r="R72" s="92"/>
      <c r="S72" s="93"/>
      <c r="T72" s="93"/>
    </row>
    <row r="73" spans="1:20" s="8" customFormat="1" ht="26" customHeight="1" x14ac:dyDescent="0.45">
      <c r="A73" s="92" t="str">
        <f>IF(Synthese_Programme!A73="","",Synthese_Programme!A73)</f>
        <v/>
      </c>
      <c r="B73" s="92" t="str">
        <f>IF(Synthese_Programme!B73="","",Synthese_Programme!B73)</f>
        <v/>
      </c>
      <c r="C73" s="92" t="str">
        <f>IF(OR(Synthese_Programme!M73="Réservé",Synthese_Programme!M73="Acté",Synthese_Programme!M73="réservé",Synthese_Programme!M73="acté"),Synthese_Programme!N73,"")</f>
        <v/>
      </c>
      <c r="D73" s="93"/>
      <c r="E73" s="93"/>
      <c r="F73" s="93"/>
      <c r="G73" s="93"/>
      <c r="H73" s="93"/>
      <c r="I73" s="98"/>
      <c r="J73" s="94" t="str">
        <f>IF(OR(Synthese_Programme!M73="Réservé",Synthese_Programme!M73="Acté",Synthese_Programme!M73="réservé",Synthese_Programme!M73="acté"),Synthese_Programme!P73,"")</f>
        <v/>
      </c>
      <c r="K73" s="94" t="str">
        <f t="shared" si="2"/>
        <v/>
      </c>
      <c r="L73" s="92"/>
      <c r="M73" s="93"/>
      <c r="N73" s="93"/>
      <c r="O73" s="93"/>
      <c r="P73" s="92" t="str">
        <f t="shared" si="3"/>
        <v/>
      </c>
      <c r="Q73" s="94" t="str">
        <f>IF(Synthese_Programme!Q73="","",Synthese_Programme!Q73)</f>
        <v/>
      </c>
      <c r="R73" s="92"/>
      <c r="S73" s="93"/>
      <c r="T73" s="93"/>
    </row>
    <row r="74" spans="1:20" s="8" customFormat="1" ht="26" customHeight="1" x14ac:dyDescent="0.45">
      <c r="A74" s="92" t="str">
        <f>IF(Synthese_Programme!A74="","",Synthese_Programme!A74)</f>
        <v/>
      </c>
      <c r="B74" s="92" t="str">
        <f>IF(Synthese_Programme!B74="","",Synthese_Programme!B74)</f>
        <v/>
      </c>
      <c r="C74" s="92" t="str">
        <f>IF(OR(Synthese_Programme!M74="Réservé",Synthese_Programme!M74="Acté",Synthese_Programme!M74="réservé",Synthese_Programme!M74="acté"),Synthese_Programme!N74,"")</f>
        <v/>
      </c>
      <c r="D74" s="93"/>
      <c r="E74" s="93"/>
      <c r="F74" s="93"/>
      <c r="G74" s="93"/>
      <c r="H74" s="93"/>
      <c r="I74" s="98"/>
      <c r="J74" s="94" t="str">
        <f>IF(OR(Synthese_Programme!M74="Réservé",Synthese_Programme!M74="Acté",Synthese_Programme!M74="réservé",Synthese_Programme!M74="acté"),Synthese_Programme!P74,"")</f>
        <v/>
      </c>
      <c r="K74" s="94" t="str">
        <f t="shared" si="2"/>
        <v/>
      </c>
      <c r="L74" s="92"/>
      <c r="M74" s="93"/>
      <c r="N74" s="93"/>
      <c r="O74" s="93"/>
      <c r="P74" s="92" t="str">
        <f t="shared" si="3"/>
        <v/>
      </c>
      <c r="Q74" s="94" t="str">
        <f>IF(Synthese_Programme!Q74="","",Synthese_Programme!Q74)</f>
        <v/>
      </c>
      <c r="R74" s="92"/>
      <c r="S74" s="93"/>
      <c r="T74" s="93"/>
    </row>
    <row r="75" spans="1:20" s="8" customFormat="1" ht="26" customHeight="1" x14ac:dyDescent="0.45">
      <c r="A75" s="92" t="str">
        <f>IF(Synthese_Programme!A75="","",Synthese_Programme!A75)</f>
        <v/>
      </c>
      <c r="B75" s="92" t="str">
        <f>IF(Synthese_Programme!B75="","",Synthese_Programme!B75)</f>
        <v/>
      </c>
      <c r="C75" s="92" t="str">
        <f>IF(OR(Synthese_Programme!M75="Réservé",Synthese_Programme!M75="Acté",Synthese_Programme!M75="réservé",Synthese_Programme!M75="acté"),Synthese_Programme!N75,"")</f>
        <v/>
      </c>
      <c r="D75" s="93"/>
      <c r="E75" s="93"/>
      <c r="F75" s="93"/>
      <c r="G75" s="93"/>
      <c r="H75" s="93"/>
      <c r="I75" s="98"/>
      <c r="J75" s="94" t="str">
        <f>IF(OR(Synthese_Programme!M75="Réservé",Synthese_Programme!M75="Acté",Synthese_Programme!M75="réservé",Synthese_Programme!M75="acté"),Synthese_Programme!P75,"")</f>
        <v/>
      </c>
      <c r="K75" s="94" t="str">
        <f t="shared" si="2"/>
        <v/>
      </c>
      <c r="L75" s="92"/>
      <c r="M75" s="93"/>
      <c r="N75" s="93"/>
      <c r="O75" s="93"/>
      <c r="P75" s="92" t="str">
        <f t="shared" si="3"/>
        <v/>
      </c>
      <c r="Q75" s="94" t="str">
        <f>IF(Synthese_Programme!Q75="","",Synthese_Programme!Q75)</f>
        <v/>
      </c>
      <c r="R75" s="92"/>
      <c r="S75" s="93"/>
      <c r="T75" s="93"/>
    </row>
    <row r="76" spans="1:20" s="8" customFormat="1" ht="26" customHeight="1" x14ac:dyDescent="0.45">
      <c r="A76" s="92" t="str">
        <f>IF(Synthese_Programme!A76="","",Synthese_Programme!A76)</f>
        <v/>
      </c>
      <c r="B76" s="92" t="str">
        <f>IF(Synthese_Programme!B76="","",Synthese_Programme!B76)</f>
        <v/>
      </c>
      <c r="C76" s="92" t="str">
        <f>IF(OR(Synthese_Programme!M76="Réservé",Synthese_Programme!M76="Acté",Synthese_Programme!M76="réservé",Synthese_Programme!M76="acté"),Synthese_Programme!N76,"")</f>
        <v/>
      </c>
      <c r="D76" s="93"/>
      <c r="E76" s="93"/>
      <c r="F76" s="93"/>
      <c r="G76" s="93"/>
      <c r="H76" s="93"/>
      <c r="I76" s="98"/>
      <c r="J76" s="94" t="str">
        <f>IF(OR(Synthese_Programme!M76="Réservé",Synthese_Programme!M76="Acté",Synthese_Programme!M76="réservé",Synthese_Programme!M76="acté"),Synthese_Programme!P76,"")</f>
        <v/>
      </c>
      <c r="K76" s="94" t="str">
        <f t="shared" si="2"/>
        <v/>
      </c>
      <c r="L76" s="92"/>
      <c r="M76" s="93"/>
      <c r="N76" s="93"/>
      <c r="O76" s="93"/>
      <c r="P76" s="92" t="str">
        <f t="shared" si="3"/>
        <v/>
      </c>
      <c r="Q76" s="94" t="str">
        <f>IF(Synthese_Programme!Q76="","",Synthese_Programme!Q76)</f>
        <v/>
      </c>
      <c r="R76" s="92"/>
      <c r="S76" s="93"/>
      <c r="T76" s="93"/>
    </row>
    <row r="77" spans="1:20" s="8" customFormat="1" ht="26" customHeight="1" x14ac:dyDescent="0.45">
      <c r="A77" s="92" t="str">
        <f>IF(Synthese_Programme!A77="","",Synthese_Programme!A77)</f>
        <v/>
      </c>
      <c r="B77" s="92" t="str">
        <f>IF(Synthese_Programme!B77="","",Synthese_Programme!B77)</f>
        <v/>
      </c>
      <c r="C77" s="92" t="str">
        <f>IF(OR(Synthese_Programme!M77="Réservé",Synthese_Programme!M77="Acté",Synthese_Programme!M77="réservé",Synthese_Programme!M77="acté"),Synthese_Programme!N77,"")</f>
        <v/>
      </c>
      <c r="D77" s="93"/>
      <c r="E77" s="93"/>
      <c r="F77" s="93"/>
      <c r="G77" s="93"/>
      <c r="H77" s="93"/>
      <c r="I77" s="98"/>
      <c r="J77" s="94" t="str">
        <f>IF(OR(Synthese_Programme!M77="Réservé",Synthese_Programme!M77="Acté",Synthese_Programme!M77="réservé",Synthese_Programme!M77="acté"),Synthese_Programme!P77,"")</f>
        <v/>
      </c>
      <c r="K77" s="94" t="str">
        <f t="shared" si="2"/>
        <v/>
      </c>
      <c r="L77" s="92"/>
      <c r="M77" s="93"/>
      <c r="N77" s="93"/>
      <c r="O77" s="93"/>
      <c r="P77" s="92" t="str">
        <f t="shared" si="3"/>
        <v/>
      </c>
      <c r="Q77" s="94" t="str">
        <f>IF(Synthese_Programme!Q77="","",Synthese_Programme!Q77)</f>
        <v/>
      </c>
      <c r="R77" s="92"/>
      <c r="S77" s="93"/>
      <c r="T77" s="93"/>
    </row>
    <row r="78" spans="1:20" s="8" customFormat="1" ht="26" customHeight="1" x14ac:dyDescent="0.45">
      <c r="A78" s="92" t="str">
        <f>IF(Synthese_Programme!A78="","",Synthese_Programme!A78)</f>
        <v/>
      </c>
      <c r="B78" s="92" t="str">
        <f>IF(Synthese_Programme!B78="","",Synthese_Programme!B78)</f>
        <v/>
      </c>
      <c r="C78" s="92" t="str">
        <f>IF(OR(Synthese_Programme!M78="Réservé",Synthese_Programme!M78="Acté",Synthese_Programme!M78="réservé",Synthese_Programme!M78="acté"),Synthese_Programme!N78,"")</f>
        <v/>
      </c>
      <c r="D78" s="93"/>
      <c r="E78" s="93"/>
      <c r="F78" s="93"/>
      <c r="G78" s="93"/>
      <c r="H78" s="93"/>
      <c r="I78" s="98"/>
      <c r="J78" s="94" t="str">
        <f>IF(OR(Synthese_Programme!M78="Réservé",Synthese_Programme!M78="Acté",Synthese_Programme!M78="réservé",Synthese_Programme!M78="acté"),Synthese_Programme!P78,"")</f>
        <v/>
      </c>
      <c r="K78" s="94" t="str">
        <f t="shared" si="2"/>
        <v/>
      </c>
      <c r="L78" s="92"/>
      <c r="M78" s="93"/>
      <c r="N78" s="93"/>
      <c r="O78" s="93"/>
      <c r="P78" s="92" t="str">
        <f t="shared" si="3"/>
        <v/>
      </c>
      <c r="Q78" s="94" t="str">
        <f>IF(Synthese_Programme!Q78="","",Synthese_Programme!Q78)</f>
        <v/>
      </c>
      <c r="R78" s="92"/>
      <c r="S78" s="93"/>
      <c r="T78" s="93"/>
    </row>
    <row r="79" spans="1:20" s="8" customFormat="1" ht="26" customHeight="1" x14ac:dyDescent="0.45">
      <c r="A79" s="92" t="str">
        <f>IF(Synthese_Programme!A79="","",Synthese_Programme!A79)</f>
        <v/>
      </c>
      <c r="B79" s="92" t="str">
        <f>IF(Synthese_Programme!B79="","",Synthese_Programme!B79)</f>
        <v/>
      </c>
      <c r="C79" s="92" t="str">
        <f>IF(OR(Synthese_Programme!M79="Réservé",Synthese_Programme!M79="Acté",Synthese_Programme!M79="réservé",Synthese_Programme!M79="acté"),Synthese_Programme!N79,"")</f>
        <v/>
      </c>
      <c r="D79" s="93"/>
      <c r="E79" s="93"/>
      <c r="F79" s="93"/>
      <c r="G79" s="93"/>
      <c r="H79" s="93"/>
      <c r="I79" s="98"/>
      <c r="J79" s="94" t="str">
        <f>IF(OR(Synthese_Programme!M79="Réservé",Synthese_Programme!M79="Acté",Synthese_Programme!M79="réservé",Synthese_Programme!M79="acté"),Synthese_Programme!P79,"")</f>
        <v/>
      </c>
      <c r="K79" s="94" t="str">
        <f t="shared" si="2"/>
        <v/>
      </c>
      <c r="L79" s="92"/>
      <c r="M79" s="93"/>
      <c r="N79" s="93"/>
      <c r="O79" s="93"/>
      <c r="P79" s="92" t="str">
        <f t="shared" si="3"/>
        <v/>
      </c>
      <c r="Q79" s="94" t="str">
        <f>IF(Synthese_Programme!Q79="","",Synthese_Programme!Q79)</f>
        <v/>
      </c>
      <c r="R79" s="92"/>
      <c r="S79" s="93"/>
      <c r="T79" s="93"/>
    </row>
    <row r="80" spans="1:20" s="8" customFormat="1" ht="26" customHeight="1" x14ac:dyDescent="0.45">
      <c r="A80" s="92" t="str">
        <f>IF(Synthese_Programme!A80="","",Synthese_Programme!A80)</f>
        <v/>
      </c>
      <c r="B80" s="92" t="str">
        <f>IF(Synthese_Programme!B80="","",Synthese_Programme!B80)</f>
        <v/>
      </c>
      <c r="C80" s="92" t="str">
        <f>IF(OR(Synthese_Programme!M80="Réservé",Synthese_Programme!M80="Acté",Synthese_Programme!M80="réservé",Synthese_Programme!M80="acté"),Synthese_Programme!N80,"")</f>
        <v/>
      </c>
      <c r="D80" s="93"/>
      <c r="E80" s="93"/>
      <c r="F80" s="93"/>
      <c r="G80" s="93"/>
      <c r="H80" s="93"/>
      <c r="I80" s="98"/>
      <c r="J80" s="94" t="str">
        <f>IF(OR(Synthese_Programme!M80="Réservé",Synthese_Programme!M80="Acté",Synthese_Programme!M80="réservé",Synthese_Programme!M80="acté"),Synthese_Programme!P80,"")</f>
        <v/>
      </c>
      <c r="K80" s="94" t="str">
        <f t="shared" si="2"/>
        <v/>
      </c>
      <c r="L80" s="92"/>
      <c r="M80" s="93"/>
      <c r="N80" s="93"/>
      <c r="O80" s="93"/>
      <c r="P80" s="92" t="str">
        <f t="shared" si="3"/>
        <v/>
      </c>
      <c r="Q80" s="94" t="str">
        <f>IF(Synthese_Programme!Q80="","",Synthese_Programme!Q80)</f>
        <v/>
      </c>
      <c r="R80" s="92"/>
      <c r="S80" s="93"/>
      <c r="T80" s="93"/>
    </row>
    <row r="81" spans="1:20" s="8" customFormat="1" ht="26" customHeight="1" x14ac:dyDescent="0.45">
      <c r="A81" s="92" t="str">
        <f>IF(Synthese_Programme!A81="","",Synthese_Programme!A81)</f>
        <v/>
      </c>
      <c r="B81" s="92" t="str">
        <f>IF(Synthese_Programme!B81="","",Synthese_Programme!B81)</f>
        <v/>
      </c>
      <c r="C81" s="92" t="str">
        <f>IF(OR(Synthese_Programme!M81="Réservé",Synthese_Programme!M81="Acté",Synthese_Programme!M81="réservé",Synthese_Programme!M81="acté"),Synthese_Programme!N81,"")</f>
        <v/>
      </c>
      <c r="D81" s="93"/>
      <c r="E81" s="93"/>
      <c r="F81" s="93"/>
      <c r="G81" s="93"/>
      <c r="H81" s="93"/>
      <c r="I81" s="98"/>
      <c r="J81" s="94" t="str">
        <f>IF(OR(Synthese_Programme!M81="Réservé",Synthese_Programme!M81="Acté",Synthese_Programme!M81="réservé",Synthese_Programme!M81="acté"),Synthese_Programme!P81,"")</f>
        <v/>
      </c>
      <c r="K81" s="94" t="str">
        <f t="shared" si="2"/>
        <v/>
      </c>
      <c r="L81" s="92"/>
      <c r="M81" s="93"/>
      <c r="N81" s="93"/>
      <c r="O81" s="93"/>
      <c r="P81" s="92" t="str">
        <f t="shared" si="3"/>
        <v/>
      </c>
      <c r="Q81" s="94" t="str">
        <f>IF(Synthese_Programme!Q81="","",Synthese_Programme!Q81)</f>
        <v/>
      </c>
      <c r="R81" s="92"/>
      <c r="S81" s="93"/>
      <c r="T81" s="93"/>
    </row>
    <row r="82" spans="1:20" s="8" customFormat="1" ht="26" customHeight="1" x14ac:dyDescent="0.45">
      <c r="A82" s="92" t="str">
        <f>IF(Synthese_Programme!A82="","",Synthese_Programme!A82)</f>
        <v/>
      </c>
      <c r="B82" s="92" t="str">
        <f>IF(Synthese_Programme!B82="","",Synthese_Programme!B82)</f>
        <v/>
      </c>
      <c r="C82" s="92" t="str">
        <f>IF(OR(Synthese_Programme!M82="Réservé",Synthese_Programme!M82="Acté",Synthese_Programme!M82="réservé",Synthese_Programme!M82="acté"),Synthese_Programme!N82,"")</f>
        <v/>
      </c>
      <c r="D82" s="93"/>
      <c r="E82" s="93"/>
      <c r="F82" s="93"/>
      <c r="G82" s="93"/>
      <c r="H82" s="93"/>
      <c r="I82" s="98"/>
      <c r="J82" s="94" t="str">
        <f>IF(OR(Synthese_Programme!M82="Réservé",Synthese_Programme!M82="Acté",Synthese_Programme!M82="réservé",Synthese_Programme!M82="acté"),Synthese_Programme!P82,"")</f>
        <v/>
      </c>
      <c r="K82" s="94" t="str">
        <f t="shared" si="2"/>
        <v/>
      </c>
      <c r="L82" s="92"/>
      <c r="M82" s="93"/>
      <c r="N82" s="93"/>
      <c r="O82" s="93"/>
      <c r="P82" s="92" t="str">
        <f t="shared" si="3"/>
        <v/>
      </c>
      <c r="Q82" s="94" t="str">
        <f>IF(Synthese_Programme!Q82="","",Synthese_Programme!Q82)</f>
        <v/>
      </c>
      <c r="R82" s="92"/>
      <c r="S82" s="93"/>
      <c r="T82" s="93"/>
    </row>
    <row r="83" spans="1:20" s="8" customFormat="1" ht="26" customHeight="1" x14ac:dyDescent="0.45">
      <c r="A83" s="92" t="str">
        <f>IF(Synthese_Programme!A83="","",Synthese_Programme!A83)</f>
        <v/>
      </c>
      <c r="B83" s="92" t="str">
        <f>IF(Synthese_Programme!B83="","",Synthese_Programme!B83)</f>
        <v/>
      </c>
      <c r="C83" s="92" t="str">
        <f>IF(OR(Synthese_Programme!M83="Réservé",Synthese_Programme!M83="Acté",Synthese_Programme!M83="réservé",Synthese_Programme!M83="acté"),Synthese_Programme!N83,"")</f>
        <v/>
      </c>
      <c r="D83" s="93"/>
      <c r="E83" s="93"/>
      <c r="F83" s="93"/>
      <c r="G83" s="93"/>
      <c r="H83" s="93"/>
      <c r="I83" s="98"/>
      <c r="J83" s="94" t="str">
        <f>IF(OR(Synthese_Programme!M83="Réservé",Synthese_Programme!M83="Acté",Synthese_Programme!M83="réservé",Synthese_Programme!M83="acté"),Synthese_Programme!P83,"")</f>
        <v/>
      </c>
      <c r="K83" s="94" t="str">
        <f t="shared" si="2"/>
        <v/>
      </c>
      <c r="L83" s="92"/>
      <c r="M83" s="93"/>
      <c r="N83" s="93"/>
      <c r="O83" s="93"/>
      <c r="P83" s="92" t="str">
        <f t="shared" si="3"/>
        <v/>
      </c>
      <c r="Q83" s="94" t="str">
        <f>IF(Synthese_Programme!Q83="","",Synthese_Programme!Q83)</f>
        <v/>
      </c>
      <c r="R83" s="92"/>
      <c r="S83" s="93"/>
      <c r="T83" s="93"/>
    </row>
    <row r="84" spans="1:20" s="8" customFormat="1" ht="26" customHeight="1" x14ac:dyDescent="0.45">
      <c r="A84" s="92" t="str">
        <f>IF(Synthese_Programme!A84="","",Synthese_Programme!A84)</f>
        <v/>
      </c>
      <c r="B84" s="92" t="str">
        <f>IF(Synthese_Programme!B84="","",Synthese_Programme!B84)</f>
        <v/>
      </c>
      <c r="C84" s="92" t="str">
        <f>IF(OR(Synthese_Programme!M84="Réservé",Synthese_Programme!M84="Acté",Synthese_Programme!M84="réservé",Synthese_Programme!M84="acté"),Synthese_Programme!N84,"")</f>
        <v/>
      </c>
      <c r="D84" s="93"/>
      <c r="E84" s="93"/>
      <c r="F84" s="93"/>
      <c r="G84" s="93"/>
      <c r="H84" s="93"/>
      <c r="I84" s="98"/>
      <c r="J84" s="94" t="str">
        <f>IF(OR(Synthese_Programme!M84="Réservé",Synthese_Programme!M84="Acté",Synthese_Programme!M84="réservé",Synthese_Programme!M84="acté"),Synthese_Programme!P84,"")</f>
        <v/>
      </c>
      <c r="K84" s="94" t="str">
        <f t="shared" si="2"/>
        <v/>
      </c>
      <c r="L84" s="92"/>
      <c r="M84" s="93"/>
      <c r="N84" s="93"/>
      <c r="O84" s="93"/>
      <c r="P84" s="92" t="str">
        <f t="shared" si="3"/>
        <v/>
      </c>
      <c r="Q84" s="94" t="str">
        <f>IF(Synthese_Programme!Q84="","",Synthese_Programme!Q84)</f>
        <v/>
      </c>
      <c r="R84" s="92"/>
      <c r="S84" s="93"/>
      <c r="T84" s="93"/>
    </row>
    <row r="85" spans="1:20" s="8" customFormat="1" ht="26" customHeight="1" x14ac:dyDescent="0.45">
      <c r="A85" s="92" t="str">
        <f>IF(Synthese_Programme!A85="","",Synthese_Programme!A85)</f>
        <v/>
      </c>
      <c r="B85" s="92" t="str">
        <f>IF(Synthese_Programme!B85="","",Synthese_Programme!B85)</f>
        <v/>
      </c>
      <c r="C85" s="92" t="str">
        <f>IF(OR(Synthese_Programme!M85="Réservé",Synthese_Programme!M85="Acté",Synthese_Programme!M85="réservé",Synthese_Programme!M85="acté"),Synthese_Programme!N85,"")</f>
        <v/>
      </c>
      <c r="D85" s="93"/>
      <c r="E85" s="93"/>
      <c r="F85" s="93"/>
      <c r="G85" s="93"/>
      <c r="H85" s="93"/>
      <c r="I85" s="98"/>
      <c r="J85" s="94" t="str">
        <f>IF(OR(Synthese_Programme!M85="Réservé",Synthese_Programme!M85="Acté",Synthese_Programme!M85="réservé",Synthese_Programme!M85="acté"),Synthese_Programme!P85,"")</f>
        <v/>
      </c>
      <c r="K85" s="94" t="str">
        <f t="shared" si="2"/>
        <v/>
      </c>
      <c r="L85" s="92"/>
      <c r="M85" s="93"/>
      <c r="N85" s="93"/>
      <c r="O85" s="93"/>
      <c r="P85" s="92" t="str">
        <f t="shared" si="3"/>
        <v/>
      </c>
      <c r="Q85" s="94" t="str">
        <f>IF(Synthese_Programme!Q85="","",Synthese_Programme!Q85)</f>
        <v/>
      </c>
      <c r="R85" s="92"/>
      <c r="S85" s="93"/>
      <c r="T85" s="93"/>
    </row>
    <row r="86" spans="1:20" s="8" customFormat="1" ht="26" customHeight="1" x14ac:dyDescent="0.45">
      <c r="A86" s="92" t="str">
        <f>IF(Synthese_Programme!A86="","",Synthese_Programme!A86)</f>
        <v/>
      </c>
      <c r="B86" s="92" t="str">
        <f>IF(Synthese_Programme!B86="","",Synthese_Programme!B86)</f>
        <v/>
      </c>
      <c r="C86" s="92" t="str">
        <f>IF(OR(Synthese_Programme!M86="Réservé",Synthese_Programme!M86="Acté",Synthese_Programme!M86="réservé",Synthese_Programme!M86="acté"),Synthese_Programme!N86,"")</f>
        <v/>
      </c>
      <c r="D86" s="93"/>
      <c r="E86" s="93"/>
      <c r="F86" s="93"/>
      <c r="G86" s="93"/>
      <c r="H86" s="93"/>
      <c r="I86" s="98"/>
      <c r="J86" s="94" t="str">
        <f>IF(OR(Synthese_Programme!M86="Réservé",Synthese_Programme!M86="Acté",Synthese_Programme!M86="réservé",Synthese_Programme!M86="acté"),Synthese_Programme!P86,"")</f>
        <v/>
      </c>
      <c r="K86" s="94" t="str">
        <f t="shared" si="2"/>
        <v/>
      </c>
      <c r="L86" s="92"/>
      <c r="M86" s="93"/>
      <c r="N86" s="93"/>
      <c r="O86" s="93"/>
      <c r="P86" s="92" t="str">
        <f t="shared" si="3"/>
        <v/>
      </c>
      <c r="Q86" s="94" t="str">
        <f>IF(Synthese_Programme!Q86="","",Synthese_Programme!Q86)</f>
        <v/>
      </c>
      <c r="R86" s="92"/>
      <c r="S86" s="93"/>
      <c r="T86" s="93"/>
    </row>
    <row r="87" spans="1:20" s="8" customFormat="1" ht="26" customHeight="1" x14ac:dyDescent="0.45">
      <c r="A87" s="92" t="str">
        <f>IF(Synthese_Programme!A87="","",Synthese_Programme!A87)</f>
        <v/>
      </c>
      <c r="B87" s="92" t="str">
        <f>IF(Synthese_Programme!B87="","",Synthese_Programme!B87)</f>
        <v/>
      </c>
      <c r="C87" s="92" t="str">
        <f>IF(OR(Synthese_Programme!M87="Réservé",Synthese_Programme!M87="Acté",Synthese_Programme!M87="réservé",Synthese_Programme!M87="acté"),Synthese_Programme!N87,"")</f>
        <v/>
      </c>
      <c r="D87" s="93"/>
      <c r="E87" s="93"/>
      <c r="F87" s="93"/>
      <c r="G87" s="93"/>
      <c r="H87" s="93"/>
      <c r="I87" s="98"/>
      <c r="J87" s="94" t="str">
        <f>IF(OR(Synthese_Programme!M87="Réservé",Synthese_Programme!M87="Acté",Synthese_Programme!M87="réservé",Synthese_Programme!M87="acté"),Synthese_Programme!P87,"")</f>
        <v/>
      </c>
      <c r="K87" s="94" t="str">
        <f t="shared" si="2"/>
        <v/>
      </c>
      <c r="L87" s="92"/>
      <c r="M87" s="93"/>
      <c r="N87" s="93"/>
      <c r="O87" s="93"/>
      <c r="P87" s="92" t="str">
        <f t="shared" si="3"/>
        <v/>
      </c>
      <c r="Q87" s="94" t="str">
        <f>IF(Synthese_Programme!Q87="","",Synthese_Programme!Q87)</f>
        <v/>
      </c>
      <c r="R87" s="92"/>
      <c r="S87" s="93"/>
      <c r="T87" s="93"/>
    </row>
    <row r="88" spans="1:20" s="8" customFormat="1" ht="26" customHeight="1" x14ac:dyDescent="0.45">
      <c r="A88" s="92" t="str">
        <f>IF(Synthese_Programme!A88="","",Synthese_Programme!A88)</f>
        <v/>
      </c>
      <c r="B88" s="92" t="str">
        <f>IF(Synthese_Programme!B88="","",Synthese_Programme!B88)</f>
        <v/>
      </c>
      <c r="C88" s="92" t="str">
        <f>IF(OR(Synthese_Programme!M88="Réservé",Synthese_Programme!M88="Acté",Synthese_Programme!M88="réservé",Synthese_Programme!M88="acté"),Synthese_Programme!N88,"")</f>
        <v/>
      </c>
      <c r="D88" s="93"/>
      <c r="E88" s="93"/>
      <c r="F88" s="93"/>
      <c r="G88" s="93"/>
      <c r="H88" s="93"/>
      <c r="I88" s="98"/>
      <c r="J88" s="94" t="str">
        <f>IF(OR(Synthese_Programme!M88="Réservé",Synthese_Programme!M88="Acté",Synthese_Programme!M88="réservé",Synthese_Programme!M88="acté"),Synthese_Programme!P88,"")</f>
        <v/>
      </c>
      <c r="K88" s="94" t="str">
        <f t="shared" si="2"/>
        <v/>
      </c>
      <c r="L88" s="92"/>
      <c r="M88" s="93"/>
      <c r="N88" s="93"/>
      <c r="O88" s="93"/>
      <c r="P88" s="92" t="str">
        <f t="shared" si="3"/>
        <v/>
      </c>
      <c r="Q88" s="94" t="str">
        <f>IF(Synthese_Programme!Q88="","",Synthese_Programme!Q88)</f>
        <v/>
      </c>
      <c r="R88" s="92"/>
      <c r="S88" s="93"/>
      <c r="T88" s="93"/>
    </row>
    <row r="89" spans="1:20" s="8" customFormat="1" ht="26" customHeight="1" x14ac:dyDescent="0.45">
      <c r="A89" s="92" t="str">
        <f>IF(Synthese_Programme!A89="","",Synthese_Programme!A89)</f>
        <v/>
      </c>
      <c r="B89" s="92" t="str">
        <f>IF(Synthese_Programme!B89="","",Synthese_Programme!B89)</f>
        <v/>
      </c>
      <c r="C89" s="92" t="str">
        <f>IF(OR(Synthese_Programme!M89="Réservé",Synthese_Programme!M89="Acté",Synthese_Programme!M89="réservé",Synthese_Programme!M89="acté"),Synthese_Programme!N89,"")</f>
        <v/>
      </c>
      <c r="D89" s="93"/>
      <c r="E89" s="93"/>
      <c r="F89" s="93"/>
      <c r="G89" s="93"/>
      <c r="H89" s="93"/>
      <c r="I89" s="98"/>
      <c r="J89" s="94" t="str">
        <f>IF(OR(Synthese_Programme!M89="Réservé",Synthese_Programme!M89="Acté",Synthese_Programme!M89="réservé",Synthese_Programme!M89="acté"),Synthese_Programme!P89,"")</f>
        <v/>
      </c>
      <c r="K89" s="94" t="str">
        <f t="shared" si="2"/>
        <v/>
      </c>
      <c r="L89" s="92"/>
      <c r="M89" s="93"/>
      <c r="N89" s="93"/>
      <c r="O89" s="93"/>
      <c r="P89" s="92" t="str">
        <f t="shared" si="3"/>
        <v/>
      </c>
      <c r="Q89" s="94" t="str">
        <f>IF(Synthese_Programme!Q89="","",Synthese_Programme!Q89)</f>
        <v/>
      </c>
      <c r="R89" s="92"/>
      <c r="S89" s="93"/>
      <c r="T89" s="93"/>
    </row>
    <row r="90" spans="1:20" s="8" customFormat="1" ht="26" customHeight="1" x14ac:dyDescent="0.45">
      <c r="A90" s="92" t="str">
        <f>IF(Synthese_Programme!A90="","",Synthese_Programme!A90)</f>
        <v/>
      </c>
      <c r="B90" s="92" t="str">
        <f>IF(Synthese_Programme!B90="","",Synthese_Programme!B90)</f>
        <v/>
      </c>
      <c r="C90" s="92" t="str">
        <f>IF(OR(Synthese_Programme!M90="Réservé",Synthese_Programme!M90="Acté",Synthese_Programme!M90="réservé",Synthese_Programme!M90="acté"),Synthese_Programme!N90,"")</f>
        <v/>
      </c>
      <c r="D90" s="93"/>
      <c r="E90" s="93"/>
      <c r="F90" s="93"/>
      <c r="G90" s="93"/>
      <c r="H90" s="93"/>
      <c r="I90" s="98"/>
      <c r="J90" s="94" t="str">
        <f>IF(OR(Synthese_Programme!M90="Réservé",Synthese_Programme!M90="Acté",Synthese_Programme!M90="réservé",Synthese_Programme!M90="acté"),Synthese_Programme!P90,"")</f>
        <v/>
      </c>
      <c r="K90" s="94" t="str">
        <f t="shared" si="2"/>
        <v/>
      </c>
      <c r="L90" s="92"/>
      <c r="M90" s="93"/>
      <c r="N90" s="93"/>
      <c r="O90" s="93"/>
      <c r="P90" s="92" t="str">
        <f t="shared" si="3"/>
        <v/>
      </c>
      <c r="Q90" s="94" t="str">
        <f>IF(Synthese_Programme!Q90="","",Synthese_Programme!Q90)</f>
        <v/>
      </c>
      <c r="R90" s="92"/>
      <c r="S90" s="93"/>
      <c r="T90" s="93"/>
    </row>
    <row r="91" spans="1:20" s="8" customFormat="1" ht="26" customHeight="1" x14ac:dyDescent="0.45">
      <c r="A91" s="92" t="str">
        <f>IF(Synthese_Programme!A91="","",Synthese_Programme!A91)</f>
        <v/>
      </c>
      <c r="B91" s="92" t="str">
        <f>IF(Synthese_Programme!B91="","",Synthese_Programme!B91)</f>
        <v/>
      </c>
      <c r="C91" s="92" t="str">
        <f>IF(OR(Synthese_Programme!M91="Réservé",Synthese_Programme!M91="Acté",Synthese_Programme!M91="réservé",Synthese_Programme!M91="acté"),Synthese_Programme!N91,"")</f>
        <v/>
      </c>
      <c r="D91" s="93"/>
      <c r="E91" s="93"/>
      <c r="F91" s="93"/>
      <c r="G91" s="93"/>
      <c r="H91" s="93"/>
      <c r="I91" s="98"/>
      <c r="J91" s="94" t="str">
        <f>IF(OR(Synthese_Programme!M91="Réservé",Synthese_Programme!M91="Acté",Synthese_Programme!M91="réservé",Synthese_Programme!M91="acté"),Synthese_Programme!P91,"")</f>
        <v/>
      </c>
      <c r="K91" s="94" t="str">
        <f t="shared" si="2"/>
        <v/>
      </c>
      <c r="L91" s="92"/>
      <c r="M91" s="93"/>
      <c r="N91" s="93"/>
      <c r="O91" s="93"/>
      <c r="P91" s="92" t="str">
        <f t="shared" si="3"/>
        <v/>
      </c>
      <c r="Q91" s="94" t="str">
        <f>IF(Synthese_Programme!Q91="","",Synthese_Programme!Q91)</f>
        <v/>
      </c>
      <c r="R91" s="92"/>
      <c r="S91" s="93"/>
      <c r="T91" s="93"/>
    </row>
    <row r="92" spans="1:20" s="8" customFormat="1" ht="26" customHeight="1" x14ac:dyDescent="0.45">
      <c r="A92" s="92" t="str">
        <f>IF(Synthese_Programme!A92="","",Synthese_Programme!A92)</f>
        <v/>
      </c>
      <c r="B92" s="92" t="str">
        <f>IF(Synthese_Programme!B92="","",Synthese_Programme!B92)</f>
        <v/>
      </c>
      <c r="C92" s="92" t="str">
        <f>IF(OR(Synthese_Programme!M92="Réservé",Synthese_Programme!M92="Acté",Synthese_Programme!M92="réservé",Synthese_Programme!M92="acté"),Synthese_Programme!N92,"")</f>
        <v/>
      </c>
      <c r="D92" s="93"/>
      <c r="E92" s="93"/>
      <c r="F92" s="93"/>
      <c r="G92" s="93"/>
      <c r="H92" s="93"/>
      <c r="I92" s="98"/>
      <c r="J92" s="94" t="str">
        <f>IF(OR(Synthese_Programme!M92="Réservé",Synthese_Programme!M92="Acté",Synthese_Programme!M92="réservé",Synthese_Programme!M92="acté"),Synthese_Programme!P92,"")</f>
        <v/>
      </c>
      <c r="K92" s="94" t="str">
        <f t="shared" si="2"/>
        <v/>
      </c>
      <c r="L92" s="92"/>
      <c r="M92" s="93"/>
      <c r="N92" s="93"/>
      <c r="O92" s="93"/>
      <c r="P92" s="92" t="str">
        <f t="shared" si="3"/>
        <v/>
      </c>
      <c r="Q92" s="94" t="str">
        <f>IF(Synthese_Programme!Q92="","",Synthese_Programme!Q92)</f>
        <v/>
      </c>
      <c r="R92" s="92"/>
      <c r="S92" s="93"/>
      <c r="T92" s="93"/>
    </row>
    <row r="93" spans="1:20" s="8" customFormat="1" ht="26" customHeight="1" x14ac:dyDescent="0.45">
      <c r="A93" s="92" t="str">
        <f>IF(Synthese_Programme!A93="","",Synthese_Programme!A93)</f>
        <v/>
      </c>
      <c r="B93" s="92" t="str">
        <f>IF(Synthese_Programme!B93="","",Synthese_Programme!B93)</f>
        <v/>
      </c>
      <c r="C93" s="92" t="str">
        <f>IF(OR(Synthese_Programme!M93="Réservé",Synthese_Programme!M93="Acté",Synthese_Programme!M93="réservé",Synthese_Programme!M93="acté"),Synthese_Programme!N93,"")</f>
        <v/>
      </c>
      <c r="D93" s="93"/>
      <c r="E93" s="93"/>
      <c r="F93" s="93"/>
      <c r="G93" s="93"/>
      <c r="H93" s="93"/>
      <c r="I93" s="98"/>
      <c r="J93" s="94" t="str">
        <f>IF(OR(Synthese_Programme!M93="Réservé",Synthese_Programme!M93="Acté",Synthese_Programme!M93="réservé",Synthese_Programme!M93="acté"),Synthese_Programme!P93,"")</f>
        <v/>
      </c>
      <c r="K93" s="94" t="str">
        <f t="shared" si="2"/>
        <v/>
      </c>
      <c r="L93" s="92"/>
      <c r="M93" s="93"/>
      <c r="N93" s="93"/>
      <c r="O93" s="93"/>
      <c r="P93" s="92" t="str">
        <f t="shared" si="3"/>
        <v/>
      </c>
      <c r="Q93" s="94" t="str">
        <f>IF(Synthese_Programme!Q93="","",Synthese_Programme!Q93)</f>
        <v/>
      </c>
      <c r="R93" s="92"/>
      <c r="S93" s="93"/>
      <c r="T93" s="93"/>
    </row>
    <row r="94" spans="1:20" s="8" customFormat="1" ht="26" customHeight="1" x14ac:dyDescent="0.45">
      <c r="A94" s="92" t="str">
        <f>IF(Synthese_Programme!A94="","",Synthese_Programme!A94)</f>
        <v/>
      </c>
      <c r="B94" s="92" t="str">
        <f>IF(Synthese_Programme!B94="","",Synthese_Programme!B94)</f>
        <v/>
      </c>
      <c r="C94" s="92" t="str">
        <f>IF(OR(Synthese_Programme!M94="Réservé",Synthese_Programme!M94="Acté",Synthese_Programme!M94="réservé",Synthese_Programme!M94="acté"),Synthese_Programme!N94,"")</f>
        <v/>
      </c>
      <c r="D94" s="93"/>
      <c r="E94" s="93"/>
      <c r="F94" s="93"/>
      <c r="G94" s="93"/>
      <c r="H94" s="93"/>
      <c r="I94" s="98"/>
      <c r="J94" s="94" t="str">
        <f>IF(OR(Synthese_Programme!M94="Réservé",Synthese_Programme!M94="Acté",Synthese_Programme!M94="réservé",Synthese_Programme!M94="acté"),Synthese_Programme!P94,"")</f>
        <v/>
      </c>
      <c r="K94" s="94" t="str">
        <f t="shared" si="2"/>
        <v/>
      </c>
      <c r="L94" s="92"/>
      <c r="M94" s="93"/>
      <c r="N94" s="93"/>
      <c r="O94" s="93"/>
      <c r="P94" s="92" t="str">
        <f t="shared" si="3"/>
        <v/>
      </c>
      <c r="Q94" s="94" t="str">
        <f>IF(Synthese_Programme!Q94="","",Synthese_Programme!Q94)</f>
        <v/>
      </c>
      <c r="R94" s="92"/>
      <c r="S94" s="93"/>
      <c r="T94" s="93"/>
    </row>
    <row r="95" spans="1:20" s="8" customFormat="1" ht="26" customHeight="1" x14ac:dyDescent="0.45">
      <c r="A95" s="92" t="str">
        <f>IF(Synthese_Programme!A95="","",Synthese_Programme!A95)</f>
        <v/>
      </c>
      <c r="B95" s="92" t="str">
        <f>IF(Synthese_Programme!B95="","",Synthese_Programme!B95)</f>
        <v/>
      </c>
      <c r="C95" s="92" t="str">
        <f>IF(OR(Synthese_Programme!M95="Réservé",Synthese_Programme!M95="Acté",Synthese_Programme!M95="réservé",Synthese_Programme!M95="acté"),Synthese_Programme!N95,"")</f>
        <v/>
      </c>
      <c r="D95" s="93"/>
      <c r="E95" s="93"/>
      <c r="F95" s="93"/>
      <c r="G95" s="93"/>
      <c r="H95" s="93"/>
      <c r="I95" s="98"/>
      <c r="J95" s="94" t="str">
        <f>IF(OR(Synthese_Programme!M95="Réservé",Synthese_Programme!M95="Acté",Synthese_Programme!M95="réservé",Synthese_Programme!M95="acté"),Synthese_Programme!P95,"")</f>
        <v/>
      </c>
      <c r="K95" s="94" t="str">
        <f t="shared" si="2"/>
        <v/>
      </c>
      <c r="L95" s="92"/>
      <c r="M95" s="93"/>
      <c r="N95" s="93"/>
      <c r="O95" s="93"/>
      <c r="P95" s="92" t="str">
        <f t="shared" si="3"/>
        <v/>
      </c>
      <c r="Q95" s="94" t="str">
        <f>IF(Synthese_Programme!Q95="","",Synthese_Programme!Q95)</f>
        <v/>
      </c>
      <c r="R95" s="92"/>
      <c r="S95" s="93"/>
      <c r="T95" s="93"/>
    </row>
    <row r="96" spans="1:20" s="8" customFormat="1" ht="26" customHeight="1" x14ac:dyDescent="0.45">
      <c r="A96" s="92" t="str">
        <f>IF(Synthese_Programme!A96="","",Synthese_Programme!A96)</f>
        <v/>
      </c>
      <c r="B96" s="92" t="str">
        <f>IF(Synthese_Programme!B96="","",Synthese_Programme!B96)</f>
        <v/>
      </c>
      <c r="C96" s="92" t="str">
        <f>IF(OR(Synthese_Programme!M96="Réservé",Synthese_Programme!M96="Acté",Synthese_Programme!M96="réservé",Synthese_Programme!M96="acté"),Synthese_Programme!N96,"")</f>
        <v/>
      </c>
      <c r="D96" s="93"/>
      <c r="E96" s="93"/>
      <c r="F96" s="93"/>
      <c r="G96" s="93"/>
      <c r="H96" s="93"/>
      <c r="I96" s="98"/>
      <c r="J96" s="94" t="str">
        <f>IF(OR(Synthese_Programme!M96="Réservé",Synthese_Programme!M96="Acté",Synthese_Programme!M96="réservé",Synthese_Programme!M96="acté"),Synthese_Programme!P96,"")</f>
        <v/>
      </c>
      <c r="K96" s="94" t="str">
        <f t="shared" si="2"/>
        <v/>
      </c>
      <c r="L96" s="92"/>
      <c r="M96" s="93"/>
      <c r="N96" s="93"/>
      <c r="O96" s="93"/>
      <c r="P96" s="92" t="str">
        <f t="shared" si="3"/>
        <v/>
      </c>
      <c r="Q96" s="94" t="str">
        <f>IF(Synthese_Programme!Q96="","",Synthese_Programme!Q96)</f>
        <v/>
      </c>
      <c r="R96" s="92"/>
      <c r="S96" s="93"/>
      <c r="T96" s="93"/>
    </row>
    <row r="97" spans="1:20" s="8" customFormat="1" ht="26" customHeight="1" x14ac:dyDescent="0.45">
      <c r="A97" s="92" t="str">
        <f>IF(Synthese_Programme!A97="","",Synthese_Programme!A97)</f>
        <v/>
      </c>
      <c r="B97" s="92" t="str">
        <f>IF(Synthese_Programme!B97="","",Synthese_Programme!B97)</f>
        <v/>
      </c>
      <c r="C97" s="92" t="str">
        <f>IF(OR(Synthese_Programme!M97="Réservé",Synthese_Programme!M97="Acté",Synthese_Programme!M97="réservé",Synthese_Programme!M97="acté"),Synthese_Programme!N97,"")</f>
        <v/>
      </c>
      <c r="D97" s="93"/>
      <c r="E97" s="93"/>
      <c r="F97" s="93"/>
      <c r="G97" s="93"/>
      <c r="H97" s="93"/>
      <c r="I97" s="98"/>
      <c r="J97" s="94" t="str">
        <f>IF(OR(Synthese_Programme!M97="Réservé",Synthese_Programme!M97="Acté",Synthese_Programme!M97="réservé",Synthese_Programme!M97="acté"),Synthese_Programme!P97,"")</f>
        <v/>
      </c>
      <c r="K97" s="94" t="str">
        <f t="shared" si="2"/>
        <v/>
      </c>
      <c r="L97" s="92"/>
      <c r="M97" s="93"/>
      <c r="N97" s="93"/>
      <c r="O97" s="93"/>
      <c r="P97" s="92" t="str">
        <f t="shared" si="3"/>
        <v/>
      </c>
      <c r="Q97" s="94" t="str">
        <f>IF(Synthese_Programme!Q97="","",Synthese_Programme!Q97)</f>
        <v/>
      </c>
      <c r="R97" s="92"/>
      <c r="S97" s="93"/>
      <c r="T97" s="93"/>
    </row>
    <row r="98" spans="1:20" s="8" customFormat="1" ht="26" customHeight="1" x14ac:dyDescent="0.45">
      <c r="A98" s="92" t="str">
        <f>IF(Synthese_Programme!A98="","",Synthese_Programme!A98)</f>
        <v/>
      </c>
      <c r="B98" s="92" t="str">
        <f>IF(Synthese_Programme!B98="","",Synthese_Programme!B98)</f>
        <v/>
      </c>
      <c r="C98" s="92" t="str">
        <f>IF(OR(Synthese_Programme!M98="Réservé",Synthese_Programme!M98="Acté",Synthese_Programme!M98="réservé",Synthese_Programme!M98="acté"),Synthese_Programme!N98,"")</f>
        <v/>
      </c>
      <c r="D98" s="93"/>
      <c r="E98" s="93"/>
      <c r="F98" s="93"/>
      <c r="G98" s="93"/>
      <c r="H98" s="93"/>
      <c r="I98" s="98"/>
      <c r="J98" s="94" t="str">
        <f>IF(OR(Synthese_Programme!M98="Réservé",Synthese_Programme!M98="Acté",Synthese_Programme!M98="réservé",Synthese_Programme!M98="acté"),Synthese_Programme!P98,"")</f>
        <v/>
      </c>
      <c r="K98" s="94" t="str">
        <f t="shared" si="2"/>
        <v/>
      </c>
      <c r="L98" s="92"/>
      <c r="M98" s="93"/>
      <c r="N98" s="93"/>
      <c r="O98" s="93"/>
      <c r="P98" s="92" t="str">
        <f t="shared" si="3"/>
        <v/>
      </c>
      <c r="Q98" s="94" t="str">
        <f>IF(Synthese_Programme!Q98="","",Synthese_Programme!Q98)</f>
        <v/>
      </c>
      <c r="R98" s="92"/>
      <c r="S98" s="93"/>
      <c r="T98" s="93"/>
    </row>
    <row r="99" spans="1:20" s="8" customFormat="1" ht="26" customHeight="1" x14ac:dyDescent="0.45">
      <c r="A99" s="92" t="str">
        <f>IF(Synthese_Programme!A99="","",Synthese_Programme!A99)</f>
        <v/>
      </c>
      <c r="B99" s="92" t="str">
        <f>IF(Synthese_Programme!B99="","",Synthese_Programme!B99)</f>
        <v/>
      </c>
      <c r="C99" s="92" t="str">
        <f>IF(OR(Synthese_Programme!M99="Réservé",Synthese_Programme!M99="Acté",Synthese_Programme!M99="réservé",Synthese_Programme!M99="acté"),Synthese_Programme!N99,"")</f>
        <v/>
      </c>
      <c r="D99" s="93"/>
      <c r="E99" s="93"/>
      <c r="F99" s="93"/>
      <c r="G99" s="93"/>
      <c r="H99" s="93"/>
      <c r="I99" s="98"/>
      <c r="J99" s="94" t="str">
        <f>IF(OR(Synthese_Programme!M99="Réservé",Synthese_Programme!M99="Acté",Synthese_Programme!M99="réservé",Synthese_Programme!M99="acté"),Synthese_Programme!P99,"")</f>
        <v/>
      </c>
      <c r="K99" s="94" t="str">
        <f t="shared" si="2"/>
        <v/>
      </c>
      <c r="L99" s="92"/>
      <c r="M99" s="93"/>
      <c r="N99" s="93"/>
      <c r="O99" s="93"/>
      <c r="P99" s="92" t="str">
        <f t="shared" si="3"/>
        <v/>
      </c>
      <c r="Q99" s="94" t="str">
        <f>IF(Synthese_Programme!Q99="","",Synthese_Programme!Q99)</f>
        <v/>
      </c>
      <c r="R99" s="92"/>
      <c r="S99" s="93"/>
      <c r="T99" s="93"/>
    </row>
    <row r="100" spans="1:20" s="8" customFormat="1" ht="26" customHeight="1" x14ac:dyDescent="0.45">
      <c r="A100" s="92" t="str">
        <f>IF(Synthese_Programme!A100="","",Synthese_Programme!A100)</f>
        <v/>
      </c>
      <c r="B100" s="92" t="str">
        <f>IF(Synthese_Programme!B100="","",Synthese_Programme!B100)</f>
        <v/>
      </c>
      <c r="C100" s="92" t="str">
        <f>IF(OR(Synthese_Programme!M100="Réservé",Synthese_Programme!M100="Acté",Synthese_Programme!M100="réservé",Synthese_Programme!M100="acté"),Synthese_Programme!N100,"")</f>
        <v/>
      </c>
      <c r="D100" s="93"/>
      <c r="E100" s="93"/>
      <c r="F100" s="93"/>
      <c r="G100" s="93"/>
      <c r="H100" s="93"/>
      <c r="I100" s="98"/>
      <c r="J100" s="94" t="str">
        <f>IF(OR(Synthese_Programme!M100="Réservé",Synthese_Programme!M100="Acté",Synthese_Programme!M100="réservé",Synthese_Programme!M100="acté"),Synthese_Programme!P100,"")</f>
        <v/>
      </c>
      <c r="K100" s="94" t="str">
        <f t="shared" si="2"/>
        <v/>
      </c>
      <c r="L100" s="92"/>
      <c r="M100" s="93"/>
      <c r="N100" s="93"/>
      <c r="O100" s="93"/>
      <c r="P100" s="92" t="str">
        <f t="shared" si="3"/>
        <v/>
      </c>
      <c r="Q100" s="94" t="str">
        <f>IF(Synthese_Programme!Q100="","",Synthese_Programme!Q100)</f>
        <v/>
      </c>
      <c r="R100" s="92"/>
      <c r="S100" s="93"/>
      <c r="T100" s="93"/>
    </row>
    <row r="101" spans="1:20" s="8" customFormat="1" ht="26" customHeight="1" x14ac:dyDescent="0.45">
      <c r="A101" s="92" t="str">
        <f>IF(Synthese_Programme!A101="","",Synthese_Programme!A101)</f>
        <v/>
      </c>
      <c r="B101" s="92" t="str">
        <f>IF(Synthese_Programme!B101="","",Synthese_Programme!B101)</f>
        <v/>
      </c>
      <c r="C101" s="92" t="str">
        <f>IF(OR(Synthese_Programme!M101="Réservé",Synthese_Programme!M101="Acté",Synthese_Programme!M101="réservé",Synthese_Programme!M101="acté"),Synthese_Programme!N101,"")</f>
        <v/>
      </c>
      <c r="D101" s="93"/>
      <c r="E101" s="93"/>
      <c r="F101" s="93"/>
      <c r="G101" s="93"/>
      <c r="H101" s="93"/>
      <c r="I101" s="98"/>
      <c r="J101" s="94" t="str">
        <f>IF(OR(Synthese_Programme!M101="Réservé",Synthese_Programme!M101="Acté",Synthese_Programme!M101="réservé",Synthese_Programme!M101="acté"),Synthese_Programme!P101,"")</f>
        <v/>
      </c>
      <c r="K101" s="94" t="str">
        <f t="shared" si="2"/>
        <v/>
      </c>
      <c r="L101" s="92"/>
      <c r="M101" s="93"/>
      <c r="N101" s="93"/>
      <c r="O101" s="93"/>
      <c r="P101" s="92" t="str">
        <f t="shared" si="3"/>
        <v/>
      </c>
      <c r="Q101" s="94" t="str">
        <f>IF(Synthese_Programme!Q101="","",Synthese_Programme!Q101)</f>
        <v/>
      </c>
      <c r="R101" s="92"/>
      <c r="S101" s="93"/>
      <c r="T101" s="93"/>
    </row>
    <row r="102" spans="1:20" s="8" customFormat="1" ht="26" customHeight="1" x14ac:dyDescent="0.45">
      <c r="A102" s="92" t="str">
        <f>IF(Synthese_Programme!A102="","",Synthese_Programme!A102)</f>
        <v/>
      </c>
      <c r="B102" s="92" t="str">
        <f>IF(Synthese_Programme!B102="","",Synthese_Programme!B102)</f>
        <v/>
      </c>
      <c r="C102" s="92" t="str">
        <f>IF(OR(Synthese_Programme!M102="Réservé",Synthese_Programme!M102="Acté",Synthese_Programme!M102="réservé",Synthese_Programme!M102="acté"),Synthese_Programme!N102,"")</f>
        <v/>
      </c>
      <c r="D102" s="93"/>
      <c r="E102" s="93"/>
      <c r="F102" s="93"/>
      <c r="G102" s="93"/>
      <c r="H102" s="93"/>
      <c r="I102" s="98"/>
      <c r="J102" s="94" t="str">
        <f>IF(OR(Synthese_Programme!M102="Réservé",Synthese_Programme!M102="Acté",Synthese_Programme!M102="réservé",Synthese_Programme!M102="acté"),Synthese_Programme!P102,"")</f>
        <v/>
      </c>
      <c r="K102" s="94" t="str">
        <f t="shared" si="2"/>
        <v/>
      </c>
      <c r="L102" s="92"/>
      <c r="M102" s="93"/>
      <c r="N102" s="93"/>
      <c r="O102" s="93"/>
      <c r="P102" s="92" t="str">
        <f t="shared" si="3"/>
        <v/>
      </c>
      <c r="Q102" s="94" t="str">
        <f>IF(Synthese_Programme!Q102="","",Synthese_Programme!Q102)</f>
        <v/>
      </c>
      <c r="R102" s="92"/>
      <c r="S102" s="93"/>
      <c r="T102" s="93"/>
    </row>
    <row r="103" spans="1:20" s="8" customFormat="1" ht="26" customHeight="1" x14ac:dyDescent="0.45">
      <c r="A103" s="92" t="str">
        <f>IF(Synthese_Programme!A103="","",Synthese_Programme!A103)</f>
        <v/>
      </c>
      <c r="B103" s="92" t="str">
        <f>IF(Synthese_Programme!B103="","",Synthese_Programme!B103)</f>
        <v/>
      </c>
      <c r="C103" s="92" t="str">
        <f>IF(OR(Synthese_Programme!M103="Réservé",Synthese_Programme!M103="Acté",Synthese_Programme!M103="réservé",Synthese_Programme!M103="acté"),Synthese_Programme!N103,"")</f>
        <v/>
      </c>
      <c r="D103" s="93"/>
      <c r="E103" s="93"/>
      <c r="F103" s="93"/>
      <c r="G103" s="93"/>
      <c r="H103" s="93"/>
      <c r="I103" s="98"/>
      <c r="J103" s="94" t="str">
        <f>IF(OR(Synthese_Programme!M103="Réservé",Synthese_Programme!M103="Acté",Synthese_Programme!M103="réservé",Synthese_Programme!M103="acté"),Synthese_Programme!P103,"")</f>
        <v/>
      </c>
      <c r="K103" s="94" t="str">
        <f t="shared" si="2"/>
        <v/>
      </c>
      <c r="L103" s="92"/>
      <c r="M103" s="93"/>
      <c r="N103" s="93"/>
      <c r="O103" s="93"/>
      <c r="P103" s="92" t="str">
        <f t="shared" si="3"/>
        <v/>
      </c>
      <c r="Q103" s="94" t="str">
        <f>IF(Synthese_Programme!Q103="","",Synthese_Programme!Q103)</f>
        <v/>
      </c>
      <c r="R103" s="92"/>
      <c r="S103" s="93"/>
      <c r="T103" s="93"/>
    </row>
    <row r="104" spans="1:20" s="8" customFormat="1" ht="26" customHeight="1" x14ac:dyDescent="0.45">
      <c r="A104" s="92" t="str">
        <f>IF(Synthese_Programme!A104="","",Synthese_Programme!A104)</f>
        <v/>
      </c>
      <c r="B104" s="92" t="str">
        <f>IF(Synthese_Programme!B104="","",Synthese_Programme!B104)</f>
        <v/>
      </c>
      <c r="C104" s="92" t="str">
        <f>IF(OR(Synthese_Programme!M104="Réservé",Synthese_Programme!M104="Acté",Synthese_Programme!M104="réservé",Synthese_Programme!M104="acté"),Synthese_Programme!N104,"")</f>
        <v/>
      </c>
      <c r="D104" s="93"/>
      <c r="E104" s="93"/>
      <c r="F104" s="93"/>
      <c r="G104" s="93"/>
      <c r="H104" s="93"/>
      <c r="I104" s="98"/>
      <c r="J104" s="94" t="str">
        <f>IF(OR(Synthese_Programme!M104="Réservé",Synthese_Programme!M104="Acté",Synthese_Programme!M104="réservé",Synthese_Programme!M104="acté"),Synthese_Programme!P104,"")</f>
        <v/>
      </c>
      <c r="K104" s="94" t="str">
        <f t="shared" si="2"/>
        <v/>
      </c>
      <c r="L104" s="92"/>
      <c r="M104" s="93"/>
      <c r="N104" s="93"/>
      <c r="O104" s="93"/>
      <c r="P104" s="92" t="str">
        <f t="shared" si="3"/>
        <v/>
      </c>
      <c r="Q104" s="94" t="str">
        <f>IF(Synthese_Programme!Q104="","",Synthese_Programme!Q104)</f>
        <v/>
      </c>
      <c r="R104" s="92"/>
      <c r="S104" s="93"/>
      <c r="T104" s="93"/>
    </row>
    <row r="105" spans="1:20" s="8" customFormat="1" ht="26" customHeight="1" x14ac:dyDescent="0.45">
      <c r="A105" s="92" t="str">
        <f>IF(Synthese_Programme!A105="","",Synthese_Programme!A105)</f>
        <v/>
      </c>
      <c r="B105" s="92" t="str">
        <f>IF(Synthese_Programme!B105="","",Synthese_Programme!B105)</f>
        <v/>
      </c>
      <c r="C105" s="92" t="str">
        <f>IF(OR(Synthese_Programme!M105="Réservé",Synthese_Programme!M105="Acté",Synthese_Programme!M105="réservé",Synthese_Programme!M105="acté"),Synthese_Programme!N105,"")</f>
        <v/>
      </c>
      <c r="D105" s="93"/>
      <c r="E105" s="93"/>
      <c r="F105" s="93"/>
      <c r="G105" s="93"/>
      <c r="H105" s="93"/>
      <c r="I105" s="98"/>
      <c r="J105" s="94" t="str">
        <f>IF(OR(Synthese_Programme!M105="Réservé",Synthese_Programme!M105="Acté",Synthese_Programme!M105="réservé",Synthese_Programme!M105="acté"),Synthese_Programme!P105,"")</f>
        <v/>
      </c>
      <c r="K105" s="94" t="str">
        <f t="shared" si="2"/>
        <v/>
      </c>
      <c r="L105" s="92"/>
      <c r="M105" s="93"/>
      <c r="N105" s="93"/>
      <c r="O105" s="93"/>
      <c r="P105" s="92" t="str">
        <f t="shared" si="3"/>
        <v/>
      </c>
      <c r="Q105" s="94" t="str">
        <f>IF(Synthese_Programme!Q105="","",Synthese_Programme!Q105)</f>
        <v/>
      </c>
      <c r="R105" s="92"/>
      <c r="S105" s="93"/>
      <c r="T105" s="93"/>
    </row>
    <row r="106" spans="1:20" s="8" customFormat="1" ht="26" customHeight="1" x14ac:dyDescent="0.45">
      <c r="A106" s="92" t="str">
        <f>IF(Synthese_Programme!A106="","",Synthese_Programme!A106)</f>
        <v/>
      </c>
      <c r="B106" s="92" t="str">
        <f>IF(Synthese_Programme!B106="","",Synthese_Programme!B106)</f>
        <v/>
      </c>
      <c r="C106" s="92" t="str">
        <f>IF(OR(Synthese_Programme!M106="Réservé",Synthese_Programme!M106="Acté",Synthese_Programme!M106="réservé",Synthese_Programme!M106="acté"),Synthese_Programme!N106,"")</f>
        <v/>
      </c>
      <c r="D106" s="93"/>
      <c r="E106" s="93"/>
      <c r="F106" s="93"/>
      <c r="G106" s="93"/>
      <c r="H106" s="93"/>
      <c r="I106" s="98"/>
      <c r="J106" s="94" t="str">
        <f>IF(OR(Synthese_Programme!M106="Réservé",Synthese_Programme!M106="Acté",Synthese_Programme!M106="réservé",Synthese_Programme!M106="acté"),Synthese_Programme!P106,"")</f>
        <v/>
      </c>
      <c r="K106" s="94" t="str">
        <f t="shared" si="2"/>
        <v/>
      </c>
      <c r="L106" s="92"/>
      <c r="M106" s="93"/>
      <c r="N106" s="93"/>
      <c r="O106" s="93"/>
      <c r="P106" s="92" t="str">
        <f t="shared" si="3"/>
        <v/>
      </c>
      <c r="Q106" s="94" t="str">
        <f>IF(Synthese_Programme!Q106="","",Synthese_Programme!Q106)</f>
        <v/>
      </c>
      <c r="R106" s="92"/>
      <c r="S106" s="93"/>
      <c r="T106" s="93"/>
    </row>
    <row r="107" spans="1:20" s="8" customFormat="1" ht="26" customHeight="1" x14ac:dyDescent="0.45">
      <c r="A107" s="92" t="str">
        <f>IF(Synthese_Programme!A107="","",Synthese_Programme!A107)</f>
        <v/>
      </c>
      <c r="B107" s="92" t="str">
        <f>IF(Synthese_Programme!B107="","",Synthese_Programme!B107)</f>
        <v/>
      </c>
      <c r="C107" s="92" t="str">
        <f>IF(OR(Synthese_Programme!M107="Réservé",Synthese_Programme!M107="Acté",Synthese_Programme!M107="réservé",Synthese_Programme!M107="acté"),Synthese_Programme!N107,"")</f>
        <v/>
      </c>
      <c r="D107" s="93"/>
      <c r="E107" s="93"/>
      <c r="F107" s="93"/>
      <c r="G107" s="93"/>
      <c r="H107" s="93"/>
      <c r="I107" s="98"/>
      <c r="J107" s="94" t="str">
        <f>IF(OR(Synthese_Programme!M107="Réservé",Synthese_Programme!M107="Acté",Synthese_Programme!M107="réservé",Synthese_Programme!M107="acté"),Synthese_Programme!P107,"")</f>
        <v/>
      </c>
      <c r="K107" s="94" t="str">
        <f t="shared" si="2"/>
        <v/>
      </c>
      <c r="L107" s="92"/>
      <c r="M107" s="93"/>
      <c r="N107" s="93"/>
      <c r="O107" s="93"/>
      <c r="P107" s="92" t="str">
        <f t="shared" si="3"/>
        <v/>
      </c>
      <c r="Q107" s="94" t="str">
        <f>IF(Synthese_Programme!Q107="","",Synthese_Programme!Q107)</f>
        <v/>
      </c>
      <c r="R107" s="92"/>
      <c r="S107" s="93"/>
      <c r="T107" s="93"/>
    </row>
    <row r="108" spans="1:20" s="8" customFormat="1" ht="26" customHeight="1" x14ac:dyDescent="0.45">
      <c r="A108" s="92" t="str">
        <f>IF(Synthese_Programme!A108="","",Synthese_Programme!A108)</f>
        <v/>
      </c>
      <c r="B108" s="92" t="str">
        <f>IF(Synthese_Programme!B108="","",Synthese_Programme!B108)</f>
        <v/>
      </c>
      <c r="C108" s="92" t="str">
        <f>IF(OR(Synthese_Programme!M108="Réservé",Synthese_Programme!M108="Acté",Synthese_Programme!M108="réservé",Synthese_Programme!M108="acté"),Synthese_Programme!N108,"")</f>
        <v/>
      </c>
      <c r="D108" s="93"/>
      <c r="E108" s="93"/>
      <c r="F108" s="93"/>
      <c r="G108" s="93"/>
      <c r="H108" s="93"/>
      <c r="I108" s="98"/>
      <c r="J108" s="94" t="str">
        <f>IF(OR(Synthese_Programme!M108="Réservé",Synthese_Programme!M108="Acté",Synthese_Programme!M108="réservé",Synthese_Programme!M108="acté"),Synthese_Programme!P108,"")</f>
        <v/>
      </c>
      <c r="K108" s="94" t="str">
        <f t="shared" si="2"/>
        <v/>
      </c>
      <c r="L108" s="92"/>
      <c r="M108" s="93"/>
      <c r="N108" s="93"/>
      <c r="O108" s="93"/>
      <c r="P108" s="92" t="str">
        <f t="shared" si="3"/>
        <v/>
      </c>
      <c r="Q108" s="94" t="str">
        <f>IF(Synthese_Programme!Q108="","",Synthese_Programme!Q108)</f>
        <v/>
      </c>
      <c r="R108" s="92"/>
      <c r="S108" s="93"/>
      <c r="T108" s="93"/>
    </row>
    <row r="109" spans="1:20" s="8" customFormat="1" ht="26" customHeight="1" x14ac:dyDescent="0.45">
      <c r="A109" s="92" t="str">
        <f>IF(Synthese_Programme!A109="","",Synthese_Programme!A109)</f>
        <v/>
      </c>
      <c r="B109" s="92" t="str">
        <f>IF(Synthese_Programme!B109="","",Synthese_Programme!B109)</f>
        <v/>
      </c>
      <c r="C109" s="92" t="str">
        <f>IF(OR(Synthese_Programme!M109="Réservé",Synthese_Programme!M109="Acté",Synthese_Programme!M109="réservé",Synthese_Programme!M109="acté"),Synthese_Programme!N109,"")</f>
        <v/>
      </c>
      <c r="D109" s="93"/>
      <c r="E109" s="93"/>
      <c r="F109" s="93"/>
      <c r="G109" s="93"/>
      <c r="H109" s="93"/>
      <c r="I109" s="98"/>
      <c r="J109" s="94" t="str">
        <f>IF(OR(Synthese_Programme!M109="Réservé",Synthese_Programme!M109="Acté",Synthese_Programme!M109="réservé",Synthese_Programme!M109="acté"),Synthese_Programme!P109,"")</f>
        <v/>
      </c>
      <c r="K109" s="94" t="str">
        <f t="shared" si="2"/>
        <v/>
      </c>
      <c r="L109" s="92"/>
      <c r="M109" s="93"/>
      <c r="N109" s="93"/>
      <c r="O109" s="93"/>
      <c r="P109" s="92" t="str">
        <f t="shared" si="3"/>
        <v/>
      </c>
      <c r="Q109" s="94" t="str">
        <f>IF(Synthese_Programme!Q109="","",Synthese_Programme!Q109)</f>
        <v/>
      </c>
      <c r="R109" s="92"/>
      <c r="S109" s="93"/>
      <c r="T109" s="93"/>
    </row>
    <row r="110" spans="1:20" s="8" customFormat="1" ht="26" customHeight="1" x14ac:dyDescent="0.45">
      <c r="A110" s="92" t="str">
        <f>IF(Synthese_Programme!A110="","",Synthese_Programme!A110)</f>
        <v/>
      </c>
      <c r="B110" s="92" t="str">
        <f>IF(Synthese_Programme!B110="","",Synthese_Programme!B110)</f>
        <v/>
      </c>
      <c r="C110" s="92" t="str">
        <f>IF(OR(Synthese_Programme!M110="Réservé",Synthese_Programme!M110="Acté",Synthese_Programme!M110="réservé",Synthese_Programme!M110="acté"),Synthese_Programme!N110,"")</f>
        <v/>
      </c>
      <c r="D110" s="93"/>
      <c r="E110" s="93"/>
      <c r="F110" s="93"/>
      <c r="G110" s="93"/>
      <c r="H110" s="93"/>
      <c r="I110" s="98"/>
      <c r="J110" s="94" t="str">
        <f>IF(OR(Synthese_Programme!M110="Réservé",Synthese_Programme!M110="Acté",Synthese_Programme!M110="réservé",Synthese_Programme!M110="acté"),Synthese_Programme!P110,"")</f>
        <v/>
      </c>
      <c r="K110" s="94" t="str">
        <f t="shared" si="2"/>
        <v/>
      </c>
      <c r="L110" s="92"/>
      <c r="M110" s="93"/>
      <c r="N110" s="93"/>
      <c r="O110" s="93"/>
      <c r="P110" s="92" t="str">
        <f t="shared" si="3"/>
        <v/>
      </c>
      <c r="Q110" s="94" t="str">
        <f>IF(Synthese_Programme!Q110="","",Synthese_Programme!Q110)</f>
        <v/>
      </c>
      <c r="R110" s="92"/>
      <c r="S110" s="93"/>
      <c r="T110" s="93"/>
    </row>
    <row r="111" spans="1:20" s="8" customFormat="1" ht="26" customHeight="1" x14ac:dyDescent="0.45">
      <c r="A111" s="92" t="str">
        <f>IF(Synthese_Programme!A111="","",Synthese_Programme!A111)</f>
        <v/>
      </c>
      <c r="B111" s="92" t="str">
        <f>IF(Synthese_Programme!B111="","",Synthese_Programme!B111)</f>
        <v/>
      </c>
      <c r="C111" s="92" t="str">
        <f>IF(OR(Synthese_Programme!M111="Réservé",Synthese_Programme!M111="Acté",Synthese_Programme!M111="réservé",Synthese_Programme!M111="acté"),Synthese_Programme!N111,"")</f>
        <v/>
      </c>
      <c r="D111" s="93"/>
      <c r="E111" s="93"/>
      <c r="F111" s="93"/>
      <c r="G111" s="93"/>
      <c r="H111" s="93"/>
      <c r="I111" s="98"/>
      <c r="J111" s="94" t="str">
        <f>IF(OR(Synthese_Programme!M111="Réservé",Synthese_Programme!M111="Acté",Synthese_Programme!M111="réservé",Synthese_Programme!M111="acté"),Synthese_Programme!P111,"")</f>
        <v/>
      </c>
      <c r="K111" s="94" t="str">
        <f t="shared" si="2"/>
        <v/>
      </c>
      <c r="L111" s="92"/>
      <c r="M111" s="93"/>
      <c r="N111" s="93"/>
      <c r="O111" s="93"/>
      <c r="P111" s="92" t="str">
        <f t="shared" si="3"/>
        <v/>
      </c>
      <c r="Q111" s="94" t="str">
        <f>IF(Synthese_Programme!Q111="","",Synthese_Programme!Q111)</f>
        <v/>
      </c>
      <c r="R111" s="92"/>
      <c r="S111" s="93"/>
      <c r="T111" s="93"/>
    </row>
    <row r="112" spans="1:20" s="8" customFormat="1" ht="26" customHeight="1" x14ac:dyDescent="0.45">
      <c r="A112" s="92" t="str">
        <f>IF(Synthese_Programme!A112="","",Synthese_Programme!A112)</f>
        <v/>
      </c>
      <c r="B112" s="92" t="str">
        <f>IF(Synthese_Programme!B112="","",Synthese_Programme!B112)</f>
        <v/>
      </c>
      <c r="C112" s="92" t="str">
        <f>IF(OR(Synthese_Programme!M112="Réservé",Synthese_Programme!M112="Acté",Synthese_Programme!M112="réservé",Synthese_Programme!M112="acté"),Synthese_Programme!N112,"")</f>
        <v/>
      </c>
      <c r="D112" s="93"/>
      <c r="E112" s="93"/>
      <c r="F112" s="93"/>
      <c r="G112" s="93"/>
      <c r="H112" s="93"/>
      <c r="I112" s="98"/>
      <c r="J112" s="94" t="str">
        <f>IF(OR(Synthese_Programme!M112="Réservé",Synthese_Programme!M112="Acté",Synthese_Programme!M112="réservé",Synthese_Programme!M112="acté"),Synthese_Programme!P112,"")</f>
        <v/>
      </c>
      <c r="K112" s="94" t="str">
        <f t="shared" si="2"/>
        <v/>
      </c>
      <c r="L112" s="92"/>
      <c r="M112" s="93"/>
      <c r="N112" s="93"/>
      <c r="O112" s="93"/>
      <c r="P112" s="92" t="str">
        <f t="shared" si="3"/>
        <v/>
      </c>
      <c r="Q112" s="94" t="str">
        <f>IF(Synthese_Programme!Q112="","",Synthese_Programme!Q112)</f>
        <v/>
      </c>
      <c r="R112" s="92"/>
      <c r="S112" s="93"/>
      <c r="T112" s="93"/>
    </row>
    <row r="113" spans="1:20" s="8" customFormat="1" ht="26" customHeight="1" x14ac:dyDescent="0.45">
      <c r="A113" s="92" t="str">
        <f>IF(Synthese_Programme!A113="","",Synthese_Programme!A113)</f>
        <v/>
      </c>
      <c r="B113" s="92" t="str">
        <f>IF(Synthese_Programme!B113="","",Synthese_Programme!B113)</f>
        <v/>
      </c>
      <c r="C113" s="92" t="str">
        <f>IF(OR(Synthese_Programme!M113="Réservé",Synthese_Programme!M113="Acté",Synthese_Programme!M113="réservé",Synthese_Programme!M113="acté"),Synthese_Programme!N113,"")</f>
        <v/>
      </c>
      <c r="D113" s="93"/>
      <c r="E113" s="93"/>
      <c r="F113" s="93"/>
      <c r="G113" s="93"/>
      <c r="H113" s="93"/>
      <c r="I113" s="98"/>
      <c r="J113" s="94" t="str">
        <f>IF(OR(Synthese_Programme!M113="Réservé",Synthese_Programme!M113="Acté",Synthese_Programme!M113="réservé",Synthese_Programme!M113="acté"),Synthese_Programme!P113,"")</f>
        <v/>
      </c>
      <c r="K113" s="94" t="str">
        <f t="shared" si="2"/>
        <v/>
      </c>
      <c r="L113" s="92"/>
      <c r="M113" s="93"/>
      <c r="N113" s="93"/>
      <c r="O113" s="93"/>
      <c r="P113" s="92" t="str">
        <f t="shared" si="3"/>
        <v/>
      </c>
      <c r="Q113" s="94" t="str">
        <f>IF(Synthese_Programme!Q113="","",Synthese_Programme!Q113)</f>
        <v/>
      </c>
      <c r="R113" s="92"/>
      <c r="S113" s="93"/>
      <c r="T113" s="93"/>
    </row>
    <row r="114" spans="1:20" s="8" customFormat="1" ht="26" customHeight="1" x14ac:dyDescent="0.45">
      <c r="A114" s="92" t="str">
        <f>IF(Synthese_Programme!A114="","",Synthese_Programme!A114)</f>
        <v/>
      </c>
      <c r="B114" s="92" t="str">
        <f>IF(Synthese_Programme!B114="","",Synthese_Programme!B114)</f>
        <v/>
      </c>
      <c r="C114" s="92" t="str">
        <f>IF(OR(Synthese_Programme!M114="Réservé",Synthese_Programme!M114="Acté",Synthese_Programme!M114="réservé",Synthese_Programme!M114="acté"),Synthese_Programme!N114,"")</f>
        <v/>
      </c>
      <c r="D114" s="93"/>
      <c r="E114" s="93"/>
      <c r="F114" s="93"/>
      <c r="G114" s="93"/>
      <c r="H114" s="93"/>
      <c r="I114" s="98"/>
      <c r="J114" s="94" t="str">
        <f>IF(OR(Synthese_Programme!M114="Réservé",Synthese_Programme!M114="Acté",Synthese_Programme!M114="réservé",Synthese_Programme!M114="acté"),Synthese_Programme!P114,"")</f>
        <v/>
      </c>
      <c r="K114" s="94" t="str">
        <f t="shared" si="2"/>
        <v/>
      </c>
      <c r="L114" s="92"/>
      <c r="M114" s="93"/>
      <c r="N114" s="93"/>
      <c r="O114" s="93"/>
      <c r="P114" s="92" t="str">
        <f t="shared" si="3"/>
        <v/>
      </c>
      <c r="Q114" s="94" t="str">
        <f>IF(Synthese_Programme!Q114="","",Synthese_Programme!Q114)</f>
        <v/>
      </c>
      <c r="R114" s="92"/>
      <c r="S114" s="93"/>
      <c r="T114" s="93"/>
    </row>
    <row r="115" spans="1:20" s="8" customFormat="1" ht="26" customHeight="1" x14ac:dyDescent="0.45">
      <c r="A115" s="92" t="str">
        <f>IF(Synthese_Programme!A115="","",Synthese_Programme!A115)</f>
        <v/>
      </c>
      <c r="B115" s="92" t="str">
        <f>IF(Synthese_Programme!B115="","",Synthese_Programme!B115)</f>
        <v/>
      </c>
      <c r="C115" s="92" t="str">
        <f>IF(OR(Synthese_Programme!M115="Réservé",Synthese_Programme!M115="Acté",Synthese_Programme!M115="réservé",Synthese_Programme!M115="acté"),Synthese_Programme!N115,"")</f>
        <v/>
      </c>
      <c r="D115" s="93"/>
      <c r="E115" s="93"/>
      <c r="F115" s="93"/>
      <c r="G115" s="93"/>
      <c r="H115" s="93"/>
      <c r="I115" s="98"/>
      <c r="J115" s="94" t="str">
        <f>IF(OR(Synthese_Programme!M115="Réservé",Synthese_Programme!M115="Acté",Synthese_Programme!M115="réservé",Synthese_Programme!M115="acté"),Synthese_Programme!P115,"")</f>
        <v/>
      </c>
      <c r="K115" s="94" t="str">
        <f t="shared" si="2"/>
        <v/>
      </c>
      <c r="L115" s="92"/>
      <c r="M115" s="93"/>
      <c r="N115" s="93"/>
      <c r="O115" s="93"/>
      <c r="P115" s="92" t="str">
        <f t="shared" si="3"/>
        <v/>
      </c>
      <c r="Q115" s="94" t="str">
        <f>IF(Synthese_Programme!Q115="","",Synthese_Programme!Q115)</f>
        <v/>
      </c>
      <c r="R115" s="92"/>
      <c r="S115" s="93"/>
      <c r="T115" s="93"/>
    </row>
    <row r="116" spans="1:20" s="8" customFormat="1" ht="26" customHeight="1" x14ac:dyDescent="0.45">
      <c r="A116" s="92" t="str">
        <f>IF(Synthese_Programme!A116="","",Synthese_Programme!A116)</f>
        <v/>
      </c>
      <c r="B116" s="92" t="str">
        <f>IF(Synthese_Programme!B116="","",Synthese_Programme!B116)</f>
        <v/>
      </c>
      <c r="C116" s="92" t="str">
        <f>IF(OR(Synthese_Programme!M116="Réservé",Synthese_Programme!M116="Acté",Synthese_Programme!M116="réservé",Synthese_Programme!M116="acté"),Synthese_Programme!N116,"")</f>
        <v/>
      </c>
      <c r="D116" s="93"/>
      <c r="E116" s="93"/>
      <c r="F116" s="93"/>
      <c r="G116" s="93"/>
      <c r="H116" s="93"/>
      <c r="I116" s="98"/>
      <c r="J116" s="94" t="str">
        <f>IF(OR(Synthese_Programme!M116="Réservé",Synthese_Programme!M116="Acté",Synthese_Programme!M116="réservé",Synthese_Programme!M116="acté"),Synthese_Programme!P116,"")</f>
        <v/>
      </c>
      <c r="K116" s="94" t="str">
        <f t="shared" si="2"/>
        <v/>
      </c>
      <c r="L116" s="92"/>
      <c r="M116" s="93"/>
      <c r="N116" s="93"/>
      <c r="O116" s="93"/>
      <c r="P116" s="92" t="str">
        <f t="shared" si="3"/>
        <v/>
      </c>
      <c r="Q116" s="94" t="str">
        <f>IF(Synthese_Programme!Q116="","",Synthese_Programme!Q116)</f>
        <v/>
      </c>
      <c r="R116" s="92"/>
      <c r="S116" s="93"/>
      <c r="T116" s="93"/>
    </row>
    <row r="117" spans="1:20" s="8" customFormat="1" ht="26" customHeight="1" x14ac:dyDescent="0.45">
      <c r="A117" s="92" t="str">
        <f>IF(Synthese_Programme!A117="","",Synthese_Programme!A117)</f>
        <v/>
      </c>
      <c r="B117" s="92" t="str">
        <f>IF(Synthese_Programme!B117="","",Synthese_Programme!B117)</f>
        <v/>
      </c>
      <c r="C117" s="92" t="str">
        <f>IF(OR(Synthese_Programme!M117="Réservé",Synthese_Programme!M117="Acté",Synthese_Programme!M117="réservé",Synthese_Programme!M117="acté"),Synthese_Programme!N117,"")</f>
        <v/>
      </c>
      <c r="D117" s="93"/>
      <c r="E117" s="93"/>
      <c r="F117" s="93"/>
      <c r="G117" s="93"/>
      <c r="H117" s="93"/>
      <c r="I117" s="98"/>
      <c r="J117" s="94" t="str">
        <f>IF(OR(Synthese_Programme!M117="Réservé",Synthese_Programme!M117="Acté",Synthese_Programme!M117="réservé",Synthese_Programme!M117="acté"),Synthese_Programme!P117,"")</f>
        <v/>
      </c>
      <c r="K117" s="94" t="str">
        <f t="shared" si="2"/>
        <v/>
      </c>
      <c r="L117" s="92"/>
      <c r="M117" s="93"/>
      <c r="N117" s="93"/>
      <c r="O117" s="93"/>
      <c r="P117" s="92" t="str">
        <f t="shared" si="3"/>
        <v/>
      </c>
      <c r="Q117" s="94" t="str">
        <f>IF(Synthese_Programme!Q117="","",Synthese_Programme!Q117)</f>
        <v/>
      </c>
      <c r="R117" s="92"/>
      <c r="S117" s="93"/>
      <c r="T117" s="93"/>
    </row>
    <row r="118" spans="1:20" s="8" customFormat="1" ht="26" customHeight="1" x14ac:dyDescent="0.45">
      <c r="A118" s="92" t="str">
        <f>IF(Synthese_Programme!A118="","",Synthese_Programme!A118)</f>
        <v/>
      </c>
      <c r="B118" s="92" t="str">
        <f>IF(Synthese_Programme!B118="","",Synthese_Programme!B118)</f>
        <v/>
      </c>
      <c r="C118" s="92" t="str">
        <f>IF(OR(Synthese_Programme!M118="Réservé",Synthese_Programme!M118="Acté",Synthese_Programme!M118="réservé",Synthese_Programme!M118="acté"),Synthese_Programme!N118,"")</f>
        <v/>
      </c>
      <c r="D118" s="93"/>
      <c r="E118" s="93"/>
      <c r="F118" s="93"/>
      <c r="G118" s="93"/>
      <c r="H118" s="93"/>
      <c r="I118" s="98"/>
      <c r="J118" s="94" t="str">
        <f>IF(OR(Synthese_Programme!M118="Réservé",Synthese_Programme!M118="Acté",Synthese_Programme!M118="réservé",Synthese_Programme!M118="acté"),Synthese_Programme!P118,"")</f>
        <v/>
      </c>
      <c r="K118" s="94" t="str">
        <f t="shared" si="2"/>
        <v/>
      </c>
      <c r="L118" s="92"/>
      <c r="M118" s="93"/>
      <c r="N118" s="93"/>
      <c r="O118" s="93"/>
      <c r="P118" s="92" t="str">
        <f t="shared" si="3"/>
        <v/>
      </c>
      <c r="Q118" s="94" t="str">
        <f>IF(Synthese_Programme!Q118="","",Synthese_Programme!Q118)</f>
        <v/>
      </c>
      <c r="R118" s="92"/>
      <c r="S118" s="93"/>
      <c r="T118" s="93"/>
    </row>
    <row r="119" spans="1:20" s="8" customFormat="1" ht="26" customHeight="1" x14ac:dyDescent="0.45">
      <c r="A119" s="92" t="str">
        <f>IF(Synthese_Programme!A119="","",Synthese_Programme!A119)</f>
        <v/>
      </c>
      <c r="B119" s="92" t="str">
        <f>IF(Synthese_Programme!B119="","",Synthese_Programme!B119)</f>
        <v/>
      </c>
      <c r="C119" s="92" t="str">
        <f>IF(OR(Synthese_Programme!M119="Réservé",Synthese_Programme!M119="Acté",Synthese_Programme!M119="réservé",Synthese_Programme!M119="acté"),Synthese_Programme!N119,"")</f>
        <v/>
      </c>
      <c r="D119" s="93"/>
      <c r="E119" s="93"/>
      <c r="F119" s="93"/>
      <c r="G119" s="93"/>
      <c r="H119" s="93"/>
      <c r="I119" s="98"/>
      <c r="J119" s="94" t="str">
        <f>IF(OR(Synthese_Programme!M119="Réservé",Synthese_Programme!M119="Acté",Synthese_Programme!M119="réservé",Synthese_Programme!M119="acté"),Synthese_Programme!P119,"")</f>
        <v/>
      </c>
      <c r="K119" s="94" t="str">
        <f t="shared" si="2"/>
        <v/>
      </c>
      <c r="L119" s="92"/>
      <c r="M119" s="93"/>
      <c r="N119" s="93"/>
      <c r="O119" s="93"/>
      <c r="P119" s="92" t="str">
        <f t="shared" si="3"/>
        <v/>
      </c>
      <c r="Q119" s="94" t="str">
        <f>IF(Synthese_Programme!Q119="","",Synthese_Programme!Q119)</f>
        <v/>
      </c>
      <c r="R119" s="92"/>
      <c r="S119" s="93"/>
      <c r="T119" s="93"/>
    </row>
    <row r="120" spans="1:20" s="8" customFormat="1" ht="26" customHeight="1" x14ac:dyDescent="0.45">
      <c r="A120" s="92" t="str">
        <f>IF(Synthese_Programme!A120="","",Synthese_Programme!A120)</f>
        <v/>
      </c>
      <c r="B120" s="92" t="str">
        <f>IF(Synthese_Programme!B120="","",Synthese_Programme!B120)</f>
        <v/>
      </c>
      <c r="C120" s="92" t="str">
        <f>IF(OR(Synthese_Programme!M120="Réservé",Synthese_Programme!M120="Acté",Synthese_Programme!M120="réservé",Synthese_Programme!M120="acté"),Synthese_Programme!N120,"")</f>
        <v/>
      </c>
      <c r="D120" s="93"/>
      <c r="E120" s="93"/>
      <c r="F120" s="93"/>
      <c r="G120" s="93"/>
      <c r="H120" s="93"/>
      <c r="I120" s="98"/>
      <c r="J120" s="94" t="str">
        <f>IF(OR(Synthese_Programme!M120="Réservé",Synthese_Programme!M120="Acté",Synthese_Programme!M120="réservé",Synthese_Programme!M120="acté"),Synthese_Programme!P120,"")</f>
        <v/>
      </c>
      <c r="K120" s="94" t="str">
        <f t="shared" si="2"/>
        <v/>
      </c>
      <c r="L120" s="92"/>
      <c r="M120" s="93"/>
      <c r="N120" s="93"/>
      <c r="O120" s="93"/>
      <c r="P120" s="92" t="str">
        <f t="shared" si="3"/>
        <v/>
      </c>
      <c r="Q120" s="94" t="str">
        <f>IF(Synthese_Programme!Q120="","",Synthese_Programme!Q120)</f>
        <v/>
      </c>
      <c r="R120" s="92"/>
      <c r="S120" s="93"/>
      <c r="T120" s="93"/>
    </row>
    <row r="121" spans="1:20" s="8" customFormat="1" ht="26" customHeight="1" x14ac:dyDescent="0.45">
      <c r="A121" s="92" t="str">
        <f>IF(Synthese_Programme!A121="","",Synthese_Programme!A121)</f>
        <v/>
      </c>
      <c r="B121" s="92" t="str">
        <f>IF(Synthese_Programme!B121="","",Synthese_Programme!B121)</f>
        <v/>
      </c>
      <c r="C121" s="92" t="str">
        <f>IF(OR(Synthese_Programme!M121="Réservé",Synthese_Programme!M121="Acté",Synthese_Programme!M121="réservé",Synthese_Programme!M121="acté"),Synthese_Programme!N121,"")</f>
        <v/>
      </c>
      <c r="D121" s="93"/>
      <c r="E121" s="93"/>
      <c r="F121" s="93"/>
      <c r="G121" s="93"/>
      <c r="H121" s="93"/>
      <c r="I121" s="98"/>
      <c r="J121" s="94" t="str">
        <f>IF(OR(Synthese_Programme!M121="Réservé",Synthese_Programme!M121="Acté",Synthese_Programme!M121="réservé",Synthese_Programme!M121="acté"),Synthese_Programme!P121,"")</f>
        <v/>
      </c>
      <c r="K121" s="94" t="str">
        <f t="shared" si="2"/>
        <v/>
      </c>
      <c r="L121" s="92"/>
      <c r="M121" s="93"/>
      <c r="N121" s="93"/>
      <c r="O121" s="93"/>
      <c r="P121" s="92" t="str">
        <f t="shared" si="3"/>
        <v/>
      </c>
      <c r="Q121" s="94" t="str">
        <f>IF(Synthese_Programme!Q121="","",Synthese_Programme!Q121)</f>
        <v/>
      </c>
      <c r="R121" s="92"/>
      <c r="S121" s="93"/>
      <c r="T121" s="93"/>
    </row>
    <row r="122" spans="1:20" s="8" customFormat="1" ht="26" customHeight="1" x14ac:dyDescent="0.45">
      <c r="A122" s="92" t="str">
        <f>IF(Synthese_Programme!A122="","",Synthese_Programme!A122)</f>
        <v/>
      </c>
      <c r="B122" s="92" t="str">
        <f>IF(Synthese_Programme!B122="","",Synthese_Programme!B122)</f>
        <v/>
      </c>
      <c r="C122" s="92" t="str">
        <f>IF(OR(Synthese_Programme!M122="Réservé",Synthese_Programme!M122="Acté",Synthese_Programme!M122="réservé",Synthese_Programme!M122="acté"),Synthese_Programme!N122,"")</f>
        <v/>
      </c>
      <c r="D122" s="93"/>
      <c r="E122" s="93"/>
      <c r="F122" s="93"/>
      <c r="G122" s="93"/>
      <c r="H122" s="93"/>
      <c r="I122" s="98"/>
      <c r="J122" s="94" t="str">
        <f>IF(OR(Synthese_Programme!M122="Réservé",Synthese_Programme!M122="Acté",Synthese_Programme!M122="réservé",Synthese_Programme!M122="acté"),Synthese_Programme!P122,"")</f>
        <v/>
      </c>
      <c r="K122" s="94" t="str">
        <f t="shared" si="2"/>
        <v/>
      </c>
      <c r="L122" s="92"/>
      <c r="M122" s="93"/>
      <c r="N122" s="93"/>
      <c r="O122" s="93"/>
      <c r="P122" s="92" t="str">
        <f t="shared" si="3"/>
        <v/>
      </c>
      <c r="Q122" s="94" t="str">
        <f>IF(Synthese_Programme!Q122="","",Synthese_Programme!Q122)</f>
        <v/>
      </c>
      <c r="R122" s="92"/>
      <c r="S122" s="93"/>
      <c r="T122" s="93"/>
    </row>
    <row r="123" spans="1:20" s="8" customFormat="1" ht="26" customHeight="1" x14ac:dyDescent="0.45">
      <c r="A123" s="92" t="str">
        <f>IF(Synthese_Programme!A123="","",Synthese_Programme!A123)</f>
        <v/>
      </c>
      <c r="B123" s="92" t="str">
        <f>IF(Synthese_Programme!B123="","",Synthese_Programme!B123)</f>
        <v/>
      </c>
      <c r="C123" s="92" t="str">
        <f>IF(OR(Synthese_Programme!M123="Réservé",Synthese_Programme!M123="Acté",Synthese_Programme!M123="réservé",Synthese_Programme!M123="acté"),Synthese_Programme!N123,"")</f>
        <v/>
      </c>
      <c r="D123" s="93"/>
      <c r="E123" s="93"/>
      <c r="F123" s="93"/>
      <c r="G123" s="93"/>
      <c r="H123" s="93"/>
      <c r="I123" s="98"/>
      <c r="J123" s="94" t="str">
        <f>IF(OR(Synthese_Programme!M123="Réservé",Synthese_Programme!M123="Acté",Synthese_Programme!M123="réservé",Synthese_Programme!M123="acté"),Synthese_Programme!P123,"")</f>
        <v/>
      </c>
      <c r="K123" s="94" t="str">
        <f t="shared" si="2"/>
        <v/>
      </c>
      <c r="L123" s="92"/>
      <c r="M123" s="93"/>
      <c r="N123" s="93"/>
      <c r="O123" s="93"/>
      <c r="P123" s="92" t="str">
        <f t="shared" si="3"/>
        <v/>
      </c>
      <c r="Q123" s="94" t="str">
        <f>IF(Synthese_Programme!Q123="","",Synthese_Programme!Q123)</f>
        <v/>
      </c>
      <c r="R123" s="92"/>
      <c r="S123" s="93"/>
      <c r="T123" s="93"/>
    </row>
    <row r="124" spans="1:20" s="8" customFormat="1" ht="26" customHeight="1" x14ac:dyDescent="0.45">
      <c r="A124" s="92" t="str">
        <f>IF(Synthese_Programme!A124="","",Synthese_Programme!A124)</f>
        <v/>
      </c>
      <c r="B124" s="92" t="str">
        <f>IF(Synthese_Programme!B124="","",Synthese_Programme!B124)</f>
        <v/>
      </c>
      <c r="C124" s="92" t="str">
        <f>IF(OR(Synthese_Programme!M124="Réservé",Synthese_Programme!M124="Acté",Synthese_Programme!M124="réservé",Synthese_Programme!M124="acté"),Synthese_Programme!N124,"")</f>
        <v/>
      </c>
      <c r="D124" s="93"/>
      <c r="E124" s="93"/>
      <c r="F124" s="93"/>
      <c r="G124" s="93"/>
      <c r="H124" s="93"/>
      <c r="I124" s="98"/>
      <c r="J124" s="94" t="str">
        <f>IF(OR(Synthese_Programme!M124="Réservé",Synthese_Programme!M124="Acté",Synthese_Programme!M124="réservé",Synthese_Programme!M124="acté"),Synthese_Programme!P124,"")</f>
        <v/>
      </c>
      <c r="K124" s="94" t="str">
        <f t="shared" si="2"/>
        <v/>
      </c>
      <c r="L124" s="92"/>
      <c r="M124" s="93"/>
      <c r="N124" s="93"/>
      <c r="O124" s="93"/>
      <c r="P124" s="92" t="str">
        <f t="shared" si="3"/>
        <v/>
      </c>
      <c r="Q124" s="94" t="str">
        <f>IF(Synthese_Programme!Q124="","",Synthese_Programme!Q124)</f>
        <v/>
      </c>
      <c r="R124" s="92"/>
      <c r="S124" s="93"/>
      <c r="T124" s="93"/>
    </row>
    <row r="125" spans="1:20" s="8" customFormat="1" ht="26" customHeight="1" x14ac:dyDescent="0.45">
      <c r="A125" s="92" t="str">
        <f>IF(Synthese_Programme!A125="","",Synthese_Programme!A125)</f>
        <v/>
      </c>
      <c r="B125" s="92" t="str">
        <f>IF(Synthese_Programme!B125="","",Synthese_Programme!B125)</f>
        <v/>
      </c>
      <c r="C125" s="92" t="str">
        <f>IF(OR(Synthese_Programme!M125="Réservé",Synthese_Programme!M125="Acté",Synthese_Programme!M125="réservé",Synthese_Programme!M125="acté"),Synthese_Programme!N125,"")</f>
        <v/>
      </c>
      <c r="D125" s="93"/>
      <c r="E125" s="93"/>
      <c r="F125" s="93"/>
      <c r="G125" s="93"/>
      <c r="H125" s="93"/>
      <c r="I125" s="98"/>
      <c r="J125" s="94" t="str">
        <f>IF(OR(Synthese_Programme!M125="Réservé",Synthese_Programme!M125="Acté",Synthese_Programme!M125="réservé",Synthese_Programme!M125="acté"),Synthese_Programme!P125,"")</f>
        <v/>
      </c>
      <c r="K125" s="94" t="str">
        <f t="shared" si="2"/>
        <v/>
      </c>
      <c r="L125" s="92"/>
      <c r="M125" s="93"/>
      <c r="N125" s="93"/>
      <c r="O125" s="93"/>
      <c r="P125" s="92" t="str">
        <f t="shared" si="3"/>
        <v/>
      </c>
      <c r="Q125" s="94" t="str">
        <f>IF(Synthese_Programme!Q125="","",Synthese_Programme!Q125)</f>
        <v/>
      </c>
      <c r="R125" s="92"/>
      <c r="S125" s="93"/>
      <c r="T125" s="93"/>
    </row>
    <row r="126" spans="1:20" s="8" customFormat="1" ht="26" customHeight="1" x14ac:dyDescent="0.45">
      <c r="A126" s="92" t="str">
        <f>IF(Synthese_Programme!A126="","",Synthese_Programme!A126)</f>
        <v/>
      </c>
      <c r="B126" s="92" t="str">
        <f>IF(Synthese_Programme!B126="","",Synthese_Programme!B126)</f>
        <v/>
      </c>
      <c r="C126" s="92" t="str">
        <f>IF(OR(Synthese_Programme!M126="Réservé",Synthese_Programme!M126="Acté",Synthese_Programme!M126="réservé",Synthese_Programme!M126="acté"),Synthese_Programme!N126,"")</f>
        <v/>
      </c>
      <c r="D126" s="93"/>
      <c r="E126" s="93"/>
      <c r="F126" s="93"/>
      <c r="G126" s="93"/>
      <c r="H126" s="93"/>
      <c r="I126" s="98"/>
      <c r="J126" s="94" t="str">
        <f>IF(OR(Synthese_Programme!M126="Réservé",Synthese_Programme!M126="Acté",Synthese_Programme!M126="réservé",Synthese_Programme!M126="acté"),Synthese_Programme!P126,"")</f>
        <v/>
      </c>
      <c r="K126" s="94" t="str">
        <f t="shared" si="2"/>
        <v/>
      </c>
      <c r="L126" s="92"/>
      <c r="M126" s="93"/>
      <c r="N126" s="93"/>
      <c r="O126" s="93"/>
      <c r="P126" s="92" t="str">
        <f t="shared" si="3"/>
        <v/>
      </c>
      <c r="Q126" s="94" t="str">
        <f>IF(Synthese_Programme!Q126="","",Synthese_Programme!Q126)</f>
        <v/>
      </c>
      <c r="R126" s="92"/>
      <c r="S126" s="93"/>
      <c r="T126" s="93"/>
    </row>
    <row r="127" spans="1:20" s="8" customFormat="1" ht="26" customHeight="1" x14ac:dyDescent="0.45">
      <c r="A127" s="92" t="str">
        <f>IF(Synthese_Programme!A127="","",Synthese_Programme!A127)</f>
        <v/>
      </c>
      <c r="B127" s="92" t="str">
        <f>IF(Synthese_Programme!B127="","",Synthese_Programme!B127)</f>
        <v/>
      </c>
      <c r="C127" s="92" t="str">
        <f>IF(OR(Synthese_Programme!M127="Réservé",Synthese_Programme!M127="Acté",Synthese_Programme!M127="réservé",Synthese_Programme!M127="acté"),Synthese_Programme!N127,"")</f>
        <v/>
      </c>
      <c r="D127" s="93"/>
      <c r="E127" s="93"/>
      <c r="F127" s="93"/>
      <c r="G127" s="93"/>
      <c r="H127" s="93"/>
      <c r="I127" s="98"/>
      <c r="J127" s="94" t="str">
        <f>IF(OR(Synthese_Programme!M127="Réservé",Synthese_Programme!M127="Acté",Synthese_Programme!M127="réservé",Synthese_Programme!M127="acté"),Synthese_Programme!P127,"")</f>
        <v/>
      </c>
      <c r="K127" s="94" t="str">
        <f t="shared" si="2"/>
        <v/>
      </c>
      <c r="L127" s="92"/>
      <c r="M127" s="93"/>
      <c r="N127" s="93"/>
      <c r="O127" s="93"/>
      <c r="P127" s="92" t="str">
        <f t="shared" si="3"/>
        <v/>
      </c>
      <c r="Q127" s="94" t="str">
        <f>IF(Synthese_Programme!Q127="","",Synthese_Programme!Q127)</f>
        <v/>
      </c>
      <c r="R127" s="92"/>
      <c r="S127" s="93"/>
      <c r="T127" s="93"/>
    </row>
    <row r="128" spans="1:20" s="8" customFormat="1" ht="26" customHeight="1" x14ac:dyDescent="0.45">
      <c r="A128" s="92" t="str">
        <f>IF(Synthese_Programme!A128="","",Synthese_Programme!A128)</f>
        <v/>
      </c>
      <c r="B128" s="92" t="str">
        <f>IF(Synthese_Programme!B128="","",Synthese_Programme!B128)</f>
        <v/>
      </c>
      <c r="C128" s="92" t="str">
        <f>IF(OR(Synthese_Programme!M128="Réservé",Synthese_Programme!M128="Acté",Synthese_Programme!M128="réservé",Synthese_Programme!M128="acté"),Synthese_Programme!N128,"")</f>
        <v/>
      </c>
      <c r="D128" s="93"/>
      <c r="E128" s="93"/>
      <c r="F128" s="93"/>
      <c r="G128" s="93"/>
      <c r="H128" s="93"/>
      <c r="I128" s="98"/>
      <c r="J128" s="94" t="str">
        <f>IF(OR(Synthese_Programme!M128="Réservé",Synthese_Programme!M128="Acté",Synthese_Programme!M128="réservé",Synthese_Programme!M128="acté"),Synthese_Programme!P128,"")</f>
        <v/>
      </c>
      <c r="K128" s="94" t="str">
        <f t="shared" si="2"/>
        <v/>
      </c>
      <c r="L128" s="92"/>
      <c r="M128" s="93"/>
      <c r="N128" s="93"/>
      <c r="O128" s="93"/>
      <c r="P128" s="92" t="str">
        <f t="shared" si="3"/>
        <v/>
      </c>
      <c r="Q128" s="94" t="str">
        <f>IF(Synthese_Programme!Q128="","",Synthese_Programme!Q128)</f>
        <v/>
      </c>
      <c r="R128" s="92"/>
      <c r="S128" s="93"/>
      <c r="T128" s="93"/>
    </row>
    <row r="129" spans="1:20" s="8" customFormat="1" ht="26" customHeight="1" x14ac:dyDescent="0.45">
      <c r="A129" s="92" t="str">
        <f>IF(Synthese_Programme!A129="","",Synthese_Programme!A129)</f>
        <v/>
      </c>
      <c r="B129" s="92" t="str">
        <f>IF(Synthese_Programme!B129="","",Synthese_Programme!B129)</f>
        <v/>
      </c>
      <c r="C129" s="92" t="str">
        <f>IF(OR(Synthese_Programme!M129="Réservé",Synthese_Programme!M129="Acté",Synthese_Programme!M129="réservé",Synthese_Programme!M129="acté"),Synthese_Programme!N129,"")</f>
        <v/>
      </c>
      <c r="D129" s="93"/>
      <c r="E129" s="93"/>
      <c r="F129" s="93"/>
      <c r="G129" s="93"/>
      <c r="H129" s="93"/>
      <c r="I129" s="98"/>
      <c r="J129" s="94" t="str">
        <f>IF(OR(Synthese_Programme!M129="Réservé",Synthese_Programme!M129="Acté",Synthese_Programme!M129="réservé",Synthese_Programme!M129="acté"),Synthese_Programme!P129,"")</f>
        <v/>
      </c>
      <c r="K129" s="94" t="str">
        <f t="shared" si="2"/>
        <v/>
      </c>
      <c r="L129" s="92"/>
      <c r="M129" s="93"/>
      <c r="N129" s="93"/>
      <c r="O129" s="93"/>
      <c r="P129" s="92" t="str">
        <f t="shared" si="3"/>
        <v/>
      </c>
      <c r="Q129" s="94" t="str">
        <f>IF(Synthese_Programme!Q129="","",Synthese_Programme!Q129)</f>
        <v/>
      </c>
      <c r="R129" s="92"/>
      <c r="S129" s="93"/>
      <c r="T129" s="93"/>
    </row>
    <row r="130" spans="1:20" s="8" customFormat="1" ht="26" customHeight="1" x14ac:dyDescent="0.45">
      <c r="A130" s="92" t="str">
        <f>IF(Synthese_Programme!A130="","",Synthese_Programme!A130)</f>
        <v/>
      </c>
      <c r="B130" s="92" t="str">
        <f>IF(Synthese_Programme!B130="","",Synthese_Programme!B130)</f>
        <v/>
      </c>
      <c r="C130" s="92" t="str">
        <f>IF(OR(Synthese_Programme!M130="Réservé",Synthese_Programme!M130="Acté",Synthese_Programme!M130="réservé",Synthese_Programme!M130="acté"),Synthese_Programme!N130,"")</f>
        <v/>
      </c>
      <c r="D130" s="93"/>
      <c r="E130" s="93"/>
      <c r="F130" s="93"/>
      <c r="G130" s="93"/>
      <c r="H130" s="93"/>
      <c r="I130" s="98"/>
      <c r="J130" s="94" t="str">
        <f>IF(OR(Synthese_Programme!M130="Réservé",Synthese_Programme!M130="Acté",Synthese_Programme!M130="réservé",Synthese_Programme!M130="acté"),Synthese_Programme!P130,"")</f>
        <v/>
      </c>
      <c r="K130" s="94" t="str">
        <f t="shared" si="2"/>
        <v/>
      </c>
      <c r="L130" s="92"/>
      <c r="M130" s="93"/>
      <c r="N130" s="93"/>
      <c r="O130" s="93"/>
      <c r="P130" s="92" t="str">
        <f t="shared" si="3"/>
        <v/>
      </c>
      <c r="Q130" s="94" t="str">
        <f>IF(Synthese_Programme!Q130="","",Synthese_Programme!Q130)</f>
        <v/>
      </c>
      <c r="R130" s="92"/>
      <c r="S130" s="93"/>
      <c r="T130" s="93"/>
    </row>
    <row r="131" spans="1:20" s="8" customFormat="1" ht="26" customHeight="1" x14ac:dyDescent="0.45">
      <c r="A131" s="92" t="str">
        <f>IF(Synthese_Programme!A131="","",Synthese_Programme!A131)</f>
        <v/>
      </c>
      <c r="B131" s="92" t="str">
        <f>IF(Synthese_Programme!B131="","",Synthese_Programme!B131)</f>
        <v/>
      </c>
      <c r="C131" s="92" t="str">
        <f>IF(OR(Synthese_Programme!M131="Réservé",Synthese_Programme!M131="Acté",Synthese_Programme!M131="réservé",Synthese_Programme!M131="acté"),Synthese_Programme!N131,"")</f>
        <v/>
      </c>
      <c r="D131" s="93"/>
      <c r="E131" s="93"/>
      <c r="F131" s="93"/>
      <c r="G131" s="93"/>
      <c r="H131" s="93"/>
      <c r="I131" s="98"/>
      <c r="J131" s="94" t="str">
        <f>IF(OR(Synthese_Programme!M131="Réservé",Synthese_Programme!M131="Acté",Synthese_Programme!M131="réservé",Synthese_Programme!M131="acté"),Synthese_Programme!P131,"")</f>
        <v/>
      </c>
      <c r="K131" s="94" t="str">
        <f t="shared" si="2"/>
        <v/>
      </c>
      <c r="L131" s="92"/>
      <c r="M131" s="93"/>
      <c r="N131" s="93"/>
      <c r="O131" s="93"/>
      <c r="P131" s="92" t="str">
        <f t="shared" si="3"/>
        <v/>
      </c>
      <c r="Q131" s="94" t="str">
        <f>IF(Synthese_Programme!Q131="","",Synthese_Programme!Q131)</f>
        <v/>
      </c>
      <c r="R131" s="92"/>
      <c r="S131" s="93"/>
      <c r="T131" s="93"/>
    </row>
    <row r="132" spans="1:20" s="8" customFormat="1" ht="26" customHeight="1" x14ac:dyDescent="0.45">
      <c r="A132" s="92" t="str">
        <f>IF(Synthese_Programme!A132="","",Synthese_Programme!A132)</f>
        <v/>
      </c>
      <c r="B132" s="92" t="str">
        <f>IF(Synthese_Programme!B132="","",Synthese_Programme!B132)</f>
        <v/>
      </c>
      <c r="C132" s="92" t="str">
        <f>IF(OR(Synthese_Programme!M132="Réservé",Synthese_Programme!M132="Acté",Synthese_Programme!M132="réservé",Synthese_Programme!M132="acté"),Synthese_Programme!N132,"")</f>
        <v/>
      </c>
      <c r="D132" s="93"/>
      <c r="E132" s="93"/>
      <c r="F132" s="93"/>
      <c r="G132" s="93"/>
      <c r="H132" s="93"/>
      <c r="I132" s="98"/>
      <c r="J132" s="94" t="str">
        <f>IF(OR(Synthese_Programme!M132="Réservé",Synthese_Programme!M132="Acté",Synthese_Programme!M132="réservé",Synthese_Programme!M132="acté"),Synthese_Programme!P132,"")</f>
        <v/>
      </c>
      <c r="K132" s="94" t="str">
        <f t="shared" si="2"/>
        <v/>
      </c>
      <c r="L132" s="92"/>
      <c r="M132" s="93"/>
      <c r="N132" s="93"/>
      <c r="O132" s="93"/>
      <c r="P132" s="92" t="str">
        <f t="shared" si="3"/>
        <v/>
      </c>
      <c r="Q132" s="94" t="str">
        <f>IF(Synthese_Programme!Q132="","",Synthese_Programme!Q132)</f>
        <v/>
      </c>
      <c r="R132" s="92"/>
      <c r="S132" s="93"/>
      <c r="T132" s="93"/>
    </row>
    <row r="133" spans="1:20" s="8" customFormat="1" ht="26" customHeight="1" x14ac:dyDescent="0.45">
      <c r="A133" s="92" t="str">
        <f>IF(Synthese_Programme!A133="","",Synthese_Programme!A133)</f>
        <v/>
      </c>
      <c r="B133" s="92" t="str">
        <f>IF(Synthese_Programme!B133="","",Synthese_Programme!B133)</f>
        <v/>
      </c>
      <c r="C133" s="92" t="str">
        <f>IF(OR(Synthese_Programme!M133="Réservé",Synthese_Programme!M133="Acté",Synthese_Programme!M133="réservé",Synthese_Programme!M133="acté"),Synthese_Programme!N133,"")</f>
        <v/>
      </c>
      <c r="D133" s="93"/>
      <c r="E133" s="93"/>
      <c r="F133" s="93"/>
      <c r="G133" s="93"/>
      <c r="H133" s="93"/>
      <c r="I133" s="98"/>
      <c r="J133" s="94" t="str">
        <f>IF(OR(Synthese_Programme!M133="Réservé",Synthese_Programme!M133="Acté",Synthese_Programme!M133="réservé",Synthese_Programme!M133="acté"),Synthese_Programme!P133,"")</f>
        <v/>
      </c>
      <c r="K133" s="94" t="str">
        <f t="shared" ref="K133:K196" si="4">IF(J133="","",J133+45)</f>
        <v/>
      </c>
      <c r="L133" s="92"/>
      <c r="M133" s="93"/>
      <c r="N133" s="93"/>
      <c r="O133" s="93"/>
      <c r="P133" s="92" t="str">
        <f t="shared" ref="P133:P196" si="5">IF(J133="","",EDATE(J133,3))</f>
        <v/>
      </c>
      <c r="Q133" s="94" t="str">
        <f>IF(Synthese_Programme!Q133="","",Synthese_Programme!Q133)</f>
        <v/>
      </c>
      <c r="R133" s="92"/>
      <c r="S133" s="93"/>
      <c r="T133" s="93"/>
    </row>
    <row r="134" spans="1:20" s="8" customFormat="1" ht="26" customHeight="1" x14ac:dyDescent="0.45">
      <c r="A134" s="92" t="str">
        <f>IF(Synthese_Programme!A134="","",Synthese_Programme!A134)</f>
        <v/>
      </c>
      <c r="B134" s="92" t="str">
        <f>IF(Synthese_Programme!B134="","",Synthese_Programme!B134)</f>
        <v/>
      </c>
      <c r="C134" s="92" t="str">
        <f>IF(OR(Synthese_Programme!M134="Réservé",Synthese_Programme!M134="Acté",Synthese_Programme!M134="réservé",Synthese_Programme!M134="acté"),Synthese_Programme!N134,"")</f>
        <v/>
      </c>
      <c r="D134" s="93"/>
      <c r="E134" s="93"/>
      <c r="F134" s="93"/>
      <c r="G134" s="93"/>
      <c r="H134" s="93"/>
      <c r="I134" s="98"/>
      <c r="J134" s="94" t="str">
        <f>IF(OR(Synthese_Programme!M134="Réservé",Synthese_Programme!M134="Acté",Synthese_Programme!M134="réservé",Synthese_Programme!M134="acté"),Synthese_Programme!P134,"")</f>
        <v/>
      </c>
      <c r="K134" s="94" t="str">
        <f t="shared" si="4"/>
        <v/>
      </c>
      <c r="L134" s="92"/>
      <c r="M134" s="93"/>
      <c r="N134" s="93"/>
      <c r="O134" s="93"/>
      <c r="P134" s="92" t="str">
        <f t="shared" si="5"/>
        <v/>
      </c>
      <c r="Q134" s="94" t="str">
        <f>IF(Synthese_Programme!Q134="","",Synthese_Programme!Q134)</f>
        <v/>
      </c>
      <c r="R134" s="92"/>
      <c r="S134" s="93"/>
      <c r="T134" s="93"/>
    </row>
    <row r="135" spans="1:20" s="8" customFormat="1" ht="26" customHeight="1" x14ac:dyDescent="0.45">
      <c r="A135" s="92" t="str">
        <f>IF(Synthese_Programme!A135="","",Synthese_Programme!A135)</f>
        <v/>
      </c>
      <c r="B135" s="92" t="str">
        <f>IF(Synthese_Programme!B135="","",Synthese_Programme!B135)</f>
        <v/>
      </c>
      <c r="C135" s="92" t="str">
        <f>IF(OR(Synthese_Programme!M135="Réservé",Synthese_Programme!M135="Acté",Synthese_Programme!M135="réservé",Synthese_Programme!M135="acté"),Synthese_Programme!N135,"")</f>
        <v/>
      </c>
      <c r="D135" s="93"/>
      <c r="E135" s="93"/>
      <c r="F135" s="93"/>
      <c r="G135" s="93"/>
      <c r="H135" s="93"/>
      <c r="I135" s="98"/>
      <c r="J135" s="94" t="str">
        <f>IF(OR(Synthese_Programme!M135="Réservé",Synthese_Programme!M135="Acté",Synthese_Programme!M135="réservé",Synthese_Programme!M135="acté"),Synthese_Programme!P135,"")</f>
        <v/>
      </c>
      <c r="K135" s="94" t="str">
        <f t="shared" si="4"/>
        <v/>
      </c>
      <c r="L135" s="92"/>
      <c r="M135" s="93"/>
      <c r="N135" s="93"/>
      <c r="O135" s="93"/>
      <c r="P135" s="92" t="str">
        <f t="shared" si="5"/>
        <v/>
      </c>
      <c r="Q135" s="94" t="str">
        <f>IF(Synthese_Programme!Q135="","",Synthese_Programme!Q135)</f>
        <v/>
      </c>
      <c r="R135" s="92"/>
      <c r="S135" s="93"/>
      <c r="T135" s="93"/>
    </row>
    <row r="136" spans="1:20" s="8" customFormat="1" ht="26" customHeight="1" x14ac:dyDescent="0.45">
      <c r="A136" s="92" t="str">
        <f>IF(Synthese_Programme!A136="","",Synthese_Programme!A136)</f>
        <v/>
      </c>
      <c r="B136" s="92" t="str">
        <f>IF(Synthese_Programme!B136="","",Synthese_Programme!B136)</f>
        <v/>
      </c>
      <c r="C136" s="92" t="str">
        <f>IF(OR(Synthese_Programme!M136="Réservé",Synthese_Programme!M136="Acté",Synthese_Programme!M136="réservé",Synthese_Programme!M136="acté"),Synthese_Programme!N136,"")</f>
        <v/>
      </c>
      <c r="D136" s="93"/>
      <c r="E136" s="93"/>
      <c r="F136" s="93"/>
      <c r="G136" s="93"/>
      <c r="H136" s="93"/>
      <c r="I136" s="98"/>
      <c r="J136" s="94" t="str">
        <f>IF(OR(Synthese_Programme!M136="Réservé",Synthese_Programme!M136="Acté",Synthese_Programme!M136="réservé",Synthese_Programme!M136="acté"),Synthese_Programme!P136,"")</f>
        <v/>
      </c>
      <c r="K136" s="94" t="str">
        <f t="shared" si="4"/>
        <v/>
      </c>
      <c r="L136" s="92"/>
      <c r="M136" s="93"/>
      <c r="N136" s="93"/>
      <c r="O136" s="93"/>
      <c r="P136" s="92" t="str">
        <f t="shared" si="5"/>
        <v/>
      </c>
      <c r="Q136" s="94" t="str">
        <f>IF(Synthese_Programme!Q136="","",Synthese_Programme!Q136)</f>
        <v/>
      </c>
      <c r="R136" s="92"/>
      <c r="S136" s="93"/>
      <c r="T136" s="93"/>
    </row>
    <row r="137" spans="1:20" s="8" customFormat="1" ht="26" customHeight="1" x14ac:dyDescent="0.45">
      <c r="A137" s="92" t="str">
        <f>IF(Synthese_Programme!A137="","",Synthese_Programme!A137)</f>
        <v/>
      </c>
      <c r="B137" s="92" t="str">
        <f>IF(Synthese_Programme!B137="","",Synthese_Programme!B137)</f>
        <v/>
      </c>
      <c r="C137" s="92" t="str">
        <f>IF(OR(Synthese_Programme!M137="Réservé",Synthese_Programme!M137="Acté",Synthese_Programme!M137="réservé",Synthese_Programme!M137="acté"),Synthese_Programme!N137,"")</f>
        <v/>
      </c>
      <c r="D137" s="93"/>
      <c r="E137" s="93"/>
      <c r="F137" s="93"/>
      <c r="G137" s="93"/>
      <c r="H137" s="93"/>
      <c r="I137" s="98"/>
      <c r="J137" s="94" t="str">
        <f>IF(OR(Synthese_Programme!M137="Réservé",Synthese_Programme!M137="Acté",Synthese_Programme!M137="réservé",Synthese_Programme!M137="acté"),Synthese_Programme!P137,"")</f>
        <v/>
      </c>
      <c r="K137" s="94" t="str">
        <f t="shared" si="4"/>
        <v/>
      </c>
      <c r="L137" s="92"/>
      <c r="M137" s="93"/>
      <c r="N137" s="93"/>
      <c r="O137" s="93"/>
      <c r="P137" s="92" t="str">
        <f t="shared" si="5"/>
        <v/>
      </c>
      <c r="Q137" s="94" t="str">
        <f>IF(Synthese_Programme!Q137="","",Synthese_Programme!Q137)</f>
        <v/>
      </c>
      <c r="R137" s="92"/>
      <c r="S137" s="93"/>
      <c r="T137" s="93"/>
    </row>
    <row r="138" spans="1:20" s="8" customFormat="1" ht="26" customHeight="1" x14ac:dyDescent="0.45">
      <c r="A138" s="92" t="str">
        <f>IF(Synthese_Programme!A138="","",Synthese_Programme!A138)</f>
        <v/>
      </c>
      <c r="B138" s="92" t="str">
        <f>IF(Synthese_Programme!B138="","",Synthese_Programme!B138)</f>
        <v/>
      </c>
      <c r="C138" s="92" t="str">
        <f>IF(OR(Synthese_Programme!M138="Réservé",Synthese_Programme!M138="Acté",Synthese_Programme!M138="réservé",Synthese_Programme!M138="acté"),Synthese_Programme!N138,"")</f>
        <v/>
      </c>
      <c r="D138" s="93"/>
      <c r="E138" s="93"/>
      <c r="F138" s="93"/>
      <c r="G138" s="93"/>
      <c r="H138" s="93"/>
      <c r="I138" s="98"/>
      <c r="J138" s="94" t="str">
        <f>IF(OR(Synthese_Programme!M138="Réservé",Synthese_Programme!M138="Acté",Synthese_Programme!M138="réservé",Synthese_Programme!M138="acté"),Synthese_Programme!P138,"")</f>
        <v/>
      </c>
      <c r="K138" s="94" t="str">
        <f t="shared" si="4"/>
        <v/>
      </c>
      <c r="L138" s="92"/>
      <c r="M138" s="93"/>
      <c r="N138" s="93"/>
      <c r="O138" s="93"/>
      <c r="P138" s="92" t="str">
        <f t="shared" si="5"/>
        <v/>
      </c>
      <c r="Q138" s="94" t="str">
        <f>IF(Synthese_Programme!Q138="","",Synthese_Programme!Q138)</f>
        <v/>
      </c>
      <c r="R138" s="92"/>
      <c r="S138" s="93"/>
      <c r="T138" s="93"/>
    </row>
    <row r="139" spans="1:20" s="8" customFormat="1" ht="26" customHeight="1" x14ac:dyDescent="0.45">
      <c r="A139" s="92" t="str">
        <f>IF(Synthese_Programme!A139="","",Synthese_Programme!A139)</f>
        <v/>
      </c>
      <c r="B139" s="92" t="str">
        <f>IF(Synthese_Programme!B139="","",Synthese_Programme!B139)</f>
        <v/>
      </c>
      <c r="C139" s="92" t="str">
        <f>IF(OR(Synthese_Programme!M139="Réservé",Synthese_Programme!M139="Acté",Synthese_Programme!M139="réservé",Synthese_Programme!M139="acté"),Synthese_Programme!N139,"")</f>
        <v/>
      </c>
      <c r="D139" s="93"/>
      <c r="E139" s="93"/>
      <c r="F139" s="93"/>
      <c r="G139" s="93"/>
      <c r="H139" s="93"/>
      <c r="I139" s="98"/>
      <c r="J139" s="94" t="str">
        <f>IF(OR(Synthese_Programme!M139="Réservé",Synthese_Programme!M139="Acté",Synthese_Programme!M139="réservé",Synthese_Programme!M139="acté"),Synthese_Programme!P139,"")</f>
        <v/>
      </c>
      <c r="K139" s="94" t="str">
        <f t="shared" si="4"/>
        <v/>
      </c>
      <c r="L139" s="92"/>
      <c r="M139" s="93"/>
      <c r="N139" s="93"/>
      <c r="O139" s="93"/>
      <c r="P139" s="92" t="str">
        <f t="shared" si="5"/>
        <v/>
      </c>
      <c r="Q139" s="94" t="str">
        <f>IF(Synthese_Programme!Q139="","",Synthese_Programme!Q139)</f>
        <v/>
      </c>
      <c r="R139" s="92"/>
      <c r="S139" s="93"/>
      <c r="T139" s="93"/>
    </row>
    <row r="140" spans="1:20" s="8" customFormat="1" ht="26" customHeight="1" x14ac:dyDescent="0.45">
      <c r="A140" s="92" t="str">
        <f>IF(Synthese_Programme!A140="","",Synthese_Programme!A140)</f>
        <v/>
      </c>
      <c r="B140" s="92" t="str">
        <f>IF(Synthese_Programme!B140="","",Synthese_Programme!B140)</f>
        <v/>
      </c>
      <c r="C140" s="92" t="str">
        <f>IF(OR(Synthese_Programme!M140="Réservé",Synthese_Programme!M140="Acté",Synthese_Programme!M140="réservé",Synthese_Programme!M140="acté"),Synthese_Programme!N140,"")</f>
        <v/>
      </c>
      <c r="D140" s="93"/>
      <c r="E140" s="93"/>
      <c r="F140" s="93"/>
      <c r="G140" s="93"/>
      <c r="H140" s="93"/>
      <c r="I140" s="98"/>
      <c r="J140" s="94" t="str">
        <f>IF(OR(Synthese_Programme!M140="Réservé",Synthese_Programme!M140="Acté",Synthese_Programme!M140="réservé",Synthese_Programme!M140="acté"),Synthese_Programme!P140,"")</f>
        <v/>
      </c>
      <c r="K140" s="94" t="str">
        <f t="shared" si="4"/>
        <v/>
      </c>
      <c r="L140" s="92"/>
      <c r="M140" s="93"/>
      <c r="N140" s="93"/>
      <c r="O140" s="93"/>
      <c r="P140" s="92" t="str">
        <f t="shared" si="5"/>
        <v/>
      </c>
      <c r="Q140" s="94" t="str">
        <f>IF(Synthese_Programme!Q140="","",Synthese_Programme!Q140)</f>
        <v/>
      </c>
      <c r="R140" s="92"/>
      <c r="S140" s="93"/>
      <c r="T140" s="93"/>
    </row>
    <row r="141" spans="1:20" s="8" customFormat="1" ht="26" customHeight="1" x14ac:dyDescent="0.45">
      <c r="A141" s="92" t="str">
        <f>IF(Synthese_Programme!A141="","",Synthese_Programme!A141)</f>
        <v/>
      </c>
      <c r="B141" s="92" t="str">
        <f>IF(Synthese_Programme!B141="","",Synthese_Programme!B141)</f>
        <v/>
      </c>
      <c r="C141" s="92" t="str">
        <f>IF(OR(Synthese_Programme!M141="Réservé",Synthese_Programme!M141="Acté",Synthese_Programme!M141="réservé",Synthese_Programme!M141="acté"),Synthese_Programme!N141,"")</f>
        <v/>
      </c>
      <c r="D141" s="93"/>
      <c r="E141" s="93"/>
      <c r="F141" s="93"/>
      <c r="G141" s="93"/>
      <c r="H141" s="93"/>
      <c r="I141" s="98"/>
      <c r="J141" s="94" t="str">
        <f>IF(OR(Synthese_Programme!M141="Réservé",Synthese_Programme!M141="Acté",Synthese_Programme!M141="réservé",Synthese_Programme!M141="acté"),Synthese_Programme!P141,"")</f>
        <v/>
      </c>
      <c r="K141" s="94" t="str">
        <f t="shared" si="4"/>
        <v/>
      </c>
      <c r="L141" s="92"/>
      <c r="M141" s="93"/>
      <c r="N141" s="93"/>
      <c r="O141" s="93"/>
      <c r="P141" s="92" t="str">
        <f t="shared" si="5"/>
        <v/>
      </c>
      <c r="Q141" s="94" t="str">
        <f>IF(Synthese_Programme!Q141="","",Synthese_Programme!Q141)</f>
        <v/>
      </c>
      <c r="R141" s="92"/>
      <c r="S141" s="93"/>
      <c r="T141" s="93"/>
    </row>
    <row r="142" spans="1:20" s="8" customFormat="1" ht="26" customHeight="1" x14ac:dyDescent="0.45">
      <c r="A142" s="92" t="str">
        <f>IF(Synthese_Programme!A142="","",Synthese_Programme!A142)</f>
        <v/>
      </c>
      <c r="B142" s="92" t="str">
        <f>IF(Synthese_Programme!B142="","",Synthese_Programme!B142)</f>
        <v/>
      </c>
      <c r="C142" s="92" t="str">
        <f>IF(OR(Synthese_Programme!M142="Réservé",Synthese_Programme!M142="Acté",Synthese_Programme!M142="réservé",Synthese_Programme!M142="acté"),Synthese_Programme!N142,"")</f>
        <v/>
      </c>
      <c r="D142" s="93"/>
      <c r="E142" s="93"/>
      <c r="F142" s="93"/>
      <c r="G142" s="93"/>
      <c r="H142" s="93"/>
      <c r="I142" s="98"/>
      <c r="J142" s="94" t="str">
        <f>IF(OR(Synthese_Programme!M142="Réservé",Synthese_Programme!M142="Acté",Synthese_Programme!M142="réservé",Synthese_Programme!M142="acté"),Synthese_Programme!P142,"")</f>
        <v/>
      </c>
      <c r="K142" s="94" t="str">
        <f t="shared" si="4"/>
        <v/>
      </c>
      <c r="L142" s="92"/>
      <c r="M142" s="93"/>
      <c r="N142" s="93"/>
      <c r="O142" s="93"/>
      <c r="P142" s="92" t="str">
        <f t="shared" si="5"/>
        <v/>
      </c>
      <c r="Q142" s="94" t="str">
        <f>IF(Synthese_Programme!Q142="","",Synthese_Programme!Q142)</f>
        <v/>
      </c>
      <c r="R142" s="92"/>
      <c r="S142" s="93"/>
      <c r="T142" s="93"/>
    </row>
    <row r="143" spans="1:20" s="8" customFormat="1" ht="26" customHeight="1" x14ac:dyDescent="0.45">
      <c r="A143" s="92" t="str">
        <f>IF(Synthese_Programme!A143="","",Synthese_Programme!A143)</f>
        <v/>
      </c>
      <c r="B143" s="92" t="str">
        <f>IF(Synthese_Programme!B143="","",Synthese_Programme!B143)</f>
        <v/>
      </c>
      <c r="C143" s="92" t="str">
        <f>IF(OR(Synthese_Programme!M143="Réservé",Synthese_Programme!M143="Acté",Synthese_Programme!M143="réservé",Synthese_Programme!M143="acté"),Synthese_Programme!N143,"")</f>
        <v/>
      </c>
      <c r="D143" s="93"/>
      <c r="E143" s="93"/>
      <c r="F143" s="93"/>
      <c r="G143" s="93"/>
      <c r="H143" s="93"/>
      <c r="I143" s="98"/>
      <c r="J143" s="94" t="str">
        <f>IF(OR(Synthese_Programme!M143="Réservé",Synthese_Programme!M143="Acté",Synthese_Programme!M143="réservé",Synthese_Programme!M143="acté"),Synthese_Programme!P143,"")</f>
        <v/>
      </c>
      <c r="K143" s="94" t="str">
        <f t="shared" si="4"/>
        <v/>
      </c>
      <c r="L143" s="92"/>
      <c r="M143" s="93"/>
      <c r="N143" s="93"/>
      <c r="O143" s="93"/>
      <c r="P143" s="92" t="str">
        <f t="shared" si="5"/>
        <v/>
      </c>
      <c r="Q143" s="94" t="str">
        <f>IF(Synthese_Programme!Q143="","",Synthese_Programme!Q143)</f>
        <v/>
      </c>
      <c r="R143" s="92"/>
      <c r="S143" s="93"/>
      <c r="T143" s="93"/>
    </row>
    <row r="144" spans="1:20" s="8" customFormat="1" ht="26" customHeight="1" x14ac:dyDescent="0.45">
      <c r="A144" s="92" t="str">
        <f>IF(Synthese_Programme!A144="","",Synthese_Programme!A144)</f>
        <v/>
      </c>
      <c r="B144" s="92" t="str">
        <f>IF(Synthese_Programme!B144="","",Synthese_Programme!B144)</f>
        <v/>
      </c>
      <c r="C144" s="92" t="str">
        <f>IF(OR(Synthese_Programme!M144="Réservé",Synthese_Programme!M144="Acté",Synthese_Programme!M144="réservé",Synthese_Programme!M144="acté"),Synthese_Programme!N144,"")</f>
        <v/>
      </c>
      <c r="D144" s="93"/>
      <c r="E144" s="93"/>
      <c r="F144" s="93"/>
      <c r="G144" s="93"/>
      <c r="H144" s="93"/>
      <c r="I144" s="98"/>
      <c r="J144" s="94" t="str">
        <f>IF(OR(Synthese_Programme!M144="Réservé",Synthese_Programme!M144="Acté",Synthese_Programme!M144="réservé",Synthese_Programme!M144="acté"),Synthese_Programme!P144,"")</f>
        <v/>
      </c>
      <c r="K144" s="94" t="str">
        <f t="shared" si="4"/>
        <v/>
      </c>
      <c r="L144" s="92"/>
      <c r="M144" s="93"/>
      <c r="N144" s="93"/>
      <c r="O144" s="93"/>
      <c r="P144" s="92" t="str">
        <f t="shared" si="5"/>
        <v/>
      </c>
      <c r="Q144" s="94" t="str">
        <f>IF(Synthese_Programme!Q144="","",Synthese_Programme!Q144)</f>
        <v/>
      </c>
      <c r="R144" s="92"/>
      <c r="S144" s="93"/>
      <c r="T144" s="93"/>
    </row>
    <row r="145" spans="1:20" s="8" customFormat="1" ht="26" customHeight="1" x14ac:dyDescent="0.45">
      <c r="A145" s="92" t="str">
        <f>IF(Synthese_Programme!A145="","",Synthese_Programme!A145)</f>
        <v/>
      </c>
      <c r="B145" s="92" t="str">
        <f>IF(Synthese_Programme!B145="","",Synthese_Programme!B145)</f>
        <v/>
      </c>
      <c r="C145" s="92" t="str">
        <f>IF(OR(Synthese_Programme!M145="Réservé",Synthese_Programme!M145="Acté",Synthese_Programme!M145="réservé",Synthese_Programme!M145="acté"),Synthese_Programme!N145,"")</f>
        <v/>
      </c>
      <c r="D145" s="93"/>
      <c r="E145" s="93"/>
      <c r="F145" s="93"/>
      <c r="G145" s="93"/>
      <c r="H145" s="93"/>
      <c r="I145" s="98"/>
      <c r="J145" s="94" t="str">
        <f>IF(OR(Synthese_Programme!M145="Réservé",Synthese_Programme!M145="Acté",Synthese_Programme!M145="réservé",Synthese_Programme!M145="acté"),Synthese_Programme!P145,"")</f>
        <v/>
      </c>
      <c r="K145" s="94" t="str">
        <f t="shared" si="4"/>
        <v/>
      </c>
      <c r="L145" s="92"/>
      <c r="M145" s="93"/>
      <c r="N145" s="93"/>
      <c r="O145" s="93"/>
      <c r="P145" s="92" t="str">
        <f t="shared" si="5"/>
        <v/>
      </c>
      <c r="Q145" s="94" t="str">
        <f>IF(Synthese_Programme!Q145="","",Synthese_Programme!Q145)</f>
        <v/>
      </c>
      <c r="R145" s="92"/>
      <c r="S145" s="93"/>
      <c r="T145" s="93"/>
    </row>
    <row r="146" spans="1:20" s="8" customFormat="1" ht="26" customHeight="1" x14ac:dyDescent="0.45">
      <c r="A146" s="92" t="str">
        <f>IF(Synthese_Programme!A146="","",Synthese_Programme!A146)</f>
        <v/>
      </c>
      <c r="B146" s="92" t="str">
        <f>IF(Synthese_Programme!B146="","",Synthese_Programme!B146)</f>
        <v/>
      </c>
      <c r="C146" s="92" t="str">
        <f>IF(OR(Synthese_Programme!M146="Réservé",Synthese_Programme!M146="Acté",Synthese_Programme!M146="réservé",Synthese_Programme!M146="acté"),Synthese_Programme!N146,"")</f>
        <v/>
      </c>
      <c r="D146" s="93"/>
      <c r="E146" s="93"/>
      <c r="F146" s="93"/>
      <c r="G146" s="93"/>
      <c r="H146" s="93"/>
      <c r="I146" s="98"/>
      <c r="J146" s="94" t="str">
        <f>IF(OR(Synthese_Programme!M146="Réservé",Synthese_Programme!M146="Acté",Synthese_Programme!M146="réservé",Synthese_Programme!M146="acté"),Synthese_Programme!P146,"")</f>
        <v/>
      </c>
      <c r="K146" s="94" t="str">
        <f t="shared" si="4"/>
        <v/>
      </c>
      <c r="L146" s="92"/>
      <c r="M146" s="93"/>
      <c r="N146" s="93"/>
      <c r="O146" s="93"/>
      <c r="P146" s="92" t="str">
        <f t="shared" si="5"/>
        <v/>
      </c>
      <c r="Q146" s="94" t="str">
        <f>IF(Synthese_Programme!Q146="","",Synthese_Programme!Q146)</f>
        <v/>
      </c>
      <c r="R146" s="92"/>
      <c r="S146" s="93"/>
      <c r="T146" s="93"/>
    </row>
    <row r="147" spans="1:20" s="8" customFormat="1" ht="26" customHeight="1" x14ac:dyDescent="0.45">
      <c r="A147" s="92" t="str">
        <f>IF(Synthese_Programme!A147="","",Synthese_Programme!A147)</f>
        <v/>
      </c>
      <c r="B147" s="92" t="str">
        <f>IF(Synthese_Programme!B147="","",Synthese_Programme!B147)</f>
        <v/>
      </c>
      <c r="C147" s="92" t="str">
        <f>IF(OR(Synthese_Programme!M147="Réservé",Synthese_Programme!M147="Acté",Synthese_Programme!M147="réservé",Synthese_Programme!M147="acté"),Synthese_Programme!N147,"")</f>
        <v/>
      </c>
      <c r="D147" s="93"/>
      <c r="E147" s="93"/>
      <c r="F147" s="93"/>
      <c r="G147" s="93"/>
      <c r="H147" s="93"/>
      <c r="I147" s="98"/>
      <c r="J147" s="94" t="str">
        <f>IF(OR(Synthese_Programme!M147="Réservé",Synthese_Programme!M147="Acté",Synthese_Programme!M147="réservé",Synthese_Programme!M147="acté"),Synthese_Programme!P147,"")</f>
        <v/>
      </c>
      <c r="K147" s="94" t="str">
        <f t="shared" si="4"/>
        <v/>
      </c>
      <c r="L147" s="92"/>
      <c r="M147" s="93"/>
      <c r="N147" s="93"/>
      <c r="O147" s="93"/>
      <c r="P147" s="92" t="str">
        <f t="shared" si="5"/>
        <v/>
      </c>
      <c r="Q147" s="94" t="str">
        <f>IF(Synthese_Programme!Q147="","",Synthese_Programme!Q147)</f>
        <v/>
      </c>
      <c r="R147" s="92"/>
      <c r="S147" s="93"/>
      <c r="T147" s="93"/>
    </row>
    <row r="148" spans="1:20" s="8" customFormat="1" ht="26" customHeight="1" x14ac:dyDescent="0.45">
      <c r="A148" s="92" t="str">
        <f>IF(Synthese_Programme!A148="","",Synthese_Programme!A148)</f>
        <v/>
      </c>
      <c r="B148" s="92" t="str">
        <f>IF(Synthese_Programme!B148="","",Synthese_Programme!B148)</f>
        <v/>
      </c>
      <c r="C148" s="92" t="str">
        <f>IF(OR(Synthese_Programme!M148="Réservé",Synthese_Programme!M148="Acté",Synthese_Programme!M148="réservé",Synthese_Programme!M148="acté"),Synthese_Programme!N148,"")</f>
        <v/>
      </c>
      <c r="D148" s="93"/>
      <c r="E148" s="93"/>
      <c r="F148" s="93"/>
      <c r="G148" s="93"/>
      <c r="H148" s="93"/>
      <c r="I148" s="98"/>
      <c r="J148" s="94" t="str">
        <f>IF(OR(Synthese_Programme!M148="Réservé",Synthese_Programme!M148="Acté",Synthese_Programme!M148="réservé",Synthese_Programme!M148="acté"),Synthese_Programme!P148,"")</f>
        <v/>
      </c>
      <c r="K148" s="94" t="str">
        <f t="shared" si="4"/>
        <v/>
      </c>
      <c r="L148" s="92"/>
      <c r="M148" s="93"/>
      <c r="N148" s="93"/>
      <c r="O148" s="93"/>
      <c r="P148" s="92" t="str">
        <f t="shared" si="5"/>
        <v/>
      </c>
      <c r="Q148" s="94" t="str">
        <f>IF(Synthese_Programme!Q148="","",Synthese_Programme!Q148)</f>
        <v/>
      </c>
      <c r="R148" s="92"/>
      <c r="S148" s="93"/>
      <c r="T148" s="93"/>
    </row>
    <row r="149" spans="1:20" s="8" customFormat="1" ht="26" customHeight="1" x14ac:dyDescent="0.45">
      <c r="A149" s="92" t="str">
        <f>IF(Synthese_Programme!A149="","",Synthese_Programme!A149)</f>
        <v/>
      </c>
      <c r="B149" s="92" t="str">
        <f>IF(Synthese_Programme!B149="","",Synthese_Programme!B149)</f>
        <v/>
      </c>
      <c r="C149" s="92" t="str">
        <f>IF(OR(Synthese_Programme!M149="Réservé",Synthese_Programme!M149="Acté",Synthese_Programme!M149="réservé",Synthese_Programme!M149="acté"),Synthese_Programme!N149,"")</f>
        <v/>
      </c>
      <c r="D149" s="93"/>
      <c r="E149" s="93"/>
      <c r="F149" s="93"/>
      <c r="G149" s="93"/>
      <c r="H149" s="93"/>
      <c r="I149" s="98"/>
      <c r="J149" s="94" t="str">
        <f>IF(OR(Synthese_Programme!M149="Réservé",Synthese_Programme!M149="Acté",Synthese_Programme!M149="réservé",Synthese_Programme!M149="acté"),Synthese_Programme!P149,"")</f>
        <v/>
      </c>
      <c r="K149" s="94" t="str">
        <f t="shared" si="4"/>
        <v/>
      </c>
      <c r="L149" s="92"/>
      <c r="M149" s="93"/>
      <c r="N149" s="93"/>
      <c r="O149" s="93"/>
      <c r="P149" s="92" t="str">
        <f t="shared" si="5"/>
        <v/>
      </c>
      <c r="Q149" s="94" t="str">
        <f>IF(Synthese_Programme!Q149="","",Synthese_Programme!Q149)</f>
        <v/>
      </c>
      <c r="R149" s="92"/>
      <c r="S149" s="93"/>
      <c r="T149" s="93"/>
    </row>
    <row r="150" spans="1:20" s="8" customFormat="1" ht="26" customHeight="1" x14ac:dyDescent="0.45">
      <c r="A150" s="92" t="str">
        <f>IF(Synthese_Programme!A150="","",Synthese_Programme!A150)</f>
        <v/>
      </c>
      <c r="B150" s="92" t="str">
        <f>IF(Synthese_Programme!B150="","",Synthese_Programme!B150)</f>
        <v/>
      </c>
      <c r="C150" s="92" t="str">
        <f>IF(OR(Synthese_Programme!M150="Réservé",Synthese_Programme!M150="Acté",Synthese_Programme!M150="réservé",Synthese_Programme!M150="acté"),Synthese_Programme!N150,"")</f>
        <v/>
      </c>
      <c r="D150" s="93"/>
      <c r="E150" s="93"/>
      <c r="F150" s="93"/>
      <c r="G150" s="93"/>
      <c r="H150" s="93"/>
      <c r="I150" s="98"/>
      <c r="J150" s="94" t="str">
        <f>IF(OR(Synthese_Programme!M150="Réservé",Synthese_Programme!M150="Acté",Synthese_Programme!M150="réservé",Synthese_Programme!M150="acté"),Synthese_Programme!P150,"")</f>
        <v/>
      </c>
      <c r="K150" s="94" t="str">
        <f t="shared" si="4"/>
        <v/>
      </c>
      <c r="L150" s="92"/>
      <c r="M150" s="93"/>
      <c r="N150" s="93"/>
      <c r="O150" s="93"/>
      <c r="P150" s="92" t="str">
        <f t="shared" si="5"/>
        <v/>
      </c>
      <c r="Q150" s="94" t="str">
        <f>IF(Synthese_Programme!Q150="","",Synthese_Programme!Q150)</f>
        <v/>
      </c>
      <c r="R150" s="92"/>
      <c r="S150" s="93"/>
      <c r="T150" s="93"/>
    </row>
    <row r="151" spans="1:20" s="8" customFormat="1" ht="26" customHeight="1" x14ac:dyDescent="0.45">
      <c r="A151" s="92" t="str">
        <f>IF(Synthese_Programme!A151="","",Synthese_Programme!A151)</f>
        <v/>
      </c>
      <c r="B151" s="92" t="str">
        <f>IF(Synthese_Programme!B151="","",Synthese_Programme!B151)</f>
        <v/>
      </c>
      <c r="C151" s="92" t="str">
        <f>IF(OR(Synthese_Programme!M151="Réservé",Synthese_Programme!M151="Acté",Synthese_Programme!M151="réservé",Synthese_Programme!M151="acté"),Synthese_Programme!N151,"")</f>
        <v/>
      </c>
      <c r="D151" s="93"/>
      <c r="E151" s="93"/>
      <c r="F151" s="93"/>
      <c r="G151" s="93"/>
      <c r="H151" s="93"/>
      <c r="I151" s="98"/>
      <c r="J151" s="94" t="str">
        <f>IF(OR(Synthese_Programme!M151="Réservé",Synthese_Programme!M151="Acté",Synthese_Programme!M151="réservé",Synthese_Programme!M151="acté"),Synthese_Programme!P151,"")</f>
        <v/>
      </c>
      <c r="K151" s="94" t="str">
        <f t="shared" si="4"/>
        <v/>
      </c>
      <c r="L151" s="92"/>
      <c r="M151" s="93"/>
      <c r="N151" s="93"/>
      <c r="O151" s="93"/>
      <c r="P151" s="92" t="str">
        <f t="shared" si="5"/>
        <v/>
      </c>
      <c r="Q151" s="94" t="str">
        <f>IF(Synthese_Programme!Q151="","",Synthese_Programme!Q151)</f>
        <v/>
      </c>
      <c r="R151" s="92"/>
      <c r="S151" s="93"/>
      <c r="T151" s="93"/>
    </row>
    <row r="152" spans="1:20" s="8" customFormat="1" ht="26" customHeight="1" x14ac:dyDescent="0.45">
      <c r="A152" s="92" t="str">
        <f>IF(Synthese_Programme!A152="","",Synthese_Programme!A152)</f>
        <v/>
      </c>
      <c r="B152" s="92" t="str">
        <f>IF(Synthese_Programme!B152="","",Synthese_Programme!B152)</f>
        <v/>
      </c>
      <c r="C152" s="92" t="str">
        <f>IF(OR(Synthese_Programme!M152="Réservé",Synthese_Programme!M152="Acté",Synthese_Programme!M152="réservé",Synthese_Programme!M152="acté"),Synthese_Programme!N152,"")</f>
        <v/>
      </c>
      <c r="D152" s="93"/>
      <c r="E152" s="93"/>
      <c r="F152" s="93"/>
      <c r="G152" s="93"/>
      <c r="H152" s="93"/>
      <c r="I152" s="98"/>
      <c r="J152" s="94" t="str">
        <f>IF(OR(Synthese_Programme!M152="Réservé",Synthese_Programme!M152="Acté",Synthese_Programme!M152="réservé",Synthese_Programme!M152="acté"),Synthese_Programme!P152,"")</f>
        <v/>
      </c>
      <c r="K152" s="94" t="str">
        <f t="shared" si="4"/>
        <v/>
      </c>
      <c r="L152" s="92"/>
      <c r="M152" s="93"/>
      <c r="N152" s="93"/>
      <c r="O152" s="93"/>
      <c r="P152" s="92" t="str">
        <f t="shared" si="5"/>
        <v/>
      </c>
      <c r="Q152" s="94" t="str">
        <f>IF(Synthese_Programme!Q152="","",Synthese_Programme!Q152)</f>
        <v/>
      </c>
      <c r="R152" s="92"/>
      <c r="S152" s="93"/>
      <c r="T152" s="93"/>
    </row>
    <row r="153" spans="1:20" s="8" customFormat="1" ht="26" customHeight="1" x14ac:dyDescent="0.45">
      <c r="A153" s="92" t="str">
        <f>IF(Synthese_Programme!A153="","",Synthese_Programme!A153)</f>
        <v/>
      </c>
      <c r="B153" s="92" t="str">
        <f>IF(Synthese_Programme!B153="","",Synthese_Programme!B153)</f>
        <v/>
      </c>
      <c r="C153" s="92" t="str">
        <f>IF(OR(Synthese_Programme!M153="Réservé",Synthese_Programme!M153="Acté",Synthese_Programme!M153="réservé",Synthese_Programme!M153="acté"),Synthese_Programme!N153,"")</f>
        <v/>
      </c>
      <c r="D153" s="93"/>
      <c r="E153" s="93"/>
      <c r="F153" s="93"/>
      <c r="G153" s="93"/>
      <c r="H153" s="93"/>
      <c r="I153" s="98"/>
      <c r="J153" s="94" t="str">
        <f>IF(OR(Synthese_Programme!M153="Réservé",Synthese_Programme!M153="Acté",Synthese_Programme!M153="réservé",Synthese_Programme!M153="acté"),Synthese_Programme!P153,"")</f>
        <v/>
      </c>
      <c r="K153" s="94" t="str">
        <f t="shared" si="4"/>
        <v/>
      </c>
      <c r="L153" s="92"/>
      <c r="M153" s="93"/>
      <c r="N153" s="93"/>
      <c r="O153" s="93"/>
      <c r="P153" s="92" t="str">
        <f t="shared" si="5"/>
        <v/>
      </c>
      <c r="Q153" s="94" t="str">
        <f>IF(Synthese_Programme!Q153="","",Synthese_Programme!Q153)</f>
        <v/>
      </c>
      <c r="R153" s="92"/>
      <c r="S153" s="93"/>
      <c r="T153" s="93"/>
    </row>
    <row r="154" spans="1:20" s="8" customFormat="1" ht="26" customHeight="1" x14ac:dyDescent="0.45">
      <c r="A154" s="92" t="str">
        <f>IF(Synthese_Programme!A154="","",Synthese_Programme!A154)</f>
        <v/>
      </c>
      <c r="B154" s="92" t="str">
        <f>IF(Synthese_Programme!B154="","",Synthese_Programme!B154)</f>
        <v/>
      </c>
      <c r="C154" s="92" t="str">
        <f>IF(OR(Synthese_Programme!M154="Réservé",Synthese_Programme!M154="Acté",Synthese_Programme!M154="réservé",Synthese_Programme!M154="acté"),Synthese_Programme!N154,"")</f>
        <v/>
      </c>
      <c r="D154" s="93"/>
      <c r="E154" s="93"/>
      <c r="F154" s="93"/>
      <c r="G154" s="93"/>
      <c r="H154" s="93"/>
      <c r="I154" s="98"/>
      <c r="J154" s="94" t="str">
        <f>IF(OR(Synthese_Programme!M154="Réservé",Synthese_Programme!M154="Acté",Synthese_Programme!M154="réservé",Synthese_Programme!M154="acté"),Synthese_Programme!P154,"")</f>
        <v/>
      </c>
      <c r="K154" s="94" t="str">
        <f t="shared" si="4"/>
        <v/>
      </c>
      <c r="L154" s="92"/>
      <c r="M154" s="93"/>
      <c r="N154" s="93"/>
      <c r="O154" s="93"/>
      <c r="P154" s="92" t="str">
        <f t="shared" si="5"/>
        <v/>
      </c>
      <c r="Q154" s="94" t="str">
        <f>IF(Synthese_Programme!Q154="","",Synthese_Programme!Q154)</f>
        <v/>
      </c>
      <c r="R154" s="92"/>
      <c r="S154" s="93"/>
      <c r="T154" s="93"/>
    </row>
    <row r="155" spans="1:20" s="8" customFormat="1" ht="26" customHeight="1" x14ac:dyDescent="0.45">
      <c r="A155" s="92" t="str">
        <f>IF(Synthese_Programme!A155="","",Synthese_Programme!A155)</f>
        <v/>
      </c>
      <c r="B155" s="92" t="str">
        <f>IF(Synthese_Programme!B155="","",Synthese_Programme!B155)</f>
        <v/>
      </c>
      <c r="C155" s="92" t="str">
        <f>IF(OR(Synthese_Programme!M155="Réservé",Synthese_Programme!M155="Acté",Synthese_Programme!M155="réservé",Synthese_Programme!M155="acté"),Synthese_Programme!N155,"")</f>
        <v/>
      </c>
      <c r="D155" s="93"/>
      <c r="E155" s="93"/>
      <c r="F155" s="93"/>
      <c r="G155" s="93"/>
      <c r="H155" s="93"/>
      <c r="I155" s="98"/>
      <c r="J155" s="94" t="str">
        <f>IF(OR(Synthese_Programme!M155="Réservé",Synthese_Programme!M155="Acté",Synthese_Programme!M155="réservé",Synthese_Programme!M155="acté"),Synthese_Programme!P155,"")</f>
        <v/>
      </c>
      <c r="K155" s="94" t="str">
        <f t="shared" si="4"/>
        <v/>
      </c>
      <c r="L155" s="92"/>
      <c r="M155" s="93"/>
      <c r="N155" s="93"/>
      <c r="O155" s="93"/>
      <c r="P155" s="92" t="str">
        <f t="shared" si="5"/>
        <v/>
      </c>
      <c r="Q155" s="94" t="str">
        <f>IF(Synthese_Programme!Q155="","",Synthese_Programme!Q155)</f>
        <v/>
      </c>
      <c r="R155" s="92"/>
      <c r="S155" s="93"/>
      <c r="T155" s="93"/>
    </row>
    <row r="156" spans="1:20" s="8" customFormat="1" ht="26" customHeight="1" x14ac:dyDescent="0.45">
      <c r="A156" s="92" t="str">
        <f>IF(Synthese_Programme!A156="","",Synthese_Programme!A156)</f>
        <v/>
      </c>
      <c r="B156" s="92" t="str">
        <f>IF(Synthese_Programme!B156="","",Synthese_Programme!B156)</f>
        <v/>
      </c>
      <c r="C156" s="92" t="str">
        <f>IF(OR(Synthese_Programme!M156="Réservé",Synthese_Programme!M156="Acté",Synthese_Programme!M156="réservé",Synthese_Programme!M156="acté"),Synthese_Programme!N156,"")</f>
        <v/>
      </c>
      <c r="D156" s="93"/>
      <c r="E156" s="93"/>
      <c r="F156" s="93"/>
      <c r="G156" s="93"/>
      <c r="H156" s="93"/>
      <c r="I156" s="98"/>
      <c r="J156" s="94" t="str">
        <f>IF(OR(Synthese_Programme!M156="Réservé",Synthese_Programme!M156="Acté",Synthese_Programme!M156="réservé",Synthese_Programme!M156="acté"),Synthese_Programme!P156,"")</f>
        <v/>
      </c>
      <c r="K156" s="94" t="str">
        <f t="shared" si="4"/>
        <v/>
      </c>
      <c r="L156" s="92"/>
      <c r="M156" s="93"/>
      <c r="N156" s="93"/>
      <c r="O156" s="93"/>
      <c r="P156" s="92" t="str">
        <f t="shared" si="5"/>
        <v/>
      </c>
      <c r="Q156" s="94" t="str">
        <f>IF(Synthese_Programme!Q156="","",Synthese_Programme!Q156)</f>
        <v/>
      </c>
      <c r="R156" s="92"/>
      <c r="S156" s="93"/>
      <c r="T156" s="93"/>
    </row>
    <row r="157" spans="1:20" s="8" customFormat="1" ht="26" customHeight="1" x14ac:dyDescent="0.45">
      <c r="A157" s="92" t="str">
        <f>IF(Synthese_Programme!A157="","",Synthese_Programme!A157)</f>
        <v/>
      </c>
      <c r="B157" s="92" t="str">
        <f>IF(Synthese_Programme!B157="","",Synthese_Programme!B157)</f>
        <v/>
      </c>
      <c r="C157" s="92" t="str">
        <f>IF(OR(Synthese_Programme!M157="Réservé",Synthese_Programme!M157="Acté",Synthese_Programme!M157="réservé",Synthese_Programme!M157="acté"),Synthese_Programme!N157,"")</f>
        <v/>
      </c>
      <c r="D157" s="93"/>
      <c r="E157" s="93"/>
      <c r="F157" s="93"/>
      <c r="G157" s="93"/>
      <c r="H157" s="93"/>
      <c r="I157" s="98"/>
      <c r="J157" s="94" t="str">
        <f>IF(OR(Synthese_Programme!M157="Réservé",Synthese_Programme!M157="Acté",Synthese_Programme!M157="réservé",Synthese_Programme!M157="acté"),Synthese_Programme!P157,"")</f>
        <v/>
      </c>
      <c r="K157" s="94" t="str">
        <f t="shared" si="4"/>
        <v/>
      </c>
      <c r="L157" s="92"/>
      <c r="M157" s="93"/>
      <c r="N157" s="93"/>
      <c r="O157" s="93"/>
      <c r="P157" s="92" t="str">
        <f t="shared" si="5"/>
        <v/>
      </c>
      <c r="Q157" s="94" t="str">
        <f>IF(Synthese_Programme!Q157="","",Synthese_Programme!Q157)</f>
        <v/>
      </c>
      <c r="R157" s="92"/>
      <c r="S157" s="93"/>
      <c r="T157" s="93"/>
    </row>
    <row r="158" spans="1:20" s="8" customFormat="1" ht="26" customHeight="1" x14ac:dyDescent="0.45">
      <c r="A158" s="92" t="str">
        <f>IF(Synthese_Programme!A158="","",Synthese_Programme!A158)</f>
        <v/>
      </c>
      <c r="B158" s="92" t="str">
        <f>IF(Synthese_Programme!B158="","",Synthese_Programme!B158)</f>
        <v/>
      </c>
      <c r="C158" s="92" t="str">
        <f>IF(OR(Synthese_Programme!M158="Réservé",Synthese_Programme!M158="Acté",Synthese_Programme!M158="réservé",Synthese_Programme!M158="acté"),Synthese_Programme!N158,"")</f>
        <v/>
      </c>
      <c r="D158" s="93"/>
      <c r="E158" s="93"/>
      <c r="F158" s="93"/>
      <c r="G158" s="93"/>
      <c r="H158" s="93"/>
      <c r="I158" s="98"/>
      <c r="J158" s="94" t="str">
        <f>IF(OR(Synthese_Programme!M158="Réservé",Synthese_Programme!M158="Acté",Synthese_Programme!M158="réservé",Synthese_Programme!M158="acté"),Synthese_Programme!P158,"")</f>
        <v/>
      </c>
      <c r="K158" s="94" t="str">
        <f t="shared" si="4"/>
        <v/>
      </c>
      <c r="L158" s="92"/>
      <c r="M158" s="93"/>
      <c r="N158" s="93"/>
      <c r="O158" s="93"/>
      <c r="P158" s="92" t="str">
        <f t="shared" si="5"/>
        <v/>
      </c>
      <c r="Q158" s="94" t="str">
        <f>IF(Synthese_Programme!Q158="","",Synthese_Programme!Q158)</f>
        <v/>
      </c>
      <c r="R158" s="92"/>
      <c r="S158" s="93"/>
      <c r="T158" s="93"/>
    </row>
    <row r="159" spans="1:20" s="8" customFormat="1" ht="26" customHeight="1" x14ac:dyDescent="0.45">
      <c r="A159" s="92" t="str">
        <f>IF(Synthese_Programme!A159="","",Synthese_Programme!A159)</f>
        <v/>
      </c>
      <c r="B159" s="92" t="str">
        <f>IF(Synthese_Programme!B159="","",Synthese_Programme!B159)</f>
        <v/>
      </c>
      <c r="C159" s="92" t="str">
        <f>IF(OR(Synthese_Programme!M159="Réservé",Synthese_Programme!M159="Acté",Synthese_Programme!M159="réservé",Synthese_Programme!M159="acté"),Synthese_Programme!N159,"")</f>
        <v/>
      </c>
      <c r="D159" s="93"/>
      <c r="E159" s="93"/>
      <c r="F159" s="93"/>
      <c r="G159" s="93"/>
      <c r="H159" s="93"/>
      <c r="I159" s="98"/>
      <c r="J159" s="94" t="str">
        <f>IF(OR(Synthese_Programme!M159="Réservé",Synthese_Programme!M159="Acté",Synthese_Programme!M159="réservé",Synthese_Programme!M159="acté"),Synthese_Programme!P159,"")</f>
        <v/>
      </c>
      <c r="K159" s="94" t="str">
        <f t="shared" si="4"/>
        <v/>
      </c>
      <c r="L159" s="92"/>
      <c r="M159" s="93"/>
      <c r="N159" s="93"/>
      <c r="O159" s="93"/>
      <c r="P159" s="92" t="str">
        <f t="shared" si="5"/>
        <v/>
      </c>
      <c r="Q159" s="94" t="str">
        <f>IF(Synthese_Programme!Q159="","",Synthese_Programme!Q159)</f>
        <v/>
      </c>
      <c r="R159" s="92"/>
      <c r="S159" s="93"/>
      <c r="T159" s="93"/>
    </row>
    <row r="160" spans="1:20" s="8" customFormat="1" ht="26" customHeight="1" x14ac:dyDescent="0.45">
      <c r="A160" s="92" t="str">
        <f>IF(Synthese_Programme!A160="","",Synthese_Programme!A160)</f>
        <v/>
      </c>
      <c r="B160" s="92" t="str">
        <f>IF(Synthese_Programme!B160="","",Synthese_Programme!B160)</f>
        <v/>
      </c>
      <c r="C160" s="92" t="str">
        <f>IF(OR(Synthese_Programme!M160="Réservé",Synthese_Programme!M160="Acté",Synthese_Programme!M160="réservé",Synthese_Programme!M160="acté"),Synthese_Programme!N160,"")</f>
        <v/>
      </c>
      <c r="D160" s="93"/>
      <c r="E160" s="93"/>
      <c r="F160" s="93"/>
      <c r="G160" s="93"/>
      <c r="H160" s="93"/>
      <c r="I160" s="98"/>
      <c r="J160" s="94" t="str">
        <f>IF(OR(Synthese_Programme!M160="Réservé",Synthese_Programme!M160="Acté",Synthese_Programme!M160="réservé",Synthese_Programme!M160="acté"),Synthese_Programme!P160,"")</f>
        <v/>
      </c>
      <c r="K160" s="94" t="str">
        <f t="shared" si="4"/>
        <v/>
      </c>
      <c r="L160" s="92"/>
      <c r="M160" s="93"/>
      <c r="N160" s="93"/>
      <c r="O160" s="93"/>
      <c r="P160" s="92" t="str">
        <f t="shared" si="5"/>
        <v/>
      </c>
      <c r="Q160" s="94" t="str">
        <f>IF(Synthese_Programme!Q160="","",Synthese_Programme!Q160)</f>
        <v/>
      </c>
      <c r="R160" s="92"/>
      <c r="S160" s="93"/>
      <c r="T160" s="93"/>
    </row>
    <row r="161" spans="1:20" s="8" customFormat="1" ht="26" customHeight="1" x14ac:dyDescent="0.45">
      <c r="A161" s="92" t="str">
        <f>IF(Synthese_Programme!A161="","",Synthese_Programme!A161)</f>
        <v/>
      </c>
      <c r="B161" s="92" t="str">
        <f>IF(Synthese_Programme!B161="","",Synthese_Programme!B161)</f>
        <v/>
      </c>
      <c r="C161" s="92" t="str">
        <f>IF(OR(Synthese_Programme!M161="Réservé",Synthese_Programme!M161="Acté",Synthese_Programme!M161="réservé",Synthese_Programme!M161="acté"),Synthese_Programme!N161,"")</f>
        <v/>
      </c>
      <c r="D161" s="93"/>
      <c r="E161" s="93"/>
      <c r="F161" s="93"/>
      <c r="G161" s="93"/>
      <c r="H161" s="93"/>
      <c r="I161" s="98"/>
      <c r="J161" s="94" t="str">
        <f>IF(OR(Synthese_Programme!M161="Réservé",Synthese_Programme!M161="Acté",Synthese_Programme!M161="réservé",Synthese_Programme!M161="acté"),Synthese_Programme!P161,"")</f>
        <v/>
      </c>
      <c r="K161" s="94" t="str">
        <f t="shared" si="4"/>
        <v/>
      </c>
      <c r="L161" s="92"/>
      <c r="M161" s="93"/>
      <c r="N161" s="93"/>
      <c r="O161" s="93"/>
      <c r="P161" s="92" t="str">
        <f t="shared" si="5"/>
        <v/>
      </c>
      <c r="Q161" s="94" t="str">
        <f>IF(Synthese_Programme!Q161="","",Synthese_Programme!Q161)</f>
        <v/>
      </c>
      <c r="R161" s="92"/>
      <c r="S161" s="93"/>
      <c r="T161" s="93"/>
    </row>
    <row r="162" spans="1:20" s="8" customFormat="1" ht="26" customHeight="1" x14ac:dyDescent="0.45">
      <c r="A162" s="92" t="str">
        <f>IF(Synthese_Programme!A162="","",Synthese_Programme!A162)</f>
        <v/>
      </c>
      <c r="B162" s="92" t="str">
        <f>IF(Synthese_Programme!B162="","",Synthese_Programme!B162)</f>
        <v/>
      </c>
      <c r="C162" s="92" t="str">
        <f>IF(OR(Synthese_Programme!M162="Réservé",Synthese_Programme!M162="Acté",Synthese_Programme!M162="réservé",Synthese_Programme!M162="acté"),Synthese_Programme!N162,"")</f>
        <v/>
      </c>
      <c r="D162" s="93"/>
      <c r="E162" s="93"/>
      <c r="F162" s="93"/>
      <c r="G162" s="93"/>
      <c r="H162" s="93"/>
      <c r="I162" s="98"/>
      <c r="J162" s="94" t="str">
        <f>IF(OR(Synthese_Programme!M162="Réservé",Synthese_Programme!M162="Acté",Synthese_Programme!M162="réservé",Synthese_Programme!M162="acté"),Synthese_Programme!P162,"")</f>
        <v/>
      </c>
      <c r="K162" s="94" t="str">
        <f t="shared" si="4"/>
        <v/>
      </c>
      <c r="L162" s="92"/>
      <c r="M162" s="93"/>
      <c r="N162" s="93"/>
      <c r="O162" s="93"/>
      <c r="P162" s="92" t="str">
        <f t="shared" si="5"/>
        <v/>
      </c>
      <c r="Q162" s="94" t="str">
        <f>IF(Synthese_Programme!Q162="","",Synthese_Programme!Q162)</f>
        <v/>
      </c>
      <c r="R162" s="92"/>
      <c r="S162" s="93"/>
      <c r="T162" s="93"/>
    </row>
    <row r="163" spans="1:20" s="8" customFormat="1" ht="26" customHeight="1" x14ac:dyDescent="0.45">
      <c r="A163" s="92" t="str">
        <f>IF(Synthese_Programme!A163="","",Synthese_Programme!A163)</f>
        <v/>
      </c>
      <c r="B163" s="92" t="str">
        <f>IF(Synthese_Programme!B163="","",Synthese_Programme!B163)</f>
        <v/>
      </c>
      <c r="C163" s="92" t="str">
        <f>IF(OR(Synthese_Programme!M163="Réservé",Synthese_Programme!M163="Acté",Synthese_Programme!M163="réservé",Synthese_Programme!M163="acté"),Synthese_Programme!N163,"")</f>
        <v/>
      </c>
      <c r="D163" s="93"/>
      <c r="E163" s="93"/>
      <c r="F163" s="93"/>
      <c r="G163" s="93"/>
      <c r="H163" s="93"/>
      <c r="I163" s="98"/>
      <c r="J163" s="94" t="str">
        <f>IF(OR(Synthese_Programme!M163="Réservé",Synthese_Programme!M163="Acté",Synthese_Programme!M163="réservé",Synthese_Programme!M163="acté"),Synthese_Programme!P163,"")</f>
        <v/>
      </c>
      <c r="K163" s="94" t="str">
        <f t="shared" si="4"/>
        <v/>
      </c>
      <c r="L163" s="92"/>
      <c r="M163" s="93"/>
      <c r="N163" s="93"/>
      <c r="O163" s="93"/>
      <c r="P163" s="92" t="str">
        <f t="shared" si="5"/>
        <v/>
      </c>
      <c r="Q163" s="94" t="str">
        <f>IF(Synthese_Programme!Q163="","",Synthese_Programme!Q163)</f>
        <v/>
      </c>
      <c r="R163" s="92"/>
      <c r="S163" s="93"/>
      <c r="T163" s="93"/>
    </row>
    <row r="164" spans="1:20" s="8" customFormat="1" ht="26" customHeight="1" x14ac:dyDescent="0.45">
      <c r="A164" s="92" t="str">
        <f>IF(Synthese_Programme!A164="","",Synthese_Programme!A164)</f>
        <v/>
      </c>
      <c r="B164" s="92" t="str">
        <f>IF(Synthese_Programme!B164="","",Synthese_Programme!B164)</f>
        <v/>
      </c>
      <c r="C164" s="92" t="str">
        <f>IF(OR(Synthese_Programme!M164="Réservé",Synthese_Programme!M164="Acté",Synthese_Programme!M164="réservé",Synthese_Programme!M164="acté"),Synthese_Programme!N164,"")</f>
        <v/>
      </c>
      <c r="D164" s="93"/>
      <c r="E164" s="93"/>
      <c r="F164" s="93"/>
      <c r="G164" s="93"/>
      <c r="H164" s="93"/>
      <c r="I164" s="98"/>
      <c r="J164" s="94" t="str">
        <f>IF(OR(Synthese_Programme!M164="Réservé",Synthese_Programme!M164="Acté",Synthese_Programme!M164="réservé",Synthese_Programme!M164="acté"),Synthese_Programme!P164,"")</f>
        <v/>
      </c>
      <c r="K164" s="94" t="str">
        <f t="shared" si="4"/>
        <v/>
      </c>
      <c r="L164" s="92"/>
      <c r="M164" s="93"/>
      <c r="N164" s="93"/>
      <c r="O164" s="93"/>
      <c r="P164" s="92" t="str">
        <f t="shared" si="5"/>
        <v/>
      </c>
      <c r="Q164" s="94" t="str">
        <f>IF(Synthese_Programme!Q164="","",Synthese_Programme!Q164)</f>
        <v/>
      </c>
      <c r="R164" s="92"/>
      <c r="S164" s="93"/>
      <c r="T164" s="93"/>
    </row>
    <row r="165" spans="1:20" s="8" customFormat="1" ht="26" customHeight="1" x14ac:dyDescent="0.45">
      <c r="A165" s="92" t="str">
        <f>IF(Synthese_Programme!A165="","",Synthese_Programme!A165)</f>
        <v/>
      </c>
      <c r="B165" s="92" t="str">
        <f>IF(Synthese_Programme!B165="","",Synthese_Programme!B165)</f>
        <v/>
      </c>
      <c r="C165" s="92" t="str">
        <f>IF(OR(Synthese_Programme!M165="Réservé",Synthese_Programme!M165="Acté",Synthese_Programme!M165="réservé",Synthese_Programme!M165="acté"),Synthese_Programme!N165,"")</f>
        <v/>
      </c>
      <c r="D165" s="93"/>
      <c r="E165" s="93"/>
      <c r="F165" s="93"/>
      <c r="G165" s="93"/>
      <c r="H165" s="93"/>
      <c r="I165" s="98"/>
      <c r="J165" s="94" t="str">
        <f>IF(OR(Synthese_Programme!M165="Réservé",Synthese_Programme!M165="Acté",Synthese_Programme!M165="réservé",Synthese_Programme!M165="acté"),Synthese_Programme!P165,"")</f>
        <v/>
      </c>
      <c r="K165" s="94" t="str">
        <f t="shared" si="4"/>
        <v/>
      </c>
      <c r="L165" s="92"/>
      <c r="M165" s="93"/>
      <c r="N165" s="93"/>
      <c r="O165" s="93"/>
      <c r="P165" s="92" t="str">
        <f t="shared" si="5"/>
        <v/>
      </c>
      <c r="Q165" s="94" t="str">
        <f>IF(Synthese_Programme!Q165="","",Synthese_Programme!Q165)</f>
        <v/>
      </c>
      <c r="R165" s="92"/>
      <c r="S165" s="93"/>
      <c r="T165" s="93"/>
    </row>
    <row r="166" spans="1:20" s="8" customFormat="1" ht="26" customHeight="1" x14ac:dyDescent="0.45">
      <c r="A166" s="92" t="str">
        <f>IF(Synthese_Programme!A166="","",Synthese_Programme!A166)</f>
        <v/>
      </c>
      <c r="B166" s="92" t="str">
        <f>IF(Synthese_Programme!B166="","",Synthese_Programme!B166)</f>
        <v/>
      </c>
      <c r="C166" s="92" t="str">
        <f>IF(OR(Synthese_Programme!M166="Réservé",Synthese_Programme!M166="Acté",Synthese_Programme!M166="réservé",Synthese_Programme!M166="acté"),Synthese_Programme!N166,"")</f>
        <v/>
      </c>
      <c r="D166" s="93"/>
      <c r="E166" s="93"/>
      <c r="F166" s="93"/>
      <c r="G166" s="93"/>
      <c r="H166" s="93"/>
      <c r="I166" s="98"/>
      <c r="J166" s="94" t="str">
        <f>IF(OR(Synthese_Programme!M166="Réservé",Synthese_Programme!M166="Acté",Synthese_Programme!M166="réservé",Synthese_Programme!M166="acté"),Synthese_Programme!P166,"")</f>
        <v/>
      </c>
      <c r="K166" s="94" t="str">
        <f t="shared" si="4"/>
        <v/>
      </c>
      <c r="L166" s="92"/>
      <c r="M166" s="93"/>
      <c r="N166" s="93"/>
      <c r="O166" s="93"/>
      <c r="P166" s="92" t="str">
        <f t="shared" si="5"/>
        <v/>
      </c>
      <c r="Q166" s="94" t="str">
        <f>IF(Synthese_Programme!Q166="","",Synthese_Programme!Q166)</f>
        <v/>
      </c>
      <c r="R166" s="92"/>
      <c r="S166" s="93"/>
      <c r="T166" s="93"/>
    </row>
    <row r="167" spans="1:20" s="8" customFormat="1" ht="26" customHeight="1" x14ac:dyDescent="0.45">
      <c r="A167" s="92" t="str">
        <f>IF(Synthese_Programme!A167="","",Synthese_Programme!A167)</f>
        <v/>
      </c>
      <c r="B167" s="92" t="str">
        <f>IF(Synthese_Programme!B167="","",Synthese_Programme!B167)</f>
        <v/>
      </c>
      <c r="C167" s="92" t="str">
        <f>IF(OR(Synthese_Programme!M167="Réservé",Synthese_Programme!M167="Acté",Synthese_Programme!M167="réservé",Synthese_Programme!M167="acté"),Synthese_Programme!N167,"")</f>
        <v/>
      </c>
      <c r="D167" s="93"/>
      <c r="E167" s="93"/>
      <c r="F167" s="93"/>
      <c r="G167" s="93"/>
      <c r="H167" s="93"/>
      <c r="I167" s="98"/>
      <c r="J167" s="94" t="str">
        <f>IF(OR(Synthese_Programme!M167="Réservé",Synthese_Programme!M167="Acté",Synthese_Programme!M167="réservé",Synthese_Programme!M167="acté"),Synthese_Programme!P167,"")</f>
        <v/>
      </c>
      <c r="K167" s="94" t="str">
        <f t="shared" si="4"/>
        <v/>
      </c>
      <c r="L167" s="92"/>
      <c r="M167" s="93"/>
      <c r="N167" s="93"/>
      <c r="O167" s="93"/>
      <c r="P167" s="92" t="str">
        <f t="shared" si="5"/>
        <v/>
      </c>
      <c r="Q167" s="94" t="str">
        <f>IF(Synthese_Programme!Q167="","",Synthese_Programme!Q167)</f>
        <v/>
      </c>
      <c r="R167" s="92"/>
      <c r="S167" s="93"/>
      <c r="T167" s="93"/>
    </row>
    <row r="168" spans="1:20" s="8" customFormat="1" ht="26" customHeight="1" x14ac:dyDescent="0.45">
      <c r="A168" s="92" t="str">
        <f>IF(Synthese_Programme!A168="","",Synthese_Programme!A168)</f>
        <v/>
      </c>
      <c r="B168" s="92" t="str">
        <f>IF(Synthese_Programme!B168="","",Synthese_Programme!B168)</f>
        <v/>
      </c>
      <c r="C168" s="92" t="str">
        <f>IF(OR(Synthese_Programme!M168="Réservé",Synthese_Programme!M168="Acté",Synthese_Programme!M168="réservé",Synthese_Programme!M168="acté"),Synthese_Programme!N168,"")</f>
        <v/>
      </c>
      <c r="D168" s="93"/>
      <c r="E168" s="93"/>
      <c r="F168" s="93"/>
      <c r="G168" s="93"/>
      <c r="H168" s="93"/>
      <c r="I168" s="98"/>
      <c r="J168" s="94" t="str">
        <f>IF(OR(Synthese_Programme!M168="Réservé",Synthese_Programme!M168="Acté",Synthese_Programme!M168="réservé",Synthese_Programme!M168="acté"),Synthese_Programme!P168,"")</f>
        <v/>
      </c>
      <c r="K168" s="94" t="str">
        <f t="shared" si="4"/>
        <v/>
      </c>
      <c r="L168" s="92"/>
      <c r="M168" s="93"/>
      <c r="N168" s="93"/>
      <c r="O168" s="93"/>
      <c r="P168" s="92" t="str">
        <f t="shared" si="5"/>
        <v/>
      </c>
      <c r="Q168" s="94" t="str">
        <f>IF(Synthese_Programme!Q168="","",Synthese_Programme!Q168)</f>
        <v/>
      </c>
      <c r="R168" s="92"/>
      <c r="S168" s="93"/>
      <c r="T168" s="93"/>
    </row>
    <row r="169" spans="1:20" s="8" customFormat="1" ht="26" customHeight="1" x14ac:dyDescent="0.45">
      <c r="A169" s="92" t="str">
        <f>IF(Synthese_Programme!A169="","",Synthese_Programme!A169)</f>
        <v/>
      </c>
      <c r="B169" s="92" t="str">
        <f>IF(Synthese_Programme!B169="","",Synthese_Programme!B169)</f>
        <v/>
      </c>
      <c r="C169" s="92" t="str">
        <f>IF(OR(Synthese_Programme!M169="Réservé",Synthese_Programme!M169="Acté",Synthese_Programme!M169="réservé",Synthese_Programme!M169="acté"),Synthese_Programme!N169,"")</f>
        <v/>
      </c>
      <c r="D169" s="93"/>
      <c r="E169" s="93"/>
      <c r="F169" s="93"/>
      <c r="G169" s="93"/>
      <c r="H169" s="93"/>
      <c r="I169" s="98"/>
      <c r="J169" s="94" t="str">
        <f>IF(OR(Synthese_Programme!M169="Réservé",Synthese_Programme!M169="Acté",Synthese_Programme!M169="réservé",Synthese_Programme!M169="acté"),Synthese_Programme!P169,"")</f>
        <v/>
      </c>
      <c r="K169" s="94" t="str">
        <f t="shared" si="4"/>
        <v/>
      </c>
      <c r="L169" s="92"/>
      <c r="M169" s="93"/>
      <c r="N169" s="93"/>
      <c r="O169" s="93"/>
      <c r="P169" s="92" t="str">
        <f t="shared" si="5"/>
        <v/>
      </c>
      <c r="Q169" s="94" t="str">
        <f>IF(Synthese_Programme!Q169="","",Synthese_Programme!Q169)</f>
        <v/>
      </c>
      <c r="R169" s="92"/>
      <c r="S169" s="93"/>
      <c r="T169" s="93"/>
    </row>
    <row r="170" spans="1:20" s="8" customFormat="1" ht="26" customHeight="1" x14ac:dyDescent="0.45">
      <c r="A170" s="92" t="str">
        <f>IF(Synthese_Programme!A170="","",Synthese_Programme!A170)</f>
        <v/>
      </c>
      <c r="B170" s="92" t="str">
        <f>IF(Synthese_Programme!B170="","",Synthese_Programme!B170)</f>
        <v/>
      </c>
      <c r="C170" s="92" t="str">
        <f>IF(OR(Synthese_Programme!M170="Réservé",Synthese_Programme!M170="Acté",Synthese_Programme!M170="réservé",Synthese_Programme!M170="acté"),Synthese_Programme!N170,"")</f>
        <v/>
      </c>
      <c r="D170" s="93"/>
      <c r="E170" s="93"/>
      <c r="F170" s="93"/>
      <c r="G170" s="93"/>
      <c r="H170" s="93"/>
      <c r="I170" s="98"/>
      <c r="J170" s="94" t="str">
        <f>IF(OR(Synthese_Programme!M170="Réservé",Synthese_Programme!M170="Acté",Synthese_Programme!M170="réservé",Synthese_Programme!M170="acté"),Synthese_Programme!P170,"")</f>
        <v/>
      </c>
      <c r="K170" s="94" t="str">
        <f t="shared" si="4"/>
        <v/>
      </c>
      <c r="L170" s="92"/>
      <c r="M170" s="93"/>
      <c r="N170" s="93"/>
      <c r="O170" s="93"/>
      <c r="P170" s="92" t="str">
        <f t="shared" si="5"/>
        <v/>
      </c>
      <c r="Q170" s="94" t="str">
        <f>IF(Synthese_Programme!Q170="","",Synthese_Programme!Q170)</f>
        <v/>
      </c>
      <c r="R170" s="92"/>
      <c r="S170" s="93"/>
      <c r="T170" s="93"/>
    </row>
    <row r="171" spans="1:20" s="8" customFormat="1" ht="26" customHeight="1" x14ac:dyDescent="0.45">
      <c r="A171" s="92" t="str">
        <f>IF(Synthese_Programme!A171="","",Synthese_Programme!A171)</f>
        <v/>
      </c>
      <c r="B171" s="92" t="str">
        <f>IF(Synthese_Programme!B171="","",Synthese_Programme!B171)</f>
        <v/>
      </c>
      <c r="C171" s="92" t="str">
        <f>IF(OR(Synthese_Programme!M171="Réservé",Synthese_Programme!M171="Acté",Synthese_Programme!M171="réservé",Synthese_Programme!M171="acté"),Synthese_Programme!N171,"")</f>
        <v/>
      </c>
      <c r="D171" s="93"/>
      <c r="E171" s="93"/>
      <c r="F171" s="93"/>
      <c r="G171" s="93"/>
      <c r="H171" s="93"/>
      <c r="I171" s="98"/>
      <c r="J171" s="94" t="str">
        <f>IF(OR(Synthese_Programme!M171="Réservé",Synthese_Programme!M171="Acté",Synthese_Programme!M171="réservé",Synthese_Programme!M171="acté"),Synthese_Programme!P171,"")</f>
        <v/>
      </c>
      <c r="K171" s="94" t="str">
        <f t="shared" si="4"/>
        <v/>
      </c>
      <c r="L171" s="92"/>
      <c r="M171" s="93"/>
      <c r="N171" s="93"/>
      <c r="O171" s="93"/>
      <c r="P171" s="92" t="str">
        <f t="shared" si="5"/>
        <v/>
      </c>
      <c r="Q171" s="94" t="str">
        <f>IF(Synthese_Programme!Q171="","",Synthese_Programme!Q171)</f>
        <v/>
      </c>
      <c r="R171" s="92"/>
      <c r="S171" s="93"/>
      <c r="T171" s="93"/>
    </row>
    <row r="172" spans="1:20" s="8" customFormat="1" ht="26" customHeight="1" x14ac:dyDescent="0.45">
      <c r="A172" s="92" t="str">
        <f>IF(Synthese_Programme!A172="","",Synthese_Programme!A172)</f>
        <v/>
      </c>
      <c r="B172" s="92" t="str">
        <f>IF(Synthese_Programme!B172="","",Synthese_Programme!B172)</f>
        <v/>
      </c>
      <c r="C172" s="92" t="str">
        <f>IF(OR(Synthese_Programme!M172="Réservé",Synthese_Programme!M172="Acté",Synthese_Programme!M172="réservé",Synthese_Programme!M172="acté"),Synthese_Programme!N172,"")</f>
        <v/>
      </c>
      <c r="D172" s="93"/>
      <c r="E172" s="93"/>
      <c r="F172" s="93"/>
      <c r="G172" s="93"/>
      <c r="H172" s="93"/>
      <c r="I172" s="98"/>
      <c r="J172" s="94" t="str">
        <f>IF(OR(Synthese_Programme!M172="Réservé",Synthese_Programme!M172="Acté",Synthese_Programme!M172="réservé",Synthese_Programme!M172="acté"),Synthese_Programme!P172,"")</f>
        <v/>
      </c>
      <c r="K172" s="94" t="str">
        <f t="shared" si="4"/>
        <v/>
      </c>
      <c r="L172" s="92"/>
      <c r="M172" s="93"/>
      <c r="N172" s="93"/>
      <c r="O172" s="93"/>
      <c r="P172" s="92" t="str">
        <f t="shared" si="5"/>
        <v/>
      </c>
      <c r="Q172" s="94" t="str">
        <f>IF(Synthese_Programme!Q172="","",Synthese_Programme!Q172)</f>
        <v/>
      </c>
      <c r="R172" s="92"/>
      <c r="S172" s="93"/>
      <c r="T172" s="93"/>
    </row>
    <row r="173" spans="1:20" s="8" customFormat="1" ht="26" customHeight="1" x14ac:dyDescent="0.45">
      <c r="A173" s="92" t="str">
        <f>IF(Synthese_Programme!A173="","",Synthese_Programme!A173)</f>
        <v/>
      </c>
      <c r="B173" s="92" t="str">
        <f>IF(Synthese_Programme!B173="","",Synthese_Programme!B173)</f>
        <v/>
      </c>
      <c r="C173" s="92" t="str">
        <f>IF(OR(Synthese_Programme!M173="Réservé",Synthese_Programme!M173="Acté",Synthese_Programme!M173="réservé",Synthese_Programme!M173="acté"),Synthese_Programme!N173,"")</f>
        <v/>
      </c>
      <c r="D173" s="93"/>
      <c r="E173" s="93"/>
      <c r="F173" s="93"/>
      <c r="G173" s="93"/>
      <c r="H173" s="93"/>
      <c r="I173" s="98"/>
      <c r="J173" s="94" t="str">
        <f>IF(OR(Synthese_Programme!M173="Réservé",Synthese_Programme!M173="Acté",Synthese_Programme!M173="réservé",Synthese_Programme!M173="acté"),Synthese_Programme!P173,"")</f>
        <v/>
      </c>
      <c r="K173" s="94" t="str">
        <f t="shared" si="4"/>
        <v/>
      </c>
      <c r="L173" s="92"/>
      <c r="M173" s="93"/>
      <c r="N173" s="93"/>
      <c r="O173" s="93"/>
      <c r="P173" s="92" t="str">
        <f t="shared" si="5"/>
        <v/>
      </c>
      <c r="Q173" s="94" t="str">
        <f>IF(Synthese_Programme!Q173="","",Synthese_Programme!Q173)</f>
        <v/>
      </c>
      <c r="R173" s="92"/>
      <c r="S173" s="93"/>
      <c r="T173" s="93"/>
    </row>
    <row r="174" spans="1:20" s="8" customFormat="1" ht="26" customHeight="1" x14ac:dyDescent="0.45">
      <c r="A174" s="92" t="str">
        <f>IF(Synthese_Programme!A174="","",Synthese_Programme!A174)</f>
        <v/>
      </c>
      <c r="B174" s="92" t="str">
        <f>IF(Synthese_Programme!B174="","",Synthese_Programme!B174)</f>
        <v/>
      </c>
      <c r="C174" s="92" t="str">
        <f>IF(OR(Synthese_Programme!M174="Réservé",Synthese_Programme!M174="Acté",Synthese_Programme!M174="réservé",Synthese_Programme!M174="acté"),Synthese_Programme!N174,"")</f>
        <v/>
      </c>
      <c r="D174" s="93"/>
      <c r="E174" s="93"/>
      <c r="F174" s="93"/>
      <c r="G174" s="93"/>
      <c r="H174" s="93"/>
      <c r="I174" s="98"/>
      <c r="J174" s="94" t="str">
        <f>IF(OR(Synthese_Programme!M174="Réservé",Synthese_Programme!M174="Acté",Synthese_Programme!M174="réservé",Synthese_Programme!M174="acté"),Synthese_Programme!P174,"")</f>
        <v/>
      </c>
      <c r="K174" s="94" t="str">
        <f t="shared" si="4"/>
        <v/>
      </c>
      <c r="L174" s="92"/>
      <c r="M174" s="93"/>
      <c r="N174" s="93"/>
      <c r="O174" s="93"/>
      <c r="P174" s="92" t="str">
        <f t="shared" si="5"/>
        <v/>
      </c>
      <c r="Q174" s="94" t="str">
        <f>IF(Synthese_Programme!Q174="","",Synthese_Programme!Q174)</f>
        <v/>
      </c>
      <c r="R174" s="92"/>
      <c r="S174" s="93"/>
      <c r="T174" s="93"/>
    </row>
    <row r="175" spans="1:20" s="8" customFormat="1" ht="26" customHeight="1" x14ac:dyDescent="0.45">
      <c r="A175" s="92" t="str">
        <f>IF(Synthese_Programme!A175="","",Synthese_Programme!A175)</f>
        <v/>
      </c>
      <c r="B175" s="92" t="str">
        <f>IF(Synthese_Programme!B175="","",Synthese_Programme!B175)</f>
        <v/>
      </c>
      <c r="C175" s="92" t="str">
        <f>IF(OR(Synthese_Programme!M175="Réservé",Synthese_Programme!M175="Acté",Synthese_Programme!M175="réservé",Synthese_Programme!M175="acté"),Synthese_Programme!N175,"")</f>
        <v/>
      </c>
      <c r="D175" s="93"/>
      <c r="E175" s="93"/>
      <c r="F175" s="93"/>
      <c r="G175" s="93"/>
      <c r="H175" s="93"/>
      <c r="I175" s="98"/>
      <c r="J175" s="94" t="str">
        <f>IF(OR(Synthese_Programme!M175="Réservé",Synthese_Programme!M175="Acté",Synthese_Programme!M175="réservé",Synthese_Programme!M175="acté"),Synthese_Programme!P175,"")</f>
        <v/>
      </c>
      <c r="K175" s="94" t="str">
        <f t="shared" si="4"/>
        <v/>
      </c>
      <c r="L175" s="92"/>
      <c r="M175" s="93"/>
      <c r="N175" s="93"/>
      <c r="O175" s="93"/>
      <c r="P175" s="92" t="str">
        <f t="shared" si="5"/>
        <v/>
      </c>
      <c r="Q175" s="94" t="str">
        <f>IF(Synthese_Programme!Q175="","",Synthese_Programme!Q175)</f>
        <v/>
      </c>
      <c r="R175" s="92"/>
      <c r="S175" s="93"/>
      <c r="T175" s="93"/>
    </row>
    <row r="176" spans="1:20" s="8" customFormat="1" ht="26" customHeight="1" x14ac:dyDescent="0.45">
      <c r="A176" s="92" t="str">
        <f>IF(Synthese_Programme!A176="","",Synthese_Programme!A176)</f>
        <v/>
      </c>
      <c r="B176" s="92" t="str">
        <f>IF(Synthese_Programme!B176="","",Synthese_Programme!B176)</f>
        <v/>
      </c>
      <c r="C176" s="92" t="str">
        <f>IF(OR(Synthese_Programme!M176="Réservé",Synthese_Programme!M176="Acté",Synthese_Programme!M176="réservé",Synthese_Programme!M176="acté"),Synthese_Programme!N176,"")</f>
        <v/>
      </c>
      <c r="D176" s="93"/>
      <c r="E176" s="93"/>
      <c r="F176" s="93"/>
      <c r="G176" s="93"/>
      <c r="H176" s="93"/>
      <c r="I176" s="98"/>
      <c r="J176" s="94" t="str">
        <f>IF(OR(Synthese_Programme!M176="Réservé",Synthese_Programme!M176="Acté",Synthese_Programme!M176="réservé",Synthese_Programme!M176="acté"),Synthese_Programme!P176,"")</f>
        <v/>
      </c>
      <c r="K176" s="94" t="str">
        <f t="shared" si="4"/>
        <v/>
      </c>
      <c r="L176" s="92"/>
      <c r="M176" s="93"/>
      <c r="N176" s="93"/>
      <c r="O176" s="93"/>
      <c r="P176" s="92" t="str">
        <f t="shared" si="5"/>
        <v/>
      </c>
      <c r="Q176" s="94" t="str">
        <f>IF(Synthese_Programme!Q176="","",Synthese_Programme!Q176)</f>
        <v/>
      </c>
      <c r="R176" s="92"/>
      <c r="S176" s="93"/>
      <c r="T176" s="93"/>
    </row>
    <row r="177" spans="1:20" s="8" customFormat="1" ht="26" customHeight="1" x14ac:dyDescent="0.45">
      <c r="A177" s="92" t="str">
        <f>IF(Synthese_Programme!A177="","",Synthese_Programme!A177)</f>
        <v/>
      </c>
      <c r="B177" s="92" t="str">
        <f>IF(Synthese_Programme!B177="","",Synthese_Programme!B177)</f>
        <v/>
      </c>
      <c r="C177" s="92" t="str">
        <f>IF(OR(Synthese_Programme!M177="Réservé",Synthese_Programme!M177="Acté",Synthese_Programme!M177="réservé",Synthese_Programme!M177="acté"),Synthese_Programme!N177,"")</f>
        <v/>
      </c>
      <c r="D177" s="93"/>
      <c r="E177" s="93"/>
      <c r="F177" s="93"/>
      <c r="G177" s="93"/>
      <c r="H177" s="93"/>
      <c r="I177" s="98"/>
      <c r="J177" s="94" t="str">
        <f>IF(OR(Synthese_Programme!M177="Réservé",Synthese_Programme!M177="Acté",Synthese_Programme!M177="réservé",Synthese_Programme!M177="acté"),Synthese_Programme!P177,"")</f>
        <v/>
      </c>
      <c r="K177" s="94" t="str">
        <f t="shared" si="4"/>
        <v/>
      </c>
      <c r="L177" s="92"/>
      <c r="M177" s="93"/>
      <c r="N177" s="93"/>
      <c r="O177" s="93"/>
      <c r="P177" s="92" t="str">
        <f t="shared" si="5"/>
        <v/>
      </c>
      <c r="Q177" s="94" t="str">
        <f>IF(Synthese_Programme!Q177="","",Synthese_Programme!Q177)</f>
        <v/>
      </c>
      <c r="R177" s="92"/>
      <c r="S177" s="93"/>
      <c r="T177" s="93"/>
    </row>
    <row r="178" spans="1:20" s="8" customFormat="1" ht="26" customHeight="1" x14ac:dyDescent="0.45">
      <c r="A178" s="92" t="str">
        <f>IF(Synthese_Programme!A178="","",Synthese_Programme!A178)</f>
        <v/>
      </c>
      <c r="B178" s="92" t="str">
        <f>IF(Synthese_Programme!B178="","",Synthese_Programme!B178)</f>
        <v/>
      </c>
      <c r="C178" s="92" t="str">
        <f>IF(OR(Synthese_Programme!M178="Réservé",Synthese_Programme!M178="Acté",Synthese_Programme!M178="réservé",Synthese_Programme!M178="acté"),Synthese_Programme!N178,"")</f>
        <v/>
      </c>
      <c r="D178" s="93"/>
      <c r="E178" s="93"/>
      <c r="F178" s="93"/>
      <c r="G178" s="93"/>
      <c r="H178" s="93"/>
      <c r="I178" s="98"/>
      <c r="J178" s="94" t="str">
        <f>IF(OR(Synthese_Programme!M178="Réservé",Synthese_Programme!M178="Acté",Synthese_Programme!M178="réservé",Synthese_Programme!M178="acté"),Synthese_Programme!P178,"")</f>
        <v/>
      </c>
      <c r="K178" s="94" t="str">
        <f t="shared" si="4"/>
        <v/>
      </c>
      <c r="L178" s="92"/>
      <c r="M178" s="93"/>
      <c r="N178" s="93"/>
      <c r="O178" s="93"/>
      <c r="P178" s="92" t="str">
        <f t="shared" si="5"/>
        <v/>
      </c>
      <c r="Q178" s="94" t="str">
        <f>IF(Synthese_Programme!Q178="","",Synthese_Programme!Q178)</f>
        <v/>
      </c>
      <c r="R178" s="92"/>
      <c r="S178" s="93"/>
      <c r="T178" s="93"/>
    </row>
    <row r="179" spans="1:20" s="8" customFormat="1" ht="26" customHeight="1" x14ac:dyDescent="0.45">
      <c r="A179" s="92" t="str">
        <f>IF(Synthese_Programme!A179="","",Synthese_Programme!A179)</f>
        <v/>
      </c>
      <c r="B179" s="92" t="str">
        <f>IF(Synthese_Programme!B179="","",Synthese_Programme!B179)</f>
        <v/>
      </c>
      <c r="C179" s="92" t="str">
        <f>IF(OR(Synthese_Programme!M179="Réservé",Synthese_Programme!M179="Acté",Synthese_Programme!M179="réservé",Synthese_Programme!M179="acté"),Synthese_Programme!N179,"")</f>
        <v/>
      </c>
      <c r="D179" s="93"/>
      <c r="E179" s="93"/>
      <c r="F179" s="93"/>
      <c r="G179" s="93"/>
      <c r="H179" s="93"/>
      <c r="I179" s="98"/>
      <c r="J179" s="94" t="str">
        <f>IF(OR(Synthese_Programme!M179="Réservé",Synthese_Programme!M179="Acté",Synthese_Programme!M179="réservé",Synthese_Programme!M179="acté"),Synthese_Programme!P179,"")</f>
        <v/>
      </c>
      <c r="K179" s="94" t="str">
        <f t="shared" si="4"/>
        <v/>
      </c>
      <c r="L179" s="92"/>
      <c r="M179" s="93"/>
      <c r="N179" s="93"/>
      <c r="O179" s="93"/>
      <c r="P179" s="92" t="str">
        <f t="shared" si="5"/>
        <v/>
      </c>
      <c r="Q179" s="94" t="str">
        <f>IF(Synthese_Programme!Q179="","",Synthese_Programme!Q179)</f>
        <v/>
      </c>
      <c r="R179" s="92"/>
      <c r="S179" s="93"/>
      <c r="T179" s="93"/>
    </row>
    <row r="180" spans="1:20" s="8" customFormat="1" ht="26" customHeight="1" x14ac:dyDescent="0.45">
      <c r="A180" s="92" t="str">
        <f>IF(Synthese_Programme!A180="","",Synthese_Programme!A180)</f>
        <v/>
      </c>
      <c r="B180" s="92" t="str">
        <f>IF(Synthese_Programme!B180="","",Synthese_Programme!B180)</f>
        <v/>
      </c>
      <c r="C180" s="92" t="str">
        <f>IF(OR(Synthese_Programme!M180="Réservé",Synthese_Programme!M180="Acté",Synthese_Programme!M180="réservé",Synthese_Programme!M180="acté"),Synthese_Programme!N180,"")</f>
        <v/>
      </c>
      <c r="D180" s="93"/>
      <c r="E180" s="93"/>
      <c r="F180" s="93"/>
      <c r="G180" s="93"/>
      <c r="H180" s="93"/>
      <c r="I180" s="98"/>
      <c r="J180" s="94" t="str">
        <f>IF(OR(Synthese_Programme!M180="Réservé",Synthese_Programme!M180="Acté",Synthese_Programme!M180="réservé",Synthese_Programme!M180="acté"),Synthese_Programme!P180,"")</f>
        <v/>
      </c>
      <c r="K180" s="94" t="str">
        <f t="shared" si="4"/>
        <v/>
      </c>
      <c r="L180" s="92"/>
      <c r="M180" s="93"/>
      <c r="N180" s="93"/>
      <c r="O180" s="93"/>
      <c r="P180" s="92" t="str">
        <f t="shared" si="5"/>
        <v/>
      </c>
      <c r="Q180" s="94" t="str">
        <f>IF(Synthese_Programme!Q180="","",Synthese_Programme!Q180)</f>
        <v/>
      </c>
      <c r="R180" s="92"/>
      <c r="S180" s="93"/>
      <c r="T180" s="93"/>
    </row>
    <row r="181" spans="1:20" s="8" customFormat="1" ht="26" customHeight="1" x14ac:dyDescent="0.45">
      <c r="A181" s="92" t="str">
        <f>IF(Synthese_Programme!A181="","",Synthese_Programme!A181)</f>
        <v/>
      </c>
      <c r="B181" s="92" t="str">
        <f>IF(Synthese_Programme!B181="","",Synthese_Programme!B181)</f>
        <v/>
      </c>
      <c r="C181" s="92" t="str">
        <f>IF(OR(Synthese_Programme!M181="Réservé",Synthese_Programme!M181="Acté",Synthese_Programme!M181="réservé",Synthese_Programme!M181="acté"),Synthese_Programme!N181,"")</f>
        <v/>
      </c>
      <c r="D181" s="93"/>
      <c r="E181" s="93"/>
      <c r="F181" s="93"/>
      <c r="G181" s="93"/>
      <c r="H181" s="93"/>
      <c r="I181" s="98"/>
      <c r="J181" s="94" t="str">
        <f>IF(OR(Synthese_Programme!M181="Réservé",Synthese_Programme!M181="Acté",Synthese_Programme!M181="réservé",Synthese_Programme!M181="acté"),Synthese_Programme!P181,"")</f>
        <v/>
      </c>
      <c r="K181" s="94" t="str">
        <f t="shared" si="4"/>
        <v/>
      </c>
      <c r="L181" s="92"/>
      <c r="M181" s="93"/>
      <c r="N181" s="93"/>
      <c r="O181" s="93"/>
      <c r="P181" s="92" t="str">
        <f t="shared" si="5"/>
        <v/>
      </c>
      <c r="Q181" s="94" t="str">
        <f>IF(Synthese_Programme!Q181="","",Synthese_Programme!Q181)</f>
        <v/>
      </c>
      <c r="R181" s="92"/>
      <c r="S181" s="93"/>
      <c r="T181" s="93"/>
    </row>
    <row r="182" spans="1:20" s="8" customFormat="1" ht="26" customHeight="1" x14ac:dyDescent="0.45">
      <c r="A182" s="92" t="str">
        <f>IF(Synthese_Programme!A182="","",Synthese_Programme!A182)</f>
        <v/>
      </c>
      <c r="B182" s="92" t="str">
        <f>IF(Synthese_Programme!B182="","",Synthese_Programme!B182)</f>
        <v/>
      </c>
      <c r="C182" s="92" t="str">
        <f>IF(OR(Synthese_Programme!M182="Réservé",Synthese_Programme!M182="Acté",Synthese_Programme!M182="réservé",Synthese_Programme!M182="acté"),Synthese_Programme!N182,"")</f>
        <v/>
      </c>
      <c r="D182" s="93"/>
      <c r="E182" s="93"/>
      <c r="F182" s="93"/>
      <c r="G182" s="93"/>
      <c r="H182" s="93"/>
      <c r="I182" s="98"/>
      <c r="J182" s="94" t="str">
        <f>IF(OR(Synthese_Programme!M182="Réservé",Synthese_Programme!M182="Acté",Synthese_Programme!M182="réservé",Synthese_Programme!M182="acté"),Synthese_Programme!P182,"")</f>
        <v/>
      </c>
      <c r="K182" s="94" t="str">
        <f t="shared" si="4"/>
        <v/>
      </c>
      <c r="L182" s="92"/>
      <c r="M182" s="93"/>
      <c r="N182" s="93"/>
      <c r="O182" s="93"/>
      <c r="P182" s="92" t="str">
        <f t="shared" si="5"/>
        <v/>
      </c>
      <c r="Q182" s="94" t="str">
        <f>IF(Synthese_Programme!Q182="","",Synthese_Programme!Q182)</f>
        <v/>
      </c>
      <c r="R182" s="92"/>
      <c r="S182" s="93"/>
      <c r="T182" s="93"/>
    </row>
    <row r="183" spans="1:20" s="8" customFormat="1" ht="26" customHeight="1" x14ac:dyDescent="0.45">
      <c r="A183" s="92" t="str">
        <f>IF(Synthese_Programme!A183="","",Synthese_Programme!A183)</f>
        <v/>
      </c>
      <c r="B183" s="92" t="str">
        <f>IF(Synthese_Programme!B183="","",Synthese_Programme!B183)</f>
        <v/>
      </c>
      <c r="C183" s="92" t="str">
        <f>IF(OR(Synthese_Programme!M183="Réservé",Synthese_Programme!M183="Acté",Synthese_Programme!M183="réservé",Synthese_Programme!M183="acté"),Synthese_Programme!N183,"")</f>
        <v/>
      </c>
      <c r="D183" s="93"/>
      <c r="E183" s="93"/>
      <c r="F183" s="93"/>
      <c r="G183" s="93"/>
      <c r="H183" s="93"/>
      <c r="I183" s="98"/>
      <c r="J183" s="94" t="str">
        <f>IF(OR(Synthese_Programme!M183="Réservé",Synthese_Programme!M183="Acté",Synthese_Programme!M183="réservé",Synthese_Programme!M183="acté"),Synthese_Programme!P183,"")</f>
        <v/>
      </c>
      <c r="K183" s="94" t="str">
        <f t="shared" si="4"/>
        <v/>
      </c>
      <c r="L183" s="92"/>
      <c r="M183" s="93"/>
      <c r="N183" s="93"/>
      <c r="O183" s="93"/>
      <c r="P183" s="92" t="str">
        <f t="shared" si="5"/>
        <v/>
      </c>
      <c r="Q183" s="94" t="str">
        <f>IF(Synthese_Programme!Q183="","",Synthese_Programme!Q183)</f>
        <v/>
      </c>
      <c r="R183" s="92"/>
      <c r="S183" s="93"/>
      <c r="T183" s="93"/>
    </row>
    <row r="184" spans="1:20" s="8" customFormat="1" ht="26" customHeight="1" x14ac:dyDescent="0.45">
      <c r="A184" s="92" t="str">
        <f>IF(Synthese_Programme!A184="","",Synthese_Programme!A184)</f>
        <v/>
      </c>
      <c r="B184" s="92" t="str">
        <f>IF(Synthese_Programme!B184="","",Synthese_Programme!B184)</f>
        <v/>
      </c>
      <c r="C184" s="92" t="str">
        <f>IF(OR(Synthese_Programme!M184="Réservé",Synthese_Programme!M184="Acté",Synthese_Programme!M184="réservé",Synthese_Programme!M184="acté"),Synthese_Programme!N184,"")</f>
        <v/>
      </c>
      <c r="D184" s="93"/>
      <c r="E184" s="93"/>
      <c r="F184" s="93"/>
      <c r="G184" s="93"/>
      <c r="H184" s="93"/>
      <c r="I184" s="98"/>
      <c r="J184" s="94" t="str">
        <f>IF(OR(Synthese_Programme!M184="Réservé",Synthese_Programme!M184="Acté",Synthese_Programme!M184="réservé",Synthese_Programme!M184="acté"),Synthese_Programme!P184,"")</f>
        <v/>
      </c>
      <c r="K184" s="94" t="str">
        <f t="shared" si="4"/>
        <v/>
      </c>
      <c r="L184" s="92"/>
      <c r="M184" s="93"/>
      <c r="N184" s="93"/>
      <c r="O184" s="93"/>
      <c r="P184" s="92" t="str">
        <f t="shared" si="5"/>
        <v/>
      </c>
      <c r="Q184" s="94" t="str">
        <f>IF(Synthese_Programme!Q184="","",Synthese_Programme!Q184)</f>
        <v/>
      </c>
      <c r="R184" s="92"/>
      <c r="S184" s="93"/>
      <c r="T184" s="93"/>
    </row>
    <row r="185" spans="1:20" s="8" customFormat="1" ht="26" customHeight="1" x14ac:dyDescent="0.45">
      <c r="A185" s="92" t="str">
        <f>IF(Synthese_Programme!A185="","",Synthese_Programme!A185)</f>
        <v/>
      </c>
      <c r="B185" s="92" t="str">
        <f>IF(Synthese_Programme!B185="","",Synthese_Programme!B185)</f>
        <v/>
      </c>
      <c r="C185" s="92" t="str">
        <f>IF(OR(Synthese_Programme!M185="Réservé",Synthese_Programme!M185="Acté",Synthese_Programme!M185="réservé",Synthese_Programme!M185="acté"),Synthese_Programme!N185,"")</f>
        <v/>
      </c>
      <c r="D185" s="93"/>
      <c r="E185" s="93"/>
      <c r="F185" s="93"/>
      <c r="G185" s="93"/>
      <c r="H185" s="93"/>
      <c r="I185" s="98"/>
      <c r="J185" s="94" t="str">
        <f>IF(OR(Synthese_Programme!M185="Réservé",Synthese_Programme!M185="Acté",Synthese_Programme!M185="réservé",Synthese_Programme!M185="acté"),Synthese_Programme!P185,"")</f>
        <v/>
      </c>
      <c r="K185" s="94" t="str">
        <f t="shared" si="4"/>
        <v/>
      </c>
      <c r="L185" s="92"/>
      <c r="M185" s="93"/>
      <c r="N185" s="93"/>
      <c r="O185" s="93"/>
      <c r="P185" s="92" t="str">
        <f t="shared" si="5"/>
        <v/>
      </c>
      <c r="Q185" s="94" t="str">
        <f>IF(Synthese_Programme!Q185="","",Synthese_Programme!Q185)</f>
        <v/>
      </c>
      <c r="R185" s="92"/>
      <c r="S185" s="93"/>
      <c r="T185" s="93"/>
    </row>
    <row r="186" spans="1:20" s="8" customFormat="1" ht="26" customHeight="1" x14ac:dyDescent="0.45">
      <c r="A186" s="92" t="str">
        <f>IF(Synthese_Programme!A186="","",Synthese_Programme!A186)</f>
        <v/>
      </c>
      <c r="B186" s="92" t="str">
        <f>IF(Synthese_Programme!B186="","",Synthese_Programme!B186)</f>
        <v/>
      </c>
      <c r="C186" s="92" t="str">
        <f>IF(OR(Synthese_Programme!M186="Réservé",Synthese_Programme!M186="Acté",Synthese_Programme!M186="réservé",Synthese_Programme!M186="acté"),Synthese_Programme!N186,"")</f>
        <v/>
      </c>
      <c r="D186" s="93"/>
      <c r="E186" s="93"/>
      <c r="F186" s="93"/>
      <c r="G186" s="93"/>
      <c r="H186" s="93"/>
      <c r="I186" s="98"/>
      <c r="J186" s="94" t="str">
        <f>IF(OR(Synthese_Programme!M186="Réservé",Synthese_Programme!M186="Acté",Synthese_Programme!M186="réservé",Synthese_Programme!M186="acté"),Synthese_Programme!P186,"")</f>
        <v/>
      </c>
      <c r="K186" s="94" t="str">
        <f t="shared" si="4"/>
        <v/>
      </c>
      <c r="L186" s="92"/>
      <c r="M186" s="93"/>
      <c r="N186" s="93"/>
      <c r="O186" s="93"/>
      <c r="P186" s="92" t="str">
        <f t="shared" si="5"/>
        <v/>
      </c>
      <c r="Q186" s="94" t="str">
        <f>IF(Synthese_Programme!Q186="","",Synthese_Programme!Q186)</f>
        <v/>
      </c>
      <c r="R186" s="92"/>
      <c r="S186" s="93"/>
      <c r="T186" s="93"/>
    </row>
    <row r="187" spans="1:20" s="8" customFormat="1" ht="26" customHeight="1" x14ac:dyDescent="0.45">
      <c r="A187" s="92" t="str">
        <f>IF(Synthese_Programme!A187="","",Synthese_Programme!A187)</f>
        <v/>
      </c>
      <c r="B187" s="92" t="str">
        <f>IF(Synthese_Programme!B187="","",Synthese_Programme!B187)</f>
        <v/>
      </c>
      <c r="C187" s="92" t="str">
        <f>IF(OR(Synthese_Programme!M187="Réservé",Synthese_Programme!M187="Acté",Synthese_Programme!M187="réservé",Synthese_Programme!M187="acté"),Synthese_Programme!N187,"")</f>
        <v/>
      </c>
      <c r="D187" s="93"/>
      <c r="E187" s="93"/>
      <c r="F187" s="93"/>
      <c r="G187" s="93"/>
      <c r="H187" s="93"/>
      <c r="I187" s="98"/>
      <c r="J187" s="94" t="str">
        <f>IF(OR(Synthese_Programme!M187="Réservé",Synthese_Programme!M187="Acté",Synthese_Programme!M187="réservé",Synthese_Programme!M187="acté"),Synthese_Programme!P187,"")</f>
        <v/>
      </c>
      <c r="K187" s="94" t="str">
        <f t="shared" si="4"/>
        <v/>
      </c>
      <c r="L187" s="92"/>
      <c r="M187" s="93"/>
      <c r="N187" s="93"/>
      <c r="O187" s="93"/>
      <c r="P187" s="92" t="str">
        <f t="shared" si="5"/>
        <v/>
      </c>
      <c r="Q187" s="94" t="str">
        <f>IF(Synthese_Programme!Q187="","",Synthese_Programme!Q187)</f>
        <v/>
      </c>
      <c r="R187" s="92"/>
      <c r="S187" s="93"/>
      <c r="T187" s="93"/>
    </row>
    <row r="188" spans="1:20" s="8" customFormat="1" ht="26" customHeight="1" x14ac:dyDescent="0.45">
      <c r="A188" s="92" t="str">
        <f>IF(Synthese_Programme!A188="","",Synthese_Programme!A188)</f>
        <v/>
      </c>
      <c r="B188" s="92" t="str">
        <f>IF(Synthese_Programme!B188="","",Synthese_Programme!B188)</f>
        <v/>
      </c>
      <c r="C188" s="92" t="str">
        <f>IF(OR(Synthese_Programme!M188="Réservé",Synthese_Programme!M188="Acté",Synthese_Programme!M188="réservé",Synthese_Programme!M188="acté"),Synthese_Programme!N188,"")</f>
        <v/>
      </c>
      <c r="D188" s="93"/>
      <c r="E188" s="93"/>
      <c r="F188" s="93"/>
      <c r="G188" s="93"/>
      <c r="H188" s="93"/>
      <c r="I188" s="98"/>
      <c r="J188" s="94" t="str">
        <f>IF(OR(Synthese_Programme!M188="Réservé",Synthese_Programme!M188="Acté",Synthese_Programme!M188="réservé",Synthese_Programme!M188="acté"),Synthese_Programme!P188,"")</f>
        <v/>
      </c>
      <c r="K188" s="94" t="str">
        <f t="shared" si="4"/>
        <v/>
      </c>
      <c r="L188" s="92"/>
      <c r="M188" s="93"/>
      <c r="N188" s="93"/>
      <c r="O188" s="93"/>
      <c r="P188" s="92" t="str">
        <f t="shared" si="5"/>
        <v/>
      </c>
      <c r="Q188" s="94" t="str">
        <f>IF(Synthese_Programme!Q188="","",Synthese_Programme!Q188)</f>
        <v/>
      </c>
      <c r="R188" s="92"/>
      <c r="S188" s="93"/>
      <c r="T188" s="93"/>
    </row>
    <row r="189" spans="1:20" s="8" customFormat="1" ht="26" customHeight="1" x14ac:dyDescent="0.45">
      <c r="A189" s="92" t="str">
        <f>IF(Synthese_Programme!A189="","",Synthese_Programme!A189)</f>
        <v/>
      </c>
      <c r="B189" s="92" t="str">
        <f>IF(Synthese_Programme!B189="","",Synthese_Programme!B189)</f>
        <v/>
      </c>
      <c r="C189" s="92" t="str">
        <f>IF(OR(Synthese_Programme!M189="Réservé",Synthese_Programme!M189="Acté",Synthese_Programme!M189="réservé",Synthese_Programme!M189="acté"),Synthese_Programme!N189,"")</f>
        <v/>
      </c>
      <c r="D189" s="93"/>
      <c r="E189" s="93"/>
      <c r="F189" s="93"/>
      <c r="G189" s="93"/>
      <c r="H189" s="93"/>
      <c r="I189" s="98"/>
      <c r="J189" s="94" t="str">
        <f>IF(OR(Synthese_Programme!M189="Réservé",Synthese_Programme!M189="Acté",Synthese_Programme!M189="réservé",Synthese_Programme!M189="acté"),Synthese_Programme!P189,"")</f>
        <v/>
      </c>
      <c r="K189" s="94" t="str">
        <f t="shared" si="4"/>
        <v/>
      </c>
      <c r="L189" s="92"/>
      <c r="M189" s="93"/>
      <c r="N189" s="93"/>
      <c r="O189" s="93"/>
      <c r="P189" s="92" t="str">
        <f t="shared" si="5"/>
        <v/>
      </c>
      <c r="Q189" s="94" t="str">
        <f>IF(Synthese_Programme!Q189="","",Synthese_Programme!Q189)</f>
        <v/>
      </c>
      <c r="R189" s="92"/>
      <c r="S189" s="93"/>
      <c r="T189" s="93"/>
    </row>
    <row r="190" spans="1:20" s="8" customFormat="1" ht="26" customHeight="1" x14ac:dyDescent="0.45">
      <c r="A190" s="92" t="str">
        <f>IF(Synthese_Programme!A190="","",Synthese_Programme!A190)</f>
        <v/>
      </c>
      <c r="B190" s="92" t="str">
        <f>IF(Synthese_Programme!B190="","",Synthese_Programme!B190)</f>
        <v/>
      </c>
      <c r="C190" s="92" t="str">
        <f>IF(OR(Synthese_Programme!M190="Réservé",Synthese_Programme!M190="Acté",Synthese_Programme!M190="réservé",Synthese_Programme!M190="acté"),Synthese_Programme!N190,"")</f>
        <v/>
      </c>
      <c r="D190" s="93"/>
      <c r="E190" s="93"/>
      <c r="F190" s="93"/>
      <c r="G190" s="93"/>
      <c r="H190" s="93"/>
      <c r="I190" s="98"/>
      <c r="J190" s="94" t="str">
        <f>IF(OR(Synthese_Programme!M190="Réservé",Synthese_Programme!M190="Acté",Synthese_Programme!M190="réservé",Synthese_Programme!M190="acté"),Synthese_Programme!P190,"")</f>
        <v/>
      </c>
      <c r="K190" s="94" t="str">
        <f t="shared" si="4"/>
        <v/>
      </c>
      <c r="L190" s="92"/>
      <c r="M190" s="93"/>
      <c r="N190" s="93"/>
      <c r="O190" s="93"/>
      <c r="P190" s="92" t="str">
        <f t="shared" si="5"/>
        <v/>
      </c>
      <c r="Q190" s="94" t="str">
        <f>IF(Synthese_Programme!Q190="","",Synthese_Programme!Q190)</f>
        <v/>
      </c>
      <c r="R190" s="92"/>
      <c r="S190" s="93"/>
      <c r="T190" s="93"/>
    </row>
    <row r="191" spans="1:20" s="8" customFormat="1" ht="26" customHeight="1" x14ac:dyDescent="0.45">
      <c r="A191" s="92" t="str">
        <f>IF(Synthese_Programme!A191="","",Synthese_Programme!A191)</f>
        <v/>
      </c>
      <c r="B191" s="92" t="str">
        <f>IF(Synthese_Programme!B191="","",Synthese_Programme!B191)</f>
        <v/>
      </c>
      <c r="C191" s="92" t="str">
        <f>IF(OR(Synthese_Programme!M191="Réservé",Synthese_Programme!M191="Acté",Synthese_Programme!M191="réservé",Synthese_Programme!M191="acté"),Synthese_Programme!N191,"")</f>
        <v/>
      </c>
      <c r="D191" s="93"/>
      <c r="E191" s="93"/>
      <c r="F191" s="93"/>
      <c r="G191" s="93"/>
      <c r="H191" s="93"/>
      <c r="I191" s="98"/>
      <c r="J191" s="94" t="str">
        <f>IF(OR(Synthese_Programme!M191="Réservé",Synthese_Programme!M191="Acté",Synthese_Programme!M191="réservé",Synthese_Programme!M191="acté"),Synthese_Programme!P191,"")</f>
        <v/>
      </c>
      <c r="K191" s="94" t="str">
        <f t="shared" si="4"/>
        <v/>
      </c>
      <c r="L191" s="92"/>
      <c r="M191" s="93"/>
      <c r="N191" s="93"/>
      <c r="O191" s="93"/>
      <c r="P191" s="92" t="str">
        <f t="shared" si="5"/>
        <v/>
      </c>
      <c r="Q191" s="94" t="str">
        <f>IF(Synthese_Programme!Q191="","",Synthese_Programme!Q191)</f>
        <v/>
      </c>
      <c r="R191" s="92"/>
      <c r="S191" s="93"/>
      <c r="T191" s="93"/>
    </row>
    <row r="192" spans="1:20" s="8" customFormat="1" ht="26" customHeight="1" x14ac:dyDescent="0.45">
      <c r="A192" s="92" t="str">
        <f>IF(Synthese_Programme!A192="","",Synthese_Programme!A192)</f>
        <v/>
      </c>
      <c r="B192" s="92" t="str">
        <f>IF(Synthese_Programme!B192="","",Synthese_Programme!B192)</f>
        <v/>
      </c>
      <c r="C192" s="92" t="str">
        <f>IF(OR(Synthese_Programme!M192="Réservé",Synthese_Programme!M192="Acté",Synthese_Programme!M192="réservé",Synthese_Programme!M192="acté"),Synthese_Programme!N192,"")</f>
        <v/>
      </c>
      <c r="D192" s="93"/>
      <c r="E192" s="93"/>
      <c r="F192" s="93"/>
      <c r="G192" s="93"/>
      <c r="H192" s="93"/>
      <c r="I192" s="98"/>
      <c r="J192" s="94" t="str">
        <f>IF(OR(Synthese_Programme!M192="Réservé",Synthese_Programme!M192="Acté",Synthese_Programme!M192="réservé",Synthese_Programme!M192="acté"),Synthese_Programme!P192,"")</f>
        <v/>
      </c>
      <c r="K192" s="94" t="str">
        <f t="shared" si="4"/>
        <v/>
      </c>
      <c r="L192" s="92"/>
      <c r="M192" s="93"/>
      <c r="N192" s="93"/>
      <c r="O192" s="93"/>
      <c r="P192" s="92" t="str">
        <f t="shared" si="5"/>
        <v/>
      </c>
      <c r="Q192" s="94" t="str">
        <f>IF(Synthese_Programme!Q192="","",Synthese_Programme!Q192)</f>
        <v/>
      </c>
      <c r="R192" s="92"/>
      <c r="S192" s="93"/>
      <c r="T192" s="93"/>
    </row>
    <row r="193" spans="1:20" s="8" customFormat="1" ht="26" customHeight="1" x14ac:dyDescent="0.45">
      <c r="A193" s="92" t="str">
        <f>IF(Synthese_Programme!A193="","",Synthese_Programme!A193)</f>
        <v/>
      </c>
      <c r="B193" s="92" t="str">
        <f>IF(Synthese_Programme!B193="","",Synthese_Programme!B193)</f>
        <v/>
      </c>
      <c r="C193" s="92" t="str">
        <f>IF(OR(Synthese_Programme!M193="Réservé",Synthese_Programme!M193="Acté",Synthese_Programme!M193="réservé",Synthese_Programme!M193="acté"),Synthese_Programme!N193,"")</f>
        <v/>
      </c>
      <c r="D193" s="93"/>
      <c r="E193" s="93"/>
      <c r="F193" s="93"/>
      <c r="G193" s="93"/>
      <c r="H193" s="93"/>
      <c r="I193" s="98"/>
      <c r="J193" s="94" t="str">
        <f>IF(OR(Synthese_Programme!M193="Réservé",Synthese_Programme!M193="Acté",Synthese_Programme!M193="réservé",Synthese_Programme!M193="acté"),Synthese_Programme!P193,"")</f>
        <v/>
      </c>
      <c r="K193" s="94" t="str">
        <f t="shared" si="4"/>
        <v/>
      </c>
      <c r="L193" s="92"/>
      <c r="M193" s="93"/>
      <c r="N193" s="93"/>
      <c r="O193" s="93"/>
      <c r="P193" s="92" t="str">
        <f t="shared" si="5"/>
        <v/>
      </c>
      <c r="Q193" s="94" t="str">
        <f>IF(Synthese_Programme!Q193="","",Synthese_Programme!Q193)</f>
        <v/>
      </c>
      <c r="R193" s="92"/>
      <c r="S193" s="93"/>
      <c r="T193" s="93"/>
    </row>
    <row r="194" spans="1:20" s="8" customFormat="1" ht="26" customHeight="1" x14ac:dyDescent="0.45">
      <c r="A194" s="92" t="str">
        <f>IF(Synthese_Programme!A194="","",Synthese_Programme!A194)</f>
        <v/>
      </c>
      <c r="B194" s="92" t="str">
        <f>IF(Synthese_Programme!B194="","",Synthese_Programme!B194)</f>
        <v/>
      </c>
      <c r="C194" s="92" t="str">
        <f>IF(OR(Synthese_Programme!M194="Réservé",Synthese_Programme!M194="Acté",Synthese_Programme!M194="réservé",Synthese_Programme!M194="acté"),Synthese_Programme!N194,"")</f>
        <v/>
      </c>
      <c r="D194" s="93"/>
      <c r="E194" s="93"/>
      <c r="F194" s="93"/>
      <c r="G194" s="93"/>
      <c r="H194" s="93"/>
      <c r="I194" s="98"/>
      <c r="J194" s="94" t="str">
        <f>IF(OR(Synthese_Programme!M194="Réservé",Synthese_Programme!M194="Acté",Synthese_Programme!M194="réservé",Synthese_Programme!M194="acté"),Synthese_Programme!P194,"")</f>
        <v/>
      </c>
      <c r="K194" s="94" t="str">
        <f t="shared" si="4"/>
        <v/>
      </c>
      <c r="L194" s="92"/>
      <c r="M194" s="93"/>
      <c r="N194" s="93"/>
      <c r="O194" s="93"/>
      <c r="P194" s="92" t="str">
        <f t="shared" si="5"/>
        <v/>
      </c>
      <c r="Q194" s="94" t="str">
        <f>IF(Synthese_Programme!Q194="","",Synthese_Programme!Q194)</f>
        <v/>
      </c>
      <c r="R194" s="92"/>
      <c r="S194" s="93"/>
      <c r="T194" s="93"/>
    </row>
    <row r="195" spans="1:20" s="8" customFormat="1" ht="26" customHeight="1" x14ac:dyDescent="0.45">
      <c r="A195" s="92" t="str">
        <f>IF(Synthese_Programme!A195="","",Synthese_Programme!A195)</f>
        <v/>
      </c>
      <c r="B195" s="92" t="str">
        <f>IF(Synthese_Programme!B195="","",Synthese_Programme!B195)</f>
        <v/>
      </c>
      <c r="C195" s="92" t="str">
        <f>IF(OR(Synthese_Programme!M195="Réservé",Synthese_Programme!M195="Acté",Synthese_Programme!M195="réservé",Synthese_Programme!M195="acté"),Synthese_Programme!N195,"")</f>
        <v/>
      </c>
      <c r="D195" s="93"/>
      <c r="E195" s="93"/>
      <c r="F195" s="93"/>
      <c r="G195" s="93"/>
      <c r="H195" s="93"/>
      <c r="I195" s="98"/>
      <c r="J195" s="94" t="str">
        <f>IF(OR(Synthese_Programme!M195="Réservé",Synthese_Programme!M195="Acté",Synthese_Programme!M195="réservé",Synthese_Programme!M195="acté"),Synthese_Programme!P195,"")</f>
        <v/>
      </c>
      <c r="K195" s="94" t="str">
        <f t="shared" si="4"/>
        <v/>
      </c>
      <c r="L195" s="92"/>
      <c r="M195" s="93"/>
      <c r="N195" s="93"/>
      <c r="O195" s="93"/>
      <c r="P195" s="92" t="str">
        <f t="shared" si="5"/>
        <v/>
      </c>
      <c r="Q195" s="94" t="str">
        <f>IF(Synthese_Programme!Q195="","",Synthese_Programme!Q195)</f>
        <v/>
      </c>
      <c r="R195" s="92"/>
      <c r="S195" s="93"/>
      <c r="T195" s="93"/>
    </row>
    <row r="196" spans="1:20" s="8" customFormat="1" ht="26" customHeight="1" x14ac:dyDescent="0.45">
      <c r="A196" s="92" t="str">
        <f>IF(Synthese_Programme!A196="","",Synthese_Programme!A196)</f>
        <v/>
      </c>
      <c r="B196" s="92" t="str">
        <f>IF(Synthese_Programme!B196="","",Synthese_Programme!B196)</f>
        <v/>
      </c>
      <c r="C196" s="92" t="str">
        <f>IF(OR(Synthese_Programme!M196="Réservé",Synthese_Programme!M196="Acté",Synthese_Programme!M196="réservé",Synthese_Programme!M196="acté"),Synthese_Programme!N196,"")</f>
        <v/>
      </c>
      <c r="D196" s="93"/>
      <c r="E196" s="93"/>
      <c r="F196" s="93"/>
      <c r="G196" s="93"/>
      <c r="H196" s="93"/>
      <c r="I196" s="98"/>
      <c r="J196" s="94" t="str">
        <f>IF(OR(Synthese_Programme!M196="Réservé",Synthese_Programme!M196="Acté",Synthese_Programme!M196="réservé",Synthese_Programme!M196="acté"),Synthese_Programme!P196,"")</f>
        <v/>
      </c>
      <c r="K196" s="94" t="str">
        <f t="shared" si="4"/>
        <v/>
      </c>
      <c r="L196" s="92"/>
      <c r="M196" s="93"/>
      <c r="N196" s="93"/>
      <c r="O196" s="93"/>
      <c r="P196" s="92" t="str">
        <f t="shared" si="5"/>
        <v/>
      </c>
      <c r="Q196" s="94" t="str">
        <f>IF(Synthese_Programme!Q196="","",Synthese_Programme!Q196)</f>
        <v/>
      </c>
      <c r="R196" s="92"/>
      <c r="S196" s="93"/>
      <c r="T196" s="93"/>
    </row>
    <row r="197" spans="1:20" s="8" customFormat="1" ht="26" customHeight="1" x14ac:dyDescent="0.45">
      <c r="A197" s="92" t="str">
        <f>IF(Synthese_Programme!A197="","",Synthese_Programme!A197)</f>
        <v/>
      </c>
      <c r="B197" s="92" t="str">
        <f>IF(Synthese_Programme!B197="","",Synthese_Programme!B197)</f>
        <v/>
      </c>
      <c r="C197" s="92" t="str">
        <f>IF(OR(Synthese_Programme!M197="Réservé",Synthese_Programme!M197="Acté",Synthese_Programme!M197="réservé",Synthese_Programme!M197="acté"),Synthese_Programme!N197,"")</f>
        <v/>
      </c>
      <c r="D197" s="93"/>
      <c r="E197" s="93"/>
      <c r="F197" s="93"/>
      <c r="G197" s="93"/>
      <c r="H197" s="93"/>
      <c r="I197" s="98"/>
      <c r="J197" s="94" t="str">
        <f>IF(OR(Synthese_Programme!M197="Réservé",Synthese_Programme!M197="Acté",Synthese_Programme!M197="réservé",Synthese_Programme!M197="acté"),Synthese_Programme!P197,"")</f>
        <v/>
      </c>
      <c r="K197" s="94" t="str">
        <f t="shared" ref="K197:K260" si="6">IF(J197="","",J197+45)</f>
        <v/>
      </c>
      <c r="L197" s="92"/>
      <c r="M197" s="93"/>
      <c r="N197" s="93"/>
      <c r="O197" s="93"/>
      <c r="P197" s="92" t="str">
        <f t="shared" ref="P197:P260" si="7">IF(J197="","",EDATE(J197,3))</f>
        <v/>
      </c>
      <c r="Q197" s="94" t="str">
        <f>IF(Synthese_Programme!Q197="","",Synthese_Programme!Q197)</f>
        <v/>
      </c>
      <c r="R197" s="92"/>
      <c r="S197" s="93"/>
      <c r="T197" s="93"/>
    </row>
    <row r="198" spans="1:20" s="8" customFormat="1" ht="26" customHeight="1" x14ac:dyDescent="0.45">
      <c r="A198" s="92" t="str">
        <f>IF(Synthese_Programme!A198="","",Synthese_Programme!A198)</f>
        <v/>
      </c>
      <c r="B198" s="92" t="str">
        <f>IF(Synthese_Programme!B198="","",Synthese_Programme!B198)</f>
        <v/>
      </c>
      <c r="C198" s="92" t="str">
        <f>IF(OR(Synthese_Programme!M198="Réservé",Synthese_Programme!M198="Acté",Synthese_Programme!M198="réservé",Synthese_Programme!M198="acté"),Synthese_Programme!N198,"")</f>
        <v/>
      </c>
      <c r="D198" s="93"/>
      <c r="E198" s="93"/>
      <c r="F198" s="93"/>
      <c r="G198" s="93"/>
      <c r="H198" s="93"/>
      <c r="I198" s="98"/>
      <c r="J198" s="94" t="str">
        <f>IF(OR(Synthese_Programme!M198="Réservé",Synthese_Programme!M198="Acté",Synthese_Programme!M198="réservé",Synthese_Programme!M198="acté"),Synthese_Programme!P198,"")</f>
        <v/>
      </c>
      <c r="K198" s="94" t="str">
        <f t="shared" si="6"/>
        <v/>
      </c>
      <c r="L198" s="92"/>
      <c r="M198" s="93"/>
      <c r="N198" s="93"/>
      <c r="O198" s="93"/>
      <c r="P198" s="92" t="str">
        <f t="shared" si="7"/>
        <v/>
      </c>
      <c r="Q198" s="94" t="str">
        <f>IF(Synthese_Programme!Q198="","",Synthese_Programme!Q198)</f>
        <v/>
      </c>
      <c r="R198" s="92"/>
      <c r="S198" s="93"/>
      <c r="T198" s="93"/>
    </row>
    <row r="199" spans="1:20" s="8" customFormat="1" ht="26" customHeight="1" x14ac:dyDescent="0.45">
      <c r="A199" s="92" t="str">
        <f>IF(Synthese_Programme!A199="","",Synthese_Programme!A199)</f>
        <v/>
      </c>
      <c r="B199" s="92" t="str">
        <f>IF(Synthese_Programme!B199="","",Synthese_Programme!B199)</f>
        <v/>
      </c>
      <c r="C199" s="92" t="str">
        <f>IF(OR(Synthese_Programme!M199="Réservé",Synthese_Programme!M199="Acté",Synthese_Programme!M199="réservé",Synthese_Programme!M199="acté"),Synthese_Programme!N199,"")</f>
        <v/>
      </c>
      <c r="D199" s="93"/>
      <c r="E199" s="93"/>
      <c r="F199" s="93"/>
      <c r="G199" s="93"/>
      <c r="H199" s="93"/>
      <c r="I199" s="98"/>
      <c r="J199" s="94" t="str">
        <f>IF(OR(Synthese_Programme!M199="Réservé",Synthese_Programme!M199="Acté",Synthese_Programme!M199="réservé",Synthese_Programme!M199="acté"),Synthese_Programme!P199,"")</f>
        <v/>
      </c>
      <c r="K199" s="94" t="str">
        <f t="shared" si="6"/>
        <v/>
      </c>
      <c r="L199" s="92"/>
      <c r="M199" s="93"/>
      <c r="N199" s="93"/>
      <c r="O199" s="93"/>
      <c r="P199" s="92" t="str">
        <f t="shared" si="7"/>
        <v/>
      </c>
      <c r="Q199" s="94" t="str">
        <f>IF(Synthese_Programme!Q199="","",Synthese_Programme!Q199)</f>
        <v/>
      </c>
      <c r="R199" s="92"/>
      <c r="S199" s="93"/>
      <c r="T199" s="93"/>
    </row>
    <row r="200" spans="1:20" s="8" customFormat="1" ht="26" customHeight="1" x14ac:dyDescent="0.45">
      <c r="A200" s="92" t="str">
        <f>IF(Synthese_Programme!A200="","",Synthese_Programme!A200)</f>
        <v/>
      </c>
      <c r="B200" s="92" t="str">
        <f>IF(Synthese_Programme!B200="","",Synthese_Programme!B200)</f>
        <v/>
      </c>
      <c r="C200" s="92" t="str">
        <f>IF(OR(Synthese_Programme!M200="Réservé",Synthese_Programme!M200="Acté",Synthese_Programme!M200="réservé",Synthese_Programme!M200="acté"),Synthese_Programme!N200,"")</f>
        <v/>
      </c>
      <c r="D200" s="93"/>
      <c r="E200" s="93"/>
      <c r="F200" s="93"/>
      <c r="G200" s="93"/>
      <c r="H200" s="93"/>
      <c r="I200" s="98"/>
      <c r="J200" s="94" t="str">
        <f>IF(OR(Synthese_Programme!M200="Réservé",Synthese_Programme!M200="Acté",Synthese_Programme!M200="réservé",Synthese_Programme!M200="acté"),Synthese_Programme!P200,"")</f>
        <v/>
      </c>
      <c r="K200" s="94" t="str">
        <f t="shared" si="6"/>
        <v/>
      </c>
      <c r="L200" s="92"/>
      <c r="M200" s="93"/>
      <c r="N200" s="93"/>
      <c r="O200" s="93"/>
      <c r="P200" s="92" t="str">
        <f t="shared" si="7"/>
        <v/>
      </c>
      <c r="Q200" s="94" t="str">
        <f>IF(Synthese_Programme!Q200="","",Synthese_Programme!Q200)</f>
        <v/>
      </c>
      <c r="R200" s="92"/>
      <c r="S200" s="93"/>
      <c r="T200" s="93"/>
    </row>
    <row r="201" spans="1:20" s="8" customFormat="1" ht="26" customHeight="1" x14ac:dyDescent="0.45">
      <c r="A201" s="92" t="str">
        <f>IF(Synthese_Programme!A201="","",Synthese_Programme!A201)</f>
        <v/>
      </c>
      <c r="B201" s="92" t="str">
        <f>IF(Synthese_Programme!B201="","",Synthese_Programme!B201)</f>
        <v/>
      </c>
      <c r="C201" s="92" t="str">
        <f>IF(OR(Synthese_Programme!M201="Réservé",Synthese_Programme!M201="Acté",Synthese_Programme!M201="réservé",Synthese_Programme!M201="acté"),Synthese_Programme!N201,"")</f>
        <v/>
      </c>
      <c r="D201" s="93"/>
      <c r="E201" s="93"/>
      <c r="F201" s="93"/>
      <c r="G201" s="93"/>
      <c r="H201" s="93"/>
      <c r="I201" s="98"/>
      <c r="J201" s="94" t="str">
        <f>IF(OR(Synthese_Programme!M201="Réservé",Synthese_Programme!M201="Acté",Synthese_Programme!M201="réservé",Synthese_Programme!M201="acté"),Synthese_Programme!P201,"")</f>
        <v/>
      </c>
      <c r="K201" s="94" t="str">
        <f t="shared" si="6"/>
        <v/>
      </c>
      <c r="L201" s="92"/>
      <c r="M201" s="93"/>
      <c r="N201" s="93"/>
      <c r="O201" s="93"/>
      <c r="P201" s="92" t="str">
        <f t="shared" si="7"/>
        <v/>
      </c>
      <c r="Q201" s="94" t="str">
        <f>IF(Synthese_Programme!Q201="","",Synthese_Programme!Q201)</f>
        <v/>
      </c>
      <c r="R201" s="92"/>
      <c r="S201" s="93"/>
      <c r="T201" s="93"/>
    </row>
    <row r="202" spans="1:20" s="8" customFormat="1" ht="26" customHeight="1" x14ac:dyDescent="0.45">
      <c r="A202" s="92" t="str">
        <f>IF(Synthese_Programme!A202="","",Synthese_Programme!A202)</f>
        <v/>
      </c>
      <c r="B202" s="92" t="str">
        <f>IF(Synthese_Programme!B202="","",Synthese_Programme!B202)</f>
        <v/>
      </c>
      <c r="C202" s="92" t="str">
        <f>IF(OR(Synthese_Programme!M202="Réservé",Synthese_Programme!M202="Acté",Synthese_Programme!M202="réservé",Synthese_Programme!M202="acté"),Synthese_Programme!N202,"")</f>
        <v/>
      </c>
      <c r="D202" s="93"/>
      <c r="E202" s="93"/>
      <c r="F202" s="93"/>
      <c r="G202" s="93"/>
      <c r="H202" s="93"/>
      <c r="I202" s="98"/>
      <c r="J202" s="94" t="str">
        <f>IF(OR(Synthese_Programme!M202="Réservé",Synthese_Programme!M202="Acté",Synthese_Programme!M202="réservé",Synthese_Programme!M202="acté"),Synthese_Programme!P202,"")</f>
        <v/>
      </c>
      <c r="K202" s="94" t="str">
        <f t="shared" si="6"/>
        <v/>
      </c>
      <c r="L202" s="92"/>
      <c r="M202" s="93"/>
      <c r="N202" s="93"/>
      <c r="O202" s="93"/>
      <c r="P202" s="92" t="str">
        <f t="shared" si="7"/>
        <v/>
      </c>
      <c r="Q202" s="94" t="str">
        <f>IF(Synthese_Programme!Q202="","",Synthese_Programme!Q202)</f>
        <v/>
      </c>
      <c r="R202" s="92"/>
      <c r="S202" s="93"/>
      <c r="T202" s="93"/>
    </row>
    <row r="203" spans="1:20" s="8" customFormat="1" ht="26" customHeight="1" x14ac:dyDescent="0.45">
      <c r="A203" s="92" t="str">
        <f>IF(Synthese_Programme!A203="","",Synthese_Programme!A203)</f>
        <v/>
      </c>
      <c r="B203" s="92" t="str">
        <f>IF(Synthese_Programme!B203="","",Synthese_Programme!B203)</f>
        <v/>
      </c>
      <c r="C203" s="92" t="str">
        <f>IF(OR(Synthese_Programme!M203="Réservé",Synthese_Programme!M203="Acté",Synthese_Programme!M203="réservé",Synthese_Programme!M203="acté"),Synthese_Programme!N203,"")</f>
        <v/>
      </c>
      <c r="D203" s="93"/>
      <c r="E203" s="93"/>
      <c r="F203" s="93"/>
      <c r="G203" s="93"/>
      <c r="H203" s="93"/>
      <c r="I203" s="98"/>
      <c r="J203" s="94" t="str">
        <f>IF(OR(Synthese_Programme!M203="Réservé",Synthese_Programme!M203="Acté",Synthese_Programme!M203="réservé",Synthese_Programme!M203="acté"),Synthese_Programme!P203,"")</f>
        <v/>
      </c>
      <c r="K203" s="94" t="str">
        <f t="shared" si="6"/>
        <v/>
      </c>
      <c r="L203" s="92"/>
      <c r="M203" s="93"/>
      <c r="N203" s="93"/>
      <c r="O203" s="93"/>
      <c r="P203" s="92" t="str">
        <f t="shared" si="7"/>
        <v/>
      </c>
      <c r="Q203" s="94" t="str">
        <f>IF(Synthese_Programme!Q203="","",Synthese_Programme!Q203)</f>
        <v/>
      </c>
      <c r="R203" s="92"/>
      <c r="S203" s="93"/>
      <c r="T203" s="93"/>
    </row>
    <row r="204" spans="1:20" s="8" customFormat="1" ht="26" customHeight="1" x14ac:dyDescent="0.45">
      <c r="A204" s="92" t="str">
        <f>IF(Synthese_Programme!A204="","",Synthese_Programme!A204)</f>
        <v/>
      </c>
      <c r="B204" s="92" t="str">
        <f>IF(Synthese_Programme!B204="","",Synthese_Programme!B204)</f>
        <v/>
      </c>
      <c r="C204" s="92" t="str">
        <f>IF(OR(Synthese_Programme!M204="Réservé",Synthese_Programme!M204="Acté",Synthese_Programme!M204="réservé",Synthese_Programme!M204="acté"),Synthese_Programme!N204,"")</f>
        <v/>
      </c>
      <c r="D204" s="93"/>
      <c r="E204" s="93"/>
      <c r="F204" s="93"/>
      <c r="G204" s="93"/>
      <c r="H204" s="93"/>
      <c r="I204" s="98"/>
      <c r="J204" s="94" t="str">
        <f>IF(OR(Synthese_Programme!M204="Réservé",Synthese_Programme!M204="Acté",Synthese_Programme!M204="réservé",Synthese_Programme!M204="acté"),Synthese_Programme!P204,"")</f>
        <v/>
      </c>
      <c r="K204" s="94" t="str">
        <f t="shared" si="6"/>
        <v/>
      </c>
      <c r="L204" s="92"/>
      <c r="M204" s="93"/>
      <c r="N204" s="93"/>
      <c r="O204" s="93"/>
      <c r="P204" s="92" t="str">
        <f t="shared" si="7"/>
        <v/>
      </c>
      <c r="Q204" s="94" t="str">
        <f>IF(Synthese_Programme!Q204="","",Synthese_Programme!Q204)</f>
        <v/>
      </c>
      <c r="R204" s="92"/>
      <c r="S204" s="93"/>
      <c r="T204" s="93"/>
    </row>
    <row r="205" spans="1:20" s="8" customFormat="1" ht="26" customHeight="1" x14ac:dyDescent="0.45">
      <c r="A205" s="92" t="str">
        <f>IF(Synthese_Programme!A205="","",Synthese_Programme!A205)</f>
        <v/>
      </c>
      <c r="B205" s="92" t="str">
        <f>IF(Synthese_Programme!B205="","",Synthese_Programme!B205)</f>
        <v/>
      </c>
      <c r="C205" s="92" t="str">
        <f>IF(OR(Synthese_Programme!M205="Réservé",Synthese_Programme!M205="Acté",Synthese_Programme!M205="réservé",Synthese_Programme!M205="acté"),Synthese_Programme!N205,"")</f>
        <v/>
      </c>
      <c r="D205" s="93"/>
      <c r="E205" s="93"/>
      <c r="F205" s="93"/>
      <c r="G205" s="93"/>
      <c r="H205" s="93"/>
      <c r="I205" s="98"/>
      <c r="J205" s="94" t="str">
        <f>IF(OR(Synthese_Programme!M205="Réservé",Synthese_Programme!M205="Acté",Synthese_Programme!M205="réservé",Synthese_Programme!M205="acté"),Synthese_Programme!P205,"")</f>
        <v/>
      </c>
      <c r="K205" s="94" t="str">
        <f t="shared" si="6"/>
        <v/>
      </c>
      <c r="L205" s="92"/>
      <c r="M205" s="93"/>
      <c r="N205" s="93"/>
      <c r="O205" s="93"/>
      <c r="P205" s="92" t="str">
        <f t="shared" si="7"/>
        <v/>
      </c>
      <c r="Q205" s="94" t="str">
        <f>IF(Synthese_Programme!Q205="","",Synthese_Programme!Q205)</f>
        <v/>
      </c>
      <c r="R205" s="92"/>
      <c r="S205" s="93"/>
      <c r="T205" s="93"/>
    </row>
    <row r="206" spans="1:20" s="8" customFormat="1" ht="26" customHeight="1" x14ac:dyDescent="0.45">
      <c r="A206" s="92" t="str">
        <f>IF(Synthese_Programme!A206="","",Synthese_Programme!A206)</f>
        <v/>
      </c>
      <c r="B206" s="92" t="str">
        <f>IF(Synthese_Programme!B206="","",Synthese_Programme!B206)</f>
        <v/>
      </c>
      <c r="C206" s="92" t="str">
        <f>IF(OR(Synthese_Programme!M206="Réservé",Synthese_Programme!M206="Acté",Synthese_Programme!M206="réservé",Synthese_Programme!M206="acté"),Synthese_Programme!N206,"")</f>
        <v/>
      </c>
      <c r="D206" s="93"/>
      <c r="E206" s="93"/>
      <c r="F206" s="93"/>
      <c r="G206" s="93"/>
      <c r="H206" s="93"/>
      <c r="I206" s="98"/>
      <c r="J206" s="94" t="str">
        <f>IF(OR(Synthese_Programme!M206="Réservé",Synthese_Programme!M206="Acté",Synthese_Programme!M206="réservé",Synthese_Programme!M206="acté"),Synthese_Programme!P206,"")</f>
        <v/>
      </c>
      <c r="K206" s="94" t="str">
        <f t="shared" si="6"/>
        <v/>
      </c>
      <c r="L206" s="92"/>
      <c r="M206" s="93"/>
      <c r="N206" s="93"/>
      <c r="O206" s="93"/>
      <c r="P206" s="92" t="str">
        <f t="shared" si="7"/>
        <v/>
      </c>
      <c r="Q206" s="94" t="str">
        <f>IF(Synthese_Programme!Q206="","",Synthese_Programme!Q206)</f>
        <v/>
      </c>
      <c r="R206" s="92"/>
      <c r="S206" s="93"/>
      <c r="T206" s="93"/>
    </row>
    <row r="207" spans="1:20" s="8" customFormat="1" ht="26" customHeight="1" x14ac:dyDescent="0.45">
      <c r="A207" s="92" t="str">
        <f>IF(Synthese_Programme!A207="","",Synthese_Programme!A207)</f>
        <v/>
      </c>
      <c r="B207" s="92" t="str">
        <f>IF(Synthese_Programme!B207="","",Synthese_Programme!B207)</f>
        <v/>
      </c>
      <c r="C207" s="92" t="str">
        <f>IF(OR(Synthese_Programme!M207="Réservé",Synthese_Programme!M207="Acté",Synthese_Programme!M207="réservé",Synthese_Programme!M207="acté"),Synthese_Programme!N207,"")</f>
        <v/>
      </c>
      <c r="D207" s="93"/>
      <c r="E207" s="93"/>
      <c r="F207" s="93"/>
      <c r="G207" s="93"/>
      <c r="H207" s="93"/>
      <c r="I207" s="98"/>
      <c r="J207" s="94" t="str">
        <f>IF(OR(Synthese_Programme!M207="Réservé",Synthese_Programme!M207="Acté",Synthese_Programme!M207="réservé",Synthese_Programme!M207="acté"),Synthese_Programme!P207,"")</f>
        <v/>
      </c>
      <c r="K207" s="94" t="str">
        <f t="shared" si="6"/>
        <v/>
      </c>
      <c r="L207" s="92"/>
      <c r="M207" s="93"/>
      <c r="N207" s="93"/>
      <c r="O207" s="93"/>
      <c r="P207" s="92" t="str">
        <f t="shared" si="7"/>
        <v/>
      </c>
      <c r="Q207" s="94" t="str">
        <f>IF(Synthese_Programme!Q207="","",Synthese_Programme!Q207)</f>
        <v/>
      </c>
      <c r="R207" s="92"/>
      <c r="S207" s="93"/>
      <c r="T207" s="93"/>
    </row>
    <row r="208" spans="1:20" s="8" customFormat="1" ht="26" customHeight="1" x14ac:dyDescent="0.45">
      <c r="A208" s="92" t="str">
        <f>IF(Synthese_Programme!A208="","",Synthese_Programme!A208)</f>
        <v/>
      </c>
      <c r="B208" s="92" t="str">
        <f>IF(Synthese_Programme!B208="","",Synthese_Programme!B208)</f>
        <v/>
      </c>
      <c r="C208" s="92" t="str">
        <f>IF(OR(Synthese_Programme!M208="Réservé",Synthese_Programme!M208="Acté",Synthese_Programme!M208="réservé",Synthese_Programme!M208="acté"),Synthese_Programme!N208,"")</f>
        <v/>
      </c>
      <c r="D208" s="93"/>
      <c r="E208" s="93"/>
      <c r="F208" s="93"/>
      <c r="G208" s="93"/>
      <c r="H208" s="93"/>
      <c r="I208" s="98"/>
      <c r="J208" s="94" t="str">
        <f>IF(OR(Synthese_Programme!M208="Réservé",Synthese_Programme!M208="Acté",Synthese_Programme!M208="réservé",Synthese_Programme!M208="acté"),Synthese_Programme!P208,"")</f>
        <v/>
      </c>
      <c r="K208" s="94" t="str">
        <f t="shared" si="6"/>
        <v/>
      </c>
      <c r="L208" s="92"/>
      <c r="M208" s="93"/>
      <c r="N208" s="93"/>
      <c r="O208" s="93"/>
      <c r="P208" s="92" t="str">
        <f t="shared" si="7"/>
        <v/>
      </c>
      <c r="Q208" s="94" t="str">
        <f>IF(Synthese_Programme!Q208="","",Synthese_Programme!Q208)</f>
        <v/>
      </c>
      <c r="R208" s="92"/>
      <c r="S208" s="93"/>
      <c r="T208" s="93"/>
    </row>
    <row r="209" spans="1:20" s="8" customFormat="1" ht="26" customHeight="1" x14ac:dyDescent="0.45">
      <c r="A209" s="92" t="str">
        <f>IF(Synthese_Programme!A209="","",Synthese_Programme!A209)</f>
        <v/>
      </c>
      <c r="B209" s="92" t="str">
        <f>IF(Synthese_Programme!B209="","",Synthese_Programme!B209)</f>
        <v/>
      </c>
      <c r="C209" s="92" t="str">
        <f>IF(OR(Synthese_Programme!M209="Réservé",Synthese_Programme!M209="Acté",Synthese_Programme!M209="réservé",Synthese_Programme!M209="acté"),Synthese_Programme!N209,"")</f>
        <v/>
      </c>
      <c r="D209" s="93"/>
      <c r="E209" s="93"/>
      <c r="F209" s="93"/>
      <c r="G209" s="93"/>
      <c r="H209" s="93"/>
      <c r="I209" s="98"/>
      <c r="J209" s="94" t="str">
        <f>IF(OR(Synthese_Programme!M209="Réservé",Synthese_Programme!M209="Acté",Synthese_Programme!M209="réservé",Synthese_Programme!M209="acté"),Synthese_Programme!P209,"")</f>
        <v/>
      </c>
      <c r="K209" s="94" t="str">
        <f t="shared" si="6"/>
        <v/>
      </c>
      <c r="L209" s="92"/>
      <c r="M209" s="93"/>
      <c r="N209" s="93"/>
      <c r="O209" s="93"/>
      <c r="P209" s="92" t="str">
        <f t="shared" si="7"/>
        <v/>
      </c>
      <c r="Q209" s="94" t="str">
        <f>IF(Synthese_Programme!Q209="","",Synthese_Programme!Q209)</f>
        <v/>
      </c>
      <c r="R209" s="92"/>
      <c r="S209" s="93"/>
      <c r="T209" s="93"/>
    </row>
    <row r="210" spans="1:20" s="8" customFormat="1" ht="26" customHeight="1" x14ac:dyDescent="0.45">
      <c r="A210" s="92" t="str">
        <f>IF(Synthese_Programme!A210="","",Synthese_Programme!A210)</f>
        <v/>
      </c>
      <c r="B210" s="92" t="str">
        <f>IF(Synthese_Programme!B210="","",Synthese_Programme!B210)</f>
        <v/>
      </c>
      <c r="C210" s="92" t="str">
        <f>IF(OR(Synthese_Programme!M210="Réservé",Synthese_Programme!M210="Acté",Synthese_Programme!M210="réservé",Synthese_Programme!M210="acté"),Synthese_Programme!N210,"")</f>
        <v/>
      </c>
      <c r="D210" s="93"/>
      <c r="E210" s="93"/>
      <c r="F210" s="93"/>
      <c r="G210" s="93"/>
      <c r="H210" s="93"/>
      <c r="I210" s="98"/>
      <c r="J210" s="94" t="str">
        <f>IF(OR(Synthese_Programme!M210="Réservé",Synthese_Programme!M210="Acté",Synthese_Programme!M210="réservé",Synthese_Programme!M210="acté"),Synthese_Programme!P210,"")</f>
        <v/>
      </c>
      <c r="K210" s="94" t="str">
        <f t="shared" si="6"/>
        <v/>
      </c>
      <c r="L210" s="92"/>
      <c r="M210" s="93"/>
      <c r="N210" s="93"/>
      <c r="O210" s="93"/>
      <c r="P210" s="92" t="str">
        <f t="shared" si="7"/>
        <v/>
      </c>
      <c r="Q210" s="94" t="str">
        <f>IF(Synthese_Programme!Q210="","",Synthese_Programme!Q210)</f>
        <v/>
      </c>
      <c r="R210" s="92"/>
      <c r="S210" s="93"/>
      <c r="T210" s="93"/>
    </row>
    <row r="211" spans="1:20" s="8" customFormat="1" ht="26" customHeight="1" x14ac:dyDescent="0.45">
      <c r="A211" s="92" t="str">
        <f>IF(Synthese_Programme!A211="","",Synthese_Programme!A211)</f>
        <v/>
      </c>
      <c r="B211" s="92" t="str">
        <f>IF(Synthese_Programme!B211="","",Synthese_Programme!B211)</f>
        <v/>
      </c>
      <c r="C211" s="92" t="str">
        <f>IF(OR(Synthese_Programme!M211="Réservé",Synthese_Programme!M211="Acté",Synthese_Programme!M211="réservé",Synthese_Programme!M211="acté"),Synthese_Programme!N211,"")</f>
        <v/>
      </c>
      <c r="D211" s="93"/>
      <c r="E211" s="93"/>
      <c r="F211" s="93"/>
      <c r="G211" s="93"/>
      <c r="H211" s="93"/>
      <c r="I211" s="98"/>
      <c r="J211" s="94" t="str">
        <f>IF(OR(Synthese_Programme!M211="Réservé",Synthese_Programme!M211="Acté",Synthese_Programme!M211="réservé",Synthese_Programme!M211="acté"),Synthese_Programme!P211,"")</f>
        <v/>
      </c>
      <c r="K211" s="94" t="str">
        <f t="shared" si="6"/>
        <v/>
      </c>
      <c r="L211" s="92"/>
      <c r="M211" s="93"/>
      <c r="N211" s="93"/>
      <c r="O211" s="93"/>
      <c r="P211" s="92" t="str">
        <f t="shared" si="7"/>
        <v/>
      </c>
      <c r="Q211" s="94" t="str">
        <f>IF(Synthese_Programme!Q211="","",Synthese_Programme!Q211)</f>
        <v/>
      </c>
      <c r="R211" s="92"/>
      <c r="S211" s="93"/>
      <c r="T211" s="93"/>
    </row>
    <row r="212" spans="1:20" s="8" customFormat="1" ht="26" customHeight="1" x14ac:dyDescent="0.45">
      <c r="A212" s="92" t="str">
        <f>IF(Synthese_Programme!A212="","",Synthese_Programme!A212)</f>
        <v/>
      </c>
      <c r="B212" s="92" t="str">
        <f>IF(Synthese_Programme!B212="","",Synthese_Programme!B212)</f>
        <v/>
      </c>
      <c r="C212" s="92" t="str">
        <f>IF(OR(Synthese_Programme!M212="Réservé",Synthese_Programme!M212="Acté",Synthese_Programme!M212="réservé",Synthese_Programme!M212="acté"),Synthese_Programme!N212,"")</f>
        <v/>
      </c>
      <c r="D212" s="93"/>
      <c r="E212" s="93"/>
      <c r="F212" s="93"/>
      <c r="G212" s="93"/>
      <c r="H212" s="93"/>
      <c r="I212" s="98"/>
      <c r="J212" s="94" t="str">
        <f>IF(OR(Synthese_Programme!M212="Réservé",Synthese_Programme!M212="Acté",Synthese_Programme!M212="réservé",Synthese_Programme!M212="acté"),Synthese_Programme!P212,"")</f>
        <v/>
      </c>
      <c r="K212" s="94" t="str">
        <f t="shared" si="6"/>
        <v/>
      </c>
      <c r="L212" s="92"/>
      <c r="M212" s="93"/>
      <c r="N212" s="93"/>
      <c r="O212" s="93"/>
      <c r="P212" s="92" t="str">
        <f t="shared" si="7"/>
        <v/>
      </c>
      <c r="Q212" s="94" t="str">
        <f>IF(Synthese_Programme!Q212="","",Synthese_Programme!Q212)</f>
        <v/>
      </c>
      <c r="R212" s="92"/>
      <c r="S212" s="93"/>
      <c r="T212" s="93"/>
    </row>
    <row r="213" spans="1:20" s="8" customFormat="1" ht="26" customHeight="1" x14ac:dyDescent="0.45">
      <c r="A213" s="92" t="str">
        <f>IF(Synthese_Programme!A213="","",Synthese_Programme!A213)</f>
        <v/>
      </c>
      <c r="B213" s="92" t="str">
        <f>IF(Synthese_Programme!B213="","",Synthese_Programme!B213)</f>
        <v/>
      </c>
      <c r="C213" s="92" t="str">
        <f>IF(OR(Synthese_Programme!M213="Réservé",Synthese_Programme!M213="Acté",Synthese_Programme!M213="réservé",Synthese_Programme!M213="acté"),Synthese_Programme!N213,"")</f>
        <v/>
      </c>
      <c r="D213" s="93"/>
      <c r="E213" s="93"/>
      <c r="F213" s="93"/>
      <c r="G213" s="93"/>
      <c r="H213" s="93"/>
      <c r="I213" s="98"/>
      <c r="J213" s="94" t="str">
        <f>IF(OR(Synthese_Programme!M213="Réservé",Synthese_Programme!M213="Acté",Synthese_Programme!M213="réservé",Synthese_Programme!M213="acté"),Synthese_Programme!P213,"")</f>
        <v/>
      </c>
      <c r="K213" s="94" t="str">
        <f t="shared" si="6"/>
        <v/>
      </c>
      <c r="L213" s="92"/>
      <c r="M213" s="93"/>
      <c r="N213" s="93"/>
      <c r="O213" s="93"/>
      <c r="P213" s="92" t="str">
        <f t="shared" si="7"/>
        <v/>
      </c>
      <c r="Q213" s="94" t="str">
        <f>IF(Synthese_Programme!Q213="","",Synthese_Programme!Q213)</f>
        <v/>
      </c>
      <c r="R213" s="92"/>
      <c r="S213" s="93"/>
      <c r="T213" s="93"/>
    </row>
    <row r="214" spans="1:20" s="8" customFormat="1" ht="26" customHeight="1" x14ac:dyDescent="0.45">
      <c r="A214" s="92" t="str">
        <f>IF(Synthese_Programme!A214="","",Synthese_Programme!A214)</f>
        <v/>
      </c>
      <c r="B214" s="92" t="str">
        <f>IF(Synthese_Programme!B214="","",Synthese_Programme!B214)</f>
        <v/>
      </c>
      <c r="C214" s="92" t="str">
        <f>IF(OR(Synthese_Programme!M214="Réservé",Synthese_Programme!M214="Acté",Synthese_Programme!M214="réservé",Synthese_Programme!M214="acté"),Synthese_Programme!N214,"")</f>
        <v/>
      </c>
      <c r="D214" s="93"/>
      <c r="E214" s="93"/>
      <c r="F214" s="93"/>
      <c r="G214" s="93"/>
      <c r="H214" s="93"/>
      <c r="I214" s="98"/>
      <c r="J214" s="94" t="str">
        <f>IF(OR(Synthese_Programme!M214="Réservé",Synthese_Programme!M214="Acté",Synthese_Programme!M214="réservé",Synthese_Programme!M214="acté"),Synthese_Programme!P214,"")</f>
        <v/>
      </c>
      <c r="K214" s="94" t="str">
        <f t="shared" si="6"/>
        <v/>
      </c>
      <c r="L214" s="92"/>
      <c r="M214" s="93"/>
      <c r="N214" s="93"/>
      <c r="O214" s="93"/>
      <c r="P214" s="92" t="str">
        <f t="shared" si="7"/>
        <v/>
      </c>
      <c r="Q214" s="94" t="str">
        <f>IF(Synthese_Programme!Q214="","",Synthese_Programme!Q214)</f>
        <v/>
      </c>
      <c r="R214" s="92"/>
      <c r="S214" s="93"/>
      <c r="T214" s="93"/>
    </row>
    <row r="215" spans="1:20" s="8" customFormat="1" ht="26" customHeight="1" x14ac:dyDescent="0.45">
      <c r="A215" s="92" t="str">
        <f>IF(Synthese_Programme!A215="","",Synthese_Programme!A215)</f>
        <v/>
      </c>
      <c r="B215" s="92" t="str">
        <f>IF(Synthese_Programme!B215="","",Synthese_Programme!B215)</f>
        <v/>
      </c>
      <c r="C215" s="92" t="str">
        <f>IF(OR(Synthese_Programme!M215="Réservé",Synthese_Programme!M215="Acté",Synthese_Programme!M215="réservé",Synthese_Programme!M215="acté"),Synthese_Programme!N215,"")</f>
        <v/>
      </c>
      <c r="D215" s="93"/>
      <c r="E215" s="93"/>
      <c r="F215" s="93"/>
      <c r="G215" s="93"/>
      <c r="H215" s="93"/>
      <c r="I215" s="98"/>
      <c r="J215" s="94" t="str">
        <f>IF(OR(Synthese_Programme!M215="Réservé",Synthese_Programme!M215="Acté",Synthese_Programme!M215="réservé",Synthese_Programme!M215="acté"),Synthese_Programme!P215,"")</f>
        <v/>
      </c>
      <c r="K215" s="94" t="str">
        <f t="shared" si="6"/>
        <v/>
      </c>
      <c r="L215" s="92"/>
      <c r="M215" s="93"/>
      <c r="N215" s="93"/>
      <c r="O215" s="93"/>
      <c r="P215" s="92" t="str">
        <f t="shared" si="7"/>
        <v/>
      </c>
      <c r="Q215" s="94" t="str">
        <f>IF(Synthese_Programme!Q215="","",Synthese_Programme!Q215)</f>
        <v/>
      </c>
      <c r="R215" s="92"/>
      <c r="S215" s="93"/>
      <c r="T215" s="93"/>
    </row>
    <row r="216" spans="1:20" s="8" customFormat="1" ht="26" customHeight="1" x14ac:dyDescent="0.45">
      <c r="A216" s="92" t="str">
        <f>IF(Synthese_Programme!A216="","",Synthese_Programme!A216)</f>
        <v/>
      </c>
      <c r="B216" s="92" t="str">
        <f>IF(Synthese_Programme!B216="","",Synthese_Programme!B216)</f>
        <v/>
      </c>
      <c r="C216" s="92" t="str">
        <f>IF(OR(Synthese_Programme!M216="Réservé",Synthese_Programme!M216="Acté",Synthese_Programme!M216="réservé",Synthese_Programme!M216="acté"),Synthese_Programme!N216,"")</f>
        <v/>
      </c>
      <c r="D216" s="93"/>
      <c r="E216" s="93"/>
      <c r="F216" s="93"/>
      <c r="G216" s="93"/>
      <c r="H216" s="93"/>
      <c r="I216" s="98"/>
      <c r="J216" s="94" t="str">
        <f>IF(OR(Synthese_Programme!M216="Réservé",Synthese_Programme!M216="Acté",Synthese_Programme!M216="réservé",Synthese_Programme!M216="acté"),Synthese_Programme!P216,"")</f>
        <v/>
      </c>
      <c r="K216" s="94" t="str">
        <f t="shared" si="6"/>
        <v/>
      </c>
      <c r="L216" s="92"/>
      <c r="M216" s="93"/>
      <c r="N216" s="93"/>
      <c r="O216" s="93"/>
      <c r="P216" s="92" t="str">
        <f t="shared" si="7"/>
        <v/>
      </c>
      <c r="Q216" s="94" t="str">
        <f>IF(Synthese_Programme!Q216="","",Synthese_Programme!Q216)</f>
        <v/>
      </c>
      <c r="R216" s="92"/>
      <c r="S216" s="93"/>
      <c r="T216" s="93"/>
    </row>
    <row r="217" spans="1:20" s="8" customFormat="1" ht="26" customHeight="1" x14ac:dyDescent="0.45">
      <c r="A217" s="92" t="str">
        <f>IF(Synthese_Programme!A217="","",Synthese_Programme!A217)</f>
        <v/>
      </c>
      <c r="B217" s="92" t="str">
        <f>IF(Synthese_Programme!B217="","",Synthese_Programme!B217)</f>
        <v/>
      </c>
      <c r="C217" s="92" t="str">
        <f>IF(OR(Synthese_Programme!M217="Réservé",Synthese_Programme!M217="Acté",Synthese_Programme!M217="réservé",Synthese_Programme!M217="acté"),Synthese_Programme!N217,"")</f>
        <v/>
      </c>
      <c r="D217" s="93"/>
      <c r="E217" s="93"/>
      <c r="F217" s="93"/>
      <c r="G217" s="93"/>
      <c r="H217" s="93"/>
      <c r="I217" s="98"/>
      <c r="J217" s="94" t="str">
        <f>IF(OR(Synthese_Programme!M217="Réservé",Synthese_Programme!M217="Acté",Synthese_Programme!M217="réservé",Synthese_Programme!M217="acté"),Synthese_Programme!P217,"")</f>
        <v/>
      </c>
      <c r="K217" s="94" t="str">
        <f t="shared" si="6"/>
        <v/>
      </c>
      <c r="L217" s="92"/>
      <c r="M217" s="93"/>
      <c r="N217" s="93"/>
      <c r="O217" s="93"/>
      <c r="P217" s="92" t="str">
        <f t="shared" si="7"/>
        <v/>
      </c>
      <c r="Q217" s="94" t="str">
        <f>IF(Synthese_Programme!Q217="","",Synthese_Programme!Q217)</f>
        <v/>
      </c>
      <c r="R217" s="92"/>
      <c r="S217" s="93"/>
      <c r="T217" s="93"/>
    </row>
    <row r="218" spans="1:20" s="8" customFormat="1" ht="26" customHeight="1" x14ac:dyDescent="0.45">
      <c r="A218" s="92" t="str">
        <f>IF(Synthese_Programme!A218="","",Synthese_Programme!A218)</f>
        <v/>
      </c>
      <c r="B218" s="92" t="str">
        <f>IF(Synthese_Programme!B218="","",Synthese_Programme!B218)</f>
        <v/>
      </c>
      <c r="C218" s="92" t="str">
        <f>IF(OR(Synthese_Programme!M218="Réservé",Synthese_Programme!M218="Acté",Synthese_Programme!M218="réservé",Synthese_Programme!M218="acté"),Synthese_Programme!N218,"")</f>
        <v/>
      </c>
      <c r="D218" s="93"/>
      <c r="E218" s="93"/>
      <c r="F218" s="93"/>
      <c r="G218" s="93"/>
      <c r="H218" s="93"/>
      <c r="I218" s="98"/>
      <c r="J218" s="94" t="str">
        <f>IF(OR(Synthese_Programme!M218="Réservé",Synthese_Programme!M218="Acté",Synthese_Programme!M218="réservé",Synthese_Programme!M218="acté"),Synthese_Programme!P218,"")</f>
        <v/>
      </c>
      <c r="K218" s="94" t="str">
        <f t="shared" si="6"/>
        <v/>
      </c>
      <c r="L218" s="92"/>
      <c r="M218" s="93"/>
      <c r="N218" s="93"/>
      <c r="O218" s="93"/>
      <c r="P218" s="92" t="str">
        <f t="shared" si="7"/>
        <v/>
      </c>
      <c r="Q218" s="94" t="str">
        <f>IF(Synthese_Programme!Q218="","",Synthese_Programme!Q218)</f>
        <v/>
      </c>
      <c r="R218" s="92"/>
      <c r="S218" s="93"/>
      <c r="T218" s="93"/>
    </row>
    <row r="219" spans="1:20" s="8" customFormat="1" ht="26" customHeight="1" x14ac:dyDescent="0.45">
      <c r="A219" s="92" t="str">
        <f>IF(Synthese_Programme!A219="","",Synthese_Programme!A219)</f>
        <v/>
      </c>
      <c r="B219" s="92" t="str">
        <f>IF(Synthese_Programme!B219="","",Synthese_Programme!B219)</f>
        <v/>
      </c>
      <c r="C219" s="92" t="str">
        <f>IF(OR(Synthese_Programme!M219="Réservé",Synthese_Programme!M219="Acté",Synthese_Programme!M219="réservé",Synthese_Programme!M219="acté"),Synthese_Programme!N219,"")</f>
        <v/>
      </c>
      <c r="D219" s="93"/>
      <c r="E219" s="93"/>
      <c r="F219" s="93"/>
      <c r="G219" s="93"/>
      <c r="H219" s="93"/>
      <c r="I219" s="98"/>
      <c r="J219" s="94" t="str">
        <f>IF(OR(Synthese_Programme!M219="Réservé",Synthese_Programme!M219="Acté",Synthese_Programme!M219="réservé",Synthese_Programme!M219="acté"),Synthese_Programme!P219,"")</f>
        <v/>
      </c>
      <c r="K219" s="94" t="str">
        <f t="shared" si="6"/>
        <v/>
      </c>
      <c r="L219" s="92"/>
      <c r="M219" s="93"/>
      <c r="N219" s="93"/>
      <c r="O219" s="93"/>
      <c r="P219" s="92" t="str">
        <f t="shared" si="7"/>
        <v/>
      </c>
      <c r="Q219" s="94" t="str">
        <f>IF(Synthese_Programme!Q219="","",Synthese_Programme!Q219)</f>
        <v/>
      </c>
      <c r="R219" s="92"/>
      <c r="S219" s="93"/>
      <c r="T219" s="93"/>
    </row>
    <row r="220" spans="1:20" s="8" customFormat="1" ht="26" customHeight="1" x14ac:dyDescent="0.45">
      <c r="A220" s="92" t="str">
        <f>IF(Synthese_Programme!A220="","",Synthese_Programme!A220)</f>
        <v/>
      </c>
      <c r="B220" s="92" t="str">
        <f>IF(Synthese_Programme!B220="","",Synthese_Programme!B220)</f>
        <v/>
      </c>
      <c r="C220" s="92" t="str">
        <f>IF(OR(Synthese_Programme!M220="Réservé",Synthese_Programme!M220="Acté",Synthese_Programme!M220="réservé",Synthese_Programme!M220="acté"),Synthese_Programme!N220,"")</f>
        <v/>
      </c>
      <c r="D220" s="93"/>
      <c r="E220" s="93"/>
      <c r="F220" s="93"/>
      <c r="G220" s="93"/>
      <c r="H220" s="93"/>
      <c r="I220" s="98"/>
      <c r="J220" s="94" t="str">
        <f>IF(OR(Synthese_Programme!M220="Réservé",Synthese_Programme!M220="Acté",Synthese_Programme!M220="réservé",Synthese_Programme!M220="acté"),Synthese_Programme!P220,"")</f>
        <v/>
      </c>
      <c r="K220" s="94" t="str">
        <f t="shared" si="6"/>
        <v/>
      </c>
      <c r="L220" s="92"/>
      <c r="M220" s="93"/>
      <c r="N220" s="93"/>
      <c r="O220" s="93"/>
      <c r="P220" s="92" t="str">
        <f t="shared" si="7"/>
        <v/>
      </c>
      <c r="Q220" s="94" t="str">
        <f>IF(Synthese_Programme!Q220="","",Synthese_Programme!Q220)</f>
        <v/>
      </c>
      <c r="R220" s="92"/>
      <c r="S220" s="93"/>
      <c r="T220" s="93"/>
    </row>
    <row r="221" spans="1:20" s="8" customFormat="1" ht="26" customHeight="1" x14ac:dyDescent="0.45">
      <c r="A221" s="92" t="str">
        <f>IF(Synthese_Programme!A221="","",Synthese_Programme!A221)</f>
        <v/>
      </c>
      <c r="B221" s="92" t="str">
        <f>IF(Synthese_Programme!B221="","",Synthese_Programme!B221)</f>
        <v/>
      </c>
      <c r="C221" s="92" t="str">
        <f>IF(OR(Synthese_Programme!M221="Réservé",Synthese_Programme!M221="Acté",Synthese_Programme!M221="réservé",Synthese_Programme!M221="acté"),Synthese_Programme!N221,"")</f>
        <v/>
      </c>
      <c r="D221" s="93"/>
      <c r="E221" s="93"/>
      <c r="F221" s="93"/>
      <c r="G221" s="93"/>
      <c r="H221" s="93"/>
      <c r="I221" s="98"/>
      <c r="J221" s="94" t="str">
        <f>IF(OR(Synthese_Programme!M221="Réservé",Synthese_Programme!M221="Acté",Synthese_Programme!M221="réservé",Synthese_Programme!M221="acté"),Synthese_Programme!P221,"")</f>
        <v/>
      </c>
      <c r="K221" s="94" t="str">
        <f t="shared" si="6"/>
        <v/>
      </c>
      <c r="L221" s="92"/>
      <c r="M221" s="93"/>
      <c r="N221" s="93"/>
      <c r="O221" s="93"/>
      <c r="P221" s="92" t="str">
        <f t="shared" si="7"/>
        <v/>
      </c>
      <c r="Q221" s="94" t="str">
        <f>IF(Synthese_Programme!Q221="","",Synthese_Programme!Q221)</f>
        <v/>
      </c>
      <c r="R221" s="92"/>
      <c r="S221" s="93"/>
      <c r="T221" s="93"/>
    </row>
    <row r="222" spans="1:20" s="8" customFormat="1" ht="26" customHeight="1" x14ac:dyDescent="0.45">
      <c r="A222" s="92" t="str">
        <f>IF(Synthese_Programme!A222="","",Synthese_Programme!A222)</f>
        <v/>
      </c>
      <c r="B222" s="92" t="str">
        <f>IF(Synthese_Programme!B222="","",Synthese_Programme!B222)</f>
        <v/>
      </c>
      <c r="C222" s="92" t="str">
        <f>IF(OR(Synthese_Programme!M222="Réservé",Synthese_Programme!M222="Acté",Synthese_Programme!M222="réservé",Synthese_Programme!M222="acté"),Synthese_Programme!N222,"")</f>
        <v/>
      </c>
      <c r="D222" s="93"/>
      <c r="E222" s="93"/>
      <c r="F222" s="93"/>
      <c r="G222" s="93"/>
      <c r="H222" s="93"/>
      <c r="I222" s="98"/>
      <c r="J222" s="94" t="str">
        <f>IF(OR(Synthese_Programme!M222="Réservé",Synthese_Programme!M222="Acté",Synthese_Programme!M222="réservé",Synthese_Programme!M222="acté"),Synthese_Programme!P222,"")</f>
        <v/>
      </c>
      <c r="K222" s="94" t="str">
        <f t="shared" si="6"/>
        <v/>
      </c>
      <c r="L222" s="92"/>
      <c r="M222" s="93"/>
      <c r="N222" s="93"/>
      <c r="O222" s="93"/>
      <c r="P222" s="92" t="str">
        <f t="shared" si="7"/>
        <v/>
      </c>
      <c r="Q222" s="94" t="str">
        <f>IF(Synthese_Programme!Q222="","",Synthese_Programme!Q222)</f>
        <v/>
      </c>
      <c r="R222" s="92"/>
      <c r="S222" s="93"/>
      <c r="T222" s="93"/>
    </row>
    <row r="223" spans="1:20" s="8" customFormat="1" ht="26" customHeight="1" x14ac:dyDescent="0.45">
      <c r="A223" s="92" t="str">
        <f>IF(Synthese_Programme!A223="","",Synthese_Programme!A223)</f>
        <v/>
      </c>
      <c r="B223" s="92" t="str">
        <f>IF(Synthese_Programme!B223="","",Synthese_Programme!B223)</f>
        <v/>
      </c>
      <c r="C223" s="92" t="str">
        <f>IF(OR(Synthese_Programme!M223="Réservé",Synthese_Programme!M223="Acté",Synthese_Programme!M223="réservé",Synthese_Programme!M223="acté"),Synthese_Programme!N223,"")</f>
        <v/>
      </c>
      <c r="D223" s="93"/>
      <c r="E223" s="93"/>
      <c r="F223" s="93"/>
      <c r="G223" s="93"/>
      <c r="H223" s="93"/>
      <c r="I223" s="98"/>
      <c r="J223" s="94" t="str">
        <f>IF(OR(Synthese_Programme!M223="Réservé",Synthese_Programme!M223="Acté",Synthese_Programme!M223="réservé",Synthese_Programme!M223="acté"),Synthese_Programme!P223,"")</f>
        <v/>
      </c>
      <c r="K223" s="94" t="str">
        <f t="shared" si="6"/>
        <v/>
      </c>
      <c r="L223" s="92"/>
      <c r="M223" s="93"/>
      <c r="N223" s="93"/>
      <c r="O223" s="93"/>
      <c r="P223" s="92" t="str">
        <f t="shared" si="7"/>
        <v/>
      </c>
      <c r="Q223" s="94" t="str">
        <f>IF(Synthese_Programme!Q223="","",Synthese_Programme!Q223)</f>
        <v/>
      </c>
      <c r="R223" s="92"/>
      <c r="S223" s="93"/>
      <c r="T223" s="93"/>
    </row>
    <row r="224" spans="1:20" s="8" customFormat="1" ht="26" customHeight="1" x14ac:dyDescent="0.45">
      <c r="A224" s="92" t="str">
        <f>IF(Synthese_Programme!A224="","",Synthese_Programme!A224)</f>
        <v/>
      </c>
      <c r="B224" s="92" t="str">
        <f>IF(Synthese_Programme!B224="","",Synthese_Programme!B224)</f>
        <v/>
      </c>
      <c r="C224" s="92" t="str">
        <f>IF(OR(Synthese_Programme!M224="Réservé",Synthese_Programme!M224="Acté",Synthese_Programme!M224="réservé",Synthese_Programme!M224="acté"),Synthese_Programme!N224,"")</f>
        <v/>
      </c>
      <c r="D224" s="93"/>
      <c r="E224" s="93"/>
      <c r="F224" s="93"/>
      <c r="G224" s="93"/>
      <c r="H224" s="93"/>
      <c r="I224" s="98"/>
      <c r="J224" s="94" t="str">
        <f>IF(OR(Synthese_Programme!M224="Réservé",Synthese_Programme!M224="Acté",Synthese_Programme!M224="réservé",Synthese_Programme!M224="acté"),Synthese_Programme!P224,"")</f>
        <v/>
      </c>
      <c r="K224" s="94" t="str">
        <f t="shared" si="6"/>
        <v/>
      </c>
      <c r="L224" s="92"/>
      <c r="M224" s="93"/>
      <c r="N224" s="93"/>
      <c r="O224" s="93"/>
      <c r="P224" s="92" t="str">
        <f t="shared" si="7"/>
        <v/>
      </c>
      <c r="Q224" s="94" t="str">
        <f>IF(Synthese_Programme!Q224="","",Synthese_Programme!Q224)</f>
        <v/>
      </c>
      <c r="R224" s="92"/>
      <c r="S224" s="93"/>
      <c r="T224" s="93"/>
    </row>
    <row r="225" spans="1:20" s="8" customFormat="1" ht="26" customHeight="1" x14ac:dyDescent="0.45">
      <c r="A225" s="92" t="str">
        <f>IF(Synthese_Programme!A225="","",Synthese_Programme!A225)</f>
        <v/>
      </c>
      <c r="B225" s="92" t="str">
        <f>IF(Synthese_Programme!B225="","",Synthese_Programme!B225)</f>
        <v/>
      </c>
      <c r="C225" s="92" t="str">
        <f>IF(OR(Synthese_Programme!M225="Réservé",Synthese_Programme!M225="Acté",Synthese_Programme!M225="réservé",Synthese_Programme!M225="acté"),Synthese_Programme!N225,"")</f>
        <v/>
      </c>
      <c r="D225" s="93"/>
      <c r="E225" s="93"/>
      <c r="F225" s="93"/>
      <c r="G225" s="93"/>
      <c r="H225" s="93"/>
      <c r="I225" s="98"/>
      <c r="J225" s="94" t="str">
        <f>IF(OR(Synthese_Programme!M225="Réservé",Synthese_Programme!M225="Acté",Synthese_Programme!M225="réservé",Synthese_Programme!M225="acté"),Synthese_Programme!P225,"")</f>
        <v/>
      </c>
      <c r="K225" s="94" t="str">
        <f t="shared" si="6"/>
        <v/>
      </c>
      <c r="L225" s="92"/>
      <c r="M225" s="93"/>
      <c r="N225" s="93"/>
      <c r="O225" s="93"/>
      <c r="P225" s="92" t="str">
        <f t="shared" si="7"/>
        <v/>
      </c>
      <c r="Q225" s="94" t="str">
        <f>IF(Synthese_Programme!Q225="","",Synthese_Programme!Q225)</f>
        <v/>
      </c>
      <c r="R225" s="92"/>
      <c r="S225" s="93"/>
      <c r="T225" s="93"/>
    </row>
    <row r="226" spans="1:20" s="8" customFormat="1" ht="26" customHeight="1" x14ac:dyDescent="0.45">
      <c r="A226" s="92" t="str">
        <f>IF(Synthese_Programme!A226="","",Synthese_Programme!A226)</f>
        <v/>
      </c>
      <c r="B226" s="92" t="str">
        <f>IF(Synthese_Programme!B226="","",Synthese_Programme!B226)</f>
        <v/>
      </c>
      <c r="C226" s="92" t="str">
        <f>IF(OR(Synthese_Programme!M226="Réservé",Synthese_Programme!M226="Acté",Synthese_Programme!M226="réservé",Synthese_Programme!M226="acté"),Synthese_Programme!N226,"")</f>
        <v/>
      </c>
      <c r="D226" s="93"/>
      <c r="E226" s="93"/>
      <c r="F226" s="93"/>
      <c r="G226" s="93"/>
      <c r="H226" s="93"/>
      <c r="I226" s="98"/>
      <c r="J226" s="94" t="str">
        <f>IF(OR(Synthese_Programme!M226="Réservé",Synthese_Programme!M226="Acté",Synthese_Programme!M226="réservé",Synthese_Programme!M226="acté"),Synthese_Programme!P226,"")</f>
        <v/>
      </c>
      <c r="K226" s="94" t="str">
        <f t="shared" si="6"/>
        <v/>
      </c>
      <c r="L226" s="92"/>
      <c r="M226" s="93"/>
      <c r="N226" s="93"/>
      <c r="O226" s="93"/>
      <c r="P226" s="92" t="str">
        <f t="shared" si="7"/>
        <v/>
      </c>
      <c r="Q226" s="94" t="str">
        <f>IF(Synthese_Programme!Q226="","",Synthese_Programme!Q226)</f>
        <v/>
      </c>
      <c r="R226" s="92"/>
      <c r="S226" s="93"/>
      <c r="T226" s="93"/>
    </row>
    <row r="227" spans="1:20" s="8" customFormat="1" ht="26" customHeight="1" x14ac:dyDescent="0.45">
      <c r="A227" s="92" t="str">
        <f>IF(Synthese_Programme!A227="","",Synthese_Programme!A227)</f>
        <v/>
      </c>
      <c r="B227" s="92" t="str">
        <f>IF(Synthese_Programme!B227="","",Synthese_Programme!B227)</f>
        <v/>
      </c>
      <c r="C227" s="92" t="str">
        <f>IF(OR(Synthese_Programme!M227="Réservé",Synthese_Programme!M227="Acté",Synthese_Programme!M227="réservé",Synthese_Programme!M227="acté"),Synthese_Programme!N227,"")</f>
        <v/>
      </c>
      <c r="D227" s="93"/>
      <c r="E227" s="93"/>
      <c r="F227" s="93"/>
      <c r="G227" s="93"/>
      <c r="H227" s="93"/>
      <c r="I227" s="98"/>
      <c r="J227" s="94" t="str">
        <f>IF(OR(Synthese_Programme!M227="Réservé",Synthese_Programme!M227="Acté",Synthese_Programme!M227="réservé",Synthese_Programme!M227="acté"),Synthese_Programme!P227,"")</f>
        <v/>
      </c>
      <c r="K227" s="94" t="str">
        <f t="shared" si="6"/>
        <v/>
      </c>
      <c r="L227" s="92"/>
      <c r="M227" s="93"/>
      <c r="N227" s="93"/>
      <c r="O227" s="93"/>
      <c r="P227" s="92" t="str">
        <f t="shared" si="7"/>
        <v/>
      </c>
      <c r="Q227" s="94" t="str">
        <f>IF(Synthese_Programme!Q227="","",Synthese_Programme!Q227)</f>
        <v/>
      </c>
      <c r="R227" s="92"/>
      <c r="S227" s="93"/>
      <c r="T227" s="93"/>
    </row>
    <row r="228" spans="1:20" s="8" customFormat="1" ht="26" customHeight="1" x14ac:dyDescent="0.45">
      <c r="A228" s="92" t="str">
        <f>IF(Synthese_Programme!A228="","",Synthese_Programme!A228)</f>
        <v/>
      </c>
      <c r="B228" s="92" t="str">
        <f>IF(Synthese_Programme!B228="","",Synthese_Programme!B228)</f>
        <v/>
      </c>
      <c r="C228" s="92" t="str">
        <f>IF(OR(Synthese_Programme!M228="Réservé",Synthese_Programme!M228="Acté",Synthese_Programme!M228="réservé",Synthese_Programme!M228="acté"),Synthese_Programme!N228,"")</f>
        <v/>
      </c>
      <c r="D228" s="93"/>
      <c r="E228" s="93"/>
      <c r="F228" s="93"/>
      <c r="G228" s="93"/>
      <c r="H228" s="93"/>
      <c r="I228" s="98"/>
      <c r="J228" s="94" t="str">
        <f>IF(OR(Synthese_Programme!M228="Réservé",Synthese_Programme!M228="Acté",Synthese_Programme!M228="réservé",Synthese_Programme!M228="acté"),Synthese_Programme!P228,"")</f>
        <v/>
      </c>
      <c r="K228" s="94" t="str">
        <f t="shared" si="6"/>
        <v/>
      </c>
      <c r="L228" s="92"/>
      <c r="M228" s="93"/>
      <c r="N228" s="93"/>
      <c r="O228" s="93"/>
      <c r="P228" s="92" t="str">
        <f t="shared" si="7"/>
        <v/>
      </c>
      <c r="Q228" s="94" t="str">
        <f>IF(Synthese_Programme!Q228="","",Synthese_Programme!Q228)</f>
        <v/>
      </c>
      <c r="R228" s="92"/>
      <c r="S228" s="93"/>
      <c r="T228" s="93"/>
    </row>
    <row r="229" spans="1:20" s="8" customFormat="1" ht="26" customHeight="1" x14ac:dyDescent="0.45">
      <c r="A229" s="92" t="str">
        <f>IF(Synthese_Programme!A229="","",Synthese_Programme!A229)</f>
        <v/>
      </c>
      <c r="B229" s="92" t="str">
        <f>IF(Synthese_Programme!B229="","",Synthese_Programme!B229)</f>
        <v/>
      </c>
      <c r="C229" s="92" t="str">
        <f>IF(OR(Synthese_Programme!M229="Réservé",Synthese_Programme!M229="Acté",Synthese_Programme!M229="réservé",Synthese_Programme!M229="acté"),Synthese_Programme!N229,"")</f>
        <v/>
      </c>
      <c r="D229" s="93"/>
      <c r="E229" s="93"/>
      <c r="F229" s="93"/>
      <c r="G229" s="93"/>
      <c r="H229" s="93"/>
      <c r="I229" s="98"/>
      <c r="J229" s="94" t="str">
        <f>IF(OR(Synthese_Programme!M229="Réservé",Synthese_Programme!M229="Acté",Synthese_Programme!M229="réservé",Synthese_Programme!M229="acté"),Synthese_Programme!P229,"")</f>
        <v/>
      </c>
      <c r="K229" s="94" t="str">
        <f t="shared" si="6"/>
        <v/>
      </c>
      <c r="L229" s="92"/>
      <c r="M229" s="93"/>
      <c r="N229" s="93"/>
      <c r="O229" s="93"/>
      <c r="P229" s="92" t="str">
        <f t="shared" si="7"/>
        <v/>
      </c>
      <c r="Q229" s="94" t="str">
        <f>IF(Synthese_Programme!Q229="","",Synthese_Programme!Q229)</f>
        <v/>
      </c>
      <c r="R229" s="92"/>
      <c r="S229" s="93"/>
      <c r="T229" s="93"/>
    </row>
    <row r="230" spans="1:20" s="8" customFormat="1" ht="26" customHeight="1" x14ac:dyDescent="0.45">
      <c r="A230" s="92" t="str">
        <f>IF(Synthese_Programme!A230="","",Synthese_Programme!A230)</f>
        <v/>
      </c>
      <c r="B230" s="92" t="str">
        <f>IF(Synthese_Programme!B230="","",Synthese_Programme!B230)</f>
        <v/>
      </c>
      <c r="C230" s="92" t="str">
        <f>IF(OR(Synthese_Programme!M230="Réservé",Synthese_Programme!M230="Acté",Synthese_Programme!M230="réservé",Synthese_Programme!M230="acté"),Synthese_Programme!N230,"")</f>
        <v/>
      </c>
      <c r="D230" s="93"/>
      <c r="E230" s="93"/>
      <c r="F230" s="93"/>
      <c r="G230" s="93"/>
      <c r="H230" s="93"/>
      <c r="I230" s="98"/>
      <c r="J230" s="94" t="str">
        <f>IF(OR(Synthese_Programme!M230="Réservé",Synthese_Programme!M230="Acté",Synthese_Programme!M230="réservé",Synthese_Programme!M230="acté"),Synthese_Programme!P230,"")</f>
        <v/>
      </c>
      <c r="K230" s="94" t="str">
        <f t="shared" si="6"/>
        <v/>
      </c>
      <c r="L230" s="92"/>
      <c r="M230" s="93"/>
      <c r="N230" s="93"/>
      <c r="O230" s="93"/>
      <c r="P230" s="92" t="str">
        <f t="shared" si="7"/>
        <v/>
      </c>
      <c r="Q230" s="94" t="str">
        <f>IF(Synthese_Programme!Q230="","",Synthese_Programme!Q230)</f>
        <v/>
      </c>
      <c r="R230" s="92"/>
      <c r="S230" s="93"/>
      <c r="T230" s="93"/>
    </row>
    <row r="231" spans="1:20" s="8" customFormat="1" ht="26" customHeight="1" x14ac:dyDescent="0.45">
      <c r="A231" s="92" t="str">
        <f>IF(Synthese_Programme!A231="","",Synthese_Programme!A231)</f>
        <v/>
      </c>
      <c r="B231" s="92" t="str">
        <f>IF(Synthese_Programme!B231="","",Synthese_Programme!B231)</f>
        <v/>
      </c>
      <c r="C231" s="92" t="str">
        <f>IF(OR(Synthese_Programme!M231="Réservé",Synthese_Programme!M231="Acté",Synthese_Programme!M231="réservé",Synthese_Programme!M231="acté"),Synthese_Programme!N231,"")</f>
        <v/>
      </c>
      <c r="D231" s="93"/>
      <c r="E231" s="93"/>
      <c r="F231" s="93"/>
      <c r="G231" s="93"/>
      <c r="H231" s="93"/>
      <c r="I231" s="98"/>
      <c r="J231" s="94" t="str">
        <f>IF(OR(Synthese_Programme!M231="Réservé",Synthese_Programme!M231="Acté",Synthese_Programme!M231="réservé",Synthese_Programme!M231="acté"),Synthese_Programme!P231,"")</f>
        <v/>
      </c>
      <c r="K231" s="94" t="str">
        <f t="shared" si="6"/>
        <v/>
      </c>
      <c r="L231" s="92"/>
      <c r="M231" s="93"/>
      <c r="N231" s="93"/>
      <c r="O231" s="93"/>
      <c r="P231" s="92" t="str">
        <f t="shared" si="7"/>
        <v/>
      </c>
      <c r="Q231" s="94" t="str">
        <f>IF(Synthese_Programme!Q231="","",Synthese_Programme!Q231)</f>
        <v/>
      </c>
      <c r="R231" s="92"/>
      <c r="S231" s="93"/>
      <c r="T231" s="93"/>
    </row>
    <row r="232" spans="1:20" s="8" customFormat="1" ht="26" customHeight="1" x14ac:dyDescent="0.45">
      <c r="A232" s="92" t="str">
        <f>IF(Synthese_Programme!A232="","",Synthese_Programme!A232)</f>
        <v/>
      </c>
      <c r="B232" s="92" t="str">
        <f>IF(Synthese_Programme!B232="","",Synthese_Programme!B232)</f>
        <v/>
      </c>
      <c r="C232" s="92" t="str">
        <f>IF(OR(Synthese_Programme!M232="Réservé",Synthese_Programme!M232="Acté",Synthese_Programme!M232="réservé",Synthese_Programme!M232="acté"),Synthese_Programme!N232,"")</f>
        <v/>
      </c>
      <c r="D232" s="93"/>
      <c r="E232" s="93"/>
      <c r="F232" s="93"/>
      <c r="G232" s="93"/>
      <c r="H232" s="93"/>
      <c r="I232" s="98"/>
      <c r="J232" s="94" t="str">
        <f>IF(OR(Synthese_Programme!M232="Réservé",Synthese_Programme!M232="Acté",Synthese_Programme!M232="réservé",Synthese_Programme!M232="acté"),Synthese_Programme!P232,"")</f>
        <v/>
      </c>
      <c r="K232" s="94" t="str">
        <f t="shared" si="6"/>
        <v/>
      </c>
      <c r="L232" s="92"/>
      <c r="M232" s="93"/>
      <c r="N232" s="93"/>
      <c r="O232" s="93"/>
      <c r="P232" s="92" t="str">
        <f t="shared" si="7"/>
        <v/>
      </c>
      <c r="Q232" s="94" t="str">
        <f>IF(Synthese_Programme!Q232="","",Synthese_Programme!Q232)</f>
        <v/>
      </c>
      <c r="R232" s="92"/>
      <c r="S232" s="93"/>
      <c r="T232" s="93"/>
    </row>
    <row r="233" spans="1:20" s="8" customFormat="1" ht="26" customHeight="1" x14ac:dyDescent="0.45">
      <c r="A233" s="92" t="str">
        <f>IF(Synthese_Programme!A233="","",Synthese_Programme!A233)</f>
        <v/>
      </c>
      <c r="B233" s="92" t="str">
        <f>IF(Synthese_Programme!B233="","",Synthese_Programme!B233)</f>
        <v/>
      </c>
      <c r="C233" s="92" t="str">
        <f>IF(OR(Synthese_Programme!M233="Réservé",Synthese_Programme!M233="Acté",Synthese_Programme!M233="réservé",Synthese_Programme!M233="acté"),Synthese_Programme!N233,"")</f>
        <v/>
      </c>
      <c r="D233" s="93"/>
      <c r="E233" s="93"/>
      <c r="F233" s="93"/>
      <c r="G233" s="93"/>
      <c r="H233" s="93"/>
      <c r="I233" s="98"/>
      <c r="J233" s="94" t="str">
        <f>IF(OR(Synthese_Programme!M233="Réservé",Synthese_Programme!M233="Acté",Synthese_Programme!M233="réservé",Synthese_Programme!M233="acté"),Synthese_Programme!P233,"")</f>
        <v/>
      </c>
      <c r="K233" s="94" t="str">
        <f t="shared" si="6"/>
        <v/>
      </c>
      <c r="L233" s="92"/>
      <c r="M233" s="93"/>
      <c r="N233" s="93"/>
      <c r="O233" s="93"/>
      <c r="P233" s="92" t="str">
        <f t="shared" si="7"/>
        <v/>
      </c>
      <c r="Q233" s="94" t="str">
        <f>IF(Synthese_Programme!Q233="","",Synthese_Programme!Q233)</f>
        <v/>
      </c>
      <c r="R233" s="92"/>
      <c r="S233" s="93"/>
      <c r="T233" s="93"/>
    </row>
    <row r="234" spans="1:20" s="8" customFormat="1" ht="26" customHeight="1" x14ac:dyDescent="0.45">
      <c r="A234" s="92" t="str">
        <f>IF(Synthese_Programme!A234="","",Synthese_Programme!A234)</f>
        <v/>
      </c>
      <c r="B234" s="92" t="str">
        <f>IF(Synthese_Programme!B234="","",Synthese_Programme!B234)</f>
        <v/>
      </c>
      <c r="C234" s="92" t="str">
        <f>IF(OR(Synthese_Programme!M234="Réservé",Synthese_Programme!M234="Acté",Synthese_Programme!M234="réservé",Synthese_Programme!M234="acté"),Synthese_Programme!N234,"")</f>
        <v/>
      </c>
      <c r="D234" s="93"/>
      <c r="E234" s="93"/>
      <c r="F234" s="93"/>
      <c r="G234" s="93"/>
      <c r="H234" s="93"/>
      <c r="I234" s="98"/>
      <c r="J234" s="94" t="str">
        <f>IF(OR(Synthese_Programme!M234="Réservé",Synthese_Programme!M234="Acté",Synthese_Programme!M234="réservé",Synthese_Programme!M234="acté"),Synthese_Programme!P234,"")</f>
        <v/>
      </c>
      <c r="K234" s="94" t="str">
        <f t="shared" si="6"/>
        <v/>
      </c>
      <c r="L234" s="92"/>
      <c r="M234" s="93"/>
      <c r="N234" s="93"/>
      <c r="O234" s="93"/>
      <c r="P234" s="92" t="str">
        <f t="shared" si="7"/>
        <v/>
      </c>
      <c r="Q234" s="94" t="str">
        <f>IF(Synthese_Programme!Q234="","",Synthese_Programme!Q234)</f>
        <v/>
      </c>
      <c r="R234" s="92"/>
      <c r="S234" s="93"/>
      <c r="T234" s="93"/>
    </row>
    <row r="235" spans="1:20" s="8" customFormat="1" ht="26" customHeight="1" x14ac:dyDescent="0.45">
      <c r="A235" s="92" t="str">
        <f>IF(Synthese_Programme!A235="","",Synthese_Programme!A235)</f>
        <v/>
      </c>
      <c r="B235" s="92" t="str">
        <f>IF(Synthese_Programme!B235="","",Synthese_Programme!B235)</f>
        <v/>
      </c>
      <c r="C235" s="92" t="str">
        <f>IF(OR(Synthese_Programme!M235="Réservé",Synthese_Programme!M235="Acté",Synthese_Programme!M235="réservé",Synthese_Programme!M235="acté"),Synthese_Programme!N235,"")</f>
        <v/>
      </c>
      <c r="D235" s="93"/>
      <c r="E235" s="93"/>
      <c r="F235" s="93"/>
      <c r="G235" s="93"/>
      <c r="H235" s="93"/>
      <c r="I235" s="98"/>
      <c r="J235" s="94" t="str">
        <f>IF(OR(Synthese_Programme!M235="Réservé",Synthese_Programme!M235="Acté",Synthese_Programme!M235="réservé",Synthese_Programme!M235="acté"),Synthese_Programme!P235,"")</f>
        <v/>
      </c>
      <c r="K235" s="94" t="str">
        <f t="shared" si="6"/>
        <v/>
      </c>
      <c r="L235" s="92"/>
      <c r="M235" s="93"/>
      <c r="N235" s="93"/>
      <c r="O235" s="93"/>
      <c r="P235" s="92" t="str">
        <f t="shared" si="7"/>
        <v/>
      </c>
      <c r="Q235" s="94" t="str">
        <f>IF(Synthese_Programme!Q235="","",Synthese_Programme!Q235)</f>
        <v/>
      </c>
      <c r="R235" s="92"/>
      <c r="S235" s="93"/>
      <c r="T235" s="93"/>
    </row>
    <row r="236" spans="1:20" s="8" customFormat="1" ht="26" customHeight="1" x14ac:dyDescent="0.45">
      <c r="A236" s="92" t="str">
        <f>IF(Synthese_Programme!A236="","",Synthese_Programme!A236)</f>
        <v/>
      </c>
      <c r="B236" s="92" t="str">
        <f>IF(Synthese_Programme!B236="","",Synthese_Programme!B236)</f>
        <v/>
      </c>
      <c r="C236" s="92" t="str">
        <f>IF(OR(Synthese_Programme!M236="Réservé",Synthese_Programme!M236="Acté",Synthese_Programme!M236="réservé",Synthese_Programme!M236="acté"),Synthese_Programme!N236,"")</f>
        <v/>
      </c>
      <c r="D236" s="93"/>
      <c r="E236" s="93"/>
      <c r="F236" s="93"/>
      <c r="G236" s="93"/>
      <c r="H236" s="93"/>
      <c r="I236" s="98"/>
      <c r="J236" s="94" t="str">
        <f>IF(OR(Synthese_Programme!M236="Réservé",Synthese_Programme!M236="Acté",Synthese_Programme!M236="réservé",Synthese_Programme!M236="acté"),Synthese_Programme!P236,"")</f>
        <v/>
      </c>
      <c r="K236" s="94" t="str">
        <f t="shared" si="6"/>
        <v/>
      </c>
      <c r="L236" s="92"/>
      <c r="M236" s="93"/>
      <c r="N236" s="93"/>
      <c r="O236" s="93"/>
      <c r="P236" s="92" t="str">
        <f t="shared" si="7"/>
        <v/>
      </c>
      <c r="Q236" s="94" t="str">
        <f>IF(Synthese_Programme!Q236="","",Synthese_Programme!Q236)</f>
        <v/>
      </c>
      <c r="R236" s="92"/>
      <c r="S236" s="93"/>
      <c r="T236" s="93"/>
    </row>
    <row r="237" spans="1:20" s="8" customFormat="1" ht="26" customHeight="1" x14ac:dyDescent="0.45">
      <c r="A237" s="92" t="str">
        <f>IF(Synthese_Programme!A237="","",Synthese_Programme!A237)</f>
        <v/>
      </c>
      <c r="B237" s="92" t="str">
        <f>IF(Synthese_Programme!B237="","",Synthese_Programme!B237)</f>
        <v/>
      </c>
      <c r="C237" s="92" t="str">
        <f>IF(OR(Synthese_Programme!M237="Réservé",Synthese_Programme!M237="Acté",Synthese_Programme!M237="réservé",Synthese_Programme!M237="acté"),Synthese_Programme!N237,"")</f>
        <v/>
      </c>
      <c r="D237" s="93"/>
      <c r="E237" s="93"/>
      <c r="F237" s="93"/>
      <c r="G237" s="93"/>
      <c r="H237" s="93"/>
      <c r="I237" s="98"/>
      <c r="J237" s="94" t="str">
        <f>IF(OR(Synthese_Programme!M237="Réservé",Synthese_Programme!M237="Acté",Synthese_Programme!M237="réservé",Synthese_Programme!M237="acté"),Synthese_Programme!P237,"")</f>
        <v/>
      </c>
      <c r="K237" s="94" t="str">
        <f t="shared" si="6"/>
        <v/>
      </c>
      <c r="L237" s="92"/>
      <c r="M237" s="93"/>
      <c r="N237" s="93"/>
      <c r="O237" s="93"/>
      <c r="P237" s="92" t="str">
        <f t="shared" si="7"/>
        <v/>
      </c>
      <c r="Q237" s="94" t="str">
        <f>IF(Synthese_Programme!Q237="","",Synthese_Programme!Q237)</f>
        <v/>
      </c>
      <c r="R237" s="92"/>
      <c r="S237" s="93"/>
      <c r="T237" s="93"/>
    </row>
    <row r="238" spans="1:20" s="8" customFormat="1" ht="26" customHeight="1" x14ac:dyDescent="0.45">
      <c r="A238" s="92" t="str">
        <f>IF(Synthese_Programme!A238="","",Synthese_Programme!A238)</f>
        <v/>
      </c>
      <c r="B238" s="92" t="str">
        <f>IF(Synthese_Programme!B238="","",Synthese_Programme!B238)</f>
        <v/>
      </c>
      <c r="C238" s="92" t="str">
        <f>IF(OR(Synthese_Programme!M238="Réservé",Synthese_Programme!M238="Acté",Synthese_Programme!M238="réservé",Synthese_Programme!M238="acté"),Synthese_Programme!N238,"")</f>
        <v/>
      </c>
      <c r="D238" s="93"/>
      <c r="E238" s="93"/>
      <c r="F238" s="93"/>
      <c r="G238" s="93"/>
      <c r="H238" s="93"/>
      <c r="I238" s="98"/>
      <c r="J238" s="94" t="str">
        <f>IF(OR(Synthese_Programme!M238="Réservé",Synthese_Programme!M238="Acté",Synthese_Programme!M238="réservé",Synthese_Programme!M238="acté"),Synthese_Programme!P238,"")</f>
        <v/>
      </c>
      <c r="K238" s="94" t="str">
        <f t="shared" si="6"/>
        <v/>
      </c>
      <c r="L238" s="92"/>
      <c r="M238" s="93"/>
      <c r="N238" s="93"/>
      <c r="O238" s="93"/>
      <c r="P238" s="92" t="str">
        <f t="shared" si="7"/>
        <v/>
      </c>
      <c r="Q238" s="94" t="str">
        <f>IF(Synthese_Programme!Q238="","",Synthese_Programme!Q238)</f>
        <v/>
      </c>
      <c r="R238" s="92"/>
      <c r="S238" s="93"/>
      <c r="T238" s="93"/>
    </row>
    <row r="239" spans="1:20" s="8" customFormat="1" ht="26" customHeight="1" x14ac:dyDescent="0.45">
      <c r="A239" s="92" t="str">
        <f>IF(Synthese_Programme!A239="","",Synthese_Programme!A239)</f>
        <v/>
      </c>
      <c r="B239" s="92" t="str">
        <f>IF(Synthese_Programme!B239="","",Synthese_Programme!B239)</f>
        <v/>
      </c>
      <c r="C239" s="92" t="str">
        <f>IF(OR(Synthese_Programme!M239="Réservé",Synthese_Programme!M239="Acté",Synthese_Programme!M239="réservé",Synthese_Programme!M239="acté"),Synthese_Programme!N239,"")</f>
        <v/>
      </c>
      <c r="D239" s="93"/>
      <c r="E239" s="93"/>
      <c r="F239" s="93"/>
      <c r="G239" s="93"/>
      <c r="H239" s="93"/>
      <c r="I239" s="98"/>
      <c r="J239" s="94" t="str">
        <f>IF(OR(Synthese_Programme!M239="Réservé",Synthese_Programme!M239="Acté",Synthese_Programme!M239="réservé",Synthese_Programme!M239="acté"),Synthese_Programme!P239,"")</f>
        <v/>
      </c>
      <c r="K239" s="94" t="str">
        <f t="shared" si="6"/>
        <v/>
      </c>
      <c r="L239" s="92"/>
      <c r="M239" s="93"/>
      <c r="N239" s="93"/>
      <c r="O239" s="93"/>
      <c r="P239" s="92" t="str">
        <f t="shared" si="7"/>
        <v/>
      </c>
      <c r="Q239" s="94" t="str">
        <f>IF(Synthese_Programme!Q239="","",Synthese_Programme!Q239)</f>
        <v/>
      </c>
      <c r="R239" s="92"/>
      <c r="S239" s="93"/>
      <c r="T239" s="93"/>
    </row>
    <row r="240" spans="1:20" s="8" customFormat="1" ht="26" customHeight="1" x14ac:dyDescent="0.45">
      <c r="A240" s="92" t="str">
        <f>IF(Synthese_Programme!A240="","",Synthese_Programme!A240)</f>
        <v/>
      </c>
      <c r="B240" s="92" t="str">
        <f>IF(Synthese_Programme!B240="","",Synthese_Programme!B240)</f>
        <v/>
      </c>
      <c r="C240" s="92" t="str">
        <f>IF(OR(Synthese_Programme!M240="Réservé",Synthese_Programme!M240="Acté",Synthese_Programme!M240="réservé",Synthese_Programme!M240="acté"),Synthese_Programme!N240,"")</f>
        <v/>
      </c>
      <c r="D240" s="93"/>
      <c r="E240" s="93"/>
      <c r="F240" s="93"/>
      <c r="G240" s="93"/>
      <c r="H240" s="93"/>
      <c r="I240" s="98"/>
      <c r="J240" s="94" t="str">
        <f>IF(OR(Synthese_Programme!M240="Réservé",Synthese_Programme!M240="Acté",Synthese_Programme!M240="réservé",Synthese_Programme!M240="acté"),Synthese_Programme!P240,"")</f>
        <v/>
      </c>
      <c r="K240" s="94" t="str">
        <f t="shared" si="6"/>
        <v/>
      </c>
      <c r="L240" s="92"/>
      <c r="M240" s="93"/>
      <c r="N240" s="93"/>
      <c r="O240" s="93"/>
      <c r="P240" s="92" t="str">
        <f t="shared" si="7"/>
        <v/>
      </c>
      <c r="Q240" s="94" t="str">
        <f>IF(Synthese_Programme!Q240="","",Synthese_Programme!Q240)</f>
        <v/>
      </c>
      <c r="R240" s="92"/>
      <c r="S240" s="93"/>
      <c r="T240" s="93"/>
    </row>
    <row r="241" spans="1:20" s="8" customFormat="1" ht="26" customHeight="1" x14ac:dyDescent="0.45">
      <c r="A241" s="92" t="str">
        <f>IF(Synthese_Programme!A241="","",Synthese_Programme!A241)</f>
        <v/>
      </c>
      <c r="B241" s="92" t="str">
        <f>IF(Synthese_Programme!B241="","",Synthese_Programme!B241)</f>
        <v/>
      </c>
      <c r="C241" s="92" t="str">
        <f>IF(OR(Synthese_Programme!M241="Réservé",Synthese_Programme!M241="Acté",Synthese_Programme!M241="réservé",Synthese_Programme!M241="acté"),Synthese_Programme!N241,"")</f>
        <v/>
      </c>
      <c r="D241" s="93"/>
      <c r="E241" s="93"/>
      <c r="F241" s="93"/>
      <c r="G241" s="93"/>
      <c r="H241" s="93"/>
      <c r="I241" s="98"/>
      <c r="J241" s="94" t="str">
        <f>IF(OR(Synthese_Programme!M241="Réservé",Synthese_Programme!M241="Acté",Synthese_Programme!M241="réservé",Synthese_Programme!M241="acté"),Synthese_Programme!P241,"")</f>
        <v/>
      </c>
      <c r="K241" s="94" t="str">
        <f t="shared" si="6"/>
        <v/>
      </c>
      <c r="L241" s="92"/>
      <c r="M241" s="93"/>
      <c r="N241" s="93"/>
      <c r="O241" s="93"/>
      <c r="P241" s="92" t="str">
        <f t="shared" si="7"/>
        <v/>
      </c>
      <c r="Q241" s="94" t="str">
        <f>IF(Synthese_Programme!Q241="","",Synthese_Programme!Q241)</f>
        <v/>
      </c>
      <c r="R241" s="92"/>
      <c r="S241" s="93"/>
      <c r="T241" s="93"/>
    </row>
    <row r="242" spans="1:20" s="8" customFormat="1" ht="26" customHeight="1" x14ac:dyDescent="0.45">
      <c r="A242" s="92" t="str">
        <f>IF(Synthese_Programme!A242="","",Synthese_Programme!A242)</f>
        <v/>
      </c>
      <c r="B242" s="92" t="str">
        <f>IF(Synthese_Programme!B242="","",Synthese_Programme!B242)</f>
        <v/>
      </c>
      <c r="C242" s="92" t="str">
        <f>IF(OR(Synthese_Programme!M242="Réservé",Synthese_Programme!M242="Acté",Synthese_Programme!M242="réservé",Synthese_Programme!M242="acté"),Synthese_Programme!N242,"")</f>
        <v/>
      </c>
      <c r="D242" s="93"/>
      <c r="E242" s="93"/>
      <c r="F242" s="93"/>
      <c r="G242" s="93"/>
      <c r="H242" s="93"/>
      <c r="I242" s="98"/>
      <c r="J242" s="94" t="str">
        <f>IF(OR(Synthese_Programme!M242="Réservé",Synthese_Programme!M242="Acté",Synthese_Programme!M242="réservé",Synthese_Programme!M242="acté"),Synthese_Programme!P242,"")</f>
        <v/>
      </c>
      <c r="K242" s="94" t="str">
        <f t="shared" si="6"/>
        <v/>
      </c>
      <c r="L242" s="92"/>
      <c r="M242" s="93"/>
      <c r="N242" s="93"/>
      <c r="O242" s="93"/>
      <c r="P242" s="92" t="str">
        <f t="shared" si="7"/>
        <v/>
      </c>
      <c r="Q242" s="94" t="str">
        <f>IF(Synthese_Programme!Q242="","",Synthese_Programme!Q242)</f>
        <v/>
      </c>
      <c r="R242" s="92"/>
      <c r="S242" s="93"/>
      <c r="T242" s="93"/>
    </row>
    <row r="243" spans="1:20" s="8" customFormat="1" ht="26" customHeight="1" x14ac:dyDescent="0.45">
      <c r="A243" s="92" t="str">
        <f>IF(Synthese_Programme!A243="","",Synthese_Programme!A243)</f>
        <v/>
      </c>
      <c r="B243" s="92" t="str">
        <f>IF(Synthese_Programme!B243="","",Synthese_Programme!B243)</f>
        <v/>
      </c>
      <c r="C243" s="92" t="str">
        <f>IF(OR(Synthese_Programme!M243="Réservé",Synthese_Programme!M243="Acté",Synthese_Programme!M243="réservé",Synthese_Programme!M243="acté"),Synthese_Programme!N243,"")</f>
        <v/>
      </c>
      <c r="D243" s="93"/>
      <c r="E243" s="93"/>
      <c r="F243" s="93"/>
      <c r="G243" s="93"/>
      <c r="H243" s="93"/>
      <c r="I243" s="98"/>
      <c r="J243" s="94" t="str">
        <f>IF(OR(Synthese_Programme!M243="Réservé",Synthese_Programme!M243="Acté",Synthese_Programme!M243="réservé",Synthese_Programme!M243="acté"),Synthese_Programme!P243,"")</f>
        <v/>
      </c>
      <c r="K243" s="94" t="str">
        <f t="shared" si="6"/>
        <v/>
      </c>
      <c r="L243" s="92"/>
      <c r="M243" s="93"/>
      <c r="N243" s="93"/>
      <c r="O243" s="93"/>
      <c r="P243" s="92" t="str">
        <f t="shared" si="7"/>
        <v/>
      </c>
      <c r="Q243" s="94" t="str">
        <f>IF(Synthese_Programme!Q243="","",Synthese_Programme!Q243)</f>
        <v/>
      </c>
      <c r="R243" s="92"/>
      <c r="S243" s="93"/>
      <c r="T243" s="93"/>
    </row>
    <row r="244" spans="1:20" s="8" customFormat="1" ht="26" customHeight="1" x14ac:dyDescent="0.45">
      <c r="A244" s="92" t="str">
        <f>IF(Synthese_Programme!A244="","",Synthese_Programme!A244)</f>
        <v/>
      </c>
      <c r="B244" s="92" t="str">
        <f>IF(Synthese_Programme!B244="","",Synthese_Programme!B244)</f>
        <v/>
      </c>
      <c r="C244" s="92" t="str">
        <f>IF(OR(Synthese_Programme!M244="Réservé",Synthese_Programme!M244="Acté",Synthese_Programme!M244="réservé",Synthese_Programme!M244="acté"),Synthese_Programme!N244,"")</f>
        <v/>
      </c>
      <c r="D244" s="93"/>
      <c r="E244" s="93"/>
      <c r="F244" s="93"/>
      <c r="G244" s="93"/>
      <c r="H244" s="93"/>
      <c r="I244" s="98"/>
      <c r="J244" s="94" t="str">
        <f>IF(OR(Synthese_Programme!M244="Réservé",Synthese_Programme!M244="Acté",Synthese_Programme!M244="réservé",Synthese_Programme!M244="acté"),Synthese_Programme!P244,"")</f>
        <v/>
      </c>
      <c r="K244" s="94" t="str">
        <f t="shared" si="6"/>
        <v/>
      </c>
      <c r="L244" s="92"/>
      <c r="M244" s="93"/>
      <c r="N244" s="93"/>
      <c r="O244" s="93"/>
      <c r="P244" s="92" t="str">
        <f t="shared" si="7"/>
        <v/>
      </c>
      <c r="Q244" s="94" t="str">
        <f>IF(Synthese_Programme!Q244="","",Synthese_Programme!Q244)</f>
        <v/>
      </c>
      <c r="R244" s="92"/>
      <c r="S244" s="93"/>
      <c r="T244" s="93"/>
    </row>
    <row r="245" spans="1:20" s="8" customFormat="1" ht="26" customHeight="1" x14ac:dyDescent="0.45">
      <c r="A245" s="92" t="str">
        <f>IF(Synthese_Programme!A245="","",Synthese_Programme!A245)</f>
        <v/>
      </c>
      <c r="B245" s="92" t="str">
        <f>IF(Synthese_Programme!B245="","",Synthese_Programme!B245)</f>
        <v/>
      </c>
      <c r="C245" s="92" t="str">
        <f>IF(OR(Synthese_Programme!M245="Réservé",Synthese_Programme!M245="Acté",Synthese_Programme!M245="réservé",Synthese_Programme!M245="acté"),Synthese_Programme!N245,"")</f>
        <v/>
      </c>
      <c r="D245" s="93"/>
      <c r="E245" s="93"/>
      <c r="F245" s="93"/>
      <c r="G245" s="93"/>
      <c r="H245" s="93"/>
      <c r="I245" s="98"/>
      <c r="J245" s="94" t="str">
        <f>IF(OR(Synthese_Programme!M245="Réservé",Synthese_Programme!M245="Acté",Synthese_Programme!M245="réservé",Synthese_Programme!M245="acté"),Synthese_Programme!P245,"")</f>
        <v/>
      </c>
      <c r="K245" s="94" t="str">
        <f t="shared" si="6"/>
        <v/>
      </c>
      <c r="L245" s="92"/>
      <c r="M245" s="93"/>
      <c r="N245" s="93"/>
      <c r="O245" s="93"/>
      <c r="P245" s="92" t="str">
        <f t="shared" si="7"/>
        <v/>
      </c>
      <c r="Q245" s="94" t="str">
        <f>IF(Synthese_Programme!Q245="","",Synthese_Programme!Q245)</f>
        <v/>
      </c>
      <c r="R245" s="92"/>
      <c r="S245" s="93"/>
      <c r="T245" s="93"/>
    </row>
    <row r="246" spans="1:20" s="8" customFormat="1" ht="26" customHeight="1" x14ac:dyDescent="0.45">
      <c r="A246" s="92" t="str">
        <f>IF(Synthese_Programme!A246="","",Synthese_Programme!A246)</f>
        <v/>
      </c>
      <c r="B246" s="92" t="str">
        <f>IF(Synthese_Programme!B246="","",Synthese_Programme!B246)</f>
        <v/>
      </c>
      <c r="C246" s="92" t="str">
        <f>IF(OR(Synthese_Programme!M246="Réservé",Synthese_Programme!M246="Acté",Synthese_Programme!M246="réservé",Synthese_Programme!M246="acté"),Synthese_Programme!N246,"")</f>
        <v/>
      </c>
      <c r="D246" s="93"/>
      <c r="E246" s="93"/>
      <c r="F246" s="93"/>
      <c r="G246" s="93"/>
      <c r="H246" s="93"/>
      <c r="I246" s="98"/>
      <c r="J246" s="94" t="str">
        <f>IF(OR(Synthese_Programme!M246="Réservé",Synthese_Programme!M246="Acté",Synthese_Programme!M246="réservé",Synthese_Programme!M246="acté"),Synthese_Programme!P246,"")</f>
        <v/>
      </c>
      <c r="K246" s="94" t="str">
        <f t="shared" si="6"/>
        <v/>
      </c>
      <c r="L246" s="92"/>
      <c r="M246" s="93"/>
      <c r="N246" s="93"/>
      <c r="O246" s="93"/>
      <c r="P246" s="92" t="str">
        <f t="shared" si="7"/>
        <v/>
      </c>
      <c r="Q246" s="94" t="str">
        <f>IF(Synthese_Programme!Q246="","",Synthese_Programme!Q246)</f>
        <v/>
      </c>
      <c r="R246" s="92"/>
      <c r="S246" s="93"/>
      <c r="T246" s="93"/>
    </row>
    <row r="247" spans="1:20" s="8" customFormat="1" ht="26" customHeight="1" x14ac:dyDescent="0.45">
      <c r="A247" s="92" t="str">
        <f>IF(Synthese_Programme!A247="","",Synthese_Programme!A247)</f>
        <v/>
      </c>
      <c r="B247" s="92" t="str">
        <f>IF(Synthese_Programme!B247="","",Synthese_Programme!B247)</f>
        <v/>
      </c>
      <c r="C247" s="92" t="str">
        <f>IF(OR(Synthese_Programme!M247="Réservé",Synthese_Programme!M247="Acté",Synthese_Programme!M247="réservé",Synthese_Programme!M247="acté"),Synthese_Programme!N247,"")</f>
        <v/>
      </c>
      <c r="D247" s="93"/>
      <c r="E247" s="93"/>
      <c r="F247" s="93"/>
      <c r="G247" s="93"/>
      <c r="H247" s="93"/>
      <c r="I247" s="98"/>
      <c r="J247" s="94" t="str">
        <f>IF(OR(Synthese_Programme!M247="Réservé",Synthese_Programme!M247="Acté",Synthese_Programme!M247="réservé",Synthese_Programme!M247="acté"),Synthese_Programme!P247,"")</f>
        <v/>
      </c>
      <c r="K247" s="94" t="str">
        <f t="shared" si="6"/>
        <v/>
      </c>
      <c r="L247" s="92"/>
      <c r="M247" s="93"/>
      <c r="N247" s="93"/>
      <c r="O247" s="93"/>
      <c r="P247" s="92" t="str">
        <f t="shared" si="7"/>
        <v/>
      </c>
      <c r="Q247" s="94" t="str">
        <f>IF(Synthese_Programme!Q247="","",Synthese_Programme!Q247)</f>
        <v/>
      </c>
      <c r="R247" s="92"/>
      <c r="S247" s="93"/>
      <c r="T247" s="93"/>
    </row>
    <row r="248" spans="1:20" s="8" customFormat="1" ht="26" customHeight="1" x14ac:dyDescent="0.45">
      <c r="A248" s="92" t="str">
        <f>IF(Synthese_Programme!A248="","",Synthese_Programme!A248)</f>
        <v/>
      </c>
      <c r="B248" s="92" t="str">
        <f>IF(Synthese_Programme!B248="","",Synthese_Programme!B248)</f>
        <v/>
      </c>
      <c r="C248" s="92" t="str">
        <f>IF(OR(Synthese_Programme!M248="Réservé",Synthese_Programme!M248="Acté",Synthese_Programme!M248="réservé",Synthese_Programme!M248="acté"),Synthese_Programme!N248,"")</f>
        <v/>
      </c>
      <c r="D248" s="93"/>
      <c r="E248" s="93"/>
      <c r="F248" s="93"/>
      <c r="G248" s="93"/>
      <c r="H248" s="93"/>
      <c r="I248" s="98"/>
      <c r="J248" s="94" t="str">
        <f>IF(OR(Synthese_Programme!M248="Réservé",Synthese_Programme!M248="Acté",Synthese_Programme!M248="réservé",Synthese_Programme!M248="acté"),Synthese_Programme!P248,"")</f>
        <v/>
      </c>
      <c r="K248" s="94" t="str">
        <f t="shared" si="6"/>
        <v/>
      </c>
      <c r="L248" s="92"/>
      <c r="M248" s="93"/>
      <c r="N248" s="93"/>
      <c r="O248" s="93"/>
      <c r="P248" s="92" t="str">
        <f t="shared" si="7"/>
        <v/>
      </c>
      <c r="Q248" s="94" t="str">
        <f>IF(Synthese_Programme!Q248="","",Synthese_Programme!Q248)</f>
        <v/>
      </c>
      <c r="R248" s="92"/>
      <c r="S248" s="93"/>
      <c r="T248" s="93"/>
    </row>
    <row r="249" spans="1:20" s="8" customFormat="1" ht="26" customHeight="1" x14ac:dyDescent="0.45">
      <c r="A249" s="92" t="str">
        <f>IF(Synthese_Programme!A249="","",Synthese_Programme!A249)</f>
        <v/>
      </c>
      <c r="B249" s="92" t="str">
        <f>IF(Synthese_Programme!B249="","",Synthese_Programme!B249)</f>
        <v/>
      </c>
      <c r="C249" s="92" t="str">
        <f>IF(OR(Synthese_Programme!M249="Réservé",Synthese_Programme!M249="Acté",Synthese_Programme!M249="réservé",Synthese_Programme!M249="acté"),Synthese_Programme!N249,"")</f>
        <v/>
      </c>
      <c r="D249" s="93"/>
      <c r="E249" s="93"/>
      <c r="F249" s="93"/>
      <c r="G249" s="93"/>
      <c r="H249" s="93"/>
      <c r="I249" s="98"/>
      <c r="J249" s="94" t="str">
        <f>IF(OR(Synthese_Programme!M249="Réservé",Synthese_Programme!M249="Acté",Synthese_Programme!M249="réservé",Synthese_Programme!M249="acté"),Synthese_Programme!P249,"")</f>
        <v/>
      </c>
      <c r="K249" s="94" t="str">
        <f t="shared" si="6"/>
        <v/>
      </c>
      <c r="L249" s="92"/>
      <c r="M249" s="93"/>
      <c r="N249" s="93"/>
      <c r="O249" s="93"/>
      <c r="P249" s="92" t="str">
        <f t="shared" si="7"/>
        <v/>
      </c>
      <c r="Q249" s="94" t="str">
        <f>IF(Synthese_Programme!Q249="","",Synthese_Programme!Q249)</f>
        <v/>
      </c>
      <c r="R249" s="92"/>
      <c r="S249" s="93"/>
      <c r="T249" s="93"/>
    </row>
    <row r="250" spans="1:20" s="8" customFormat="1" ht="26" customHeight="1" x14ac:dyDescent="0.45">
      <c r="A250" s="92" t="str">
        <f>IF(Synthese_Programme!A250="","",Synthese_Programme!A250)</f>
        <v/>
      </c>
      <c r="B250" s="92" t="str">
        <f>IF(Synthese_Programme!B250="","",Synthese_Programme!B250)</f>
        <v/>
      </c>
      <c r="C250" s="92" t="str">
        <f>IF(OR(Synthese_Programme!M250="Réservé",Synthese_Programme!M250="Acté",Synthese_Programme!M250="réservé",Synthese_Programme!M250="acté"),Synthese_Programme!N250,"")</f>
        <v/>
      </c>
      <c r="D250" s="93"/>
      <c r="E250" s="93"/>
      <c r="F250" s="93"/>
      <c r="G250" s="93"/>
      <c r="H250" s="93"/>
      <c r="I250" s="98"/>
      <c r="J250" s="94" t="str">
        <f>IF(OR(Synthese_Programme!M250="Réservé",Synthese_Programme!M250="Acté",Synthese_Programme!M250="réservé",Synthese_Programme!M250="acté"),Synthese_Programme!P250,"")</f>
        <v/>
      </c>
      <c r="K250" s="94" t="str">
        <f t="shared" si="6"/>
        <v/>
      </c>
      <c r="L250" s="92"/>
      <c r="M250" s="93"/>
      <c r="N250" s="93"/>
      <c r="O250" s="93"/>
      <c r="P250" s="92" t="str">
        <f t="shared" si="7"/>
        <v/>
      </c>
      <c r="Q250" s="94" t="str">
        <f>IF(Synthese_Programme!Q250="","",Synthese_Programme!Q250)</f>
        <v/>
      </c>
      <c r="R250" s="92"/>
      <c r="S250" s="93"/>
      <c r="T250" s="93"/>
    </row>
    <row r="251" spans="1:20" s="8" customFormat="1" ht="26" customHeight="1" x14ac:dyDescent="0.45">
      <c r="A251" s="92" t="str">
        <f>IF(Synthese_Programme!A251="","",Synthese_Programme!A251)</f>
        <v/>
      </c>
      <c r="B251" s="92" t="str">
        <f>IF(Synthese_Programme!B251="","",Synthese_Programme!B251)</f>
        <v/>
      </c>
      <c r="C251" s="92" t="str">
        <f>IF(OR(Synthese_Programme!M251="Réservé",Synthese_Programme!M251="Acté",Synthese_Programme!M251="réservé",Synthese_Programme!M251="acté"),Synthese_Programme!N251,"")</f>
        <v/>
      </c>
      <c r="D251" s="93"/>
      <c r="E251" s="93"/>
      <c r="F251" s="93"/>
      <c r="G251" s="93"/>
      <c r="H251" s="93"/>
      <c r="I251" s="98"/>
      <c r="J251" s="94" t="str">
        <f>IF(OR(Synthese_Programme!M251="Réservé",Synthese_Programme!M251="Acté",Synthese_Programme!M251="réservé",Synthese_Programme!M251="acté"),Synthese_Programme!P251,"")</f>
        <v/>
      </c>
      <c r="K251" s="94" t="str">
        <f t="shared" si="6"/>
        <v/>
      </c>
      <c r="L251" s="92"/>
      <c r="M251" s="93"/>
      <c r="N251" s="93"/>
      <c r="O251" s="93"/>
      <c r="P251" s="92" t="str">
        <f t="shared" si="7"/>
        <v/>
      </c>
      <c r="Q251" s="94" t="str">
        <f>IF(Synthese_Programme!Q251="","",Synthese_Programme!Q251)</f>
        <v/>
      </c>
      <c r="R251" s="92"/>
      <c r="S251" s="93"/>
      <c r="T251" s="93"/>
    </row>
    <row r="252" spans="1:20" s="8" customFormat="1" ht="26" customHeight="1" x14ac:dyDescent="0.45">
      <c r="A252" s="92" t="str">
        <f>IF(Synthese_Programme!A252="","",Synthese_Programme!A252)</f>
        <v/>
      </c>
      <c r="B252" s="92" t="str">
        <f>IF(Synthese_Programme!B252="","",Synthese_Programme!B252)</f>
        <v/>
      </c>
      <c r="C252" s="92" t="str">
        <f>IF(OR(Synthese_Programme!M252="Réservé",Synthese_Programme!M252="Acté",Synthese_Programme!M252="réservé",Synthese_Programme!M252="acté"),Synthese_Programme!N252,"")</f>
        <v/>
      </c>
      <c r="D252" s="93"/>
      <c r="E252" s="93"/>
      <c r="F252" s="93"/>
      <c r="G252" s="93"/>
      <c r="H252" s="93"/>
      <c r="I252" s="98"/>
      <c r="J252" s="94" t="str">
        <f>IF(OR(Synthese_Programme!M252="Réservé",Synthese_Programme!M252="Acté",Synthese_Programme!M252="réservé",Synthese_Programme!M252="acté"),Synthese_Programme!P252,"")</f>
        <v/>
      </c>
      <c r="K252" s="94" t="str">
        <f t="shared" si="6"/>
        <v/>
      </c>
      <c r="L252" s="92"/>
      <c r="M252" s="93"/>
      <c r="N252" s="93"/>
      <c r="O252" s="93"/>
      <c r="P252" s="92" t="str">
        <f t="shared" si="7"/>
        <v/>
      </c>
      <c r="Q252" s="94" t="str">
        <f>IF(Synthese_Programme!Q252="","",Synthese_Programme!Q252)</f>
        <v/>
      </c>
      <c r="R252" s="92"/>
      <c r="S252" s="93"/>
      <c r="T252" s="93"/>
    </row>
    <row r="253" spans="1:20" s="8" customFormat="1" ht="26" customHeight="1" x14ac:dyDescent="0.45">
      <c r="A253" s="92" t="str">
        <f>IF(Synthese_Programme!A253="","",Synthese_Programme!A253)</f>
        <v/>
      </c>
      <c r="B253" s="92" t="str">
        <f>IF(Synthese_Programme!B253="","",Synthese_Programme!B253)</f>
        <v/>
      </c>
      <c r="C253" s="92" t="str">
        <f>IF(OR(Synthese_Programme!M253="Réservé",Synthese_Programme!M253="Acté",Synthese_Programme!M253="réservé",Synthese_Programme!M253="acté"),Synthese_Programme!N253,"")</f>
        <v/>
      </c>
      <c r="D253" s="93"/>
      <c r="E253" s="93"/>
      <c r="F253" s="93"/>
      <c r="G253" s="93"/>
      <c r="H253" s="93"/>
      <c r="I253" s="98"/>
      <c r="J253" s="94" t="str">
        <f>IF(OR(Synthese_Programme!M253="Réservé",Synthese_Programme!M253="Acté",Synthese_Programme!M253="réservé",Synthese_Programme!M253="acté"),Synthese_Programme!P253,"")</f>
        <v/>
      </c>
      <c r="K253" s="94" t="str">
        <f t="shared" si="6"/>
        <v/>
      </c>
      <c r="L253" s="92"/>
      <c r="M253" s="93"/>
      <c r="N253" s="93"/>
      <c r="O253" s="93"/>
      <c r="P253" s="92" t="str">
        <f t="shared" si="7"/>
        <v/>
      </c>
      <c r="Q253" s="94" t="str">
        <f>IF(Synthese_Programme!Q253="","",Synthese_Programme!Q253)</f>
        <v/>
      </c>
      <c r="R253" s="92"/>
      <c r="S253" s="93"/>
      <c r="T253" s="93"/>
    </row>
    <row r="254" spans="1:20" s="8" customFormat="1" ht="26" customHeight="1" x14ac:dyDescent="0.45">
      <c r="A254" s="92" t="str">
        <f>IF(Synthese_Programme!A254="","",Synthese_Programme!A254)</f>
        <v/>
      </c>
      <c r="B254" s="92" t="str">
        <f>IF(Synthese_Programme!B254="","",Synthese_Programme!B254)</f>
        <v/>
      </c>
      <c r="C254" s="92" t="str">
        <f>IF(OR(Synthese_Programme!M254="Réservé",Synthese_Programme!M254="Acté",Synthese_Programme!M254="réservé",Synthese_Programme!M254="acté"),Synthese_Programme!N254,"")</f>
        <v/>
      </c>
      <c r="D254" s="93"/>
      <c r="E254" s="93"/>
      <c r="F254" s="93"/>
      <c r="G254" s="93"/>
      <c r="H254" s="93"/>
      <c r="I254" s="98"/>
      <c r="J254" s="94" t="str">
        <f>IF(OR(Synthese_Programme!M254="Réservé",Synthese_Programme!M254="Acté",Synthese_Programme!M254="réservé",Synthese_Programme!M254="acté"),Synthese_Programme!P254,"")</f>
        <v/>
      </c>
      <c r="K254" s="94" t="str">
        <f t="shared" si="6"/>
        <v/>
      </c>
      <c r="L254" s="92"/>
      <c r="M254" s="93"/>
      <c r="N254" s="93"/>
      <c r="O254" s="93"/>
      <c r="P254" s="92" t="str">
        <f t="shared" si="7"/>
        <v/>
      </c>
      <c r="Q254" s="94" t="str">
        <f>IF(Synthese_Programme!Q254="","",Synthese_Programme!Q254)</f>
        <v/>
      </c>
      <c r="R254" s="92"/>
      <c r="S254" s="93"/>
      <c r="T254" s="93"/>
    </row>
    <row r="255" spans="1:20" s="8" customFormat="1" ht="26" customHeight="1" x14ac:dyDescent="0.45">
      <c r="A255" s="92" t="str">
        <f>IF(Synthese_Programme!A255="","",Synthese_Programme!A255)</f>
        <v/>
      </c>
      <c r="B255" s="92" t="str">
        <f>IF(Synthese_Programme!B255="","",Synthese_Programme!B255)</f>
        <v/>
      </c>
      <c r="C255" s="92" t="str">
        <f>IF(OR(Synthese_Programme!M255="Réservé",Synthese_Programme!M255="Acté",Synthese_Programme!M255="réservé",Synthese_Programme!M255="acté"),Synthese_Programme!N255,"")</f>
        <v/>
      </c>
      <c r="D255" s="93"/>
      <c r="E255" s="93"/>
      <c r="F255" s="93"/>
      <c r="G255" s="93"/>
      <c r="H255" s="93"/>
      <c r="I255" s="98"/>
      <c r="J255" s="94" t="str">
        <f>IF(OR(Synthese_Programme!M255="Réservé",Synthese_Programme!M255="Acté",Synthese_Programme!M255="réservé",Synthese_Programme!M255="acté"),Synthese_Programme!P255,"")</f>
        <v/>
      </c>
      <c r="K255" s="94" t="str">
        <f t="shared" si="6"/>
        <v/>
      </c>
      <c r="L255" s="92"/>
      <c r="M255" s="93"/>
      <c r="N255" s="93"/>
      <c r="O255" s="93"/>
      <c r="P255" s="92" t="str">
        <f t="shared" si="7"/>
        <v/>
      </c>
      <c r="Q255" s="94" t="str">
        <f>IF(Synthese_Programme!Q255="","",Synthese_Programme!Q255)</f>
        <v/>
      </c>
      <c r="R255" s="92"/>
      <c r="S255" s="93"/>
      <c r="T255" s="93"/>
    </row>
    <row r="256" spans="1:20" s="8" customFormat="1" ht="26" customHeight="1" x14ac:dyDescent="0.45">
      <c r="A256" s="92" t="str">
        <f>IF(Synthese_Programme!A256="","",Synthese_Programme!A256)</f>
        <v/>
      </c>
      <c r="B256" s="92" t="str">
        <f>IF(Synthese_Programme!B256="","",Synthese_Programme!B256)</f>
        <v/>
      </c>
      <c r="C256" s="92" t="str">
        <f>IF(OR(Synthese_Programme!M256="Réservé",Synthese_Programme!M256="Acté",Synthese_Programme!M256="réservé",Synthese_Programme!M256="acté"),Synthese_Programme!N256,"")</f>
        <v/>
      </c>
      <c r="D256" s="93"/>
      <c r="E256" s="93"/>
      <c r="F256" s="93"/>
      <c r="G256" s="93"/>
      <c r="H256" s="93"/>
      <c r="I256" s="98"/>
      <c r="J256" s="94" t="str">
        <f>IF(OR(Synthese_Programme!M256="Réservé",Synthese_Programme!M256="Acté",Synthese_Programme!M256="réservé",Synthese_Programme!M256="acté"),Synthese_Programme!P256,"")</f>
        <v/>
      </c>
      <c r="K256" s="94" t="str">
        <f t="shared" si="6"/>
        <v/>
      </c>
      <c r="L256" s="92"/>
      <c r="M256" s="93"/>
      <c r="N256" s="93"/>
      <c r="O256" s="93"/>
      <c r="P256" s="92" t="str">
        <f t="shared" si="7"/>
        <v/>
      </c>
      <c r="Q256" s="94" t="str">
        <f>IF(Synthese_Programme!Q256="","",Synthese_Programme!Q256)</f>
        <v/>
      </c>
      <c r="R256" s="92"/>
      <c r="S256" s="93"/>
      <c r="T256" s="93"/>
    </row>
    <row r="257" spans="1:20" s="8" customFormat="1" ht="26" customHeight="1" x14ac:dyDescent="0.45">
      <c r="A257" s="92" t="str">
        <f>IF(Synthese_Programme!A257="","",Synthese_Programme!A257)</f>
        <v/>
      </c>
      <c r="B257" s="92" t="str">
        <f>IF(Synthese_Programme!B257="","",Synthese_Programme!B257)</f>
        <v/>
      </c>
      <c r="C257" s="92" t="str">
        <f>IF(OR(Synthese_Programme!M257="Réservé",Synthese_Programme!M257="Acté",Synthese_Programme!M257="réservé",Synthese_Programme!M257="acté"),Synthese_Programme!N257,"")</f>
        <v/>
      </c>
      <c r="D257" s="93"/>
      <c r="E257" s="93"/>
      <c r="F257" s="93"/>
      <c r="G257" s="93"/>
      <c r="H257" s="93"/>
      <c r="I257" s="98"/>
      <c r="J257" s="94" t="str">
        <f>IF(OR(Synthese_Programme!M257="Réservé",Synthese_Programme!M257="Acté",Synthese_Programme!M257="réservé",Synthese_Programme!M257="acté"),Synthese_Programme!P257,"")</f>
        <v/>
      </c>
      <c r="K257" s="94" t="str">
        <f t="shared" si="6"/>
        <v/>
      </c>
      <c r="L257" s="92"/>
      <c r="M257" s="93"/>
      <c r="N257" s="93"/>
      <c r="O257" s="93"/>
      <c r="P257" s="92" t="str">
        <f t="shared" si="7"/>
        <v/>
      </c>
      <c r="Q257" s="94" t="str">
        <f>IF(Synthese_Programme!Q257="","",Synthese_Programme!Q257)</f>
        <v/>
      </c>
      <c r="R257" s="92"/>
      <c r="S257" s="93"/>
      <c r="T257" s="93"/>
    </row>
    <row r="258" spans="1:20" s="8" customFormat="1" ht="26" customHeight="1" x14ac:dyDescent="0.45">
      <c r="A258" s="92" t="str">
        <f>IF(Synthese_Programme!A258="","",Synthese_Programme!A258)</f>
        <v/>
      </c>
      <c r="B258" s="92" t="str">
        <f>IF(Synthese_Programme!B258="","",Synthese_Programme!B258)</f>
        <v/>
      </c>
      <c r="C258" s="92" t="str">
        <f>IF(OR(Synthese_Programme!M258="Réservé",Synthese_Programme!M258="Acté",Synthese_Programme!M258="réservé",Synthese_Programme!M258="acté"),Synthese_Programme!N258,"")</f>
        <v/>
      </c>
      <c r="D258" s="93"/>
      <c r="E258" s="93"/>
      <c r="F258" s="93"/>
      <c r="G258" s="93"/>
      <c r="H258" s="93"/>
      <c r="I258" s="98"/>
      <c r="J258" s="94" t="str">
        <f>IF(OR(Synthese_Programme!M258="Réservé",Synthese_Programme!M258="Acté",Synthese_Programme!M258="réservé",Synthese_Programme!M258="acté"),Synthese_Programme!P258,"")</f>
        <v/>
      </c>
      <c r="K258" s="94" t="str">
        <f t="shared" si="6"/>
        <v/>
      </c>
      <c r="L258" s="92"/>
      <c r="M258" s="93"/>
      <c r="N258" s="93"/>
      <c r="O258" s="93"/>
      <c r="P258" s="92" t="str">
        <f t="shared" si="7"/>
        <v/>
      </c>
      <c r="Q258" s="94" t="str">
        <f>IF(Synthese_Programme!Q258="","",Synthese_Programme!Q258)</f>
        <v/>
      </c>
      <c r="R258" s="92"/>
      <c r="S258" s="93"/>
      <c r="T258" s="93"/>
    </row>
    <row r="259" spans="1:20" s="8" customFormat="1" ht="26" customHeight="1" x14ac:dyDescent="0.45">
      <c r="A259" s="92" t="str">
        <f>IF(Synthese_Programme!A259="","",Synthese_Programme!A259)</f>
        <v/>
      </c>
      <c r="B259" s="92" t="str">
        <f>IF(Synthese_Programme!B259="","",Synthese_Programme!B259)</f>
        <v/>
      </c>
      <c r="C259" s="92" t="str">
        <f>IF(OR(Synthese_Programme!M259="Réservé",Synthese_Programme!M259="Acté",Synthese_Programme!M259="réservé",Synthese_Programme!M259="acté"),Synthese_Programme!N259,"")</f>
        <v/>
      </c>
      <c r="D259" s="93"/>
      <c r="E259" s="93"/>
      <c r="F259" s="93"/>
      <c r="G259" s="93"/>
      <c r="H259" s="93"/>
      <c r="I259" s="98"/>
      <c r="J259" s="94" t="str">
        <f>IF(OR(Synthese_Programme!M259="Réservé",Synthese_Programme!M259="Acté",Synthese_Programme!M259="réservé",Synthese_Programme!M259="acté"),Synthese_Programme!P259,"")</f>
        <v/>
      </c>
      <c r="K259" s="94" t="str">
        <f t="shared" si="6"/>
        <v/>
      </c>
      <c r="L259" s="92"/>
      <c r="M259" s="93"/>
      <c r="N259" s="93"/>
      <c r="O259" s="93"/>
      <c r="P259" s="92" t="str">
        <f t="shared" si="7"/>
        <v/>
      </c>
      <c r="Q259" s="94" t="str">
        <f>IF(Synthese_Programme!Q259="","",Synthese_Programme!Q259)</f>
        <v/>
      </c>
      <c r="R259" s="92"/>
      <c r="S259" s="93"/>
      <c r="T259" s="93"/>
    </row>
    <row r="260" spans="1:20" s="8" customFormat="1" ht="26" customHeight="1" x14ac:dyDescent="0.45">
      <c r="A260" s="92" t="str">
        <f>IF(Synthese_Programme!A260="","",Synthese_Programme!A260)</f>
        <v/>
      </c>
      <c r="B260" s="92" t="str">
        <f>IF(Synthese_Programme!B260="","",Synthese_Programme!B260)</f>
        <v/>
      </c>
      <c r="C260" s="92" t="str">
        <f>IF(OR(Synthese_Programme!M260="Réservé",Synthese_Programme!M260="Acté",Synthese_Programme!M260="réservé",Synthese_Programme!M260="acté"),Synthese_Programme!N260,"")</f>
        <v/>
      </c>
      <c r="D260" s="93"/>
      <c r="E260" s="93"/>
      <c r="F260" s="93"/>
      <c r="G260" s="93"/>
      <c r="H260" s="93"/>
      <c r="I260" s="98"/>
      <c r="J260" s="94" t="str">
        <f>IF(OR(Synthese_Programme!M260="Réservé",Synthese_Programme!M260="Acté",Synthese_Programme!M260="réservé",Synthese_Programme!M260="acté"),Synthese_Programme!P260,"")</f>
        <v/>
      </c>
      <c r="K260" s="94" t="str">
        <f t="shared" si="6"/>
        <v/>
      </c>
      <c r="L260" s="92"/>
      <c r="M260" s="93"/>
      <c r="N260" s="93"/>
      <c r="O260" s="93"/>
      <c r="P260" s="92" t="str">
        <f t="shared" si="7"/>
        <v/>
      </c>
      <c r="Q260" s="94" t="str">
        <f>IF(Synthese_Programme!Q260="","",Synthese_Programme!Q260)</f>
        <v/>
      </c>
      <c r="R260" s="92"/>
      <c r="S260" s="93"/>
      <c r="T260" s="93"/>
    </row>
    <row r="261" spans="1:20" s="8" customFormat="1" ht="26" customHeight="1" x14ac:dyDescent="0.45">
      <c r="A261" s="92" t="str">
        <f>IF(Synthese_Programme!A261="","",Synthese_Programme!A261)</f>
        <v/>
      </c>
      <c r="B261" s="92" t="str">
        <f>IF(Synthese_Programme!B261="","",Synthese_Programme!B261)</f>
        <v/>
      </c>
      <c r="C261" s="92" t="str">
        <f>IF(OR(Synthese_Programme!M261="Réservé",Synthese_Programme!M261="Acté",Synthese_Programme!M261="réservé",Synthese_Programme!M261="acté"),Synthese_Programme!N261,"")</f>
        <v/>
      </c>
      <c r="D261" s="93"/>
      <c r="E261" s="93"/>
      <c r="F261" s="93"/>
      <c r="G261" s="93"/>
      <c r="H261" s="93"/>
      <c r="I261" s="98"/>
      <c r="J261" s="94" t="str">
        <f>IF(OR(Synthese_Programme!M261="Réservé",Synthese_Programme!M261="Acté",Synthese_Programme!M261="réservé",Synthese_Programme!M261="acté"),Synthese_Programme!P261,"")</f>
        <v/>
      </c>
      <c r="K261" s="94" t="str">
        <f t="shared" ref="K261:K293" si="8">IF(J261="","",J261+45)</f>
        <v/>
      </c>
      <c r="L261" s="92"/>
      <c r="M261" s="93"/>
      <c r="N261" s="93"/>
      <c r="O261" s="93"/>
      <c r="P261" s="92" t="str">
        <f t="shared" ref="P261:P293" si="9">IF(J261="","",EDATE(J261,3))</f>
        <v/>
      </c>
      <c r="Q261" s="94" t="str">
        <f>IF(Synthese_Programme!Q261="","",Synthese_Programme!Q261)</f>
        <v/>
      </c>
      <c r="R261" s="92"/>
      <c r="S261" s="93"/>
      <c r="T261" s="93"/>
    </row>
    <row r="262" spans="1:20" s="8" customFormat="1" ht="26" customHeight="1" x14ac:dyDescent="0.45">
      <c r="A262" s="92" t="str">
        <f>IF(Synthese_Programme!A262="","",Synthese_Programme!A262)</f>
        <v/>
      </c>
      <c r="B262" s="92" t="str">
        <f>IF(Synthese_Programme!B262="","",Synthese_Programme!B262)</f>
        <v/>
      </c>
      <c r="C262" s="92" t="str">
        <f>IF(OR(Synthese_Programme!M262="Réservé",Synthese_Programme!M262="Acté",Synthese_Programme!M262="réservé",Synthese_Programme!M262="acté"),Synthese_Programme!N262,"")</f>
        <v/>
      </c>
      <c r="D262" s="93"/>
      <c r="E262" s="93"/>
      <c r="F262" s="93"/>
      <c r="G262" s="93"/>
      <c r="H262" s="93"/>
      <c r="I262" s="98"/>
      <c r="J262" s="94" t="str">
        <f>IF(OR(Synthese_Programme!M262="Réservé",Synthese_Programme!M262="Acté",Synthese_Programme!M262="réservé",Synthese_Programme!M262="acté"),Synthese_Programme!P262,"")</f>
        <v/>
      </c>
      <c r="K262" s="94" t="str">
        <f t="shared" si="8"/>
        <v/>
      </c>
      <c r="L262" s="92"/>
      <c r="M262" s="93"/>
      <c r="N262" s="93"/>
      <c r="O262" s="93"/>
      <c r="P262" s="92" t="str">
        <f t="shared" si="9"/>
        <v/>
      </c>
      <c r="Q262" s="94" t="str">
        <f>IF(Synthese_Programme!Q262="","",Synthese_Programme!Q262)</f>
        <v/>
      </c>
      <c r="R262" s="92"/>
      <c r="S262" s="93"/>
      <c r="T262" s="93"/>
    </row>
    <row r="263" spans="1:20" s="8" customFormat="1" ht="26" customHeight="1" x14ac:dyDescent="0.45">
      <c r="A263" s="92" t="str">
        <f>IF(Synthese_Programme!A263="","",Synthese_Programme!A263)</f>
        <v/>
      </c>
      <c r="B263" s="92" t="str">
        <f>IF(Synthese_Programme!B263="","",Synthese_Programme!B263)</f>
        <v/>
      </c>
      <c r="C263" s="92" t="str">
        <f>IF(OR(Synthese_Programme!M263="Réservé",Synthese_Programme!M263="Acté",Synthese_Programme!M263="réservé",Synthese_Programme!M263="acté"),Synthese_Programme!N263,"")</f>
        <v/>
      </c>
      <c r="D263" s="93"/>
      <c r="E263" s="93"/>
      <c r="F263" s="93"/>
      <c r="G263" s="93"/>
      <c r="H263" s="93"/>
      <c r="I263" s="98"/>
      <c r="J263" s="94" t="str">
        <f>IF(OR(Synthese_Programme!M263="Réservé",Synthese_Programme!M263="Acté",Synthese_Programme!M263="réservé",Synthese_Programme!M263="acté"),Synthese_Programme!P263,"")</f>
        <v/>
      </c>
      <c r="K263" s="94" t="str">
        <f t="shared" si="8"/>
        <v/>
      </c>
      <c r="L263" s="92"/>
      <c r="M263" s="93"/>
      <c r="N263" s="93"/>
      <c r="O263" s="93"/>
      <c r="P263" s="92" t="str">
        <f t="shared" si="9"/>
        <v/>
      </c>
      <c r="Q263" s="94" t="str">
        <f>IF(Synthese_Programme!Q263="","",Synthese_Programme!Q263)</f>
        <v/>
      </c>
      <c r="R263" s="92"/>
      <c r="S263" s="93"/>
      <c r="T263" s="93"/>
    </row>
    <row r="264" spans="1:20" s="8" customFormat="1" ht="26" customHeight="1" x14ac:dyDescent="0.45">
      <c r="A264" s="92" t="str">
        <f>IF(Synthese_Programme!A264="","",Synthese_Programme!A264)</f>
        <v/>
      </c>
      <c r="B264" s="92" t="str">
        <f>IF(Synthese_Programme!B264="","",Synthese_Programme!B264)</f>
        <v/>
      </c>
      <c r="C264" s="92" t="str">
        <f>IF(OR(Synthese_Programme!M264="Réservé",Synthese_Programme!M264="Acté",Synthese_Programme!M264="réservé",Synthese_Programme!M264="acté"),Synthese_Programme!N264,"")</f>
        <v/>
      </c>
      <c r="D264" s="93"/>
      <c r="E264" s="93"/>
      <c r="F264" s="93"/>
      <c r="G264" s="93"/>
      <c r="H264" s="93"/>
      <c r="I264" s="98"/>
      <c r="J264" s="94" t="str">
        <f>IF(OR(Synthese_Programme!M264="Réservé",Synthese_Programme!M264="Acté",Synthese_Programme!M264="réservé",Synthese_Programme!M264="acté"),Synthese_Programme!P264,"")</f>
        <v/>
      </c>
      <c r="K264" s="94" t="str">
        <f t="shared" si="8"/>
        <v/>
      </c>
      <c r="L264" s="92"/>
      <c r="M264" s="93"/>
      <c r="N264" s="93"/>
      <c r="O264" s="93"/>
      <c r="P264" s="92" t="str">
        <f t="shared" si="9"/>
        <v/>
      </c>
      <c r="Q264" s="94" t="str">
        <f>IF(Synthese_Programme!Q264="","",Synthese_Programme!Q264)</f>
        <v/>
      </c>
      <c r="R264" s="92"/>
      <c r="S264" s="93"/>
      <c r="T264" s="93"/>
    </row>
    <row r="265" spans="1:20" s="8" customFormat="1" ht="26" customHeight="1" x14ac:dyDescent="0.45">
      <c r="A265" s="92" t="str">
        <f>IF(Synthese_Programme!A265="","",Synthese_Programme!A265)</f>
        <v/>
      </c>
      <c r="B265" s="92" t="str">
        <f>IF(Synthese_Programme!B265="","",Synthese_Programme!B265)</f>
        <v/>
      </c>
      <c r="C265" s="92" t="str">
        <f>IF(OR(Synthese_Programme!M265="Réservé",Synthese_Programme!M265="Acté",Synthese_Programme!M265="réservé",Synthese_Programme!M265="acté"),Synthese_Programme!N265,"")</f>
        <v/>
      </c>
      <c r="D265" s="93"/>
      <c r="E265" s="93"/>
      <c r="F265" s="93"/>
      <c r="G265" s="93"/>
      <c r="H265" s="93"/>
      <c r="I265" s="98"/>
      <c r="J265" s="94" t="str">
        <f>IF(OR(Synthese_Programme!M265="Réservé",Synthese_Programme!M265="Acté",Synthese_Programme!M265="réservé",Synthese_Programme!M265="acté"),Synthese_Programme!P265,"")</f>
        <v/>
      </c>
      <c r="K265" s="94" t="str">
        <f t="shared" si="8"/>
        <v/>
      </c>
      <c r="L265" s="92"/>
      <c r="M265" s="93"/>
      <c r="N265" s="93"/>
      <c r="O265" s="93"/>
      <c r="P265" s="92" t="str">
        <f t="shared" si="9"/>
        <v/>
      </c>
      <c r="Q265" s="94" t="str">
        <f>IF(Synthese_Programme!Q265="","",Synthese_Programme!Q265)</f>
        <v/>
      </c>
      <c r="R265" s="92"/>
      <c r="S265" s="93"/>
      <c r="T265" s="93"/>
    </row>
    <row r="266" spans="1:20" s="8" customFormat="1" ht="26" customHeight="1" x14ac:dyDescent="0.45">
      <c r="A266" s="92" t="str">
        <f>IF(Synthese_Programme!A266="","",Synthese_Programme!A266)</f>
        <v/>
      </c>
      <c r="B266" s="92" t="str">
        <f>IF(Synthese_Programme!B266="","",Synthese_Programme!B266)</f>
        <v/>
      </c>
      <c r="C266" s="92" t="str">
        <f>IF(OR(Synthese_Programme!M266="Réservé",Synthese_Programme!M266="Acté",Synthese_Programme!M266="réservé",Synthese_Programme!M266="acté"),Synthese_Programme!N266,"")</f>
        <v/>
      </c>
      <c r="D266" s="93"/>
      <c r="E266" s="93"/>
      <c r="F266" s="93"/>
      <c r="G266" s="93"/>
      <c r="H266" s="93"/>
      <c r="I266" s="98"/>
      <c r="J266" s="94" t="str">
        <f>IF(OR(Synthese_Programme!M266="Réservé",Synthese_Programme!M266="Acté",Synthese_Programme!M266="réservé",Synthese_Programme!M266="acté"),Synthese_Programme!P266,"")</f>
        <v/>
      </c>
      <c r="K266" s="94" t="str">
        <f t="shared" si="8"/>
        <v/>
      </c>
      <c r="L266" s="92"/>
      <c r="M266" s="93"/>
      <c r="N266" s="93"/>
      <c r="O266" s="93"/>
      <c r="P266" s="92" t="str">
        <f t="shared" si="9"/>
        <v/>
      </c>
      <c r="Q266" s="94" t="str">
        <f>IF(Synthese_Programme!Q266="","",Synthese_Programme!Q266)</f>
        <v/>
      </c>
      <c r="R266" s="92"/>
      <c r="S266" s="93"/>
      <c r="T266" s="93"/>
    </row>
    <row r="267" spans="1:20" s="8" customFormat="1" ht="26" customHeight="1" x14ac:dyDescent="0.45">
      <c r="A267" s="92" t="str">
        <f>IF(Synthese_Programme!A267="","",Synthese_Programme!A267)</f>
        <v/>
      </c>
      <c r="B267" s="92" t="str">
        <f>IF(Synthese_Programme!B267="","",Synthese_Programme!B267)</f>
        <v/>
      </c>
      <c r="C267" s="92" t="str">
        <f>IF(OR(Synthese_Programme!M267="Réservé",Synthese_Programme!M267="Acté",Synthese_Programme!M267="réservé",Synthese_Programme!M267="acté"),Synthese_Programme!N267,"")</f>
        <v/>
      </c>
      <c r="D267" s="93"/>
      <c r="E267" s="93"/>
      <c r="F267" s="93"/>
      <c r="G267" s="93"/>
      <c r="H267" s="93"/>
      <c r="I267" s="98"/>
      <c r="J267" s="94" t="str">
        <f>IF(OR(Synthese_Programme!M267="Réservé",Synthese_Programme!M267="Acté",Synthese_Programme!M267="réservé",Synthese_Programme!M267="acté"),Synthese_Programme!P267,"")</f>
        <v/>
      </c>
      <c r="K267" s="94" t="str">
        <f t="shared" si="8"/>
        <v/>
      </c>
      <c r="L267" s="92"/>
      <c r="M267" s="93"/>
      <c r="N267" s="93"/>
      <c r="O267" s="93"/>
      <c r="P267" s="92" t="str">
        <f t="shared" si="9"/>
        <v/>
      </c>
      <c r="Q267" s="94" t="str">
        <f>IF(Synthese_Programme!Q267="","",Synthese_Programme!Q267)</f>
        <v/>
      </c>
      <c r="R267" s="92"/>
      <c r="S267" s="93"/>
      <c r="T267" s="93"/>
    </row>
    <row r="268" spans="1:20" s="8" customFormat="1" ht="26" customHeight="1" x14ac:dyDescent="0.45">
      <c r="A268" s="92" t="str">
        <f>IF(Synthese_Programme!A268="","",Synthese_Programme!A268)</f>
        <v/>
      </c>
      <c r="B268" s="92" t="str">
        <f>IF(Synthese_Programme!B268="","",Synthese_Programme!B268)</f>
        <v/>
      </c>
      <c r="C268" s="92" t="str">
        <f>IF(OR(Synthese_Programme!M268="Réservé",Synthese_Programme!M268="Acté",Synthese_Programme!M268="réservé",Synthese_Programme!M268="acté"),Synthese_Programme!N268,"")</f>
        <v/>
      </c>
      <c r="D268" s="93"/>
      <c r="E268" s="93"/>
      <c r="F268" s="93"/>
      <c r="G268" s="93"/>
      <c r="H268" s="93"/>
      <c r="I268" s="98"/>
      <c r="J268" s="94" t="str">
        <f>IF(OR(Synthese_Programme!M268="Réservé",Synthese_Programme!M268="Acté",Synthese_Programme!M268="réservé",Synthese_Programme!M268="acté"),Synthese_Programme!P268,"")</f>
        <v/>
      </c>
      <c r="K268" s="94" t="str">
        <f t="shared" si="8"/>
        <v/>
      </c>
      <c r="L268" s="92"/>
      <c r="M268" s="93"/>
      <c r="N268" s="93"/>
      <c r="O268" s="93"/>
      <c r="P268" s="92" t="str">
        <f t="shared" si="9"/>
        <v/>
      </c>
      <c r="Q268" s="94" t="str">
        <f>IF(Synthese_Programme!Q268="","",Synthese_Programme!Q268)</f>
        <v/>
      </c>
      <c r="R268" s="92"/>
      <c r="S268" s="93"/>
      <c r="T268" s="93"/>
    </row>
    <row r="269" spans="1:20" s="8" customFormat="1" ht="26" customHeight="1" x14ac:dyDescent="0.45">
      <c r="A269" s="92" t="str">
        <f>IF(Synthese_Programme!A269="","",Synthese_Programme!A269)</f>
        <v/>
      </c>
      <c r="B269" s="92" t="str">
        <f>IF(Synthese_Programme!B269="","",Synthese_Programme!B269)</f>
        <v/>
      </c>
      <c r="C269" s="92" t="str">
        <f>IF(OR(Synthese_Programme!M269="Réservé",Synthese_Programme!M269="Acté",Synthese_Programme!M269="réservé",Synthese_Programme!M269="acté"),Synthese_Programme!N269,"")</f>
        <v/>
      </c>
      <c r="D269" s="93"/>
      <c r="E269" s="93"/>
      <c r="F269" s="93"/>
      <c r="G269" s="93"/>
      <c r="H269" s="93"/>
      <c r="I269" s="98"/>
      <c r="J269" s="94" t="str">
        <f>IF(OR(Synthese_Programme!M269="Réservé",Synthese_Programme!M269="Acté",Synthese_Programme!M269="réservé",Synthese_Programme!M269="acté"),Synthese_Programme!P269,"")</f>
        <v/>
      </c>
      <c r="K269" s="94" t="str">
        <f t="shared" si="8"/>
        <v/>
      </c>
      <c r="L269" s="92"/>
      <c r="M269" s="93"/>
      <c r="N269" s="93"/>
      <c r="O269" s="93"/>
      <c r="P269" s="92" t="str">
        <f t="shared" si="9"/>
        <v/>
      </c>
      <c r="Q269" s="94" t="str">
        <f>IF(Synthese_Programme!Q269="","",Synthese_Programme!Q269)</f>
        <v/>
      </c>
      <c r="R269" s="92"/>
      <c r="S269" s="93"/>
      <c r="T269" s="93"/>
    </row>
    <row r="270" spans="1:20" s="8" customFormat="1" ht="26" customHeight="1" x14ac:dyDescent="0.45">
      <c r="A270" s="92" t="str">
        <f>IF(Synthese_Programme!A270="","",Synthese_Programme!A270)</f>
        <v/>
      </c>
      <c r="B270" s="92" t="str">
        <f>IF(Synthese_Programme!B270="","",Synthese_Programme!B270)</f>
        <v/>
      </c>
      <c r="C270" s="92" t="str">
        <f>IF(OR(Synthese_Programme!M270="Réservé",Synthese_Programme!M270="Acté",Synthese_Programme!M270="réservé",Synthese_Programme!M270="acté"),Synthese_Programme!N270,"")</f>
        <v/>
      </c>
      <c r="D270" s="93"/>
      <c r="E270" s="93"/>
      <c r="F270" s="93"/>
      <c r="G270" s="93"/>
      <c r="H270" s="93"/>
      <c r="I270" s="98"/>
      <c r="J270" s="94" t="str">
        <f>IF(OR(Synthese_Programme!M270="Réservé",Synthese_Programme!M270="Acté",Synthese_Programme!M270="réservé",Synthese_Programme!M270="acté"),Synthese_Programme!P270,"")</f>
        <v/>
      </c>
      <c r="K270" s="94" t="str">
        <f t="shared" si="8"/>
        <v/>
      </c>
      <c r="L270" s="92"/>
      <c r="M270" s="93"/>
      <c r="N270" s="93"/>
      <c r="O270" s="93"/>
      <c r="P270" s="92" t="str">
        <f t="shared" si="9"/>
        <v/>
      </c>
      <c r="Q270" s="94" t="str">
        <f>IF(Synthese_Programme!Q270="","",Synthese_Programme!Q270)</f>
        <v/>
      </c>
      <c r="R270" s="92"/>
      <c r="S270" s="93"/>
      <c r="T270" s="93"/>
    </row>
    <row r="271" spans="1:20" s="8" customFormat="1" ht="26" customHeight="1" x14ac:dyDescent="0.45">
      <c r="A271" s="92" t="str">
        <f>IF(Synthese_Programme!A271="","",Synthese_Programme!A271)</f>
        <v/>
      </c>
      <c r="B271" s="92" t="str">
        <f>IF(Synthese_Programme!B271="","",Synthese_Programme!B271)</f>
        <v/>
      </c>
      <c r="C271" s="92" t="str">
        <f>IF(OR(Synthese_Programme!M271="Réservé",Synthese_Programme!M271="Acté",Synthese_Programme!M271="réservé",Synthese_Programme!M271="acté"),Synthese_Programme!N271,"")</f>
        <v/>
      </c>
      <c r="D271" s="93"/>
      <c r="E271" s="93"/>
      <c r="F271" s="93"/>
      <c r="G271" s="93"/>
      <c r="H271" s="93"/>
      <c r="I271" s="98"/>
      <c r="J271" s="94" t="str">
        <f>IF(OR(Synthese_Programme!M271="Réservé",Synthese_Programme!M271="Acté",Synthese_Programme!M271="réservé",Synthese_Programme!M271="acté"),Synthese_Programme!P271,"")</f>
        <v/>
      </c>
      <c r="K271" s="94" t="str">
        <f t="shared" si="8"/>
        <v/>
      </c>
      <c r="L271" s="92"/>
      <c r="M271" s="93"/>
      <c r="N271" s="93"/>
      <c r="O271" s="93"/>
      <c r="P271" s="92" t="str">
        <f t="shared" si="9"/>
        <v/>
      </c>
      <c r="Q271" s="94" t="str">
        <f>IF(Synthese_Programme!Q271="","",Synthese_Programme!Q271)</f>
        <v/>
      </c>
      <c r="R271" s="92"/>
      <c r="S271" s="93"/>
      <c r="T271" s="93"/>
    </row>
    <row r="272" spans="1:20" s="8" customFormat="1" ht="26" customHeight="1" x14ac:dyDescent="0.45">
      <c r="A272" s="92" t="str">
        <f>IF(Synthese_Programme!A272="","",Synthese_Programme!A272)</f>
        <v/>
      </c>
      <c r="B272" s="92" t="str">
        <f>IF(Synthese_Programme!B272="","",Synthese_Programme!B272)</f>
        <v/>
      </c>
      <c r="C272" s="92" t="str">
        <f>IF(OR(Synthese_Programme!M272="Réservé",Synthese_Programme!M272="Acté",Synthese_Programme!M272="réservé",Synthese_Programme!M272="acté"),Synthese_Programme!N272,"")</f>
        <v/>
      </c>
      <c r="D272" s="93"/>
      <c r="E272" s="93"/>
      <c r="F272" s="93"/>
      <c r="G272" s="93"/>
      <c r="H272" s="93"/>
      <c r="I272" s="98"/>
      <c r="J272" s="94" t="str">
        <f>IF(OR(Synthese_Programme!M272="Réservé",Synthese_Programme!M272="Acté",Synthese_Programme!M272="réservé",Synthese_Programme!M272="acté"),Synthese_Programme!P272,"")</f>
        <v/>
      </c>
      <c r="K272" s="94" t="str">
        <f t="shared" si="8"/>
        <v/>
      </c>
      <c r="L272" s="92"/>
      <c r="M272" s="93"/>
      <c r="N272" s="93"/>
      <c r="O272" s="93"/>
      <c r="P272" s="92" t="str">
        <f t="shared" si="9"/>
        <v/>
      </c>
      <c r="Q272" s="94" t="str">
        <f>IF(Synthese_Programme!Q272="","",Synthese_Programme!Q272)</f>
        <v/>
      </c>
      <c r="R272" s="92"/>
      <c r="S272" s="93"/>
      <c r="T272" s="93"/>
    </row>
    <row r="273" spans="1:20" s="8" customFormat="1" ht="26" customHeight="1" x14ac:dyDescent="0.45">
      <c r="A273" s="92" t="str">
        <f>IF(Synthese_Programme!A273="","",Synthese_Programme!A273)</f>
        <v/>
      </c>
      <c r="B273" s="92" t="str">
        <f>IF(Synthese_Programme!B273="","",Synthese_Programme!B273)</f>
        <v/>
      </c>
      <c r="C273" s="92" t="str">
        <f>IF(OR(Synthese_Programme!M273="Réservé",Synthese_Programme!M273="Acté",Synthese_Programme!M273="réservé",Synthese_Programme!M273="acté"),Synthese_Programme!N273,"")</f>
        <v/>
      </c>
      <c r="D273" s="93"/>
      <c r="E273" s="93"/>
      <c r="F273" s="93"/>
      <c r="G273" s="93"/>
      <c r="H273" s="93"/>
      <c r="I273" s="98"/>
      <c r="J273" s="94" t="str">
        <f>IF(OR(Synthese_Programme!M273="Réservé",Synthese_Programme!M273="Acté",Synthese_Programme!M273="réservé",Synthese_Programme!M273="acté"),Synthese_Programme!P273,"")</f>
        <v/>
      </c>
      <c r="K273" s="94" t="str">
        <f t="shared" si="8"/>
        <v/>
      </c>
      <c r="L273" s="92"/>
      <c r="M273" s="93"/>
      <c r="N273" s="93"/>
      <c r="O273" s="93"/>
      <c r="P273" s="92" t="str">
        <f t="shared" si="9"/>
        <v/>
      </c>
      <c r="Q273" s="94" t="str">
        <f>IF(Synthese_Programme!Q273="","",Synthese_Programme!Q273)</f>
        <v/>
      </c>
      <c r="R273" s="92"/>
      <c r="S273" s="93"/>
      <c r="T273" s="93"/>
    </row>
    <row r="274" spans="1:20" s="8" customFormat="1" ht="26" customHeight="1" x14ac:dyDescent="0.45">
      <c r="A274" s="92" t="str">
        <f>IF(Synthese_Programme!A274="","",Synthese_Programme!A274)</f>
        <v/>
      </c>
      <c r="B274" s="92" t="str">
        <f>IF(Synthese_Programme!B274="","",Synthese_Programme!B274)</f>
        <v/>
      </c>
      <c r="C274" s="92" t="str">
        <f>IF(OR(Synthese_Programme!M274="Réservé",Synthese_Programme!M274="Acté",Synthese_Programme!M274="réservé",Synthese_Programme!M274="acté"),Synthese_Programme!N274,"")</f>
        <v/>
      </c>
      <c r="D274" s="93"/>
      <c r="E274" s="93"/>
      <c r="F274" s="93"/>
      <c r="G274" s="93"/>
      <c r="H274" s="93"/>
      <c r="I274" s="98"/>
      <c r="J274" s="94" t="str">
        <f>IF(OR(Synthese_Programme!M274="Réservé",Synthese_Programme!M274="Acté",Synthese_Programme!M274="réservé",Synthese_Programme!M274="acté"),Synthese_Programme!P274,"")</f>
        <v/>
      </c>
      <c r="K274" s="94" t="str">
        <f t="shared" si="8"/>
        <v/>
      </c>
      <c r="L274" s="92"/>
      <c r="M274" s="93"/>
      <c r="N274" s="93"/>
      <c r="O274" s="93"/>
      <c r="P274" s="92" t="str">
        <f t="shared" si="9"/>
        <v/>
      </c>
      <c r="Q274" s="94" t="str">
        <f>IF(Synthese_Programme!Q274="","",Synthese_Programme!Q274)</f>
        <v/>
      </c>
      <c r="R274" s="92"/>
      <c r="S274" s="93"/>
      <c r="T274" s="93"/>
    </row>
    <row r="275" spans="1:20" s="8" customFormat="1" ht="26" customHeight="1" x14ac:dyDescent="0.45">
      <c r="A275" s="92" t="str">
        <f>IF(Synthese_Programme!A275="","",Synthese_Programme!A275)</f>
        <v/>
      </c>
      <c r="B275" s="92" t="str">
        <f>IF(Synthese_Programme!B275="","",Synthese_Programme!B275)</f>
        <v/>
      </c>
      <c r="C275" s="92" t="str">
        <f>IF(OR(Synthese_Programme!M275="Réservé",Synthese_Programme!M275="Acté",Synthese_Programme!M275="réservé",Synthese_Programme!M275="acté"),Synthese_Programme!N275,"")</f>
        <v/>
      </c>
      <c r="D275" s="93"/>
      <c r="E275" s="93"/>
      <c r="F275" s="93"/>
      <c r="G275" s="93"/>
      <c r="H275" s="93"/>
      <c r="I275" s="98"/>
      <c r="J275" s="94" t="str">
        <f>IF(OR(Synthese_Programme!M275="Réservé",Synthese_Programme!M275="Acté",Synthese_Programme!M275="réservé",Synthese_Programme!M275="acté"),Synthese_Programme!P275,"")</f>
        <v/>
      </c>
      <c r="K275" s="94" t="str">
        <f t="shared" si="8"/>
        <v/>
      </c>
      <c r="L275" s="92"/>
      <c r="M275" s="93"/>
      <c r="N275" s="93"/>
      <c r="O275" s="93"/>
      <c r="P275" s="92" t="str">
        <f t="shared" si="9"/>
        <v/>
      </c>
      <c r="Q275" s="94" t="str">
        <f>IF(Synthese_Programme!Q275="","",Synthese_Programme!Q275)</f>
        <v/>
      </c>
      <c r="R275" s="92"/>
      <c r="S275" s="93"/>
      <c r="T275" s="93"/>
    </row>
    <row r="276" spans="1:20" s="8" customFormat="1" ht="26" customHeight="1" x14ac:dyDescent="0.45">
      <c r="A276" s="92" t="str">
        <f>IF(Synthese_Programme!A276="","",Synthese_Programme!A276)</f>
        <v/>
      </c>
      <c r="B276" s="92" t="str">
        <f>IF(Synthese_Programme!B276="","",Synthese_Programme!B276)</f>
        <v/>
      </c>
      <c r="C276" s="92" t="str">
        <f>IF(OR(Synthese_Programme!M276="Réservé",Synthese_Programme!M276="Acté",Synthese_Programme!M276="réservé",Synthese_Programme!M276="acté"),Synthese_Programme!N276,"")</f>
        <v/>
      </c>
      <c r="D276" s="93"/>
      <c r="E276" s="93"/>
      <c r="F276" s="93"/>
      <c r="G276" s="93"/>
      <c r="H276" s="93"/>
      <c r="I276" s="98"/>
      <c r="J276" s="94" t="str">
        <f>IF(OR(Synthese_Programme!M276="Réservé",Synthese_Programme!M276="Acté",Synthese_Programme!M276="réservé",Synthese_Programme!M276="acté"),Synthese_Programme!P276,"")</f>
        <v/>
      </c>
      <c r="K276" s="94" t="str">
        <f t="shared" si="8"/>
        <v/>
      </c>
      <c r="L276" s="92"/>
      <c r="M276" s="93"/>
      <c r="N276" s="93"/>
      <c r="O276" s="93"/>
      <c r="P276" s="92" t="str">
        <f t="shared" si="9"/>
        <v/>
      </c>
      <c r="Q276" s="94" t="str">
        <f>IF(Synthese_Programme!Q276="","",Synthese_Programme!Q276)</f>
        <v/>
      </c>
      <c r="R276" s="92"/>
      <c r="S276" s="93"/>
      <c r="T276" s="93"/>
    </row>
    <row r="277" spans="1:20" s="8" customFormat="1" ht="26" customHeight="1" x14ac:dyDescent="0.45">
      <c r="A277" s="92" t="str">
        <f>IF(Synthese_Programme!A277="","",Synthese_Programme!A277)</f>
        <v/>
      </c>
      <c r="B277" s="92" t="str">
        <f>IF(Synthese_Programme!B277="","",Synthese_Programme!B277)</f>
        <v/>
      </c>
      <c r="C277" s="92" t="str">
        <f>IF(OR(Synthese_Programme!M277="Réservé",Synthese_Programme!M277="Acté",Synthese_Programme!M277="réservé",Synthese_Programme!M277="acté"),Synthese_Programme!N277,"")</f>
        <v/>
      </c>
      <c r="D277" s="93"/>
      <c r="E277" s="93"/>
      <c r="F277" s="93"/>
      <c r="G277" s="93"/>
      <c r="H277" s="93"/>
      <c r="I277" s="98"/>
      <c r="J277" s="94" t="str">
        <f>IF(OR(Synthese_Programme!M277="Réservé",Synthese_Programme!M277="Acté",Synthese_Programme!M277="réservé",Synthese_Programme!M277="acté"),Synthese_Programme!P277,"")</f>
        <v/>
      </c>
      <c r="K277" s="94" t="str">
        <f t="shared" si="8"/>
        <v/>
      </c>
      <c r="L277" s="92"/>
      <c r="M277" s="93"/>
      <c r="N277" s="93"/>
      <c r="O277" s="93"/>
      <c r="P277" s="92" t="str">
        <f t="shared" si="9"/>
        <v/>
      </c>
      <c r="Q277" s="94" t="str">
        <f>IF(Synthese_Programme!Q277="","",Synthese_Programme!Q277)</f>
        <v/>
      </c>
      <c r="R277" s="92"/>
      <c r="S277" s="93"/>
      <c r="T277" s="93"/>
    </row>
    <row r="278" spans="1:20" s="8" customFormat="1" ht="26" customHeight="1" x14ac:dyDescent="0.45">
      <c r="A278" s="92" t="str">
        <f>IF(Synthese_Programme!A278="","",Synthese_Programme!A278)</f>
        <v/>
      </c>
      <c r="B278" s="92" t="str">
        <f>IF(Synthese_Programme!B278="","",Synthese_Programme!B278)</f>
        <v/>
      </c>
      <c r="C278" s="92" t="str">
        <f>IF(OR(Synthese_Programme!M278="Réservé",Synthese_Programme!M278="Acté",Synthese_Programme!M278="réservé",Synthese_Programme!M278="acté"),Synthese_Programme!N278,"")</f>
        <v/>
      </c>
      <c r="D278" s="93"/>
      <c r="E278" s="93"/>
      <c r="F278" s="93"/>
      <c r="G278" s="93"/>
      <c r="H278" s="93"/>
      <c r="I278" s="98"/>
      <c r="J278" s="94" t="str">
        <f>IF(OR(Synthese_Programme!M278="Réservé",Synthese_Programme!M278="Acté",Synthese_Programme!M278="réservé",Synthese_Programme!M278="acté"),Synthese_Programme!P278,"")</f>
        <v/>
      </c>
      <c r="K278" s="94" t="str">
        <f t="shared" si="8"/>
        <v/>
      </c>
      <c r="L278" s="92"/>
      <c r="M278" s="93"/>
      <c r="N278" s="93"/>
      <c r="O278" s="93"/>
      <c r="P278" s="92" t="str">
        <f t="shared" si="9"/>
        <v/>
      </c>
      <c r="Q278" s="94" t="str">
        <f>IF(Synthese_Programme!Q278="","",Synthese_Programme!Q278)</f>
        <v/>
      </c>
      <c r="R278" s="92"/>
      <c r="S278" s="93"/>
      <c r="T278" s="93"/>
    </row>
    <row r="279" spans="1:20" s="8" customFormat="1" ht="26" customHeight="1" x14ac:dyDescent="0.45">
      <c r="A279" s="92" t="str">
        <f>IF(Synthese_Programme!A279="","",Synthese_Programme!A279)</f>
        <v/>
      </c>
      <c r="B279" s="92" t="str">
        <f>IF(Synthese_Programme!B279="","",Synthese_Programme!B279)</f>
        <v/>
      </c>
      <c r="C279" s="92" t="str">
        <f>IF(OR(Synthese_Programme!M279="Réservé",Synthese_Programme!M279="Acté",Synthese_Programme!M279="réservé",Synthese_Programme!M279="acté"),Synthese_Programme!N279,"")</f>
        <v/>
      </c>
      <c r="D279" s="93"/>
      <c r="E279" s="93"/>
      <c r="F279" s="93"/>
      <c r="G279" s="93"/>
      <c r="H279" s="93"/>
      <c r="I279" s="98"/>
      <c r="J279" s="94" t="str">
        <f>IF(OR(Synthese_Programme!M279="Réservé",Synthese_Programme!M279="Acté",Synthese_Programme!M279="réservé",Synthese_Programme!M279="acté"),Synthese_Programme!P279,"")</f>
        <v/>
      </c>
      <c r="K279" s="94" t="str">
        <f t="shared" si="8"/>
        <v/>
      </c>
      <c r="L279" s="92"/>
      <c r="M279" s="93"/>
      <c r="N279" s="93"/>
      <c r="O279" s="93"/>
      <c r="P279" s="92" t="str">
        <f t="shared" si="9"/>
        <v/>
      </c>
      <c r="Q279" s="94" t="str">
        <f>IF(Synthese_Programme!Q279="","",Synthese_Programme!Q279)</f>
        <v/>
      </c>
      <c r="R279" s="92"/>
      <c r="S279" s="93"/>
      <c r="T279" s="93"/>
    </row>
    <row r="280" spans="1:20" s="8" customFormat="1" ht="26" customHeight="1" x14ac:dyDescent="0.45">
      <c r="A280" s="92" t="str">
        <f>IF(Synthese_Programme!A280="","",Synthese_Programme!A280)</f>
        <v/>
      </c>
      <c r="B280" s="92" t="str">
        <f>IF(Synthese_Programme!B280="","",Synthese_Programme!B280)</f>
        <v/>
      </c>
      <c r="C280" s="92" t="str">
        <f>IF(OR(Synthese_Programme!M280="Réservé",Synthese_Programme!M280="Acté",Synthese_Programme!M280="réservé",Synthese_Programme!M280="acté"),Synthese_Programme!N280,"")</f>
        <v/>
      </c>
      <c r="D280" s="93"/>
      <c r="E280" s="93"/>
      <c r="F280" s="93"/>
      <c r="G280" s="93"/>
      <c r="H280" s="93"/>
      <c r="I280" s="98"/>
      <c r="J280" s="94" t="str">
        <f>IF(OR(Synthese_Programme!M280="Réservé",Synthese_Programme!M280="Acté",Synthese_Programme!M280="réservé",Synthese_Programme!M280="acté"),Synthese_Programme!P280,"")</f>
        <v/>
      </c>
      <c r="K280" s="94" t="str">
        <f t="shared" si="8"/>
        <v/>
      </c>
      <c r="L280" s="92"/>
      <c r="M280" s="93"/>
      <c r="N280" s="93"/>
      <c r="O280" s="93"/>
      <c r="P280" s="92" t="str">
        <f t="shared" si="9"/>
        <v/>
      </c>
      <c r="Q280" s="94" t="str">
        <f>IF(Synthese_Programme!Q280="","",Synthese_Programme!Q280)</f>
        <v/>
      </c>
      <c r="R280" s="92"/>
      <c r="S280" s="93"/>
      <c r="T280" s="93"/>
    </row>
    <row r="281" spans="1:20" s="8" customFormat="1" ht="26" customHeight="1" x14ac:dyDescent="0.45">
      <c r="A281" s="92" t="str">
        <f>IF(Synthese_Programme!A281="","",Synthese_Programme!A281)</f>
        <v/>
      </c>
      <c r="B281" s="92" t="str">
        <f>IF(Synthese_Programme!B281="","",Synthese_Programme!B281)</f>
        <v/>
      </c>
      <c r="C281" s="92" t="str">
        <f>IF(OR(Synthese_Programme!M281="Réservé",Synthese_Programme!M281="Acté",Synthese_Programme!M281="réservé",Synthese_Programme!M281="acté"),Synthese_Programme!N281,"")</f>
        <v/>
      </c>
      <c r="D281" s="93"/>
      <c r="E281" s="93"/>
      <c r="F281" s="93"/>
      <c r="G281" s="93"/>
      <c r="H281" s="93"/>
      <c r="I281" s="98"/>
      <c r="J281" s="94" t="str">
        <f>IF(OR(Synthese_Programme!M281="Réservé",Synthese_Programme!M281="Acté",Synthese_Programme!M281="réservé",Synthese_Programme!M281="acté"),Synthese_Programme!P281,"")</f>
        <v/>
      </c>
      <c r="K281" s="94" t="str">
        <f t="shared" si="8"/>
        <v/>
      </c>
      <c r="L281" s="92"/>
      <c r="M281" s="93"/>
      <c r="N281" s="93"/>
      <c r="O281" s="93"/>
      <c r="P281" s="92" t="str">
        <f t="shared" si="9"/>
        <v/>
      </c>
      <c r="Q281" s="94" t="str">
        <f>IF(Synthese_Programme!Q281="","",Synthese_Programme!Q281)</f>
        <v/>
      </c>
      <c r="R281" s="92"/>
      <c r="S281" s="93"/>
      <c r="T281" s="93"/>
    </row>
    <row r="282" spans="1:20" s="8" customFormat="1" ht="26" customHeight="1" x14ac:dyDescent="0.45">
      <c r="A282" s="92" t="str">
        <f>IF(Synthese_Programme!A282="","",Synthese_Programme!A282)</f>
        <v/>
      </c>
      <c r="B282" s="92" t="str">
        <f>IF(Synthese_Programme!B282="","",Synthese_Programme!B282)</f>
        <v/>
      </c>
      <c r="C282" s="92" t="str">
        <f>IF(OR(Synthese_Programme!M282="Réservé",Synthese_Programme!M282="Acté",Synthese_Programme!M282="réservé",Synthese_Programme!M282="acté"),Synthese_Programme!N282,"")</f>
        <v/>
      </c>
      <c r="D282" s="93"/>
      <c r="E282" s="93"/>
      <c r="F282" s="93"/>
      <c r="G282" s="93"/>
      <c r="H282" s="93"/>
      <c r="I282" s="98"/>
      <c r="J282" s="94" t="str">
        <f>IF(OR(Synthese_Programme!M282="Réservé",Synthese_Programme!M282="Acté",Synthese_Programme!M282="réservé",Synthese_Programme!M282="acté"),Synthese_Programme!P282,"")</f>
        <v/>
      </c>
      <c r="K282" s="94" t="str">
        <f t="shared" si="8"/>
        <v/>
      </c>
      <c r="L282" s="92"/>
      <c r="M282" s="93"/>
      <c r="N282" s="93"/>
      <c r="O282" s="93"/>
      <c r="P282" s="92" t="str">
        <f t="shared" si="9"/>
        <v/>
      </c>
      <c r="Q282" s="94" t="str">
        <f>IF(Synthese_Programme!Q282="","",Synthese_Programme!Q282)</f>
        <v/>
      </c>
      <c r="R282" s="92"/>
      <c r="S282" s="93"/>
      <c r="T282" s="93"/>
    </row>
    <row r="283" spans="1:20" s="8" customFormat="1" ht="26" customHeight="1" x14ac:dyDescent="0.45">
      <c r="A283" s="92" t="str">
        <f>IF(Synthese_Programme!A283="","",Synthese_Programme!A283)</f>
        <v/>
      </c>
      <c r="B283" s="92" t="str">
        <f>IF(Synthese_Programme!B283="","",Synthese_Programme!B283)</f>
        <v/>
      </c>
      <c r="C283" s="92" t="str">
        <f>IF(OR(Synthese_Programme!M283="Réservé",Synthese_Programme!M283="Acté",Synthese_Programme!M283="réservé",Synthese_Programme!M283="acté"),Synthese_Programme!N283,"")</f>
        <v/>
      </c>
      <c r="D283" s="93"/>
      <c r="E283" s="93"/>
      <c r="F283" s="93"/>
      <c r="G283" s="93"/>
      <c r="H283" s="93"/>
      <c r="I283" s="98"/>
      <c r="J283" s="94" t="str">
        <f>IF(OR(Synthese_Programme!M283="Réservé",Synthese_Programme!M283="Acté",Synthese_Programme!M283="réservé",Synthese_Programme!M283="acté"),Synthese_Programme!P283,"")</f>
        <v/>
      </c>
      <c r="K283" s="94" t="str">
        <f t="shared" si="8"/>
        <v/>
      </c>
      <c r="L283" s="92"/>
      <c r="M283" s="93"/>
      <c r="N283" s="93"/>
      <c r="O283" s="93"/>
      <c r="P283" s="92" t="str">
        <f t="shared" si="9"/>
        <v/>
      </c>
      <c r="Q283" s="94" t="str">
        <f>IF(Synthese_Programme!Q283="","",Synthese_Programme!Q283)</f>
        <v/>
      </c>
      <c r="R283" s="92"/>
      <c r="S283" s="93"/>
      <c r="T283" s="93"/>
    </row>
    <row r="284" spans="1:20" s="8" customFormat="1" ht="26" customHeight="1" x14ac:dyDescent="0.45">
      <c r="A284" s="92" t="str">
        <f>IF(Synthese_Programme!A284="","",Synthese_Programme!A284)</f>
        <v/>
      </c>
      <c r="B284" s="92" t="str">
        <f>IF(Synthese_Programme!B284="","",Synthese_Programme!B284)</f>
        <v/>
      </c>
      <c r="C284" s="92" t="str">
        <f>IF(OR(Synthese_Programme!M284="Réservé",Synthese_Programme!M284="Acté",Synthese_Programme!M284="réservé",Synthese_Programme!M284="acté"),Synthese_Programme!N284,"")</f>
        <v/>
      </c>
      <c r="D284" s="93"/>
      <c r="E284" s="93"/>
      <c r="F284" s="93"/>
      <c r="G284" s="93"/>
      <c r="H284" s="93"/>
      <c r="I284" s="98"/>
      <c r="J284" s="94" t="str">
        <f>IF(OR(Synthese_Programme!M284="Réservé",Synthese_Programme!M284="Acté",Synthese_Programme!M284="réservé",Synthese_Programme!M284="acté"),Synthese_Programme!P284,"")</f>
        <v/>
      </c>
      <c r="K284" s="94" t="str">
        <f t="shared" si="8"/>
        <v/>
      </c>
      <c r="L284" s="92"/>
      <c r="M284" s="93"/>
      <c r="N284" s="93"/>
      <c r="O284" s="93"/>
      <c r="P284" s="92" t="str">
        <f t="shared" si="9"/>
        <v/>
      </c>
      <c r="Q284" s="94" t="str">
        <f>IF(Synthese_Programme!Q284="","",Synthese_Programme!Q284)</f>
        <v/>
      </c>
      <c r="R284" s="92"/>
      <c r="S284" s="93"/>
      <c r="T284" s="93"/>
    </row>
    <row r="285" spans="1:20" s="8" customFormat="1" ht="26" customHeight="1" x14ac:dyDescent="0.45">
      <c r="A285" s="92" t="str">
        <f>IF(Synthese_Programme!A285="","",Synthese_Programme!A285)</f>
        <v/>
      </c>
      <c r="B285" s="92" t="str">
        <f>IF(Synthese_Programme!B285="","",Synthese_Programme!B285)</f>
        <v/>
      </c>
      <c r="C285" s="92" t="str">
        <f>IF(OR(Synthese_Programme!M285="Réservé",Synthese_Programme!M285="Acté",Synthese_Programme!M285="réservé",Synthese_Programme!M285="acté"),Synthese_Programme!N285,"")</f>
        <v/>
      </c>
      <c r="D285" s="93"/>
      <c r="E285" s="93"/>
      <c r="F285" s="93"/>
      <c r="G285" s="93"/>
      <c r="H285" s="93"/>
      <c r="I285" s="98"/>
      <c r="J285" s="94" t="str">
        <f>IF(OR(Synthese_Programme!M285="Réservé",Synthese_Programme!M285="Acté",Synthese_Programme!M285="réservé",Synthese_Programme!M285="acté"),Synthese_Programme!P285,"")</f>
        <v/>
      </c>
      <c r="K285" s="94" t="str">
        <f t="shared" si="8"/>
        <v/>
      </c>
      <c r="L285" s="92"/>
      <c r="M285" s="93"/>
      <c r="N285" s="93"/>
      <c r="O285" s="93"/>
      <c r="P285" s="92" t="str">
        <f t="shared" si="9"/>
        <v/>
      </c>
      <c r="Q285" s="94" t="str">
        <f>IF(Synthese_Programme!Q285="","",Synthese_Programme!Q285)</f>
        <v/>
      </c>
      <c r="R285" s="92"/>
      <c r="S285" s="93"/>
      <c r="T285" s="93"/>
    </row>
    <row r="286" spans="1:20" s="8" customFormat="1" ht="26" customHeight="1" x14ac:dyDescent="0.45">
      <c r="A286" s="92" t="str">
        <f>IF(Synthese_Programme!A286="","",Synthese_Programme!A286)</f>
        <v/>
      </c>
      <c r="B286" s="92" t="str">
        <f>IF(Synthese_Programme!B286="","",Synthese_Programme!B286)</f>
        <v/>
      </c>
      <c r="C286" s="92" t="str">
        <f>IF(OR(Synthese_Programme!M286="Réservé",Synthese_Programme!M286="Acté",Synthese_Programme!M286="réservé",Synthese_Programme!M286="acté"),Synthese_Programme!N286,"")</f>
        <v/>
      </c>
      <c r="D286" s="93"/>
      <c r="E286" s="93"/>
      <c r="F286" s="93"/>
      <c r="G286" s="93"/>
      <c r="H286" s="93"/>
      <c r="I286" s="98"/>
      <c r="J286" s="94" t="str">
        <f>IF(OR(Synthese_Programme!M286="Réservé",Synthese_Programme!M286="Acté",Synthese_Programme!M286="réservé",Synthese_Programme!M286="acté"),Synthese_Programme!P286,"")</f>
        <v/>
      </c>
      <c r="K286" s="94" t="str">
        <f t="shared" si="8"/>
        <v/>
      </c>
      <c r="L286" s="92"/>
      <c r="M286" s="93"/>
      <c r="N286" s="93"/>
      <c r="O286" s="93"/>
      <c r="P286" s="92" t="str">
        <f t="shared" si="9"/>
        <v/>
      </c>
      <c r="Q286" s="94" t="str">
        <f>IF(Synthese_Programme!Q286="","",Synthese_Programme!Q286)</f>
        <v/>
      </c>
      <c r="R286" s="92"/>
      <c r="S286" s="93"/>
      <c r="T286" s="93"/>
    </row>
    <row r="287" spans="1:20" s="8" customFormat="1" ht="26" customHeight="1" x14ac:dyDescent="0.45">
      <c r="A287" s="92" t="str">
        <f>IF(Synthese_Programme!A287="","",Synthese_Programme!A287)</f>
        <v/>
      </c>
      <c r="B287" s="92" t="str">
        <f>IF(Synthese_Programme!B287="","",Synthese_Programme!B287)</f>
        <v/>
      </c>
      <c r="C287" s="92" t="str">
        <f>IF(OR(Synthese_Programme!M287="Réservé",Synthese_Programme!M287="Acté",Synthese_Programme!M287="réservé",Synthese_Programme!M287="acté"),Synthese_Programme!N287,"")</f>
        <v/>
      </c>
      <c r="D287" s="93"/>
      <c r="E287" s="93"/>
      <c r="F287" s="93"/>
      <c r="G287" s="93"/>
      <c r="H287" s="93"/>
      <c r="I287" s="98"/>
      <c r="J287" s="94" t="str">
        <f>IF(OR(Synthese_Programme!M287="Réservé",Synthese_Programme!M287="Acté",Synthese_Programme!M287="réservé",Synthese_Programme!M287="acté"),Synthese_Programme!P287,"")</f>
        <v/>
      </c>
      <c r="K287" s="94" t="str">
        <f t="shared" si="8"/>
        <v/>
      </c>
      <c r="L287" s="92"/>
      <c r="M287" s="93"/>
      <c r="N287" s="93"/>
      <c r="O287" s="93"/>
      <c r="P287" s="92" t="str">
        <f t="shared" si="9"/>
        <v/>
      </c>
      <c r="Q287" s="94" t="str">
        <f>IF(Synthese_Programme!Q287="","",Synthese_Programme!Q287)</f>
        <v/>
      </c>
      <c r="R287" s="92"/>
      <c r="S287" s="93"/>
      <c r="T287" s="93"/>
    </row>
    <row r="288" spans="1:20" s="8" customFormat="1" ht="26" customHeight="1" x14ac:dyDescent="0.45">
      <c r="A288" s="92" t="str">
        <f>IF(Synthese_Programme!A288="","",Synthese_Programme!A288)</f>
        <v/>
      </c>
      <c r="B288" s="92" t="str">
        <f>IF(Synthese_Programme!B288="","",Synthese_Programme!B288)</f>
        <v/>
      </c>
      <c r="C288" s="92" t="str">
        <f>IF(OR(Synthese_Programme!M288="Réservé",Synthese_Programme!M288="Acté",Synthese_Programme!M288="réservé",Synthese_Programme!M288="acté"),Synthese_Programme!N288,"")</f>
        <v/>
      </c>
      <c r="D288" s="93"/>
      <c r="E288" s="93"/>
      <c r="F288" s="93"/>
      <c r="G288" s="93"/>
      <c r="H288" s="93"/>
      <c r="I288" s="98"/>
      <c r="J288" s="94" t="str">
        <f>IF(OR(Synthese_Programme!M288="Réservé",Synthese_Programme!M288="Acté",Synthese_Programme!M288="réservé",Synthese_Programme!M288="acté"),Synthese_Programme!P288,"")</f>
        <v/>
      </c>
      <c r="K288" s="94" t="str">
        <f t="shared" si="8"/>
        <v/>
      </c>
      <c r="L288" s="92"/>
      <c r="M288" s="93"/>
      <c r="N288" s="93"/>
      <c r="O288" s="93"/>
      <c r="P288" s="92" t="str">
        <f t="shared" si="9"/>
        <v/>
      </c>
      <c r="Q288" s="94" t="str">
        <f>IF(Synthese_Programme!Q288="","",Synthese_Programme!Q288)</f>
        <v/>
      </c>
      <c r="R288" s="92"/>
      <c r="S288" s="93"/>
      <c r="T288" s="93"/>
    </row>
    <row r="289" spans="1:20" s="8" customFormat="1" ht="26" customHeight="1" x14ac:dyDescent="0.45">
      <c r="A289" s="92" t="str">
        <f>IF(Synthese_Programme!A289="","",Synthese_Programme!A289)</f>
        <v/>
      </c>
      <c r="B289" s="92" t="str">
        <f>IF(Synthese_Programme!B289="","",Synthese_Programme!B289)</f>
        <v/>
      </c>
      <c r="C289" s="92" t="str">
        <f>IF(OR(Synthese_Programme!M289="Réservé",Synthese_Programme!M289="Acté",Synthese_Programme!M289="réservé",Synthese_Programme!M289="acté"),Synthese_Programme!N289,"")</f>
        <v/>
      </c>
      <c r="D289" s="93"/>
      <c r="E289" s="93"/>
      <c r="F289" s="93"/>
      <c r="G289" s="93"/>
      <c r="H289" s="93"/>
      <c r="I289" s="98"/>
      <c r="J289" s="94" t="str">
        <f>IF(OR(Synthese_Programme!M289="Réservé",Synthese_Programme!M289="Acté",Synthese_Programme!M289="réservé",Synthese_Programme!M289="acté"),Synthese_Programme!P289,"")</f>
        <v/>
      </c>
      <c r="K289" s="94" t="str">
        <f t="shared" si="8"/>
        <v/>
      </c>
      <c r="L289" s="92"/>
      <c r="M289" s="93"/>
      <c r="N289" s="93"/>
      <c r="O289" s="93"/>
      <c r="P289" s="92" t="str">
        <f t="shared" si="9"/>
        <v/>
      </c>
      <c r="Q289" s="94" t="str">
        <f>IF(Synthese_Programme!Q289="","",Synthese_Programme!Q289)</f>
        <v/>
      </c>
      <c r="R289" s="92"/>
      <c r="S289" s="93"/>
      <c r="T289" s="93"/>
    </row>
    <row r="290" spans="1:20" s="8" customFormat="1" ht="26" customHeight="1" x14ac:dyDescent="0.45">
      <c r="A290" s="92" t="str">
        <f>IF(Synthese_Programme!A290="","",Synthese_Programme!A290)</f>
        <v/>
      </c>
      <c r="B290" s="92" t="str">
        <f>IF(Synthese_Programme!B290="","",Synthese_Programme!B290)</f>
        <v/>
      </c>
      <c r="C290" s="92" t="str">
        <f>IF(OR(Synthese_Programme!M290="Réservé",Synthese_Programme!M290="Acté",Synthese_Programme!M290="réservé",Synthese_Programme!M290="acté"),Synthese_Programme!N290,"")</f>
        <v/>
      </c>
      <c r="D290" s="93"/>
      <c r="E290" s="93"/>
      <c r="F290" s="93"/>
      <c r="G290" s="93"/>
      <c r="H290" s="93"/>
      <c r="I290" s="98"/>
      <c r="J290" s="94" t="str">
        <f>IF(OR(Synthese_Programme!M290="Réservé",Synthese_Programme!M290="Acté",Synthese_Programme!M290="réservé",Synthese_Programme!M290="acté"),Synthese_Programme!P290,"")</f>
        <v/>
      </c>
      <c r="K290" s="94" t="str">
        <f t="shared" si="8"/>
        <v/>
      </c>
      <c r="L290" s="92"/>
      <c r="M290" s="93"/>
      <c r="N290" s="93"/>
      <c r="O290" s="93"/>
      <c r="P290" s="92" t="str">
        <f t="shared" si="9"/>
        <v/>
      </c>
      <c r="Q290" s="94" t="str">
        <f>IF(Synthese_Programme!Q290="","",Synthese_Programme!Q290)</f>
        <v/>
      </c>
      <c r="R290" s="92"/>
      <c r="S290" s="93"/>
      <c r="T290" s="93"/>
    </row>
    <row r="291" spans="1:20" s="8" customFormat="1" ht="26" customHeight="1" x14ac:dyDescent="0.45">
      <c r="A291" s="92" t="str">
        <f>IF(Synthese_Programme!A291="","",Synthese_Programme!A291)</f>
        <v/>
      </c>
      <c r="B291" s="92" t="str">
        <f>IF(Synthese_Programme!B291="","",Synthese_Programme!B291)</f>
        <v/>
      </c>
      <c r="C291" s="92" t="str">
        <f>IF(OR(Synthese_Programme!M291="Réservé",Synthese_Programme!M291="Acté",Synthese_Programme!M291="réservé",Synthese_Programme!M291="acté"),Synthese_Programme!N291,"")</f>
        <v/>
      </c>
      <c r="D291" s="93"/>
      <c r="E291" s="93"/>
      <c r="F291" s="93"/>
      <c r="G291" s="93"/>
      <c r="H291" s="93"/>
      <c r="I291" s="98"/>
      <c r="J291" s="94" t="str">
        <f>IF(OR(Synthese_Programme!M291="Réservé",Synthese_Programme!M291="Acté",Synthese_Programme!M291="réservé",Synthese_Programme!M291="acté"),Synthese_Programme!P291,"")</f>
        <v/>
      </c>
      <c r="K291" s="94" t="str">
        <f t="shared" si="8"/>
        <v/>
      </c>
      <c r="L291" s="92"/>
      <c r="M291" s="93"/>
      <c r="N291" s="93"/>
      <c r="O291" s="93"/>
      <c r="P291" s="92" t="str">
        <f t="shared" si="9"/>
        <v/>
      </c>
      <c r="Q291" s="94" t="str">
        <f>IF(Synthese_Programme!Q291="","",Synthese_Programme!Q291)</f>
        <v/>
      </c>
      <c r="R291" s="92"/>
      <c r="S291" s="93"/>
      <c r="T291" s="93"/>
    </row>
    <row r="292" spans="1:20" s="8" customFormat="1" ht="26" customHeight="1" x14ac:dyDescent="0.45">
      <c r="A292" s="92" t="str">
        <f>IF(Synthese_Programme!A292="","",Synthese_Programme!A292)</f>
        <v/>
      </c>
      <c r="B292" s="92" t="str">
        <f>IF(Synthese_Programme!B292="","",Synthese_Programme!B292)</f>
        <v/>
      </c>
      <c r="C292" s="92" t="str">
        <f>IF(OR(Synthese_Programme!M292="Réservé",Synthese_Programme!M292="Acté",Synthese_Programme!M292="réservé",Synthese_Programme!M292="acté"),Synthese_Programme!N292,"")</f>
        <v/>
      </c>
      <c r="D292" s="93"/>
      <c r="E292" s="93"/>
      <c r="F292" s="93"/>
      <c r="G292" s="93"/>
      <c r="H292" s="93"/>
      <c r="I292" s="98"/>
      <c r="J292" s="94" t="str">
        <f>IF(OR(Synthese_Programme!M292="Réservé",Synthese_Programme!M292="Acté",Synthese_Programme!M292="réservé",Synthese_Programme!M292="acté"),Synthese_Programme!P292,"")</f>
        <v/>
      </c>
      <c r="K292" s="94" t="str">
        <f t="shared" si="8"/>
        <v/>
      </c>
      <c r="L292" s="92"/>
      <c r="M292" s="93"/>
      <c r="N292" s="93"/>
      <c r="O292" s="93"/>
      <c r="P292" s="92" t="str">
        <f t="shared" si="9"/>
        <v/>
      </c>
      <c r="Q292" s="94" t="str">
        <f>IF(Synthese_Programme!Q292="","",Synthese_Programme!Q292)</f>
        <v/>
      </c>
      <c r="R292" s="92"/>
      <c r="S292" s="93"/>
      <c r="T292" s="93"/>
    </row>
    <row r="293" spans="1:20" s="8" customFormat="1" ht="26" customHeight="1" x14ac:dyDescent="0.45">
      <c r="A293" s="92" t="str">
        <f>IF(Synthese_Programme!A293="","",Synthese_Programme!A293)</f>
        <v/>
      </c>
      <c r="B293" s="92" t="str">
        <f>IF(Synthese_Programme!B293="","",Synthese_Programme!B293)</f>
        <v/>
      </c>
      <c r="C293" s="92" t="str">
        <f>IF(OR(Synthese_Programme!M293="Réservé",Synthese_Programme!M293="Acté",Synthese_Programme!M293="réservé",Synthese_Programme!M293="acté"),Synthese_Programme!N293,"")</f>
        <v/>
      </c>
      <c r="D293" s="93"/>
      <c r="E293" s="93"/>
      <c r="F293" s="93"/>
      <c r="G293" s="93"/>
      <c r="H293" s="93"/>
      <c r="I293" s="98"/>
      <c r="J293" s="94" t="str">
        <f>IF(OR(Synthese_Programme!M293="Réservé",Synthese_Programme!M293="Acté",Synthese_Programme!M293="réservé",Synthese_Programme!M293="acté"),Synthese_Programme!P293,"")</f>
        <v/>
      </c>
      <c r="K293" s="94" t="str">
        <f t="shared" si="8"/>
        <v/>
      </c>
      <c r="L293" s="92"/>
      <c r="M293" s="93"/>
      <c r="N293" s="93"/>
      <c r="O293" s="93"/>
      <c r="P293" s="92" t="str">
        <f t="shared" si="9"/>
        <v/>
      </c>
      <c r="Q293" s="94" t="str">
        <f>IF(Synthese_Programme!Q293="","",Synthese_Programme!Q293)</f>
        <v/>
      </c>
      <c r="R293" s="92"/>
      <c r="S293" s="93"/>
      <c r="T293" s="93"/>
    </row>
    <row r="294" spans="1:20" s="8" customFormat="1" ht="26" customHeight="1" x14ac:dyDescent="0.45">
      <c r="I294" s="99"/>
      <c r="J294" s="7"/>
      <c r="K294" s="7"/>
      <c r="P294" s="7"/>
      <c r="Q294" s="7"/>
    </row>
    <row r="295" spans="1:20" s="8" customFormat="1" ht="26" customHeight="1" x14ac:dyDescent="0.45">
      <c r="I295" s="99"/>
      <c r="J295" s="7"/>
      <c r="K295" s="7"/>
      <c r="P295" s="7"/>
      <c r="Q295" s="7"/>
    </row>
    <row r="296" spans="1:20" s="8" customFormat="1" ht="26" customHeight="1" x14ac:dyDescent="0.45">
      <c r="I296" s="99"/>
      <c r="J296" s="7"/>
      <c r="K296" s="7"/>
      <c r="P296" s="7"/>
      <c r="Q296" s="7"/>
    </row>
    <row r="297" spans="1:20" s="8" customFormat="1" ht="26" customHeight="1" x14ac:dyDescent="0.45">
      <c r="I297" s="99"/>
      <c r="J297" s="7"/>
      <c r="K297" s="7"/>
      <c r="P297" s="7"/>
      <c r="Q297" s="7"/>
    </row>
    <row r="298" spans="1:20" s="8" customFormat="1" ht="26" customHeight="1" x14ac:dyDescent="0.45">
      <c r="I298" s="99"/>
      <c r="J298" s="7"/>
      <c r="K298" s="7"/>
      <c r="P298" s="7"/>
      <c r="Q298" s="7"/>
    </row>
    <row r="299" spans="1:20" s="8" customFormat="1" ht="26" customHeight="1" x14ac:dyDescent="0.45">
      <c r="I299" s="99"/>
      <c r="J299" s="7"/>
      <c r="K299" s="7"/>
      <c r="P299" s="7"/>
      <c r="Q299" s="7"/>
    </row>
    <row r="300" spans="1:20" s="8" customFormat="1" ht="26" customHeight="1" x14ac:dyDescent="0.45">
      <c r="I300" s="99"/>
      <c r="J300" s="7"/>
      <c r="K300" s="7"/>
      <c r="P300" s="7"/>
      <c r="Q300" s="7"/>
    </row>
    <row r="301" spans="1:20" s="8" customFormat="1" ht="26" customHeight="1" x14ac:dyDescent="0.45">
      <c r="I301" s="99"/>
      <c r="J301" s="7"/>
      <c r="K301" s="7"/>
      <c r="P301" s="7"/>
      <c r="Q301" s="7"/>
    </row>
    <row r="302" spans="1:20" s="8" customFormat="1" ht="26" customHeight="1" x14ac:dyDescent="0.45">
      <c r="I302" s="99"/>
      <c r="J302" s="7"/>
      <c r="K302" s="7"/>
      <c r="P302" s="7"/>
      <c r="Q302" s="7"/>
    </row>
    <row r="303" spans="1:20" s="8" customFormat="1" ht="26" customHeight="1" x14ac:dyDescent="0.45">
      <c r="I303" s="99"/>
      <c r="J303" s="7"/>
      <c r="K303" s="7"/>
      <c r="P303" s="7"/>
      <c r="Q303" s="7"/>
    </row>
    <row r="304" spans="1:20" s="8" customFormat="1" ht="26" customHeight="1" x14ac:dyDescent="0.45">
      <c r="I304" s="99"/>
      <c r="J304" s="7"/>
      <c r="K304" s="7"/>
      <c r="P304" s="7"/>
      <c r="Q304" s="7"/>
    </row>
    <row r="305" spans="9:17" s="8" customFormat="1" ht="26" customHeight="1" x14ac:dyDescent="0.45">
      <c r="I305" s="99"/>
      <c r="J305" s="7"/>
      <c r="K305" s="7"/>
      <c r="P305" s="7"/>
      <c r="Q305" s="7"/>
    </row>
    <row r="306" spans="9:17" s="8" customFormat="1" ht="26" customHeight="1" x14ac:dyDescent="0.45">
      <c r="I306" s="99"/>
      <c r="J306" s="7"/>
      <c r="K306" s="7"/>
      <c r="P306" s="7"/>
      <c r="Q306" s="7"/>
    </row>
    <row r="307" spans="9:17" s="8" customFormat="1" ht="26" customHeight="1" x14ac:dyDescent="0.45">
      <c r="I307" s="99"/>
      <c r="J307" s="7"/>
      <c r="K307" s="7"/>
      <c r="P307" s="7"/>
      <c r="Q307" s="7"/>
    </row>
    <row r="308" spans="9:17" s="8" customFormat="1" ht="26" customHeight="1" x14ac:dyDescent="0.45">
      <c r="I308" s="99"/>
      <c r="J308" s="7"/>
      <c r="K308" s="7"/>
      <c r="P308" s="7"/>
      <c r="Q308" s="7"/>
    </row>
    <row r="309" spans="9:17" s="8" customFormat="1" ht="26" customHeight="1" x14ac:dyDescent="0.45">
      <c r="I309" s="99"/>
      <c r="J309" s="7"/>
      <c r="K309" s="7"/>
      <c r="P309" s="7"/>
      <c r="Q309" s="7"/>
    </row>
    <row r="310" spans="9:17" s="8" customFormat="1" ht="26" customHeight="1" x14ac:dyDescent="0.45">
      <c r="I310" s="99"/>
      <c r="J310" s="7"/>
      <c r="K310" s="7"/>
      <c r="P310" s="7"/>
      <c r="Q310" s="7"/>
    </row>
    <row r="311" spans="9:17" s="8" customFormat="1" ht="26" customHeight="1" x14ac:dyDescent="0.45">
      <c r="I311" s="99"/>
      <c r="J311" s="7"/>
      <c r="K311" s="7"/>
      <c r="P311" s="7"/>
      <c r="Q311" s="7"/>
    </row>
    <row r="312" spans="9:17" s="8" customFormat="1" ht="26" customHeight="1" x14ac:dyDescent="0.45">
      <c r="I312" s="99"/>
      <c r="J312" s="7"/>
      <c r="K312" s="7"/>
      <c r="P312" s="7"/>
      <c r="Q312" s="7"/>
    </row>
    <row r="313" spans="9:17" s="8" customFormat="1" ht="26" customHeight="1" x14ac:dyDescent="0.45">
      <c r="I313" s="99"/>
      <c r="J313" s="7"/>
      <c r="K313" s="7"/>
      <c r="P313" s="7"/>
      <c r="Q313" s="7"/>
    </row>
    <row r="314" spans="9:17" s="8" customFormat="1" ht="26" customHeight="1" x14ac:dyDescent="0.45">
      <c r="I314" s="99"/>
      <c r="J314" s="7"/>
      <c r="K314" s="7"/>
      <c r="P314" s="7"/>
      <c r="Q314" s="7"/>
    </row>
    <row r="315" spans="9:17" s="8" customFormat="1" ht="26" customHeight="1" x14ac:dyDescent="0.45">
      <c r="I315" s="99"/>
      <c r="J315" s="7"/>
      <c r="K315" s="7"/>
      <c r="P315" s="7"/>
      <c r="Q315" s="7"/>
    </row>
  </sheetData>
  <sheetProtection algorithmName="SHA-512" hashValue="yeKFFtAr8sqBjejVaLbBsh4wdZEkWyHSuep6Etc7nbOjNRkGIluSkY97NZmZgkIdB3+cZfirhAKHEi9TufOVYg==" saltValue="kzbMkoyCM0RMiyf6ChJfYw==" spinCount="100000" sheet="1" objects="1" scenarios="1" selectLockedCells="1"/>
  <mergeCells count="2">
    <mergeCell ref="A1:T1"/>
    <mergeCell ref="A2:T2"/>
  </mergeCells>
  <conditionalFormatting sqref="L8:L293">
    <cfRule type="expression" dxfId="77" priority="3">
      <formula>AND($Q8="",$O8="",TODAY()&gt;=$K8-15)</formula>
    </cfRule>
  </conditionalFormatting>
  <conditionalFormatting sqref="R8:R293">
    <cfRule type="expression" dxfId="76" priority="4">
      <formula>AND($Q8="",TODAY()&gt;=$P8-30)</formula>
    </cfRule>
  </conditionalFormatting>
  <dataValidations count="1">
    <dataValidation type="list" allowBlank="1" sqref="S8:T293" xr:uid="{00000000-0002-0000-0000-000000000000}">
      <formula1>"Oui,Non"</formula1>
    </dataValidation>
  </dataValidations>
  <hyperlinks>
    <hyperlink ref="I8" r:id="rId1" xr:uid="{5FD65891-0BF9-43DC-BB61-F97BD08E9986}"/>
    <hyperlink ref="I9" r:id="rId2" xr:uid="{BF2AEA00-ED6A-4A8D-A3E6-D27ECFEDCF2F}"/>
    <hyperlink ref="I14" r:id="rId3" xr:uid="{82634A33-8271-4242-9808-4A529EEF541D}"/>
    <hyperlink ref="I16" r:id="rId4" xr:uid="{A11BCAFF-3906-4966-9D38-54DE651F6F10}"/>
    <hyperlink ref="I18" r:id="rId5" xr:uid="{A3BD9BF0-96D0-4EBB-BF52-C9601BF6B294}"/>
    <hyperlink ref="I13" r:id="rId6" xr:uid="{902D8909-2097-43AD-8C3A-D83BDA37B9D1}"/>
    <hyperlink ref="I15" r:id="rId7" xr:uid="{973F2D49-A731-42B1-80A6-049A4B4D0BF6}"/>
    <hyperlink ref="I11" r:id="rId8" xr:uid="{9325D05C-AF5D-45EC-A211-F6DE0C475D56}"/>
  </hyperlinks>
  <pageMargins left="0.7" right="0.7" top="0.75" bottom="0.75" header="0.3" footer="0.3"/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T293"/>
  <sheetViews>
    <sheetView zoomScale="78" zoomScaleNormal="78" workbookViewId="0">
      <selection activeCell="P17" sqref="P17"/>
    </sheetView>
  </sheetViews>
  <sheetFormatPr baseColWidth="10" defaultColWidth="9.06640625" defaultRowHeight="14.25" x14ac:dyDescent="0.45"/>
  <cols>
    <col min="1" max="1" width="12.1328125" style="2" customWidth="1"/>
    <col min="2" max="2" width="23.33203125" style="2" customWidth="1"/>
    <col min="3" max="3" width="12.9296875" style="2" customWidth="1"/>
    <col min="4" max="4" width="10.3984375" style="2" customWidth="1"/>
    <col min="5" max="5" width="12.3984375" style="2" customWidth="1"/>
    <col min="6" max="6" width="18" style="2" customWidth="1"/>
    <col min="7" max="7" width="14.796875" style="3" customWidth="1"/>
    <col min="8" max="8" width="19.06640625" style="3" customWidth="1"/>
    <col min="9" max="9" width="9.73046875" style="3" customWidth="1"/>
    <col min="10" max="10" width="18.1328125" style="3" customWidth="1"/>
    <col min="11" max="11" width="15.265625" style="4" bestFit="1" customWidth="1"/>
    <col min="12" max="12" width="10.3984375" style="4" customWidth="1"/>
    <col min="13" max="13" width="10.53125" style="2" customWidth="1"/>
    <col min="14" max="14" width="27.33203125" style="2" customWidth="1"/>
    <col min="15" max="15" width="13.19921875" style="2" customWidth="1"/>
    <col min="16" max="16" width="12.9296875" style="2" customWidth="1"/>
    <col min="17" max="17" width="13.19921875" style="2" customWidth="1"/>
    <col min="18" max="18" width="30.3984375" style="2" customWidth="1"/>
    <col min="19" max="40" width="9.06640625" style="2" customWidth="1"/>
    <col min="41" max="16384" width="9.06640625" style="2"/>
  </cols>
  <sheetData>
    <row r="1" spans="1:20" ht="46.15" customHeight="1" x14ac:dyDescent="0.45">
      <c r="A1" s="156" t="s">
        <v>166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8"/>
    </row>
    <row r="2" spans="1:20" s="17" customFormat="1" ht="80" customHeight="1" x14ac:dyDescent="0.45">
      <c r="A2" s="159" t="s">
        <v>190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</row>
    <row r="3" spans="1:20" s="17" customFormat="1" ht="30.75" customHeight="1" x14ac:dyDescent="0.45">
      <c r="A3" s="107" t="s">
        <v>158</v>
      </c>
      <c r="B3" s="108" t="s">
        <v>196</v>
      </c>
      <c r="C3" s="109" t="s">
        <v>2</v>
      </c>
      <c r="D3" s="110">
        <v>12</v>
      </c>
      <c r="E3" s="18"/>
      <c r="F3" s="18"/>
      <c r="G3" s="44"/>
      <c r="H3" s="111"/>
      <c r="I3" s="112"/>
      <c r="K3" s="114"/>
      <c r="L3" s="114"/>
      <c r="M3" s="115"/>
      <c r="N3" s="115"/>
      <c r="O3" s="113" t="s">
        <v>164</v>
      </c>
      <c r="P3" s="122" t="s">
        <v>60</v>
      </c>
      <c r="Q3" s="123" t="s">
        <v>74</v>
      </c>
      <c r="R3" s="116"/>
    </row>
    <row r="4" spans="1:20" s="18" customFormat="1" ht="28.5" customHeight="1" x14ac:dyDescent="0.45">
      <c r="A4" s="117" t="s">
        <v>0</v>
      </c>
      <c r="B4" s="108" t="s">
        <v>153</v>
      </c>
      <c r="C4" s="109" t="s">
        <v>3</v>
      </c>
      <c r="D4" s="118">
        <v>46112</v>
      </c>
      <c r="E4" s="119"/>
      <c r="G4" s="120"/>
      <c r="H4" s="121"/>
      <c r="L4" s="124"/>
      <c r="M4" s="124"/>
      <c r="N4" s="124"/>
      <c r="O4" s="124"/>
      <c r="P4" s="127" t="s">
        <v>51</v>
      </c>
      <c r="Q4" s="124" t="s">
        <v>67</v>
      </c>
      <c r="R4" s="125"/>
    </row>
    <row r="5" spans="1:20" s="18" customFormat="1" ht="29.25" customHeight="1" x14ac:dyDescent="0.45">
      <c r="A5" s="117" t="s">
        <v>1</v>
      </c>
      <c r="B5" s="108" t="s">
        <v>5</v>
      </c>
      <c r="C5" s="44"/>
      <c r="D5" s="44"/>
      <c r="H5" s="126"/>
      <c r="L5" s="124"/>
      <c r="M5" s="124"/>
      <c r="N5" s="124"/>
      <c r="R5" s="124"/>
    </row>
    <row r="6" spans="1:20" s="18" customFormat="1" ht="27.85" customHeight="1" x14ac:dyDescent="0.45">
      <c r="A6" s="128"/>
      <c r="B6" s="129"/>
      <c r="C6" s="130"/>
      <c r="D6" s="130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</row>
    <row r="7" spans="1:20" ht="42.75" customHeight="1" x14ac:dyDescent="0.45">
      <c r="A7" s="37" t="s">
        <v>154</v>
      </c>
      <c r="B7" s="38" t="s">
        <v>4</v>
      </c>
      <c r="C7" s="38" t="s">
        <v>30</v>
      </c>
      <c r="D7" s="38" t="s">
        <v>31</v>
      </c>
      <c r="E7" s="38" t="s">
        <v>32</v>
      </c>
      <c r="F7" s="38" t="s">
        <v>33</v>
      </c>
      <c r="G7" s="39" t="s">
        <v>34</v>
      </c>
      <c r="H7" s="39" t="s">
        <v>35</v>
      </c>
      <c r="I7" s="40" t="s">
        <v>36</v>
      </c>
      <c r="J7" s="39" t="s">
        <v>37</v>
      </c>
      <c r="K7" s="41" t="s">
        <v>38</v>
      </c>
      <c r="L7" s="41" t="s">
        <v>39</v>
      </c>
      <c r="M7" s="38" t="s">
        <v>40</v>
      </c>
      <c r="N7" s="38" t="s">
        <v>6</v>
      </c>
      <c r="O7" s="38" t="s">
        <v>41</v>
      </c>
      <c r="P7" s="42" t="s">
        <v>13</v>
      </c>
      <c r="Q7" s="38" t="s">
        <v>42</v>
      </c>
      <c r="R7" s="43" t="s">
        <v>43</v>
      </c>
    </row>
    <row r="8" spans="1:20" ht="24" customHeight="1" x14ac:dyDescent="0.45">
      <c r="A8" s="48">
        <v>1</v>
      </c>
      <c r="B8" s="49" t="s">
        <v>44</v>
      </c>
      <c r="C8" s="49" t="s">
        <v>45</v>
      </c>
      <c r="D8" s="49" t="s">
        <v>103</v>
      </c>
      <c r="E8" s="49" t="s">
        <v>47</v>
      </c>
      <c r="F8" s="49">
        <v>45.02</v>
      </c>
      <c r="G8" s="50" t="s">
        <v>48</v>
      </c>
      <c r="H8" s="50" t="s">
        <v>49</v>
      </c>
      <c r="I8" s="50" t="s">
        <v>50</v>
      </c>
      <c r="J8" s="50" t="s">
        <v>50</v>
      </c>
      <c r="K8" s="51">
        <v>260000</v>
      </c>
      <c r="L8" s="35">
        <f t="shared" ref="L8:L68" si="0">IF(F8&gt;0,K8/F8,"")</f>
        <v>5775.2110173256324</v>
      </c>
      <c r="M8" s="49" t="str">
        <f t="shared" ref="M8:M68" si="1">IF(A8="","",IF(Q8&lt;&gt;"","Acté",IF(P8&lt;&gt;"","Réservé",IF(O8&lt;&gt;"","Option","Libre"))))</f>
        <v>Réservé</v>
      </c>
      <c r="N8" s="49" t="s">
        <v>52</v>
      </c>
      <c r="O8" s="58"/>
      <c r="P8" s="58">
        <v>45700</v>
      </c>
      <c r="Q8" s="49"/>
      <c r="R8" s="59"/>
      <c r="T8" s="2" t="str">
        <f>IF(AND(D8="T3",M8="Acté"),K8,"")</f>
        <v/>
      </c>
    </row>
    <row r="9" spans="1:20" ht="24" customHeight="1" x14ac:dyDescent="0.45">
      <c r="A9" s="48">
        <v>2</v>
      </c>
      <c r="B9" s="49" t="s">
        <v>53</v>
      </c>
      <c r="C9" s="49" t="s">
        <v>45</v>
      </c>
      <c r="D9" s="49" t="s">
        <v>54</v>
      </c>
      <c r="E9" s="49" t="s">
        <v>55</v>
      </c>
      <c r="F9" s="49">
        <v>63.12</v>
      </c>
      <c r="G9" s="50" t="s">
        <v>56</v>
      </c>
      <c r="H9" s="50" t="s">
        <v>57</v>
      </c>
      <c r="I9" s="50" t="s">
        <v>58</v>
      </c>
      <c r="J9" s="50" t="s">
        <v>59</v>
      </c>
      <c r="K9" s="51">
        <v>370000</v>
      </c>
      <c r="L9" s="35">
        <f t="shared" si="0"/>
        <v>5861.8504435994937</v>
      </c>
      <c r="M9" s="49" t="str">
        <f t="shared" si="1"/>
        <v>Acté</v>
      </c>
      <c r="N9" s="49" t="s">
        <v>61</v>
      </c>
      <c r="O9" s="49"/>
      <c r="P9" s="58">
        <v>45575</v>
      </c>
      <c r="Q9" s="58">
        <v>45759</v>
      </c>
      <c r="R9" s="59"/>
    </row>
    <row r="10" spans="1:20" ht="24" customHeight="1" x14ac:dyDescent="0.45">
      <c r="A10" s="48">
        <v>3</v>
      </c>
      <c r="B10" s="49" t="s">
        <v>62</v>
      </c>
      <c r="C10" s="49" t="s">
        <v>45</v>
      </c>
      <c r="D10" s="49" t="s">
        <v>54</v>
      </c>
      <c r="E10" s="49" t="s">
        <v>47</v>
      </c>
      <c r="F10" s="49">
        <v>64.25</v>
      </c>
      <c r="G10" s="50" t="s">
        <v>63</v>
      </c>
      <c r="H10" s="50" t="s">
        <v>64</v>
      </c>
      <c r="I10" s="50" t="s">
        <v>65</v>
      </c>
      <c r="J10" s="50" t="s">
        <v>66</v>
      </c>
      <c r="K10" s="51">
        <v>380000</v>
      </c>
      <c r="L10" s="35">
        <f t="shared" si="0"/>
        <v>5914.3968871595334</v>
      </c>
      <c r="M10" s="49" t="str">
        <f t="shared" si="1"/>
        <v>Libre</v>
      </c>
      <c r="N10" s="49"/>
      <c r="O10" s="49"/>
      <c r="P10" s="49"/>
      <c r="Q10" s="49"/>
      <c r="R10" s="59"/>
    </row>
    <row r="11" spans="1:20" ht="24" customHeight="1" x14ac:dyDescent="0.45">
      <c r="A11" s="48">
        <v>4</v>
      </c>
      <c r="B11" s="49" t="s">
        <v>68</v>
      </c>
      <c r="C11" s="49" t="s">
        <v>45</v>
      </c>
      <c r="D11" s="49" t="s">
        <v>46</v>
      </c>
      <c r="E11" s="49" t="s">
        <v>69</v>
      </c>
      <c r="F11" s="49">
        <v>45.15</v>
      </c>
      <c r="G11" s="50" t="s">
        <v>70</v>
      </c>
      <c r="H11" s="50" t="s">
        <v>71</v>
      </c>
      <c r="I11" s="50" t="s">
        <v>72</v>
      </c>
      <c r="J11" s="50" t="s">
        <v>73</v>
      </c>
      <c r="K11" s="51">
        <v>262000</v>
      </c>
      <c r="L11" s="35">
        <f t="shared" si="0"/>
        <v>5802.8792912513845</v>
      </c>
      <c r="M11" s="49" t="str">
        <f t="shared" si="1"/>
        <v>Réservé</v>
      </c>
      <c r="N11" s="49" t="s">
        <v>75</v>
      </c>
      <c r="O11" s="58"/>
      <c r="P11" s="58">
        <v>45719</v>
      </c>
      <c r="Q11" s="49"/>
      <c r="R11" s="59"/>
    </row>
    <row r="12" spans="1:20" ht="24" customHeight="1" x14ac:dyDescent="0.45">
      <c r="A12" s="48">
        <v>5</v>
      </c>
      <c r="B12" s="49" t="s">
        <v>76</v>
      </c>
      <c r="C12" s="49" t="s">
        <v>77</v>
      </c>
      <c r="D12" s="49" t="s">
        <v>46</v>
      </c>
      <c r="E12" s="49" t="s">
        <v>47</v>
      </c>
      <c r="F12" s="49">
        <v>45.02</v>
      </c>
      <c r="G12" s="50" t="s">
        <v>78</v>
      </c>
      <c r="H12" s="50"/>
      <c r="I12" s="50" t="s">
        <v>73</v>
      </c>
      <c r="J12" s="50" t="s">
        <v>72</v>
      </c>
      <c r="K12" s="51">
        <v>270000</v>
      </c>
      <c r="L12" s="35">
        <f t="shared" si="0"/>
        <v>5997.3345179920034</v>
      </c>
      <c r="M12" s="49" t="str">
        <f t="shared" si="1"/>
        <v>Libre</v>
      </c>
      <c r="N12" s="49"/>
      <c r="O12" s="49"/>
      <c r="P12" s="58"/>
      <c r="Q12" s="49"/>
      <c r="R12" s="59"/>
    </row>
    <row r="13" spans="1:20" ht="24" customHeight="1" x14ac:dyDescent="0.45">
      <c r="A13" s="48">
        <v>6</v>
      </c>
      <c r="B13" s="49" t="s">
        <v>79</v>
      </c>
      <c r="C13" s="49" t="s">
        <v>77</v>
      </c>
      <c r="D13" s="49" t="s">
        <v>89</v>
      </c>
      <c r="E13" s="49" t="s">
        <v>47</v>
      </c>
      <c r="F13" s="49">
        <v>85.17</v>
      </c>
      <c r="G13" s="50" t="s">
        <v>78</v>
      </c>
      <c r="H13" s="50"/>
      <c r="I13" s="50" t="s">
        <v>80</v>
      </c>
      <c r="J13" s="50" t="s">
        <v>81</v>
      </c>
      <c r="K13" s="51">
        <v>525000</v>
      </c>
      <c r="L13" s="35">
        <f t="shared" si="0"/>
        <v>6164.1423036280376</v>
      </c>
      <c r="M13" s="49" t="str">
        <f t="shared" si="1"/>
        <v>Réservé</v>
      </c>
      <c r="N13" s="49" t="s">
        <v>121</v>
      </c>
      <c r="O13" s="49"/>
      <c r="P13" s="58">
        <v>45795</v>
      </c>
      <c r="Q13" s="49"/>
      <c r="R13" s="59"/>
    </row>
    <row r="14" spans="1:20" ht="24" customHeight="1" x14ac:dyDescent="0.45">
      <c r="A14" s="48">
        <v>7</v>
      </c>
      <c r="B14" s="49" t="s">
        <v>82</v>
      </c>
      <c r="C14" s="49" t="s">
        <v>77</v>
      </c>
      <c r="D14" s="49" t="s">
        <v>54</v>
      </c>
      <c r="E14" s="49" t="s">
        <v>69</v>
      </c>
      <c r="F14" s="49">
        <v>64.25</v>
      </c>
      <c r="G14" s="50" t="s">
        <v>78</v>
      </c>
      <c r="H14" s="50"/>
      <c r="I14" s="50" t="s">
        <v>83</v>
      </c>
      <c r="J14" s="50" t="s">
        <v>84</v>
      </c>
      <c r="K14" s="51">
        <v>390000</v>
      </c>
      <c r="L14" s="35">
        <f t="shared" si="0"/>
        <v>6070.0389105058366</v>
      </c>
      <c r="M14" s="49" t="str">
        <f t="shared" si="1"/>
        <v>Acté</v>
      </c>
      <c r="N14" s="49" t="s">
        <v>85</v>
      </c>
      <c r="O14" s="49"/>
      <c r="P14" s="58">
        <v>45609</v>
      </c>
      <c r="Q14" s="58">
        <v>45759</v>
      </c>
      <c r="R14" s="59"/>
    </row>
    <row r="15" spans="1:20" ht="24" customHeight="1" x14ac:dyDescent="0.45">
      <c r="A15" s="48">
        <v>8</v>
      </c>
      <c r="B15" s="49" t="s">
        <v>86</v>
      </c>
      <c r="C15" s="49" t="s">
        <v>77</v>
      </c>
      <c r="D15" s="49" t="s">
        <v>46</v>
      </c>
      <c r="E15" s="49" t="s">
        <v>206</v>
      </c>
      <c r="F15" s="49">
        <v>45.15</v>
      </c>
      <c r="G15" s="50" t="s">
        <v>78</v>
      </c>
      <c r="H15" s="50"/>
      <c r="I15" s="50" t="s">
        <v>87</v>
      </c>
      <c r="J15" s="50" t="s">
        <v>211</v>
      </c>
      <c r="K15" s="51">
        <v>280000</v>
      </c>
      <c r="L15" s="35">
        <f t="shared" si="0"/>
        <v>6201.5503875968998</v>
      </c>
      <c r="M15" s="49" t="str">
        <f t="shared" si="1"/>
        <v>Option</v>
      </c>
      <c r="N15" s="49" t="s">
        <v>216</v>
      </c>
      <c r="O15" s="58">
        <v>45775</v>
      </c>
      <c r="P15" s="49"/>
      <c r="Q15" s="49"/>
      <c r="R15" s="59"/>
    </row>
    <row r="16" spans="1:20" ht="24" customHeight="1" x14ac:dyDescent="0.45">
      <c r="A16" s="48">
        <v>9</v>
      </c>
      <c r="B16" s="49" t="s">
        <v>202</v>
      </c>
      <c r="C16" s="49" t="s">
        <v>88</v>
      </c>
      <c r="D16" s="49" t="s">
        <v>46</v>
      </c>
      <c r="E16" s="49" t="s">
        <v>47</v>
      </c>
      <c r="F16" s="49">
        <v>45.02</v>
      </c>
      <c r="G16" s="50" t="s">
        <v>78</v>
      </c>
      <c r="H16" s="50"/>
      <c r="I16" s="50" t="s">
        <v>207</v>
      </c>
      <c r="J16" s="50" t="s">
        <v>212</v>
      </c>
      <c r="K16" s="51">
        <v>280000</v>
      </c>
      <c r="L16" s="35">
        <f t="shared" si="0"/>
        <v>6219.4580186583735</v>
      </c>
      <c r="M16" s="49" t="str">
        <f t="shared" si="1"/>
        <v>Acté</v>
      </c>
      <c r="N16" s="49" t="s">
        <v>215</v>
      </c>
      <c r="O16" s="49"/>
      <c r="P16" s="58">
        <v>45667</v>
      </c>
      <c r="Q16" s="58">
        <v>45759</v>
      </c>
      <c r="R16" s="59"/>
    </row>
    <row r="17" spans="1:18" ht="24" customHeight="1" x14ac:dyDescent="0.45">
      <c r="A17" s="48">
        <v>10</v>
      </c>
      <c r="B17" s="49" t="s">
        <v>203</v>
      </c>
      <c r="C17" s="49" t="s">
        <v>88</v>
      </c>
      <c r="D17" s="49" t="s">
        <v>89</v>
      </c>
      <c r="E17" s="49" t="s">
        <v>47</v>
      </c>
      <c r="F17" s="49">
        <v>85.17</v>
      </c>
      <c r="G17" s="50" t="s">
        <v>78</v>
      </c>
      <c r="H17" s="50"/>
      <c r="I17" s="50" t="s">
        <v>208</v>
      </c>
      <c r="J17" s="50" t="s">
        <v>213</v>
      </c>
      <c r="K17" s="51">
        <v>535000</v>
      </c>
      <c r="L17" s="35">
        <f t="shared" si="0"/>
        <v>6281.5545379828573</v>
      </c>
      <c r="M17" s="49" t="str">
        <f t="shared" si="1"/>
        <v>Libre</v>
      </c>
      <c r="N17" s="49"/>
      <c r="O17" s="58"/>
      <c r="P17" s="49"/>
      <c r="Q17" s="49"/>
      <c r="R17" s="59"/>
    </row>
    <row r="18" spans="1:18" ht="24" customHeight="1" x14ac:dyDescent="0.45">
      <c r="A18" s="48">
        <v>11</v>
      </c>
      <c r="B18" s="49" t="s">
        <v>204</v>
      </c>
      <c r="C18" s="49" t="s">
        <v>88</v>
      </c>
      <c r="D18" s="49" t="s">
        <v>54</v>
      </c>
      <c r="E18" s="49" t="s">
        <v>69</v>
      </c>
      <c r="F18" s="49">
        <v>64.25</v>
      </c>
      <c r="G18" s="50" t="s">
        <v>78</v>
      </c>
      <c r="H18" s="50"/>
      <c r="I18" s="50" t="s">
        <v>209</v>
      </c>
      <c r="J18" s="50" t="s">
        <v>87</v>
      </c>
      <c r="K18" s="51">
        <v>400000</v>
      </c>
      <c r="L18" s="35">
        <f t="shared" si="0"/>
        <v>6225.6809338521398</v>
      </c>
      <c r="M18" s="49" t="str">
        <f t="shared" si="1"/>
        <v>Réservé</v>
      </c>
      <c r="N18" s="49" t="s">
        <v>214</v>
      </c>
      <c r="O18" s="49"/>
      <c r="P18" s="58">
        <v>45704</v>
      </c>
      <c r="Q18" s="58"/>
      <c r="R18" s="59"/>
    </row>
    <row r="19" spans="1:18" ht="24" customHeight="1" x14ac:dyDescent="0.45">
      <c r="A19" s="48">
        <v>12</v>
      </c>
      <c r="B19" s="49" t="s">
        <v>205</v>
      </c>
      <c r="C19" s="49" t="s">
        <v>88</v>
      </c>
      <c r="D19" s="49" t="s">
        <v>46</v>
      </c>
      <c r="E19" s="49" t="s">
        <v>206</v>
      </c>
      <c r="F19" s="49">
        <v>45.15</v>
      </c>
      <c r="G19" s="50" t="s">
        <v>78</v>
      </c>
      <c r="H19" s="50"/>
      <c r="I19" s="50" t="s">
        <v>210</v>
      </c>
      <c r="J19" s="50" t="s">
        <v>207</v>
      </c>
      <c r="K19" s="51">
        <v>290000</v>
      </c>
      <c r="L19" s="35">
        <f t="shared" si="0"/>
        <v>6423.0343300110744</v>
      </c>
      <c r="M19" s="49" t="str">
        <f t="shared" si="1"/>
        <v>Libre</v>
      </c>
      <c r="N19" s="49"/>
      <c r="O19" s="49"/>
      <c r="P19" s="49"/>
      <c r="Q19" s="49"/>
      <c r="R19" s="59"/>
    </row>
    <row r="20" spans="1:18" ht="24" customHeight="1" x14ac:dyDescent="0.45">
      <c r="A20" s="48"/>
      <c r="B20" s="49"/>
      <c r="C20" s="49"/>
      <c r="D20" s="49"/>
      <c r="E20" s="49"/>
      <c r="F20" s="49"/>
      <c r="G20" s="50"/>
      <c r="H20" s="50"/>
      <c r="I20" s="50"/>
      <c r="J20" s="52"/>
      <c r="K20" s="53"/>
      <c r="L20" s="35" t="str">
        <f t="shared" si="0"/>
        <v/>
      </c>
      <c r="M20" s="49" t="str">
        <f t="shared" si="1"/>
        <v/>
      </c>
      <c r="N20" s="49"/>
      <c r="O20" s="49"/>
      <c r="P20" s="49"/>
      <c r="Q20" s="49"/>
      <c r="R20" s="59"/>
    </row>
    <row r="21" spans="1:18" ht="24" customHeight="1" x14ac:dyDescent="0.45">
      <c r="A21" s="48"/>
      <c r="B21" s="49"/>
      <c r="C21" s="49"/>
      <c r="D21" s="49"/>
      <c r="E21" s="49"/>
      <c r="F21" s="49"/>
      <c r="G21" s="50"/>
      <c r="H21" s="50"/>
      <c r="I21" s="50"/>
      <c r="J21" s="50"/>
      <c r="K21" s="51"/>
      <c r="L21" s="35" t="str">
        <f t="shared" si="0"/>
        <v/>
      </c>
      <c r="M21" s="49" t="str">
        <f t="shared" si="1"/>
        <v/>
      </c>
      <c r="N21" s="49"/>
      <c r="O21" s="49"/>
      <c r="P21" s="49"/>
      <c r="Q21" s="49"/>
      <c r="R21" s="59"/>
    </row>
    <row r="22" spans="1:18" ht="24" customHeight="1" x14ac:dyDescent="0.45">
      <c r="A22" s="48"/>
      <c r="B22" s="49"/>
      <c r="C22" s="49"/>
      <c r="D22" s="49"/>
      <c r="E22" s="49"/>
      <c r="F22" s="49"/>
      <c r="G22" s="50"/>
      <c r="H22" s="50"/>
      <c r="I22" s="50"/>
      <c r="J22" s="50"/>
      <c r="K22" s="51"/>
      <c r="L22" s="35" t="str">
        <f t="shared" si="0"/>
        <v/>
      </c>
      <c r="M22" s="49" t="str">
        <f t="shared" si="1"/>
        <v/>
      </c>
      <c r="N22" s="49"/>
      <c r="O22" s="49"/>
      <c r="P22" s="49"/>
      <c r="Q22" s="49"/>
      <c r="R22" s="59"/>
    </row>
    <row r="23" spans="1:18" ht="24" customHeight="1" x14ac:dyDescent="0.45">
      <c r="A23" s="48"/>
      <c r="B23" s="49"/>
      <c r="C23" s="49"/>
      <c r="D23" s="49"/>
      <c r="E23" s="49"/>
      <c r="F23" s="49"/>
      <c r="G23" s="50"/>
      <c r="H23" s="50"/>
      <c r="I23" s="50"/>
      <c r="J23" s="50"/>
      <c r="K23" s="51"/>
      <c r="L23" s="35" t="str">
        <f t="shared" si="0"/>
        <v/>
      </c>
      <c r="M23" s="49" t="str">
        <f t="shared" si="1"/>
        <v/>
      </c>
      <c r="N23" s="49"/>
      <c r="O23" s="49"/>
      <c r="P23" s="49"/>
      <c r="Q23" s="49"/>
      <c r="R23" s="59"/>
    </row>
    <row r="24" spans="1:18" ht="24" customHeight="1" x14ac:dyDescent="0.45">
      <c r="A24" s="48"/>
      <c r="B24" s="49"/>
      <c r="C24" s="49"/>
      <c r="D24" s="49"/>
      <c r="E24" s="49"/>
      <c r="F24" s="49"/>
      <c r="G24" s="50"/>
      <c r="H24" s="50"/>
      <c r="I24" s="50"/>
      <c r="J24" s="50"/>
      <c r="K24" s="51"/>
      <c r="L24" s="35" t="str">
        <f t="shared" si="0"/>
        <v/>
      </c>
      <c r="M24" s="49" t="str">
        <f t="shared" si="1"/>
        <v/>
      </c>
      <c r="N24" s="49"/>
      <c r="O24" s="49"/>
      <c r="P24" s="49"/>
      <c r="Q24" s="49"/>
      <c r="R24" s="59"/>
    </row>
    <row r="25" spans="1:18" ht="24" customHeight="1" x14ac:dyDescent="0.45">
      <c r="A25" s="48"/>
      <c r="B25" s="49"/>
      <c r="C25" s="49"/>
      <c r="D25" s="49"/>
      <c r="E25" s="49"/>
      <c r="F25" s="49"/>
      <c r="G25" s="50"/>
      <c r="H25" s="50"/>
      <c r="I25" s="50"/>
      <c r="J25" s="50"/>
      <c r="K25" s="51"/>
      <c r="L25" s="35" t="str">
        <f t="shared" si="0"/>
        <v/>
      </c>
      <c r="M25" s="49" t="str">
        <f t="shared" si="1"/>
        <v/>
      </c>
      <c r="N25" s="49"/>
      <c r="O25" s="49"/>
      <c r="P25" s="49"/>
      <c r="Q25" s="49"/>
      <c r="R25" s="59"/>
    </row>
    <row r="26" spans="1:18" ht="24" customHeight="1" x14ac:dyDescent="0.45">
      <c r="A26" s="48"/>
      <c r="B26" s="49"/>
      <c r="C26" s="49"/>
      <c r="D26" s="49"/>
      <c r="E26" s="49"/>
      <c r="F26" s="49"/>
      <c r="G26" s="50"/>
      <c r="H26" s="50"/>
      <c r="I26" s="50"/>
      <c r="J26" s="50"/>
      <c r="K26" s="51"/>
      <c r="L26" s="35" t="str">
        <f t="shared" si="0"/>
        <v/>
      </c>
      <c r="M26" s="49" t="str">
        <f t="shared" si="1"/>
        <v/>
      </c>
      <c r="N26" s="49"/>
      <c r="O26" s="49"/>
      <c r="P26" s="49"/>
      <c r="Q26" s="49"/>
      <c r="R26" s="59"/>
    </row>
    <row r="27" spans="1:18" ht="24" customHeight="1" x14ac:dyDescent="0.45">
      <c r="A27" s="48"/>
      <c r="B27" s="49"/>
      <c r="C27" s="49"/>
      <c r="D27" s="49"/>
      <c r="E27" s="49"/>
      <c r="F27" s="49"/>
      <c r="G27" s="50"/>
      <c r="H27" s="50"/>
      <c r="I27" s="50"/>
      <c r="J27" s="50"/>
      <c r="K27" s="51"/>
      <c r="L27" s="35" t="str">
        <f t="shared" si="0"/>
        <v/>
      </c>
      <c r="M27" s="49" t="str">
        <f t="shared" si="1"/>
        <v/>
      </c>
      <c r="N27" s="49"/>
      <c r="O27" s="49"/>
      <c r="P27" s="49"/>
      <c r="Q27" s="49"/>
      <c r="R27" s="59"/>
    </row>
    <row r="28" spans="1:18" ht="24" customHeight="1" x14ac:dyDescent="0.45">
      <c r="A28" s="48"/>
      <c r="B28" s="49"/>
      <c r="C28" s="49"/>
      <c r="D28" s="49"/>
      <c r="E28" s="49"/>
      <c r="F28" s="49"/>
      <c r="G28" s="50"/>
      <c r="H28" s="50"/>
      <c r="I28" s="50"/>
      <c r="J28" s="50"/>
      <c r="K28" s="51"/>
      <c r="L28" s="35" t="str">
        <f t="shared" si="0"/>
        <v/>
      </c>
      <c r="M28" s="49" t="str">
        <f t="shared" si="1"/>
        <v/>
      </c>
      <c r="N28" s="49"/>
      <c r="O28" s="49"/>
      <c r="P28" s="49"/>
      <c r="Q28" s="49"/>
      <c r="R28" s="59"/>
    </row>
    <row r="29" spans="1:18" ht="24" customHeight="1" x14ac:dyDescent="0.45">
      <c r="A29" s="48"/>
      <c r="B29" s="49"/>
      <c r="C29" s="49"/>
      <c r="D29" s="49"/>
      <c r="E29" s="49"/>
      <c r="F29" s="49"/>
      <c r="G29" s="50"/>
      <c r="H29" s="50"/>
      <c r="I29" s="50"/>
      <c r="J29" s="50"/>
      <c r="K29" s="51"/>
      <c r="L29" s="35" t="str">
        <f t="shared" si="0"/>
        <v/>
      </c>
      <c r="M29" s="49" t="str">
        <f t="shared" si="1"/>
        <v/>
      </c>
      <c r="N29" s="49"/>
      <c r="O29" s="49"/>
      <c r="P29" s="49"/>
      <c r="Q29" s="49"/>
      <c r="R29" s="59"/>
    </row>
    <row r="30" spans="1:18" ht="24" customHeight="1" x14ac:dyDescent="0.45">
      <c r="A30" s="48"/>
      <c r="B30" s="49"/>
      <c r="C30" s="49"/>
      <c r="D30" s="49"/>
      <c r="E30" s="49"/>
      <c r="F30" s="49"/>
      <c r="G30" s="50"/>
      <c r="H30" s="50"/>
      <c r="I30" s="50"/>
      <c r="J30" s="50"/>
      <c r="K30" s="51"/>
      <c r="L30" s="35" t="str">
        <f t="shared" si="0"/>
        <v/>
      </c>
      <c r="M30" s="49" t="str">
        <f t="shared" si="1"/>
        <v/>
      </c>
      <c r="N30" s="49"/>
      <c r="O30" s="49"/>
      <c r="P30" s="49"/>
      <c r="Q30" s="49"/>
      <c r="R30" s="59"/>
    </row>
    <row r="31" spans="1:18" ht="24" customHeight="1" x14ac:dyDescent="0.45">
      <c r="A31" s="48"/>
      <c r="B31" s="49"/>
      <c r="C31" s="49"/>
      <c r="D31" s="49"/>
      <c r="E31" s="49"/>
      <c r="F31" s="49"/>
      <c r="G31" s="50"/>
      <c r="H31" s="50"/>
      <c r="I31" s="50"/>
      <c r="J31" s="50"/>
      <c r="K31" s="51"/>
      <c r="L31" s="35" t="str">
        <f t="shared" si="0"/>
        <v/>
      </c>
      <c r="M31" s="49" t="str">
        <f t="shared" si="1"/>
        <v/>
      </c>
      <c r="N31" s="49"/>
      <c r="O31" s="49"/>
      <c r="P31" s="49"/>
      <c r="Q31" s="49"/>
      <c r="R31" s="59"/>
    </row>
    <row r="32" spans="1:18" ht="24" customHeight="1" x14ac:dyDescent="0.45">
      <c r="A32" s="48"/>
      <c r="B32" s="49"/>
      <c r="C32" s="49"/>
      <c r="D32" s="49"/>
      <c r="E32" s="49"/>
      <c r="F32" s="49"/>
      <c r="G32" s="50"/>
      <c r="H32" s="50"/>
      <c r="I32" s="50"/>
      <c r="J32" s="50"/>
      <c r="K32" s="51"/>
      <c r="L32" s="35" t="str">
        <f t="shared" si="0"/>
        <v/>
      </c>
      <c r="M32" s="49" t="str">
        <f t="shared" si="1"/>
        <v/>
      </c>
      <c r="N32" s="49"/>
      <c r="O32" s="49"/>
      <c r="P32" s="49"/>
      <c r="Q32" s="49"/>
      <c r="R32" s="59"/>
    </row>
    <row r="33" spans="1:18" ht="24" customHeight="1" x14ac:dyDescent="0.45">
      <c r="A33" s="48"/>
      <c r="B33" s="49"/>
      <c r="C33" s="49"/>
      <c r="D33" s="49"/>
      <c r="E33" s="49"/>
      <c r="F33" s="49"/>
      <c r="G33" s="50"/>
      <c r="H33" s="50"/>
      <c r="I33" s="50"/>
      <c r="J33" s="50"/>
      <c r="K33" s="51"/>
      <c r="L33" s="35" t="str">
        <f t="shared" si="0"/>
        <v/>
      </c>
      <c r="M33" s="49" t="str">
        <f t="shared" si="1"/>
        <v/>
      </c>
      <c r="N33" s="49"/>
      <c r="O33" s="49"/>
      <c r="P33" s="49"/>
      <c r="Q33" s="49"/>
      <c r="R33" s="59"/>
    </row>
    <row r="34" spans="1:18" ht="24" customHeight="1" x14ac:dyDescent="0.45">
      <c r="A34" s="48"/>
      <c r="B34" s="49"/>
      <c r="C34" s="49"/>
      <c r="D34" s="49"/>
      <c r="E34" s="49"/>
      <c r="F34" s="49"/>
      <c r="G34" s="50"/>
      <c r="H34" s="50"/>
      <c r="I34" s="50"/>
      <c r="J34" s="50"/>
      <c r="K34" s="51"/>
      <c r="L34" s="35" t="str">
        <f t="shared" si="0"/>
        <v/>
      </c>
      <c r="M34" s="49" t="str">
        <f t="shared" si="1"/>
        <v/>
      </c>
      <c r="N34" s="49"/>
      <c r="O34" s="49"/>
      <c r="P34" s="49"/>
      <c r="Q34" s="49"/>
      <c r="R34" s="59"/>
    </row>
    <row r="35" spans="1:18" ht="24" customHeight="1" x14ac:dyDescent="0.45">
      <c r="A35" s="48"/>
      <c r="B35" s="49"/>
      <c r="C35" s="49"/>
      <c r="D35" s="49"/>
      <c r="E35" s="49"/>
      <c r="F35" s="49"/>
      <c r="G35" s="50"/>
      <c r="H35" s="50"/>
      <c r="I35" s="50"/>
      <c r="J35" s="50"/>
      <c r="K35" s="51"/>
      <c r="L35" s="35" t="str">
        <f t="shared" si="0"/>
        <v/>
      </c>
      <c r="M35" s="49" t="str">
        <f t="shared" si="1"/>
        <v/>
      </c>
      <c r="N35" s="49"/>
      <c r="O35" s="49"/>
      <c r="P35" s="49"/>
      <c r="Q35" s="49"/>
      <c r="R35" s="59"/>
    </row>
    <row r="36" spans="1:18" ht="24" customHeight="1" x14ac:dyDescent="0.45">
      <c r="A36" s="48"/>
      <c r="B36" s="49"/>
      <c r="C36" s="49"/>
      <c r="D36" s="49"/>
      <c r="E36" s="49"/>
      <c r="F36" s="49"/>
      <c r="G36" s="50"/>
      <c r="H36" s="50"/>
      <c r="I36" s="50"/>
      <c r="J36" s="50"/>
      <c r="K36" s="51"/>
      <c r="L36" s="35" t="str">
        <f t="shared" si="0"/>
        <v/>
      </c>
      <c r="M36" s="49" t="str">
        <f t="shared" si="1"/>
        <v/>
      </c>
      <c r="N36" s="49"/>
      <c r="O36" s="49"/>
      <c r="P36" s="49"/>
      <c r="Q36" s="49"/>
      <c r="R36" s="59"/>
    </row>
    <row r="37" spans="1:18" ht="24" customHeight="1" x14ac:dyDescent="0.45">
      <c r="A37" s="48"/>
      <c r="B37" s="49"/>
      <c r="C37" s="49"/>
      <c r="D37" s="49"/>
      <c r="E37" s="49"/>
      <c r="F37" s="49"/>
      <c r="G37" s="50"/>
      <c r="H37" s="50"/>
      <c r="I37" s="50"/>
      <c r="J37" s="50"/>
      <c r="K37" s="51"/>
      <c r="L37" s="35" t="str">
        <f t="shared" si="0"/>
        <v/>
      </c>
      <c r="M37" s="49" t="str">
        <f t="shared" si="1"/>
        <v/>
      </c>
      <c r="N37" s="49"/>
      <c r="O37" s="49"/>
      <c r="P37" s="49"/>
      <c r="Q37" s="49"/>
      <c r="R37" s="59"/>
    </row>
    <row r="38" spans="1:18" ht="24" customHeight="1" x14ac:dyDescent="0.45">
      <c r="A38" s="48"/>
      <c r="B38" s="49"/>
      <c r="C38" s="49"/>
      <c r="D38" s="49"/>
      <c r="E38" s="49"/>
      <c r="F38" s="49"/>
      <c r="G38" s="50"/>
      <c r="H38" s="50"/>
      <c r="I38" s="50"/>
      <c r="J38" s="50"/>
      <c r="K38" s="51"/>
      <c r="L38" s="35" t="str">
        <f t="shared" si="0"/>
        <v/>
      </c>
      <c r="M38" s="49" t="str">
        <f t="shared" si="1"/>
        <v/>
      </c>
      <c r="N38" s="49"/>
      <c r="O38" s="49"/>
      <c r="P38" s="49"/>
      <c r="Q38" s="49"/>
      <c r="R38" s="59"/>
    </row>
    <row r="39" spans="1:18" ht="24" customHeight="1" x14ac:dyDescent="0.45">
      <c r="A39" s="48"/>
      <c r="B39" s="49"/>
      <c r="C39" s="49"/>
      <c r="D39" s="49"/>
      <c r="E39" s="49"/>
      <c r="F39" s="49"/>
      <c r="G39" s="50"/>
      <c r="H39" s="50"/>
      <c r="I39" s="50"/>
      <c r="J39" s="50"/>
      <c r="K39" s="51"/>
      <c r="L39" s="35" t="str">
        <f t="shared" si="0"/>
        <v/>
      </c>
      <c r="M39" s="49" t="str">
        <f t="shared" si="1"/>
        <v/>
      </c>
      <c r="N39" s="49"/>
      <c r="O39" s="49"/>
      <c r="P39" s="49"/>
      <c r="Q39" s="49"/>
      <c r="R39" s="59"/>
    </row>
    <row r="40" spans="1:18" ht="24" customHeight="1" x14ac:dyDescent="0.45">
      <c r="A40" s="48"/>
      <c r="B40" s="49"/>
      <c r="C40" s="49"/>
      <c r="D40" s="49"/>
      <c r="E40" s="49"/>
      <c r="F40" s="49"/>
      <c r="G40" s="50"/>
      <c r="H40" s="50"/>
      <c r="I40" s="50"/>
      <c r="J40" s="50"/>
      <c r="K40" s="51"/>
      <c r="L40" s="35" t="str">
        <f t="shared" si="0"/>
        <v/>
      </c>
      <c r="M40" s="49" t="str">
        <f t="shared" si="1"/>
        <v/>
      </c>
      <c r="N40" s="49"/>
      <c r="O40" s="49"/>
      <c r="P40" s="49"/>
      <c r="Q40" s="49"/>
      <c r="R40" s="59"/>
    </row>
    <row r="41" spans="1:18" ht="24" customHeight="1" x14ac:dyDescent="0.45">
      <c r="A41" s="48"/>
      <c r="B41" s="49"/>
      <c r="C41" s="49"/>
      <c r="D41" s="49"/>
      <c r="E41" s="49"/>
      <c r="F41" s="49"/>
      <c r="G41" s="50"/>
      <c r="H41" s="50"/>
      <c r="I41" s="50"/>
      <c r="J41" s="50"/>
      <c r="K41" s="51"/>
      <c r="L41" s="35" t="str">
        <f t="shared" si="0"/>
        <v/>
      </c>
      <c r="M41" s="49" t="str">
        <f t="shared" si="1"/>
        <v/>
      </c>
      <c r="N41" s="49"/>
      <c r="O41" s="49"/>
      <c r="P41" s="49"/>
      <c r="Q41" s="49"/>
      <c r="R41" s="59"/>
    </row>
    <row r="42" spans="1:18" ht="24" customHeight="1" x14ac:dyDescent="0.45">
      <c r="A42" s="48"/>
      <c r="B42" s="49"/>
      <c r="C42" s="49"/>
      <c r="D42" s="49"/>
      <c r="E42" s="49"/>
      <c r="F42" s="49"/>
      <c r="G42" s="50"/>
      <c r="H42" s="50"/>
      <c r="I42" s="50"/>
      <c r="J42" s="50"/>
      <c r="K42" s="51"/>
      <c r="L42" s="35" t="str">
        <f t="shared" si="0"/>
        <v/>
      </c>
      <c r="M42" s="49" t="str">
        <f t="shared" si="1"/>
        <v/>
      </c>
      <c r="N42" s="49"/>
      <c r="O42" s="49"/>
      <c r="P42" s="49"/>
      <c r="Q42" s="49"/>
      <c r="R42" s="59"/>
    </row>
    <row r="43" spans="1:18" ht="24" customHeight="1" x14ac:dyDescent="0.45">
      <c r="A43" s="48"/>
      <c r="B43" s="49"/>
      <c r="C43" s="49"/>
      <c r="D43" s="49"/>
      <c r="E43" s="49"/>
      <c r="F43" s="49"/>
      <c r="G43" s="50"/>
      <c r="H43" s="50"/>
      <c r="I43" s="50"/>
      <c r="J43" s="50"/>
      <c r="K43" s="51"/>
      <c r="L43" s="35" t="str">
        <f t="shared" si="0"/>
        <v/>
      </c>
      <c r="M43" s="49" t="str">
        <f t="shared" si="1"/>
        <v/>
      </c>
      <c r="N43" s="49"/>
      <c r="O43" s="49"/>
      <c r="P43" s="49"/>
      <c r="Q43" s="49"/>
      <c r="R43" s="59"/>
    </row>
    <row r="44" spans="1:18" ht="24" customHeight="1" x14ac:dyDescent="0.45">
      <c r="A44" s="48"/>
      <c r="B44" s="49"/>
      <c r="C44" s="49"/>
      <c r="D44" s="49"/>
      <c r="E44" s="49"/>
      <c r="F44" s="49"/>
      <c r="G44" s="50"/>
      <c r="H44" s="50"/>
      <c r="I44" s="50"/>
      <c r="J44" s="50"/>
      <c r="K44" s="51"/>
      <c r="L44" s="35" t="str">
        <f t="shared" si="0"/>
        <v/>
      </c>
      <c r="M44" s="49" t="str">
        <f t="shared" si="1"/>
        <v/>
      </c>
      <c r="N44" s="49"/>
      <c r="O44" s="49"/>
      <c r="P44" s="49"/>
      <c r="Q44" s="49"/>
      <c r="R44" s="59"/>
    </row>
    <row r="45" spans="1:18" ht="24" customHeight="1" x14ac:dyDescent="0.45">
      <c r="A45" s="48"/>
      <c r="B45" s="49"/>
      <c r="C45" s="49"/>
      <c r="D45" s="49"/>
      <c r="E45" s="49"/>
      <c r="F45" s="49"/>
      <c r="G45" s="50"/>
      <c r="H45" s="50"/>
      <c r="I45" s="50"/>
      <c r="J45" s="50"/>
      <c r="K45" s="51"/>
      <c r="L45" s="35" t="str">
        <f t="shared" si="0"/>
        <v/>
      </c>
      <c r="M45" s="49" t="str">
        <f t="shared" si="1"/>
        <v/>
      </c>
      <c r="N45" s="49"/>
      <c r="O45" s="49"/>
      <c r="P45" s="49"/>
      <c r="Q45" s="49"/>
      <c r="R45" s="59"/>
    </row>
    <row r="46" spans="1:18" ht="24" customHeight="1" x14ac:dyDescent="0.45">
      <c r="A46" s="48"/>
      <c r="B46" s="49"/>
      <c r="C46" s="49"/>
      <c r="D46" s="49"/>
      <c r="E46" s="49"/>
      <c r="F46" s="49"/>
      <c r="G46" s="50"/>
      <c r="H46" s="50"/>
      <c r="I46" s="50"/>
      <c r="J46" s="50"/>
      <c r="K46" s="51"/>
      <c r="L46" s="35" t="str">
        <f t="shared" si="0"/>
        <v/>
      </c>
      <c r="M46" s="49" t="str">
        <f t="shared" si="1"/>
        <v/>
      </c>
      <c r="N46" s="49"/>
      <c r="O46" s="49"/>
      <c r="P46" s="49"/>
      <c r="Q46" s="49"/>
      <c r="R46" s="59"/>
    </row>
    <row r="47" spans="1:18" ht="24" customHeight="1" x14ac:dyDescent="0.45">
      <c r="A47" s="48"/>
      <c r="B47" s="49"/>
      <c r="C47" s="49"/>
      <c r="D47" s="49"/>
      <c r="E47" s="49"/>
      <c r="F47" s="49"/>
      <c r="G47" s="50"/>
      <c r="H47" s="50"/>
      <c r="I47" s="50"/>
      <c r="J47" s="50"/>
      <c r="K47" s="51"/>
      <c r="L47" s="35" t="str">
        <f t="shared" si="0"/>
        <v/>
      </c>
      <c r="M47" s="49" t="str">
        <f t="shared" si="1"/>
        <v/>
      </c>
      <c r="N47" s="49"/>
      <c r="O47" s="49"/>
      <c r="P47" s="49"/>
      <c r="Q47" s="49"/>
      <c r="R47" s="59"/>
    </row>
    <row r="48" spans="1:18" ht="24" customHeight="1" x14ac:dyDescent="0.45">
      <c r="A48" s="48"/>
      <c r="B48" s="49"/>
      <c r="C48" s="49"/>
      <c r="D48" s="49"/>
      <c r="E48" s="49"/>
      <c r="F48" s="49"/>
      <c r="G48" s="50"/>
      <c r="H48" s="50"/>
      <c r="I48" s="50"/>
      <c r="J48" s="50"/>
      <c r="K48" s="51"/>
      <c r="L48" s="35" t="str">
        <f t="shared" si="0"/>
        <v/>
      </c>
      <c r="M48" s="49" t="str">
        <f t="shared" si="1"/>
        <v/>
      </c>
      <c r="N48" s="49"/>
      <c r="O48" s="49"/>
      <c r="P48" s="49"/>
      <c r="Q48" s="49"/>
      <c r="R48" s="59"/>
    </row>
    <row r="49" spans="1:18" ht="24" customHeight="1" x14ac:dyDescent="0.45">
      <c r="A49" s="48"/>
      <c r="B49" s="49"/>
      <c r="C49" s="49"/>
      <c r="D49" s="49"/>
      <c r="E49" s="49"/>
      <c r="F49" s="49"/>
      <c r="G49" s="50"/>
      <c r="H49" s="50"/>
      <c r="I49" s="50"/>
      <c r="J49" s="50"/>
      <c r="K49" s="51"/>
      <c r="L49" s="35" t="str">
        <f t="shared" si="0"/>
        <v/>
      </c>
      <c r="M49" s="49" t="str">
        <f t="shared" si="1"/>
        <v/>
      </c>
      <c r="N49" s="49"/>
      <c r="O49" s="49"/>
      <c r="P49" s="49"/>
      <c r="Q49" s="49"/>
      <c r="R49" s="59"/>
    </row>
    <row r="50" spans="1:18" ht="24" customHeight="1" x14ac:dyDescent="0.45">
      <c r="A50" s="48"/>
      <c r="B50" s="49"/>
      <c r="C50" s="49"/>
      <c r="D50" s="49"/>
      <c r="E50" s="49"/>
      <c r="F50" s="49"/>
      <c r="G50" s="50"/>
      <c r="H50" s="50"/>
      <c r="I50" s="50"/>
      <c r="J50" s="50"/>
      <c r="K50" s="51"/>
      <c r="L50" s="35" t="str">
        <f t="shared" si="0"/>
        <v/>
      </c>
      <c r="M50" s="49" t="str">
        <f t="shared" si="1"/>
        <v/>
      </c>
      <c r="N50" s="49"/>
      <c r="O50" s="49"/>
      <c r="P50" s="49"/>
      <c r="Q50" s="49"/>
      <c r="R50" s="59"/>
    </row>
    <row r="51" spans="1:18" ht="24" customHeight="1" x14ac:dyDescent="0.45">
      <c r="A51" s="48"/>
      <c r="B51" s="49"/>
      <c r="C51" s="49"/>
      <c r="D51" s="49"/>
      <c r="E51" s="49"/>
      <c r="F51" s="49"/>
      <c r="G51" s="50"/>
      <c r="H51" s="50"/>
      <c r="I51" s="50"/>
      <c r="J51" s="50"/>
      <c r="K51" s="51"/>
      <c r="L51" s="35" t="str">
        <f t="shared" si="0"/>
        <v/>
      </c>
      <c r="M51" s="49" t="str">
        <f t="shared" si="1"/>
        <v/>
      </c>
      <c r="N51" s="49"/>
      <c r="O51" s="49"/>
      <c r="P51" s="49"/>
      <c r="Q51" s="49"/>
      <c r="R51" s="59"/>
    </row>
    <row r="52" spans="1:18" ht="24" customHeight="1" x14ac:dyDescent="0.45">
      <c r="A52" s="48"/>
      <c r="B52" s="49"/>
      <c r="C52" s="49"/>
      <c r="D52" s="49"/>
      <c r="E52" s="49"/>
      <c r="F52" s="49"/>
      <c r="G52" s="50"/>
      <c r="H52" s="50"/>
      <c r="I52" s="50"/>
      <c r="J52" s="50"/>
      <c r="K52" s="51"/>
      <c r="L52" s="35" t="str">
        <f t="shared" si="0"/>
        <v/>
      </c>
      <c r="M52" s="49" t="str">
        <f t="shared" si="1"/>
        <v/>
      </c>
      <c r="N52" s="49"/>
      <c r="O52" s="49"/>
      <c r="P52" s="49"/>
      <c r="Q52" s="49"/>
      <c r="R52" s="59"/>
    </row>
    <row r="53" spans="1:18" ht="24" customHeight="1" x14ac:dyDescent="0.45">
      <c r="A53" s="48"/>
      <c r="B53" s="49"/>
      <c r="C53" s="49"/>
      <c r="D53" s="49"/>
      <c r="E53" s="49"/>
      <c r="F53" s="49"/>
      <c r="G53" s="50"/>
      <c r="H53" s="50"/>
      <c r="I53" s="50"/>
      <c r="J53" s="50"/>
      <c r="K53" s="51"/>
      <c r="L53" s="35" t="str">
        <f t="shared" si="0"/>
        <v/>
      </c>
      <c r="M53" s="49" t="str">
        <f t="shared" si="1"/>
        <v/>
      </c>
      <c r="N53" s="49"/>
      <c r="O53" s="49"/>
      <c r="P53" s="49"/>
      <c r="Q53" s="49"/>
      <c r="R53" s="59"/>
    </row>
    <row r="54" spans="1:18" ht="24" customHeight="1" x14ac:dyDescent="0.45">
      <c r="A54" s="48"/>
      <c r="B54" s="49"/>
      <c r="C54" s="49"/>
      <c r="D54" s="49"/>
      <c r="E54" s="49"/>
      <c r="F54" s="49"/>
      <c r="G54" s="50"/>
      <c r="H54" s="50"/>
      <c r="I54" s="50"/>
      <c r="J54" s="50"/>
      <c r="K54" s="51"/>
      <c r="L54" s="35" t="str">
        <f t="shared" si="0"/>
        <v/>
      </c>
      <c r="M54" s="49" t="str">
        <f t="shared" si="1"/>
        <v/>
      </c>
      <c r="N54" s="49"/>
      <c r="O54" s="49"/>
      <c r="P54" s="49"/>
      <c r="Q54" s="49"/>
      <c r="R54" s="59"/>
    </row>
    <row r="55" spans="1:18" ht="24" customHeight="1" x14ac:dyDescent="0.45">
      <c r="A55" s="48"/>
      <c r="B55" s="49"/>
      <c r="C55" s="49"/>
      <c r="D55" s="49"/>
      <c r="E55" s="49"/>
      <c r="F55" s="49"/>
      <c r="G55" s="50"/>
      <c r="H55" s="50"/>
      <c r="I55" s="50"/>
      <c r="J55" s="50"/>
      <c r="K55" s="51"/>
      <c r="L55" s="35" t="str">
        <f t="shared" si="0"/>
        <v/>
      </c>
      <c r="M55" s="49" t="str">
        <f t="shared" si="1"/>
        <v/>
      </c>
      <c r="N55" s="49"/>
      <c r="O55" s="49"/>
      <c r="P55" s="49"/>
      <c r="Q55" s="49"/>
      <c r="R55" s="59"/>
    </row>
    <row r="56" spans="1:18" ht="24" customHeight="1" x14ac:dyDescent="0.45">
      <c r="A56" s="48"/>
      <c r="B56" s="49"/>
      <c r="C56" s="49"/>
      <c r="D56" s="49"/>
      <c r="E56" s="49"/>
      <c r="F56" s="49"/>
      <c r="G56" s="50"/>
      <c r="H56" s="50"/>
      <c r="I56" s="50"/>
      <c r="J56" s="50"/>
      <c r="K56" s="51"/>
      <c r="L56" s="35" t="str">
        <f t="shared" si="0"/>
        <v/>
      </c>
      <c r="M56" s="49" t="str">
        <f t="shared" si="1"/>
        <v/>
      </c>
      <c r="N56" s="49"/>
      <c r="O56" s="49"/>
      <c r="P56" s="49"/>
      <c r="Q56" s="49"/>
      <c r="R56" s="59"/>
    </row>
    <row r="57" spans="1:18" ht="24" customHeight="1" x14ac:dyDescent="0.45">
      <c r="A57" s="48"/>
      <c r="B57" s="49"/>
      <c r="C57" s="49"/>
      <c r="D57" s="49"/>
      <c r="E57" s="49"/>
      <c r="F57" s="49"/>
      <c r="G57" s="50"/>
      <c r="H57" s="50"/>
      <c r="I57" s="50"/>
      <c r="J57" s="50"/>
      <c r="K57" s="51"/>
      <c r="L57" s="35" t="str">
        <f t="shared" si="0"/>
        <v/>
      </c>
      <c r="M57" s="49" t="str">
        <f t="shared" si="1"/>
        <v/>
      </c>
      <c r="N57" s="49"/>
      <c r="O57" s="49"/>
      <c r="P57" s="49"/>
      <c r="Q57" s="49"/>
      <c r="R57" s="59"/>
    </row>
    <row r="58" spans="1:18" ht="24" customHeight="1" x14ac:dyDescent="0.45">
      <c r="A58" s="48"/>
      <c r="B58" s="49"/>
      <c r="C58" s="49"/>
      <c r="D58" s="49"/>
      <c r="E58" s="49"/>
      <c r="F58" s="49"/>
      <c r="G58" s="50"/>
      <c r="H58" s="50"/>
      <c r="I58" s="50"/>
      <c r="J58" s="50"/>
      <c r="K58" s="51"/>
      <c r="L58" s="35" t="str">
        <f t="shared" si="0"/>
        <v/>
      </c>
      <c r="M58" s="49" t="str">
        <f t="shared" si="1"/>
        <v/>
      </c>
      <c r="N58" s="49"/>
      <c r="O58" s="49"/>
      <c r="P58" s="49"/>
      <c r="Q58" s="49"/>
      <c r="R58" s="59"/>
    </row>
    <row r="59" spans="1:18" ht="24" customHeight="1" x14ac:dyDescent="0.45">
      <c r="A59" s="48"/>
      <c r="B59" s="49"/>
      <c r="C59" s="49"/>
      <c r="D59" s="49"/>
      <c r="E59" s="49"/>
      <c r="F59" s="49"/>
      <c r="G59" s="50"/>
      <c r="H59" s="50"/>
      <c r="I59" s="50"/>
      <c r="J59" s="50"/>
      <c r="K59" s="51"/>
      <c r="L59" s="35" t="str">
        <f t="shared" si="0"/>
        <v/>
      </c>
      <c r="M59" s="49" t="str">
        <f t="shared" si="1"/>
        <v/>
      </c>
      <c r="N59" s="49"/>
      <c r="O59" s="49"/>
      <c r="P59" s="49"/>
      <c r="Q59" s="49"/>
      <c r="R59" s="59"/>
    </row>
    <row r="60" spans="1:18" ht="24" customHeight="1" x14ac:dyDescent="0.45">
      <c r="A60" s="48"/>
      <c r="B60" s="49"/>
      <c r="C60" s="49"/>
      <c r="D60" s="49"/>
      <c r="E60" s="49"/>
      <c r="F60" s="49"/>
      <c r="G60" s="50"/>
      <c r="H60" s="50"/>
      <c r="I60" s="50"/>
      <c r="J60" s="50"/>
      <c r="K60" s="51"/>
      <c r="L60" s="35" t="str">
        <f t="shared" si="0"/>
        <v/>
      </c>
      <c r="M60" s="49" t="str">
        <f t="shared" si="1"/>
        <v/>
      </c>
      <c r="N60" s="49"/>
      <c r="O60" s="49"/>
      <c r="P60" s="49"/>
      <c r="Q60" s="49"/>
      <c r="R60" s="59"/>
    </row>
    <row r="61" spans="1:18" ht="24" customHeight="1" x14ac:dyDescent="0.45">
      <c r="A61" s="48"/>
      <c r="B61" s="49"/>
      <c r="C61" s="49"/>
      <c r="D61" s="49"/>
      <c r="E61" s="49"/>
      <c r="F61" s="49"/>
      <c r="G61" s="50"/>
      <c r="H61" s="50"/>
      <c r="I61" s="50"/>
      <c r="J61" s="50"/>
      <c r="K61" s="51"/>
      <c r="L61" s="35" t="str">
        <f t="shared" si="0"/>
        <v/>
      </c>
      <c r="M61" s="49" t="str">
        <f t="shared" si="1"/>
        <v/>
      </c>
      <c r="N61" s="49"/>
      <c r="O61" s="49"/>
      <c r="P61" s="49"/>
      <c r="Q61" s="49"/>
      <c r="R61" s="59"/>
    </row>
    <row r="62" spans="1:18" ht="24" customHeight="1" x14ac:dyDescent="0.45">
      <c r="A62" s="48"/>
      <c r="B62" s="49"/>
      <c r="C62" s="49"/>
      <c r="D62" s="49"/>
      <c r="E62" s="49"/>
      <c r="F62" s="49"/>
      <c r="G62" s="50"/>
      <c r="H62" s="50"/>
      <c r="I62" s="50"/>
      <c r="J62" s="50"/>
      <c r="K62" s="51"/>
      <c r="L62" s="35" t="str">
        <f t="shared" si="0"/>
        <v/>
      </c>
      <c r="M62" s="49" t="str">
        <f t="shared" si="1"/>
        <v/>
      </c>
      <c r="N62" s="49"/>
      <c r="O62" s="49"/>
      <c r="P62" s="49"/>
      <c r="Q62" s="49"/>
      <c r="R62" s="59"/>
    </row>
    <row r="63" spans="1:18" ht="24" customHeight="1" x14ac:dyDescent="0.45">
      <c r="A63" s="48"/>
      <c r="B63" s="49"/>
      <c r="C63" s="49"/>
      <c r="D63" s="49"/>
      <c r="E63" s="49"/>
      <c r="F63" s="49"/>
      <c r="G63" s="50"/>
      <c r="H63" s="50"/>
      <c r="I63" s="50"/>
      <c r="J63" s="50"/>
      <c r="K63" s="51"/>
      <c r="L63" s="35" t="str">
        <f t="shared" si="0"/>
        <v/>
      </c>
      <c r="M63" s="49" t="str">
        <f t="shared" si="1"/>
        <v/>
      </c>
      <c r="N63" s="49"/>
      <c r="O63" s="49"/>
      <c r="P63" s="49"/>
      <c r="Q63" s="49"/>
      <c r="R63" s="59"/>
    </row>
    <row r="64" spans="1:18" ht="24" customHeight="1" x14ac:dyDescent="0.45">
      <c r="A64" s="48"/>
      <c r="B64" s="49"/>
      <c r="C64" s="49"/>
      <c r="D64" s="49"/>
      <c r="E64" s="49"/>
      <c r="F64" s="49"/>
      <c r="G64" s="50"/>
      <c r="H64" s="50"/>
      <c r="I64" s="50"/>
      <c r="J64" s="50"/>
      <c r="K64" s="51"/>
      <c r="L64" s="35" t="str">
        <f t="shared" si="0"/>
        <v/>
      </c>
      <c r="M64" s="49" t="str">
        <f t="shared" si="1"/>
        <v/>
      </c>
      <c r="N64" s="49"/>
      <c r="O64" s="49"/>
      <c r="P64" s="49"/>
      <c r="Q64" s="49"/>
      <c r="R64" s="59"/>
    </row>
    <row r="65" spans="1:18" ht="24" customHeight="1" x14ac:dyDescent="0.45">
      <c r="A65" s="48"/>
      <c r="B65" s="49"/>
      <c r="C65" s="49"/>
      <c r="D65" s="49"/>
      <c r="E65" s="49"/>
      <c r="F65" s="49"/>
      <c r="G65" s="50"/>
      <c r="H65" s="50"/>
      <c r="I65" s="50"/>
      <c r="J65" s="50"/>
      <c r="K65" s="51"/>
      <c r="L65" s="35" t="str">
        <f t="shared" si="0"/>
        <v/>
      </c>
      <c r="M65" s="49" t="str">
        <f t="shared" si="1"/>
        <v/>
      </c>
      <c r="N65" s="49"/>
      <c r="O65" s="49"/>
      <c r="P65" s="49"/>
      <c r="Q65" s="49"/>
      <c r="R65" s="59"/>
    </row>
    <row r="66" spans="1:18" ht="24" customHeight="1" x14ac:dyDescent="0.45">
      <c r="A66" s="48"/>
      <c r="B66" s="49"/>
      <c r="C66" s="49"/>
      <c r="D66" s="49"/>
      <c r="E66" s="49"/>
      <c r="F66" s="49"/>
      <c r="G66" s="50"/>
      <c r="H66" s="50"/>
      <c r="I66" s="50"/>
      <c r="J66" s="50"/>
      <c r="K66" s="51"/>
      <c r="L66" s="35" t="str">
        <f t="shared" si="0"/>
        <v/>
      </c>
      <c r="M66" s="49" t="str">
        <f t="shared" si="1"/>
        <v/>
      </c>
      <c r="N66" s="49"/>
      <c r="O66" s="49"/>
      <c r="P66" s="49"/>
      <c r="Q66" s="49"/>
      <c r="R66" s="59"/>
    </row>
    <row r="67" spans="1:18" ht="24" customHeight="1" x14ac:dyDescent="0.45">
      <c r="A67" s="48"/>
      <c r="B67" s="49"/>
      <c r="C67" s="49"/>
      <c r="D67" s="49"/>
      <c r="E67" s="49"/>
      <c r="F67" s="49"/>
      <c r="G67" s="50"/>
      <c r="H67" s="50"/>
      <c r="I67" s="50"/>
      <c r="J67" s="50"/>
      <c r="K67" s="51"/>
      <c r="L67" s="35" t="str">
        <f t="shared" si="0"/>
        <v/>
      </c>
      <c r="M67" s="49" t="str">
        <f t="shared" si="1"/>
        <v/>
      </c>
      <c r="N67" s="49"/>
      <c r="O67" s="49"/>
      <c r="P67" s="49"/>
      <c r="Q67" s="49"/>
      <c r="R67" s="59"/>
    </row>
    <row r="68" spans="1:18" ht="24" customHeight="1" x14ac:dyDescent="0.45">
      <c r="A68" s="48"/>
      <c r="B68" s="49"/>
      <c r="C68" s="49"/>
      <c r="D68" s="49"/>
      <c r="E68" s="49"/>
      <c r="F68" s="49"/>
      <c r="G68" s="50"/>
      <c r="H68" s="50"/>
      <c r="I68" s="50"/>
      <c r="J68" s="50"/>
      <c r="K68" s="51"/>
      <c r="L68" s="35" t="str">
        <f t="shared" si="0"/>
        <v/>
      </c>
      <c r="M68" s="49" t="str">
        <f t="shared" si="1"/>
        <v/>
      </c>
      <c r="N68" s="49"/>
      <c r="O68" s="49"/>
      <c r="P68" s="49"/>
      <c r="Q68" s="49"/>
      <c r="R68" s="59"/>
    </row>
    <row r="69" spans="1:18" ht="24" customHeight="1" x14ac:dyDescent="0.45">
      <c r="A69" s="48"/>
      <c r="B69" s="49"/>
      <c r="C69" s="49"/>
      <c r="D69" s="49"/>
      <c r="E69" s="49"/>
      <c r="F69" s="49"/>
      <c r="G69" s="50"/>
      <c r="H69" s="50"/>
      <c r="I69" s="50"/>
      <c r="J69" s="50"/>
      <c r="K69" s="51"/>
      <c r="L69" s="35" t="str">
        <f t="shared" ref="L69:L132" si="2">IF(F69&gt;0,K69/F69,"")</f>
        <v/>
      </c>
      <c r="M69" s="49" t="str">
        <f t="shared" ref="M69:M132" si="3">IF(A69="","",IF(Q69&lt;&gt;"","Acté",IF(P69&lt;&gt;"","Réservé",IF(O69&lt;&gt;"","Option","Libre"))))</f>
        <v/>
      </c>
      <c r="N69" s="49"/>
      <c r="O69" s="49"/>
      <c r="P69" s="49"/>
      <c r="Q69" s="49"/>
      <c r="R69" s="59"/>
    </row>
    <row r="70" spans="1:18" ht="24" customHeight="1" x14ac:dyDescent="0.45">
      <c r="A70" s="48"/>
      <c r="B70" s="49"/>
      <c r="C70" s="49"/>
      <c r="D70" s="49"/>
      <c r="E70" s="49"/>
      <c r="F70" s="49"/>
      <c r="G70" s="50"/>
      <c r="H70" s="50"/>
      <c r="I70" s="50"/>
      <c r="J70" s="50"/>
      <c r="K70" s="51"/>
      <c r="L70" s="35" t="str">
        <f t="shared" si="2"/>
        <v/>
      </c>
      <c r="M70" s="49" t="str">
        <f t="shared" si="3"/>
        <v/>
      </c>
      <c r="N70" s="49"/>
      <c r="O70" s="49"/>
      <c r="P70" s="49"/>
      <c r="Q70" s="49"/>
      <c r="R70" s="59"/>
    </row>
    <row r="71" spans="1:18" ht="24" customHeight="1" x14ac:dyDescent="0.45">
      <c r="A71" s="48"/>
      <c r="B71" s="49"/>
      <c r="C71" s="49"/>
      <c r="D71" s="49"/>
      <c r="E71" s="49"/>
      <c r="F71" s="49"/>
      <c r="G71" s="50"/>
      <c r="H71" s="50"/>
      <c r="I71" s="50"/>
      <c r="J71" s="50"/>
      <c r="K71" s="51"/>
      <c r="L71" s="35" t="str">
        <f t="shared" si="2"/>
        <v/>
      </c>
      <c r="M71" s="49" t="str">
        <f t="shared" si="3"/>
        <v/>
      </c>
      <c r="N71" s="49"/>
      <c r="O71" s="49"/>
      <c r="P71" s="49"/>
      <c r="Q71" s="49"/>
      <c r="R71" s="59"/>
    </row>
    <row r="72" spans="1:18" ht="24" customHeight="1" x14ac:dyDescent="0.45">
      <c r="A72" s="48"/>
      <c r="B72" s="49"/>
      <c r="C72" s="49"/>
      <c r="D72" s="49"/>
      <c r="E72" s="49"/>
      <c r="F72" s="49"/>
      <c r="G72" s="50"/>
      <c r="H72" s="50"/>
      <c r="I72" s="50"/>
      <c r="J72" s="50"/>
      <c r="K72" s="51"/>
      <c r="L72" s="35" t="str">
        <f t="shared" si="2"/>
        <v/>
      </c>
      <c r="M72" s="49" t="str">
        <f t="shared" si="3"/>
        <v/>
      </c>
      <c r="N72" s="49"/>
      <c r="O72" s="49"/>
      <c r="P72" s="49"/>
      <c r="Q72" s="49"/>
      <c r="R72" s="59"/>
    </row>
    <row r="73" spans="1:18" ht="24" customHeight="1" x14ac:dyDescent="0.45">
      <c r="A73" s="48"/>
      <c r="B73" s="49"/>
      <c r="C73" s="49"/>
      <c r="D73" s="49"/>
      <c r="E73" s="49"/>
      <c r="F73" s="49"/>
      <c r="G73" s="50"/>
      <c r="H73" s="50"/>
      <c r="I73" s="50"/>
      <c r="J73" s="50"/>
      <c r="K73" s="51"/>
      <c r="L73" s="35" t="str">
        <f t="shared" si="2"/>
        <v/>
      </c>
      <c r="M73" s="49" t="str">
        <f t="shared" si="3"/>
        <v/>
      </c>
      <c r="N73" s="49"/>
      <c r="O73" s="49"/>
      <c r="P73" s="49"/>
      <c r="Q73" s="49"/>
      <c r="R73" s="59"/>
    </row>
    <row r="74" spans="1:18" ht="24" customHeight="1" x14ac:dyDescent="0.45">
      <c r="A74" s="48"/>
      <c r="B74" s="49"/>
      <c r="C74" s="49"/>
      <c r="D74" s="49"/>
      <c r="E74" s="49"/>
      <c r="F74" s="49"/>
      <c r="G74" s="50"/>
      <c r="H74" s="50"/>
      <c r="I74" s="50"/>
      <c r="J74" s="50"/>
      <c r="K74" s="51"/>
      <c r="L74" s="35" t="str">
        <f t="shared" si="2"/>
        <v/>
      </c>
      <c r="M74" s="49" t="str">
        <f t="shared" si="3"/>
        <v/>
      </c>
      <c r="N74" s="49"/>
      <c r="O74" s="49"/>
      <c r="P74" s="49"/>
      <c r="Q74" s="49"/>
      <c r="R74" s="59"/>
    </row>
    <row r="75" spans="1:18" ht="24" customHeight="1" x14ac:dyDescent="0.45">
      <c r="A75" s="48"/>
      <c r="B75" s="49"/>
      <c r="C75" s="49"/>
      <c r="D75" s="49"/>
      <c r="E75" s="49"/>
      <c r="F75" s="49"/>
      <c r="G75" s="50"/>
      <c r="H75" s="50"/>
      <c r="I75" s="50"/>
      <c r="J75" s="50"/>
      <c r="K75" s="51"/>
      <c r="L75" s="35" t="str">
        <f t="shared" si="2"/>
        <v/>
      </c>
      <c r="M75" s="49" t="str">
        <f t="shared" si="3"/>
        <v/>
      </c>
      <c r="N75" s="49"/>
      <c r="O75" s="49"/>
      <c r="P75" s="49"/>
      <c r="Q75" s="49"/>
      <c r="R75" s="59"/>
    </row>
    <row r="76" spans="1:18" ht="24" customHeight="1" x14ac:dyDescent="0.45">
      <c r="A76" s="48"/>
      <c r="B76" s="49"/>
      <c r="C76" s="49"/>
      <c r="D76" s="49"/>
      <c r="E76" s="49"/>
      <c r="F76" s="49"/>
      <c r="G76" s="50"/>
      <c r="H76" s="50"/>
      <c r="I76" s="50"/>
      <c r="J76" s="50"/>
      <c r="K76" s="51"/>
      <c r="L76" s="35" t="str">
        <f t="shared" si="2"/>
        <v/>
      </c>
      <c r="M76" s="49" t="str">
        <f t="shared" si="3"/>
        <v/>
      </c>
      <c r="N76" s="49"/>
      <c r="O76" s="49"/>
      <c r="P76" s="49"/>
      <c r="Q76" s="49"/>
      <c r="R76" s="59"/>
    </row>
    <row r="77" spans="1:18" ht="24" customHeight="1" x14ac:dyDescent="0.45">
      <c r="A77" s="48"/>
      <c r="B77" s="49"/>
      <c r="C77" s="49"/>
      <c r="D77" s="49"/>
      <c r="E77" s="49"/>
      <c r="F77" s="49"/>
      <c r="G77" s="50"/>
      <c r="H77" s="50"/>
      <c r="I77" s="50"/>
      <c r="J77" s="50"/>
      <c r="K77" s="51"/>
      <c r="L77" s="35" t="str">
        <f t="shared" si="2"/>
        <v/>
      </c>
      <c r="M77" s="49" t="str">
        <f t="shared" si="3"/>
        <v/>
      </c>
      <c r="N77" s="49"/>
      <c r="O77" s="49"/>
      <c r="P77" s="49"/>
      <c r="Q77" s="49"/>
      <c r="R77" s="59"/>
    </row>
    <row r="78" spans="1:18" ht="24" customHeight="1" x14ac:dyDescent="0.45">
      <c r="A78" s="48"/>
      <c r="B78" s="49"/>
      <c r="C78" s="49"/>
      <c r="D78" s="49"/>
      <c r="E78" s="49"/>
      <c r="F78" s="49"/>
      <c r="G78" s="50"/>
      <c r="H78" s="50"/>
      <c r="I78" s="50"/>
      <c r="J78" s="50"/>
      <c r="K78" s="51"/>
      <c r="L78" s="35" t="str">
        <f t="shared" si="2"/>
        <v/>
      </c>
      <c r="M78" s="49" t="str">
        <f t="shared" si="3"/>
        <v/>
      </c>
      <c r="N78" s="49"/>
      <c r="O78" s="49"/>
      <c r="P78" s="49"/>
      <c r="Q78" s="49"/>
      <c r="R78" s="59"/>
    </row>
    <row r="79" spans="1:18" ht="24" customHeight="1" x14ac:dyDescent="0.45">
      <c r="A79" s="48"/>
      <c r="B79" s="49"/>
      <c r="C79" s="49"/>
      <c r="D79" s="49"/>
      <c r="E79" s="49"/>
      <c r="F79" s="49"/>
      <c r="G79" s="50"/>
      <c r="H79" s="50"/>
      <c r="I79" s="50"/>
      <c r="J79" s="50"/>
      <c r="K79" s="51"/>
      <c r="L79" s="35" t="str">
        <f t="shared" si="2"/>
        <v/>
      </c>
      <c r="M79" s="49" t="str">
        <f t="shared" si="3"/>
        <v/>
      </c>
      <c r="N79" s="49"/>
      <c r="O79" s="49"/>
      <c r="P79" s="49"/>
      <c r="Q79" s="49"/>
      <c r="R79" s="59"/>
    </row>
    <row r="80" spans="1:18" ht="24" customHeight="1" x14ac:dyDescent="0.45">
      <c r="A80" s="48"/>
      <c r="B80" s="49"/>
      <c r="C80" s="49"/>
      <c r="D80" s="49"/>
      <c r="E80" s="49"/>
      <c r="F80" s="49"/>
      <c r="G80" s="50"/>
      <c r="H80" s="50"/>
      <c r="I80" s="50"/>
      <c r="J80" s="50"/>
      <c r="K80" s="51"/>
      <c r="L80" s="35" t="str">
        <f t="shared" si="2"/>
        <v/>
      </c>
      <c r="M80" s="49" t="str">
        <f t="shared" si="3"/>
        <v/>
      </c>
      <c r="N80" s="49"/>
      <c r="O80" s="49"/>
      <c r="P80" s="49"/>
      <c r="Q80" s="49"/>
      <c r="R80" s="59"/>
    </row>
    <row r="81" spans="1:18" ht="24" customHeight="1" x14ac:dyDescent="0.45">
      <c r="A81" s="48"/>
      <c r="B81" s="49"/>
      <c r="C81" s="49"/>
      <c r="D81" s="49"/>
      <c r="E81" s="49"/>
      <c r="F81" s="49"/>
      <c r="G81" s="50"/>
      <c r="H81" s="50"/>
      <c r="I81" s="50"/>
      <c r="J81" s="50"/>
      <c r="K81" s="51"/>
      <c r="L81" s="35" t="str">
        <f t="shared" si="2"/>
        <v/>
      </c>
      <c r="M81" s="49" t="str">
        <f t="shared" si="3"/>
        <v/>
      </c>
      <c r="N81" s="49"/>
      <c r="O81" s="49"/>
      <c r="P81" s="49"/>
      <c r="Q81" s="49"/>
      <c r="R81" s="59"/>
    </row>
    <row r="82" spans="1:18" ht="24" customHeight="1" x14ac:dyDescent="0.45">
      <c r="A82" s="48"/>
      <c r="B82" s="49"/>
      <c r="C82" s="49"/>
      <c r="D82" s="49"/>
      <c r="E82" s="49"/>
      <c r="F82" s="49"/>
      <c r="G82" s="50"/>
      <c r="H82" s="50"/>
      <c r="I82" s="50"/>
      <c r="J82" s="50"/>
      <c r="K82" s="51"/>
      <c r="L82" s="35" t="str">
        <f t="shared" si="2"/>
        <v/>
      </c>
      <c r="M82" s="49" t="str">
        <f t="shared" si="3"/>
        <v/>
      </c>
      <c r="N82" s="49"/>
      <c r="O82" s="49"/>
      <c r="P82" s="49"/>
      <c r="Q82" s="49"/>
      <c r="R82" s="59"/>
    </row>
    <row r="83" spans="1:18" ht="24" customHeight="1" x14ac:dyDescent="0.45">
      <c r="A83" s="48"/>
      <c r="B83" s="49"/>
      <c r="C83" s="49"/>
      <c r="D83" s="49"/>
      <c r="E83" s="49"/>
      <c r="F83" s="49"/>
      <c r="G83" s="50"/>
      <c r="H83" s="50"/>
      <c r="I83" s="50"/>
      <c r="J83" s="50"/>
      <c r="K83" s="51"/>
      <c r="L83" s="35" t="str">
        <f t="shared" si="2"/>
        <v/>
      </c>
      <c r="M83" s="49" t="str">
        <f t="shared" si="3"/>
        <v/>
      </c>
      <c r="N83" s="49"/>
      <c r="O83" s="49"/>
      <c r="P83" s="49"/>
      <c r="Q83" s="49"/>
      <c r="R83" s="59"/>
    </row>
    <row r="84" spans="1:18" ht="24" customHeight="1" x14ac:dyDescent="0.45">
      <c r="A84" s="48"/>
      <c r="B84" s="49"/>
      <c r="C84" s="49"/>
      <c r="D84" s="49"/>
      <c r="E84" s="49"/>
      <c r="F84" s="49"/>
      <c r="G84" s="50"/>
      <c r="H84" s="50"/>
      <c r="I84" s="50"/>
      <c r="J84" s="50"/>
      <c r="K84" s="51"/>
      <c r="L84" s="35" t="str">
        <f t="shared" si="2"/>
        <v/>
      </c>
      <c r="M84" s="49" t="str">
        <f t="shared" si="3"/>
        <v/>
      </c>
      <c r="N84" s="49"/>
      <c r="O84" s="49"/>
      <c r="P84" s="49"/>
      <c r="Q84" s="49"/>
      <c r="R84" s="59"/>
    </row>
    <row r="85" spans="1:18" ht="24" customHeight="1" x14ac:dyDescent="0.45">
      <c r="A85" s="48"/>
      <c r="B85" s="49"/>
      <c r="C85" s="49"/>
      <c r="D85" s="49"/>
      <c r="E85" s="49"/>
      <c r="F85" s="49"/>
      <c r="G85" s="50"/>
      <c r="H85" s="50"/>
      <c r="I85" s="50"/>
      <c r="J85" s="50"/>
      <c r="K85" s="51"/>
      <c r="L85" s="35" t="str">
        <f t="shared" si="2"/>
        <v/>
      </c>
      <c r="M85" s="49" t="str">
        <f t="shared" si="3"/>
        <v/>
      </c>
      <c r="N85" s="49"/>
      <c r="O85" s="49"/>
      <c r="P85" s="49"/>
      <c r="Q85" s="49"/>
      <c r="R85" s="59"/>
    </row>
    <row r="86" spans="1:18" ht="24" customHeight="1" x14ac:dyDescent="0.45">
      <c r="A86" s="48"/>
      <c r="B86" s="49"/>
      <c r="C86" s="49"/>
      <c r="D86" s="49"/>
      <c r="E86" s="49"/>
      <c r="F86" s="49"/>
      <c r="G86" s="50"/>
      <c r="H86" s="50"/>
      <c r="I86" s="50"/>
      <c r="J86" s="50"/>
      <c r="K86" s="51"/>
      <c r="L86" s="35" t="str">
        <f t="shared" si="2"/>
        <v/>
      </c>
      <c r="M86" s="49" t="str">
        <f t="shared" si="3"/>
        <v/>
      </c>
      <c r="N86" s="49"/>
      <c r="O86" s="49"/>
      <c r="P86" s="49"/>
      <c r="Q86" s="49"/>
      <c r="R86" s="59"/>
    </row>
    <row r="87" spans="1:18" ht="24" customHeight="1" x14ac:dyDescent="0.45">
      <c r="A87" s="48"/>
      <c r="B87" s="49"/>
      <c r="C87" s="49"/>
      <c r="D87" s="49"/>
      <c r="E87" s="49"/>
      <c r="F87" s="49"/>
      <c r="G87" s="50"/>
      <c r="H87" s="50"/>
      <c r="I87" s="50"/>
      <c r="J87" s="50"/>
      <c r="K87" s="51"/>
      <c r="L87" s="35" t="str">
        <f t="shared" si="2"/>
        <v/>
      </c>
      <c r="M87" s="49" t="str">
        <f t="shared" si="3"/>
        <v/>
      </c>
      <c r="N87" s="49"/>
      <c r="O87" s="49"/>
      <c r="P87" s="49"/>
      <c r="Q87" s="49"/>
      <c r="R87" s="59"/>
    </row>
    <row r="88" spans="1:18" ht="24" customHeight="1" x14ac:dyDescent="0.45">
      <c r="A88" s="48"/>
      <c r="B88" s="49"/>
      <c r="C88" s="49"/>
      <c r="D88" s="49"/>
      <c r="E88" s="49"/>
      <c r="F88" s="49"/>
      <c r="G88" s="50"/>
      <c r="H88" s="50"/>
      <c r="I88" s="50"/>
      <c r="J88" s="50"/>
      <c r="K88" s="51"/>
      <c r="L88" s="35" t="str">
        <f t="shared" si="2"/>
        <v/>
      </c>
      <c r="M88" s="49" t="str">
        <f t="shared" si="3"/>
        <v/>
      </c>
      <c r="N88" s="49"/>
      <c r="O88" s="49"/>
      <c r="P88" s="49"/>
      <c r="Q88" s="49"/>
      <c r="R88" s="59"/>
    </row>
    <row r="89" spans="1:18" ht="24" customHeight="1" x14ac:dyDescent="0.45">
      <c r="A89" s="48"/>
      <c r="B89" s="49"/>
      <c r="C89" s="49"/>
      <c r="D89" s="49"/>
      <c r="E89" s="49"/>
      <c r="F89" s="49"/>
      <c r="G89" s="50"/>
      <c r="H89" s="50"/>
      <c r="I89" s="50"/>
      <c r="J89" s="50"/>
      <c r="K89" s="51"/>
      <c r="L89" s="35" t="str">
        <f t="shared" si="2"/>
        <v/>
      </c>
      <c r="M89" s="49" t="str">
        <f t="shared" si="3"/>
        <v/>
      </c>
      <c r="N89" s="49"/>
      <c r="O89" s="49"/>
      <c r="P89" s="49"/>
      <c r="Q89" s="49"/>
      <c r="R89" s="59"/>
    </row>
    <row r="90" spans="1:18" ht="24" customHeight="1" x14ac:dyDescent="0.45">
      <c r="A90" s="48"/>
      <c r="B90" s="49"/>
      <c r="C90" s="49"/>
      <c r="D90" s="49"/>
      <c r="E90" s="49"/>
      <c r="F90" s="49"/>
      <c r="G90" s="50"/>
      <c r="H90" s="50"/>
      <c r="I90" s="50"/>
      <c r="J90" s="50"/>
      <c r="K90" s="51"/>
      <c r="L90" s="35" t="str">
        <f t="shared" si="2"/>
        <v/>
      </c>
      <c r="M90" s="49" t="str">
        <f t="shared" si="3"/>
        <v/>
      </c>
      <c r="N90" s="49"/>
      <c r="O90" s="49"/>
      <c r="P90" s="49"/>
      <c r="Q90" s="49"/>
      <c r="R90" s="59"/>
    </row>
    <row r="91" spans="1:18" ht="24" customHeight="1" x14ac:dyDescent="0.45">
      <c r="A91" s="48"/>
      <c r="B91" s="49"/>
      <c r="C91" s="49"/>
      <c r="D91" s="49"/>
      <c r="E91" s="49"/>
      <c r="F91" s="49"/>
      <c r="G91" s="50"/>
      <c r="H91" s="50"/>
      <c r="I91" s="50"/>
      <c r="J91" s="50"/>
      <c r="K91" s="51"/>
      <c r="L91" s="35" t="str">
        <f t="shared" si="2"/>
        <v/>
      </c>
      <c r="M91" s="49" t="str">
        <f t="shared" si="3"/>
        <v/>
      </c>
      <c r="N91" s="49"/>
      <c r="O91" s="49"/>
      <c r="P91" s="49"/>
      <c r="Q91" s="49"/>
      <c r="R91" s="59"/>
    </row>
    <row r="92" spans="1:18" ht="24" customHeight="1" x14ac:dyDescent="0.45">
      <c r="A92" s="48"/>
      <c r="B92" s="49"/>
      <c r="C92" s="49"/>
      <c r="D92" s="49"/>
      <c r="E92" s="49"/>
      <c r="F92" s="49"/>
      <c r="G92" s="50"/>
      <c r="H92" s="50"/>
      <c r="I92" s="50"/>
      <c r="J92" s="50"/>
      <c r="K92" s="51"/>
      <c r="L92" s="35" t="str">
        <f t="shared" si="2"/>
        <v/>
      </c>
      <c r="M92" s="49" t="str">
        <f t="shared" si="3"/>
        <v/>
      </c>
      <c r="N92" s="49"/>
      <c r="O92" s="49"/>
      <c r="P92" s="49"/>
      <c r="Q92" s="49"/>
      <c r="R92" s="59"/>
    </row>
    <row r="93" spans="1:18" ht="24" customHeight="1" x14ac:dyDescent="0.45">
      <c r="A93" s="48"/>
      <c r="B93" s="49"/>
      <c r="C93" s="49"/>
      <c r="D93" s="49"/>
      <c r="E93" s="49"/>
      <c r="F93" s="49"/>
      <c r="G93" s="50"/>
      <c r="H93" s="50"/>
      <c r="I93" s="50"/>
      <c r="J93" s="50"/>
      <c r="K93" s="51"/>
      <c r="L93" s="35" t="str">
        <f t="shared" si="2"/>
        <v/>
      </c>
      <c r="M93" s="49" t="str">
        <f t="shared" si="3"/>
        <v/>
      </c>
      <c r="N93" s="49"/>
      <c r="O93" s="49"/>
      <c r="P93" s="49"/>
      <c r="Q93" s="49"/>
      <c r="R93" s="59"/>
    </row>
    <row r="94" spans="1:18" ht="24" customHeight="1" x14ac:dyDescent="0.45">
      <c r="A94" s="48"/>
      <c r="B94" s="49"/>
      <c r="C94" s="49"/>
      <c r="D94" s="49"/>
      <c r="E94" s="49"/>
      <c r="F94" s="49"/>
      <c r="G94" s="50"/>
      <c r="H94" s="50"/>
      <c r="I94" s="50"/>
      <c r="J94" s="50"/>
      <c r="K94" s="51"/>
      <c r="L94" s="35" t="str">
        <f t="shared" si="2"/>
        <v/>
      </c>
      <c r="M94" s="49" t="str">
        <f t="shared" si="3"/>
        <v/>
      </c>
      <c r="N94" s="49"/>
      <c r="O94" s="49"/>
      <c r="P94" s="49"/>
      <c r="Q94" s="49"/>
      <c r="R94" s="59"/>
    </row>
    <row r="95" spans="1:18" ht="24" customHeight="1" x14ac:dyDescent="0.45">
      <c r="A95" s="48"/>
      <c r="B95" s="49"/>
      <c r="C95" s="49"/>
      <c r="D95" s="49"/>
      <c r="E95" s="49"/>
      <c r="F95" s="49"/>
      <c r="G95" s="50"/>
      <c r="H95" s="50"/>
      <c r="I95" s="50"/>
      <c r="J95" s="50"/>
      <c r="K95" s="51"/>
      <c r="L95" s="35" t="str">
        <f t="shared" si="2"/>
        <v/>
      </c>
      <c r="M95" s="49" t="str">
        <f t="shared" si="3"/>
        <v/>
      </c>
      <c r="N95" s="49"/>
      <c r="O95" s="49"/>
      <c r="P95" s="49"/>
      <c r="Q95" s="49"/>
      <c r="R95" s="59"/>
    </row>
    <row r="96" spans="1:18" ht="24" customHeight="1" x14ac:dyDescent="0.45">
      <c r="A96" s="48"/>
      <c r="B96" s="49"/>
      <c r="C96" s="49"/>
      <c r="D96" s="49"/>
      <c r="E96" s="49"/>
      <c r="F96" s="49"/>
      <c r="G96" s="50"/>
      <c r="H96" s="50"/>
      <c r="I96" s="50"/>
      <c r="J96" s="50"/>
      <c r="K96" s="51"/>
      <c r="L96" s="35" t="str">
        <f t="shared" si="2"/>
        <v/>
      </c>
      <c r="M96" s="49" t="str">
        <f t="shared" si="3"/>
        <v/>
      </c>
      <c r="N96" s="49"/>
      <c r="O96" s="49"/>
      <c r="P96" s="49"/>
      <c r="Q96" s="49"/>
      <c r="R96" s="59"/>
    </row>
    <row r="97" spans="1:18" ht="24" customHeight="1" x14ac:dyDescent="0.45">
      <c r="A97" s="48"/>
      <c r="B97" s="49"/>
      <c r="C97" s="49"/>
      <c r="D97" s="49"/>
      <c r="E97" s="49"/>
      <c r="F97" s="49"/>
      <c r="G97" s="50"/>
      <c r="H97" s="50"/>
      <c r="I97" s="50"/>
      <c r="J97" s="50"/>
      <c r="K97" s="51"/>
      <c r="L97" s="35" t="str">
        <f t="shared" si="2"/>
        <v/>
      </c>
      <c r="M97" s="49" t="str">
        <f t="shared" si="3"/>
        <v/>
      </c>
      <c r="N97" s="49"/>
      <c r="O97" s="49"/>
      <c r="P97" s="49"/>
      <c r="Q97" s="49"/>
      <c r="R97" s="59"/>
    </row>
    <row r="98" spans="1:18" ht="24" customHeight="1" x14ac:dyDescent="0.45">
      <c r="A98" s="48"/>
      <c r="B98" s="49"/>
      <c r="C98" s="49"/>
      <c r="D98" s="49"/>
      <c r="E98" s="49"/>
      <c r="F98" s="49"/>
      <c r="G98" s="50"/>
      <c r="H98" s="50"/>
      <c r="I98" s="50"/>
      <c r="J98" s="50"/>
      <c r="K98" s="51"/>
      <c r="L98" s="35" t="str">
        <f t="shared" si="2"/>
        <v/>
      </c>
      <c r="M98" s="49" t="str">
        <f t="shared" si="3"/>
        <v/>
      </c>
      <c r="N98" s="49"/>
      <c r="O98" s="49"/>
      <c r="P98" s="49"/>
      <c r="Q98" s="49"/>
      <c r="R98" s="59"/>
    </row>
    <row r="99" spans="1:18" ht="24" customHeight="1" x14ac:dyDescent="0.45">
      <c r="A99" s="48"/>
      <c r="B99" s="49"/>
      <c r="C99" s="49"/>
      <c r="D99" s="49"/>
      <c r="E99" s="49"/>
      <c r="F99" s="49"/>
      <c r="G99" s="50"/>
      <c r="H99" s="50"/>
      <c r="I99" s="50"/>
      <c r="J99" s="50"/>
      <c r="K99" s="51"/>
      <c r="L99" s="35" t="str">
        <f t="shared" si="2"/>
        <v/>
      </c>
      <c r="M99" s="49" t="str">
        <f t="shared" si="3"/>
        <v/>
      </c>
      <c r="N99" s="49"/>
      <c r="O99" s="49"/>
      <c r="P99" s="49"/>
      <c r="Q99" s="49"/>
      <c r="R99" s="59"/>
    </row>
    <row r="100" spans="1:18" ht="24" customHeight="1" x14ac:dyDescent="0.45">
      <c r="A100" s="48"/>
      <c r="B100" s="49"/>
      <c r="C100" s="49"/>
      <c r="D100" s="49"/>
      <c r="E100" s="49"/>
      <c r="F100" s="49"/>
      <c r="G100" s="50"/>
      <c r="H100" s="50"/>
      <c r="I100" s="50"/>
      <c r="J100" s="50"/>
      <c r="K100" s="51"/>
      <c r="L100" s="35" t="str">
        <f t="shared" si="2"/>
        <v/>
      </c>
      <c r="M100" s="49" t="str">
        <f t="shared" si="3"/>
        <v/>
      </c>
      <c r="N100" s="49"/>
      <c r="O100" s="49"/>
      <c r="P100" s="49"/>
      <c r="Q100" s="49"/>
      <c r="R100" s="59"/>
    </row>
    <row r="101" spans="1:18" ht="24" customHeight="1" x14ac:dyDescent="0.45">
      <c r="A101" s="48"/>
      <c r="B101" s="49"/>
      <c r="C101" s="49"/>
      <c r="D101" s="49"/>
      <c r="E101" s="49"/>
      <c r="F101" s="49"/>
      <c r="G101" s="50"/>
      <c r="H101" s="50"/>
      <c r="I101" s="50"/>
      <c r="J101" s="50"/>
      <c r="K101" s="51"/>
      <c r="L101" s="35" t="str">
        <f t="shared" si="2"/>
        <v/>
      </c>
      <c r="M101" s="49" t="str">
        <f t="shared" si="3"/>
        <v/>
      </c>
      <c r="N101" s="49"/>
      <c r="O101" s="49"/>
      <c r="P101" s="49"/>
      <c r="Q101" s="49"/>
      <c r="R101" s="59"/>
    </row>
    <row r="102" spans="1:18" ht="24" customHeight="1" x14ac:dyDescent="0.45">
      <c r="A102" s="48"/>
      <c r="B102" s="49"/>
      <c r="C102" s="49"/>
      <c r="D102" s="49"/>
      <c r="E102" s="49"/>
      <c r="F102" s="49"/>
      <c r="G102" s="50"/>
      <c r="H102" s="50"/>
      <c r="I102" s="50"/>
      <c r="J102" s="50"/>
      <c r="K102" s="51"/>
      <c r="L102" s="35" t="str">
        <f t="shared" si="2"/>
        <v/>
      </c>
      <c r="M102" s="49" t="str">
        <f t="shared" si="3"/>
        <v/>
      </c>
      <c r="N102" s="49"/>
      <c r="O102" s="49"/>
      <c r="P102" s="49"/>
      <c r="Q102" s="49"/>
      <c r="R102" s="59"/>
    </row>
    <row r="103" spans="1:18" ht="24" customHeight="1" x14ac:dyDescent="0.45">
      <c r="A103" s="48"/>
      <c r="B103" s="49"/>
      <c r="C103" s="49"/>
      <c r="D103" s="49"/>
      <c r="E103" s="49"/>
      <c r="F103" s="49"/>
      <c r="G103" s="50"/>
      <c r="H103" s="50"/>
      <c r="I103" s="50"/>
      <c r="J103" s="50"/>
      <c r="K103" s="51"/>
      <c r="L103" s="35" t="str">
        <f t="shared" si="2"/>
        <v/>
      </c>
      <c r="M103" s="49" t="str">
        <f t="shared" si="3"/>
        <v/>
      </c>
      <c r="N103" s="49"/>
      <c r="O103" s="49"/>
      <c r="P103" s="49"/>
      <c r="Q103" s="49"/>
      <c r="R103" s="59"/>
    </row>
    <row r="104" spans="1:18" ht="24" customHeight="1" x14ac:dyDescent="0.45">
      <c r="A104" s="48"/>
      <c r="B104" s="49"/>
      <c r="C104" s="49"/>
      <c r="D104" s="49"/>
      <c r="E104" s="49"/>
      <c r="F104" s="49"/>
      <c r="G104" s="50"/>
      <c r="H104" s="50"/>
      <c r="I104" s="50"/>
      <c r="J104" s="50"/>
      <c r="K104" s="51"/>
      <c r="L104" s="35" t="str">
        <f t="shared" si="2"/>
        <v/>
      </c>
      <c r="M104" s="49" t="str">
        <f t="shared" si="3"/>
        <v/>
      </c>
      <c r="N104" s="49"/>
      <c r="O104" s="49"/>
      <c r="P104" s="49"/>
      <c r="Q104" s="49"/>
      <c r="R104" s="59"/>
    </row>
    <row r="105" spans="1:18" ht="24" customHeight="1" x14ac:dyDescent="0.45">
      <c r="A105" s="48"/>
      <c r="B105" s="49"/>
      <c r="C105" s="49"/>
      <c r="D105" s="49"/>
      <c r="E105" s="49"/>
      <c r="F105" s="49"/>
      <c r="G105" s="50"/>
      <c r="H105" s="50"/>
      <c r="I105" s="50"/>
      <c r="J105" s="50"/>
      <c r="K105" s="51"/>
      <c r="L105" s="35" t="str">
        <f t="shared" si="2"/>
        <v/>
      </c>
      <c r="M105" s="49" t="str">
        <f t="shared" si="3"/>
        <v/>
      </c>
      <c r="N105" s="49"/>
      <c r="O105" s="49"/>
      <c r="P105" s="49"/>
      <c r="Q105" s="49"/>
      <c r="R105" s="59"/>
    </row>
    <row r="106" spans="1:18" ht="24" customHeight="1" x14ac:dyDescent="0.45">
      <c r="A106" s="48"/>
      <c r="B106" s="49"/>
      <c r="C106" s="49"/>
      <c r="D106" s="49"/>
      <c r="E106" s="49"/>
      <c r="F106" s="49"/>
      <c r="G106" s="50"/>
      <c r="H106" s="50"/>
      <c r="I106" s="50"/>
      <c r="J106" s="50"/>
      <c r="K106" s="51"/>
      <c r="L106" s="35" t="str">
        <f t="shared" si="2"/>
        <v/>
      </c>
      <c r="M106" s="49" t="str">
        <f t="shared" si="3"/>
        <v/>
      </c>
      <c r="N106" s="49"/>
      <c r="O106" s="49"/>
      <c r="P106" s="49"/>
      <c r="Q106" s="49"/>
      <c r="R106" s="59"/>
    </row>
    <row r="107" spans="1:18" ht="24" customHeight="1" x14ac:dyDescent="0.45">
      <c r="A107" s="48"/>
      <c r="B107" s="49"/>
      <c r="C107" s="49"/>
      <c r="D107" s="49"/>
      <c r="E107" s="49"/>
      <c r="F107" s="49"/>
      <c r="G107" s="50"/>
      <c r="H107" s="50"/>
      <c r="I107" s="50"/>
      <c r="J107" s="50"/>
      <c r="K107" s="51"/>
      <c r="L107" s="35" t="str">
        <f t="shared" si="2"/>
        <v/>
      </c>
      <c r="M107" s="49" t="str">
        <f t="shared" si="3"/>
        <v/>
      </c>
      <c r="N107" s="49"/>
      <c r="O107" s="49"/>
      <c r="P107" s="49"/>
      <c r="Q107" s="49"/>
      <c r="R107" s="59"/>
    </row>
    <row r="108" spans="1:18" ht="24" customHeight="1" x14ac:dyDescent="0.45">
      <c r="A108" s="48"/>
      <c r="B108" s="49"/>
      <c r="C108" s="49"/>
      <c r="D108" s="49"/>
      <c r="E108" s="49"/>
      <c r="F108" s="49"/>
      <c r="G108" s="50"/>
      <c r="H108" s="50"/>
      <c r="I108" s="50"/>
      <c r="J108" s="50"/>
      <c r="K108" s="51"/>
      <c r="L108" s="35" t="str">
        <f t="shared" si="2"/>
        <v/>
      </c>
      <c r="M108" s="49" t="str">
        <f t="shared" si="3"/>
        <v/>
      </c>
      <c r="N108" s="49"/>
      <c r="O108" s="49"/>
      <c r="P108" s="49"/>
      <c r="Q108" s="49"/>
      <c r="R108" s="59"/>
    </row>
    <row r="109" spans="1:18" ht="24" customHeight="1" x14ac:dyDescent="0.45">
      <c r="A109" s="48"/>
      <c r="B109" s="49"/>
      <c r="C109" s="49"/>
      <c r="D109" s="49"/>
      <c r="E109" s="49"/>
      <c r="F109" s="49"/>
      <c r="G109" s="50"/>
      <c r="H109" s="50"/>
      <c r="I109" s="50"/>
      <c r="J109" s="50"/>
      <c r="K109" s="51"/>
      <c r="L109" s="35" t="str">
        <f t="shared" si="2"/>
        <v/>
      </c>
      <c r="M109" s="49" t="str">
        <f t="shared" si="3"/>
        <v/>
      </c>
      <c r="N109" s="49"/>
      <c r="O109" s="49"/>
      <c r="P109" s="49"/>
      <c r="Q109" s="49"/>
      <c r="R109" s="59"/>
    </row>
    <row r="110" spans="1:18" ht="24" customHeight="1" x14ac:dyDescent="0.45">
      <c r="A110" s="48"/>
      <c r="B110" s="49"/>
      <c r="C110" s="49"/>
      <c r="D110" s="49"/>
      <c r="E110" s="49"/>
      <c r="F110" s="49"/>
      <c r="G110" s="50"/>
      <c r="H110" s="50"/>
      <c r="I110" s="50"/>
      <c r="J110" s="50"/>
      <c r="K110" s="51"/>
      <c r="L110" s="35" t="str">
        <f t="shared" si="2"/>
        <v/>
      </c>
      <c r="M110" s="49" t="str">
        <f t="shared" si="3"/>
        <v/>
      </c>
      <c r="N110" s="49"/>
      <c r="O110" s="49"/>
      <c r="P110" s="49"/>
      <c r="Q110" s="49"/>
      <c r="R110" s="59"/>
    </row>
    <row r="111" spans="1:18" ht="24" customHeight="1" x14ac:dyDescent="0.45">
      <c r="A111" s="48"/>
      <c r="B111" s="49"/>
      <c r="C111" s="49"/>
      <c r="D111" s="49"/>
      <c r="E111" s="49"/>
      <c r="F111" s="49"/>
      <c r="G111" s="50"/>
      <c r="H111" s="50"/>
      <c r="I111" s="50"/>
      <c r="J111" s="50"/>
      <c r="K111" s="51"/>
      <c r="L111" s="35" t="str">
        <f t="shared" si="2"/>
        <v/>
      </c>
      <c r="M111" s="49" t="str">
        <f t="shared" si="3"/>
        <v/>
      </c>
      <c r="N111" s="49"/>
      <c r="O111" s="49"/>
      <c r="P111" s="49"/>
      <c r="Q111" s="49"/>
      <c r="R111" s="59"/>
    </row>
    <row r="112" spans="1:18" ht="24" customHeight="1" x14ac:dyDescent="0.45">
      <c r="A112" s="48"/>
      <c r="B112" s="49"/>
      <c r="C112" s="49"/>
      <c r="D112" s="49"/>
      <c r="E112" s="49"/>
      <c r="F112" s="49"/>
      <c r="G112" s="50"/>
      <c r="H112" s="50"/>
      <c r="I112" s="50"/>
      <c r="J112" s="50"/>
      <c r="K112" s="51"/>
      <c r="L112" s="35" t="str">
        <f t="shared" si="2"/>
        <v/>
      </c>
      <c r="M112" s="49" t="str">
        <f t="shared" si="3"/>
        <v/>
      </c>
      <c r="N112" s="49"/>
      <c r="O112" s="49"/>
      <c r="P112" s="49"/>
      <c r="Q112" s="49"/>
      <c r="R112" s="59"/>
    </row>
    <row r="113" spans="1:18" ht="24" customHeight="1" x14ac:dyDescent="0.45">
      <c r="A113" s="48"/>
      <c r="B113" s="49"/>
      <c r="C113" s="49"/>
      <c r="D113" s="49"/>
      <c r="E113" s="49"/>
      <c r="F113" s="49"/>
      <c r="G113" s="50"/>
      <c r="H113" s="50"/>
      <c r="I113" s="50"/>
      <c r="J113" s="50"/>
      <c r="K113" s="51"/>
      <c r="L113" s="35" t="str">
        <f t="shared" si="2"/>
        <v/>
      </c>
      <c r="M113" s="49" t="str">
        <f t="shared" si="3"/>
        <v/>
      </c>
      <c r="N113" s="49"/>
      <c r="O113" s="49"/>
      <c r="P113" s="49"/>
      <c r="Q113" s="49"/>
      <c r="R113" s="59"/>
    </row>
    <row r="114" spans="1:18" ht="24" customHeight="1" x14ac:dyDescent="0.45">
      <c r="A114" s="48"/>
      <c r="B114" s="49"/>
      <c r="C114" s="49"/>
      <c r="D114" s="49"/>
      <c r="E114" s="49"/>
      <c r="F114" s="49"/>
      <c r="G114" s="50"/>
      <c r="H114" s="50"/>
      <c r="I114" s="50"/>
      <c r="J114" s="50"/>
      <c r="K114" s="51"/>
      <c r="L114" s="35" t="str">
        <f t="shared" si="2"/>
        <v/>
      </c>
      <c r="M114" s="49" t="str">
        <f t="shared" si="3"/>
        <v/>
      </c>
      <c r="N114" s="49"/>
      <c r="O114" s="49"/>
      <c r="P114" s="49"/>
      <c r="Q114" s="49"/>
      <c r="R114" s="59"/>
    </row>
    <row r="115" spans="1:18" ht="24" customHeight="1" x14ac:dyDescent="0.45">
      <c r="A115" s="48"/>
      <c r="B115" s="49"/>
      <c r="C115" s="49"/>
      <c r="D115" s="49"/>
      <c r="E115" s="49"/>
      <c r="F115" s="49"/>
      <c r="G115" s="50"/>
      <c r="H115" s="50"/>
      <c r="I115" s="50"/>
      <c r="J115" s="50"/>
      <c r="K115" s="51"/>
      <c r="L115" s="35" t="str">
        <f t="shared" si="2"/>
        <v/>
      </c>
      <c r="M115" s="49" t="str">
        <f t="shared" si="3"/>
        <v/>
      </c>
      <c r="N115" s="49"/>
      <c r="O115" s="49"/>
      <c r="P115" s="49"/>
      <c r="Q115" s="49"/>
      <c r="R115" s="59"/>
    </row>
    <row r="116" spans="1:18" ht="24" customHeight="1" x14ac:dyDescent="0.45">
      <c r="A116" s="48"/>
      <c r="B116" s="49"/>
      <c r="C116" s="49"/>
      <c r="D116" s="49"/>
      <c r="E116" s="49"/>
      <c r="F116" s="49"/>
      <c r="G116" s="50"/>
      <c r="H116" s="50"/>
      <c r="I116" s="50"/>
      <c r="J116" s="50"/>
      <c r="K116" s="51"/>
      <c r="L116" s="35" t="str">
        <f t="shared" si="2"/>
        <v/>
      </c>
      <c r="M116" s="49" t="str">
        <f t="shared" si="3"/>
        <v/>
      </c>
      <c r="N116" s="49"/>
      <c r="O116" s="49"/>
      <c r="P116" s="49"/>
      <c r="Q116" s="49"/>
      <c r="R116" s="59"/>
    </row>
    <row r="117" spans="1:18" ht="24" customHeight="1" x14ac:dyDescent="0.45">
      <c r="A117" s="48"/>
      <c r="B117" s="49"/>
      <c r="C117" s="49"/>
      <c r="D117" s="49"/>
      <c r="E117" s="49"/>
      <c r="F117" s="49"/>
      <c r="G117" s="50"/>
      <c r="H117" s="50"/>
      <c r="I117" s="50"/>
      <c r="J117" s="50"/>
      <c r="K117" s="51"/>
      <c r="L117" s="35" t="str">
        <f t="shared" si="2"/>
        <v/>
      </c>
      <c r="M117" s="49" t="str">
        <f t="shared" si="3"/>
        <v/>
      </c>
      <c r="N117" s="49"/>
      <c r="O117" s="49"/>
      <c r="P117" s="49"/>
      <c r="Q117" s="49"/>
      <c r="R117" s="59"/>
    </row>
    <row r="118" spans="1:18" ht="24" customHeight="1" x14ac:dyDescent="0.45">
      <c r="A118" s="48"/>
      <c r="B118" s="49"/>
      <c r="C118" s="49"/>
      <c r="D118" s="49"/>
      <c r="E118" s="49"/>
      <c r="F118" s="49"/>
      <c r="G118" s="50"/>
      <c r="H118" s="50"/>
      <c r="I118" s="50"/>
      <c r="J118" s="50"/>
      <c r="K118" s="51"/>
      <c r="L118" s="35" t="str">
        <f t="shared" si="2"/>
        <v/>
      </c>
      <c r="M118" s="49" t="str">
        <f t="shared" si="3"/>
        <v/>
      </c>
      <c r="N118" s="49"/>
      <c r="O118" s="49"/>
      <c r="P118" s="49"/>
      <c r="Q118" s="49"/>
      <c r="R118" s="59"/>
    </row>
    <row r="119" spans="1:18" ht="24" customHeight="1" x14ac:dyDescent="0.45">
      <c r="A119" s="48"/>
      <c r="B119" s="49"/>
      <c r="C119" s="49"/>
      <c r="D119" s="49"/>
      <c r="E119" s="49"/>
      <c r="F119" s="49"/>
      <c r="G119" s="50"/>
      <c r="H119" s="50"/>
      <c r="I119" s="50"/>
      <c r="J119" s="50"/>
      <c r="K119" s="51"/>
      <c r="L119" s="35" t="str">
        <f t="shared" si="2"/>
        <v/>
      </c>
      <c r="M119" s="49" t="str">
        <f t="shared" si="3"/>
        <v/>
      </c>
      <c r="N119" s="49"/>
      <c r="O119" s="49"/>
      <c r="P119" s="49"/>
      <c r="Q119" s="49"/>
      <c r="R119" s="59"/>
    </row>
    <row r="120" spans="1:18" ht="24" customHeight="1" x14ac:dyDescent="0.45">
      <c r="A120" s="48"/>
      <c r="B120" s="49"/>
      <c r="C120" s="49"/>
      <c r="D120" s="49"/>
      <c r="E120" s="49"/>
      <c r="F120" s="49"/>
      <c r="G120" s="50"/>
      <c r="H120" s="50"/>
      <c r="I120" s="50"/>
      <c r="J120" s="50"/>
      <c r="K120" s="51"/>
      <c r="L120" s="35" t="str">
        <f t="shared" si="2"/>
        <v/>
      </c>
      <c r="M120" s="49" t="str">
        <f t="shared" si="3"/>
        <v/>
      </c>
      <c r="N120" s="49"/>
      <c r="O120" s="49"/>
      <c r="P120" s="49"/>
      <c r="Q120" s="49"/>
      <c r="R120" s="59"/>
    </row>
    <row r="121" spans="1:18" ht="24" customHeight="1" x14ac:dyDescent="0.45">
      <c r="A121" s="48"/>
      <c r="B121" s="49"/>
      <c r="C121" s="49"/>
      <c r="D121" s="49"/>
      <c r="E121" s="49"/>
      <c r="F121" s="49"/>
      <c r="G121" s="50"/>
      <c r="H121" s="50"/>
      <c r="I121" s="50"/>
      <c r="J121" s="50"/>
      <c r="K121" s="51"/>
      <c r="L121" s="35" t="str">
        <f t="shared" si="2"/>
        <v/>
      </c>
      <c r="M121" s="49" t="str">
        <f t="shared" si="3"/>
        <v/>
      </c>
      <c r="N121" s="49"/>
      <c r="O121" s="49"/>
      <c r="P121" s="49"/>
      <c r="Q121" s="49"/>
      <c r="R121" s="59"/>
    </row>
    <row r="122" spans="1:18" ht="24" customHeight="1" x14ac:dyDescent="0.45">
      <c r="A122" s="48"/>
      <c r="B122" s="49"/>
      <c r="C122" s="49"/>
      <c r="D122" s="49"/>
      <c r="E122" s="49"/>
      <c r="F122" s="49"/>
      <c r="G122" s="50"/>
      <c r="H122" s="50"/>
      <c r="I122" s="50"/>
      <c r="J122" s="50"/>
      <c r="K122" s="51"/>
      <c r="L122" s="35" t="str">
        <f t="shared" si="2"/>
        <v/>
      </c>
      <c r="M122" s="49" t="str">
        <f t="shared" si="3"/>
        <v/>
      </c>
      <c r="N122" s="49"/>
      <c r="O122" s="49"/>
      <c r="P122" s="49"/>
      <c r="Q122" s="49"/>
      <c r="R122" s="59"/>
    </row>
    <row r="123" spans="1:18" ht="24" customHeight="1" x14ac:dyDescent="0.45">
      <c r="A123" s="48"/>
      <c r="B123" s="49"/>
      <c r="C123" s="49"/>
      <c r="D123" s="49"/>
      <c r="E123" s="49"/>
      <c r="F123" s="49"/>
      <c r="G123" s="50"/>
      <c r="H123" s="50"/>
      <c r="I123" s="50"/>
      <c r="J123" s="50"/>
      <c r="K123" s="51"/>
      <c r="L123" s="35" t="str">
        <f t="shared" si="2"/>
        <v/>
      </c>
      <c r="M123" s="49" t="str">
        <f t="shared" si="3"/>
        <v/>
      </c>
      <c r="N123" s="49"/>
      <c r="O123" s="49"/>
      <c r="P123" s="49"/>
      <c r="Q123" s="49"/>
      <c r="R123" s="59"/>
    </row>
    <row r="124" spans="1:18" ht="24" customHeight="1" x14ac:dyDescent="0.45">
      <c r="A124" s="48"/>
      <c r="B124" s="49"/>
      <c r="C124" s="49"/>
      <c r="D124" s="49"/>
      <c r="E124" s="49"/>
      <c r="F124" s="49"/>
      <c r="G124" s="50"/>
      <c r="H124" s="50"/>
      <c r="I124" s="50"/>
      <c r="J124" s="50"/>
      <c r="K124" s="51"/>
      <c r="L124" s="35" t="str">
        <f t="shared" si="2"/>
        <v/>
      </c>
      <c r="M124" s="49" t="str">
        <f t="shared" si="3"/>
        <v/>
      </c>
      <c r="N124" s="49"/>
      <c r="O124" s="49"/>
      <c r="P124" s="49"/>
      <c r="Q124" s="49"/>
      <c r="R124" s="59"/>
    </row>
    <row r="125" spans="1:18" ht="24" customHeight="1" x14ac:dyDescent="0.45">
      <c r="A125" s="48"/>
      <c r="B125" s="49"/>
      <c r="C125" s="49"/>
      <c r="D125" s="49"/>
      <c r="E125" s="49"/>
      <c r="F125" s="49"/>
      <c r="G125" s="50"/>
      <c r="H125" s="50"/>
      <c r="I125" s="50"/>
      <c r="J125" s="50"/>
      <c r="K125" s="51"/>
      <c r="L125" s="35" t="str">
        <f t="shared" si="2"/>
        <v/>
      </c>
      <c r="M125" s="49" t="str">
        <f t="shared" si="3"/>
        <v/>
      </c>
      <c r="N125" s="49"/>
      <c r="O125" s="49"/>
      <c r="P125" s="49"/>
      <c r="Q125" s="49"/>
      <c r="R125" s="59"/>
    </row>
    <row r="126" spans="1:18" ht="24" customHeight="1" x14ac:dyDescent="0.45">
      <c r="A126" s="48"/>
      <c r="B126" s="49"/>
      <c r="C126" s="49"/>
      <c r="D126" s="49"/>
      <c r="E126" s="49"/>
      <c r="F126" s="49"/>
      <c r="G126" s="50"/>
      <c r="H126" s="50"/>
      <c r="I126" s="50"/>
      <c r="J126" s="50"/>
      <c r="K126" s="51"/>
      <c r="L126" s="35" t="str">
        <f t="shared" si="2"/>
        <v/>
      </c>
      <c r="M126" s="49" t="str">
        <f t="shared" si="3"/>
        <v/>
      </c>
      <c r="N126" s="49"/>
      <c r="O126" s="49"/>
      <c r="P126" s="49"/>
      <c r="Q126" s="49"/>
      <c r="R126" s="59"/>
    </row>
    <row r="127" spans="1:18" ht="24" customHeight="1" x14ac:dyDescent="0.45">
      <c r="A127" s="48"/>
      <c r="B127" s="49"/>
      <c r="C127" s="49"/>
      <c r="D127" s="49"/>
      <c r="E127" s="49"/>
      <c r="F127" s="49"/>
      <c r="G127" s="50"/>
      <c r="H127" s="50"/>
      <c r="I127" s="50"/>
      <c r="J127" s="50"/>
      <c r="K127" s="51"/>
      <c r="L127" s="35" t="str">
        <f t="shared" si="2"/>
        <v/>
      </c>
      <c r="M127" s="49" t="str">
        <f t="shared" si="3"/>
        <v/>
      </c>
      <c r="N127" s="49"/>
      <c r="O127" s="49"/>
      <c r="P127" s="49"/>
      <c r="Q127" s="49"/>
      <c r="R127" s="59"/>
    </row>
    <row r="128" spans="1:18" ht="24" customHeight="1" x14ac:dyDescent="0.45">
      <c r="A128" s="48"/>
      <c r="B128" s="49"/>
      <c r="C128" s="49"/>
      <c r="D128" s="49"/>
      <c r="E128" s="49"/>
      <c r="F128" s="49"/>
      <c r="G128" s="50"/>
      <c r="H128" s="50"/>
      <c r="I128" s="50"/>
      <c r="J128" s="50"/>
      <c r="K128" s="51"/>
      <c r="L128" s="35" t="str">
        <f t="shared" si="2"/>
        <v/>
      </c>
      <c r="M128" s="49" t="str">
        <f t="shared" si="3"/>
        <v/>
      </c>
      <c r="N128" s="49"/>
      <c r="O128" s="49"/>
      <c r="P128" s="49"/>
      <c r="Q128" s="49"/>
      <c r="R128" s="59"/>
    </row>
    <row r="129" spans="1:18" ht="24" customHeight="1" x14ac:dyDescent="0.45">
      <c r="A129" s="48"/>
      <c r="B129" s="49"/>
      <c r="C129" s="49"/>
      <c r="D129" s="49"/>
      <c r="E129" s="49"/>
      <c r="F129" s="49"/>
      <c r="G129" s="50"/>
      <c r="H129" s="50"/>
      <c r="I129" s="50"/>
      <c r="J129" s="50"/>
      <c r="K129" s="51"/>
      <c r="L129" s="35" t="str">
        <f t="shared" si="2"/>
        <v/>
      </c>
      <c r="M129" s="49" t="str">
        <f t="shared" si="3"/>
        <v/>
      </c>
      <c r="N129" s="49"/>
      <c r="O129" s="49"/>
      <c r="P129" s="49"/>
      <c r="Q129" s="49"/>
      <c r="R129" s="59"/>
    </row>
    <row r="130" spans="1:18" ht="24" customHeight="1" x14ac:dyDescent="0.45">
      <c r="A130" s="48"/>
      <c r="B130" s="49"/>
      <c r="C130" s="49"/>
      <c r="D130" s="49"/>
      <c r="E130" s="49"/>
      <c r="F130" s="49"/>
      <c r="G130" s="50"/>
      <c r="H130" s="50"/>
      <c r="I130" s="50"/>
      <c r="J130" s="50"/>
      <c r="K130" s="51"/>
      <c r="L130" s="35" t="str">
        <f t="shared" si="2"/>
        <v/>
      </c>
      <c r="M130" s="49" t="str">
        <f t="shared" si="3"/>
        <v/>
      </c>
      <c r="N130" s="49"/>
      <c r="O130" s="49"/>
      <c r="P130" s="49"/>
      <c r="Q130" s="49"/>
      <c r="R130" s="59"/>
    </row>
    <row r="131" spans="1:18" ht="24" customHeight="1" x14ac:dyDescent="0.45">
      <c r="A131" s="48"/>
      <c r="B131" s="49"/>
      <c r="C131" s="49"/>
      <c r="D131" s="49"/>
      <c r="E131" s="49"/>
      <c r="F131" s="49"/>
      <c r="G131" s="50"/>
      <c r="H131" s="50"/>
      <c r="I131" s="50"/>
      <c r="J131" s="50"/>
      <c r="K131" s="51"/>
      <c r="L131" s="35" t="str">
        <f t="shared" si="2"/>
        <v/>
      </c>
      <c r="M131" s="49" t="str">
        <f t="shared" si="3"/>
        <v/>
      </c>
      <c r="N131" s="49"/>
      <c r="O131" s="49"/>
      <c r="P131" s="49"/>
      <c r="Q131" s="49"/>
      <c r="R131" s="59"/>
    </row>
    <row r="132" spans="1:18" ht="24" customHeight="1" x14ac:dyDescent="0.45">
      <c r="A132" s="48"/>
      <c r="B132" s="49"/>
      <c r="C132" s="49"/>
      <c r="D132" s="49"/>
      <c r="E132" s="49"/>
      <c r="F132" s="49"/>
      <c r="G132" s="50"/>
      <c r="H132" s="50"/>
      <c r="I132" s="50"/>
      <c r="J132" s="50"/>
      <c r="K132" s="51"/>
      <c r="L132" s="35" t="str">
        <f t="shared" si="2"/>
        <v/>
      </c>
      <c r="M132" s="49" t="str">
        <f t="shared" si="3"/>
        <v/>
      </c>
      <c r="N132" s="49"/>
      <c r="O132" s="49"/>
      <c r="P132" s="49"/>
      <c r="Q132" s="49"/>
      <c r="R132" s="59"/>
    </row>
    <row r="133" spans="1:18" ht="24" customHeight="1" x14ac:dyDescent="0.45">
      <c r="A133" s="48"/>
      <c r="B133" s="49"/>
      <c r="C133" s="49"/>
      <c r="D133" s="49"/>
      <c r="E133" s="49"/>
      <c r="F133" s="49"/>
      <c r="G133" s="50"/>
      <c r="H133" s="50"/>
      <c r="I133" s="50"/>
      <c r="J133" s="50"/>
      <c r="K133" s="51"/>
      <c r="L133" s="35" t="str">
        <f t="shared" ref="L133:L196" si="4">IF(F133&gt;0,K133/F133,"")</f>
        <v/>
      </c>
      <c r="M133" s="49" t="str">
        <f t="shared" ref="M133:M196" si="5">IF(A133="","",IF(Q133&lt;&gt;"","Acté",IF(P133&lt;&gt;"","Réservé",IF(O133&lt;&gt;"","Option","Libre"))))</f>
        <v/>
      </c>
      <c r="N133" s="49"/>
      <c r="O133" s="49"/>
      <c r="P133" s="49"/>
      <c r="Q133" s="49"/>
      <c r="R133" s="59"/>
    </row>
    <row r="134" spans="1:18" ht="24" customHeight="1" x14ac:dyDescent="0.45">
      <c r="A134" s="48"/>
      <c r="B134" s="49"/>
      <c r="C134" s="49"/>
      <c r="D134" s="49"/>
      <c r="E134" s="49"/>
      <c r="F134" s="49"/>
      <c r="G134" s="50"/>
      <c r="H134" s="50"/>
      <c r="I134" s="50"/>
      <c r="J134" s="50"/>
      <c r="K134" s="51"/>
      <c r="L134" s="35" t="str">
        <f t="shared" si="4"/>
        <v/>
      </c>
      <c r="M134" s="49" t="str">
        <f t="shared" si="5"/>
        <v/>
      </c>
      <c r="N134" s="49"/>
      <c r="O134" s="49"/>
      <c r="P134" s="49"/>
      <c r="Q134" s="49"/>
      <c r="R134" s="59"/>
    </row>
    <row r="135" spans="1:18" ht="24" customHeight="1" x14ac:dyDescent="0.45">
      <c r="A135" s="48"/>
      <c r="B135" s="49"/>
      <c r="C135" s="49"/>
      <c r="D135" s="49"/>
      <c r="E135" s="49"/>
      <c r="F135" s="49"/>
      <c r="G135" s="50"/>
      <c r="H135" s="50"/>
      <c r="I135" s="50"/>
      <c r="J135" s="50"/>
      <c r="K135" s="51"/>
      <c r="L135" s="35" t="str">
        <f t="shared" si="4"/>
        <v/>
      </c>
      <c r="M135" s="49" t="str">
        <f t="shared" si="5"/>
        <v/>
      </c>
      <c r="N135" s="49"/>
      <c r="O135" s="49"/>
      <c r="P135" s="49"/>
      <c r="Q135" s="49"/>
      <c r="R135" s="59"/>
    </row>
    <row r="136" spans="1:18" ht="24" customHeight="1" x14ac:dyDescent="0.45">
      <c r="A136" s="48"/>
      <c r="B136" s="49"/>
      <c r="C136" s="49"/>
      <c r="D136" s="49"/>
      <c r="E136" s="49"/>
      <c r="F136" s="49"/>
      <c r="G136" s="50"/>
      <c r="H136" s="50"/>
      <c r="I136" s="50"/>
      <c r="J136" s="50"/>
      <c r="K136" s="51"/>
      <c r="L136" s="35" t="str">
        <f t="shared" si="4"/>
        <v/>
      </c>
      <c r="M136" s="49" t="str">
        <f t="shared" si="5"/>
        <v/>
      </c>
      <c r="N136" s="49"/>
      <c r="O136" s="49"/>
      <c r="P136" s="49"/>
      <c r="Q136" s="49"/>
      <c r="R136" s="59"/>
    </row>
    <row r="137" spans="1:18" ht="24" customHeight="1" x14ac:dyDescent="0.45">
      <c r="A137" s="48"/>
      <c r="B137" s="49"/>
      <c r="C137" s="49"/>
      <c r="D137" s="49"/>
      <c r="E137" s="49"/>
      <c r="F137" s="49"/>
      <c r="G137" s="50"/>
      <c r="H137" s="50"/>
      <c r="I137" s="50"/>
      <c r="J137" s="50"/>
      <c r="K137" s="51"/>
      <c r="L137" s="35" t="str">
        <f t="shared" si="4"/>
        <v/>
      </c>
      <c r="M137" s="49" t="str">
        <f t="shared" si="5"/>
        <v/>
      </c>
      <c r="N137" s="49"/>
      <c r="O137" s="49"/>
      <c r="P137" s="49"/>
      <c r="Q137" s="49"/>
      <c r="R137" s="59"/>
    </row>
    <row r="138" spans="1:18" ht="24" customHeight="1" x14ac:dyDescent="0.45">
      <c r="A138" s="48"/>
      <c r="B138" s="49"/>
      <c r="C138" s="49"/>
      <c r="D138" s="49"/>
      <c r="E138" s="49"/>
      <c r="F138" s="49"/>
      <c r="G138" s="50"/>
      <c r="H138" s="50"/>
      <c r="I138" s="50"/>
      <c r="J138" s="50"/>
      <c r="K138" s="51"/>
      <c r="L138" s="35" t="str">
        <f t="shared" si="4"/>
        <v/>
      </c>
      <c r="M138" s="49" t="str">
        <f t="shared" si="5"/>
        <v/>
      </c>
      <c r="N138" s="49"/>
      <c r="O138" s="49"/>
      <c r="P138" s="49"/>
      <c r="Q138" s="49"/>
      <c r="R138" s="59"/>
    </row>
    <row r="139" spans="1:18" ht="24" customHeight="1" x14ac:dyDescent="0.45">
      <c r="A139" s="48"/>
      <c r="B139" s="49"/>
      <c r="C139" s="49"/>
      <c r="D139" s="49"/>
      <c r="E139" s="49"/>
      <c r="F139" s="49"/>
      <c r="G139" s="50"/>
      <c r="H139" s="50"/>
      <c r="I139" s="50"/>
      <c r="J139" s="50"/>
      <c r="K139" s="51"/>
      <c r="L139" s="35" t="str">
        <f t="shared" si="4"/>
        <v/>
      </c>
      <c r="M139" s="49" t="str">
        <f t="shared" si="5"/>
        <v/>
      </c>
      <c r="N139" s="49"/>
      <c r="O139" s="49"/>
      <c r="P139" s="49"/>
      <c r="Q139" s="49"/>
      <c r="R139" s="59"/>
    </row>
    <row r="140" spans="1:18" ht="24" customHeight="1" x14ac:dyDescent="0.45">
      <c r="A140" s="48"/>
      <c r="B140" s="49"/>
      <c r="C140" s="49"/>
      <c r="D140" s="49"/>
      <c r="E140" s="49"/>
      <c r="F140" s="49"/>
      <c r="G140" s="50"/>
      <c r="H140" s="50"/>
      <c r="I140" s="50"/>
      <c r="J140" s="50"/>
      <c r="K140" s="51"/>
      <c r="L140" s="35" t="str">
        <f t="shared" si="4"/>
        <v/>
      </c>
      <c r="M140" s="49" t="str">
        <f t="shared" si="5"/>
        <v/>
      </c>
      <c r="N140" s="49"/>
      <c r="O140" s="49"/>
      <c r="P140" s="49"/>
      <c r="Q140" s="49"/>
      <c r="R140" s="59"/>
    </row>
    <row r="141" spans="1:18" ht="24" customHeight="1" x14ac:dyDescent="0.45">
      <c r="A141" s="48"/>
      <c r="B141" s="49"/>
      <c r="C141" s="49"/>
      <c r="D141" s="49"/>
      <c r="E141" s="49"/>
      <c r="F141" s="49"/>
      <c r="G141" s="50"/>
      <c r="H141" s="50"/>
      <c r="I141" s="50"/>
      <c r="J141" s="50"/>
      <c r="K141" s="51"/>
      <c r="L141" s="35" t="str">
        <f t="shared" si="4"/>
        <v/>
      </c>
      <c r="M141" s="49" t="str">
        <f t="shared" si="5"/>
        <v/>
      </c>
      <c r="N141" s="49"/>
      <c r="O141" s="49"/>
      <c r="P141" s="49"/>
      <c r="Q141" s="49"/>
      <c r="R141" s="59"/>
    </row>
    <row r="142" spans="1:18" ht="24" customHeight="1" x14ac:dyDescent="0.45">
      <c r="A142" s="48"/>
      <c r="B142" s="49"/>
      <c r="C142" s="49"/>
      <c r="D142" s="49"/>
      <c r="E142" s="49"/>
      <c r="F142" s="49"/>
      <c r="G142" s="50"/>
      <c r="H142" s="50"/>
      <c r="I142" s="50"/>
      <c r="J142" s="50"/>
      <c r="K142" s="51"/>
      <c r="L142" s="35" t="str">
        <f t="shared" si="4"/>
        <v/>
      </c>
      <c r="M142" s="49" t="str">
        <f t="shared" si="5"/>
        <v/>
      </c>
      <c r="N142" s="49"/>
      <c r="O142" s="49"/>
      <c r="P142" s="49"/>
      <c r="Q142" s="49"/>
      <c r="R142" s="59"/>
    </row>
    <row r="143" spans="1:18" ht="24" customHeight="1" x14ac:dyDescent="0.45">
      <c r="A143" s="48"/>
      <c r="B143" s="49"/>
      <c r="C143" s="49"/>
      <c r="D143" s="49"/>
      <c r="E143" s="49"/>
      <c r="F143" s="49"/>
      <c r="G143" s="50"/>
      <c r="H143" s="50"/>
      <c r="I143" s="50"/>
      <c r="J143" s="50"/>
      <c r="K143" s="51"/>
      <c r="L143" s="35" t="str">
        <f t="shared" si="4"/>
        <v/>
      </c>
      <c r="M143" s="49" t="str">
        <f t="shared" si="5"/>
        <v/>
      </c>
      <c r="N143" s="49"/>
      <c r="O143" s="49"/>
      <c r="P143" s="49"/>
      <c r="Q143" s="49"/>
      <c r="R143" s="59"/>
    </row>
    <row r="144" spans="1:18" ht="24" customHeight="1" x14ac:dyDescent="0.45">
      <c r="A144" s="48"/>
      <c r="B144" s="49"/>
      <c r="C144" s="49"/>
      <c r="D144" s="49"/>
      <c r="E144" s="49"/>
      <c r="F144" s="49"/>
      <c r="G144" s="50"/>
      <c r="H144" s="50"/>
      <c r="I144" s="50"/>
      <c r="J144" s="50"/>
      <c r="K144" s="51"/>
      <c r="L144" s="35" t="str">
        <f t="shared" si="4"/>
        <v/>
      </c>
      <c r="M144" s="49" t="str">
        <f t="shared" si="5"/>
        <v/>
      </c>
      <c r="N144" s="49"/>
      <c r="O144" s="49"/>
      <c r="P144" s="49"/>
      <c r="Q144" s="49"/>
      <c r="R144" s="59"/>
    </row>
    <row r="145" spans="1:18" ht="24" customHeight="1" x14ac:dyDescent="0.45">
      <c r="A145" s="48"/>
      <c r="B145" s="49"/>
      <c r="C145" s="49"/>
      <c r="D145" s="49"/>
      <c r="E145" s="49"/>
      <c r="F145" s="49"/>
      <c r="G145" s="50"/>
      <c r="H145" s="50"/>
      <c r="I145" s="50"/>
      <c r="J145" s="50"/>
      <c r="K145" s="51"/>
      <c r="L145" s="35" t="str">
        <f t="shared" si="4"/>
        <v/>
      </c>
      <c r="M145" s="49" t="str">
        <f t="shared" si="5"/>
        <v/>
      </c>
      <c r="N145" s="49"/>
      <c r="O145" s="49"/>
      <c r="P145" s="49"/>
      <c r="Q145" s="49"/>
      <c r="R145" s="59"/>
    </row>
    <row r="146" spans="1:18" ht="24" customHeight="1" x14ac:dyDescent="0.45">
      <c r="A146" s="48"/>
      <c r="B146" s="49"/>
      <c r="C146" s="49"/>
      <c r="D146" s="49"/>
      <c r="E146" s="49"/>
      <c r="F146" s="49"/>
      <c r="G146" s="50"/>
      <c r="H146" s="50"/>
      <c r="I146" s="50"/>
      <c r="J146" s="50"/>
      <c r="K146" s="51"/>
      <c r="L146" s="35" t="str">
        <f t="shared" si="4"/>
        <v/>
      </c>
      <c r="M146" s="49" t="str">
        <f t="shared" si="5"/>
        <v/>
      </c>
      <c r="N146" s="49"/>
      <c r="O146" s="49"/>
      <c r="P146" s="49"/>
      <c r="Q146" s="49"/>
      <c r="R146" s="59"/>
    </row>
    <row r="147" spans="1:18" ht="24" customHeight="1" x14ac:dyDescent="0.45">
      <c r="A147" s="48"/>
      <c r="B147" s="49"/>
      <c r="C147" s="49"/>
      <c r="D147" s="49"/>
      <c r="E147" s="49"/>
      <c r="F147" s="49"/>
      <c r="G147" s="50"/>
      <c r="H147" s="50"/>
      <c r="I147" s="50"/>
      <c r="J147" s="50"/>
      <c r="K147" s="51"/>
      <c r="L147" s="35" t="str">
        <f t="shared" si="4"/>
        <v/>
      </c>
      <c r="M147" s="49" t="str">
        <f t="shared" si="5"/>
        <v/>
      </c>
      <c r="N147" s="49"/>
      <c r="O147" s="49"/>
      <c r="P147" s="49"/>
      <c r="Q147" s="49"/>
      <c r="R147" s="59"/>
    </row>
    <row r="148" spans="1:18" ht="24" customHeight="1" x14ac:dyDescent="0.45">
      <c r="A148" s="48"/>
      <c r="B148" s="49"/>
      <c r="C148" s="49"/>
      <c r="D148" s="49"/>
      <c r="E148" s="49"/>
      <c r="F148" s="49"/>
      <c r="G148" s="50"/>
      <c r="H148" s="50"/>
      <c r="I148" s="50"/>
      <c r="J148" s="50"/>
      <c r="K148" s="51"/>
      <c r="L148" s="35" t="str">
        <f t="shared" si="4"/>
        <v/>
      </c>
      <c r="M148" s="49" t="str">
        <f t="shared" si="5"/>
        <v/>
      </c>
      <c r="N148" s="49"/>
      <c r="O148" s="49"/>
      <c r="P148" s="49"/>
      <c r="Q148" s="49"/>
      <c r="R148" s="59"/>
    </row>
    <row r="149" spans="1:18" ht="24" customHeight="1" x14ac:dyDescent="0.45">
      <c r="A149" s="48"/>
      <c r="B149" s="49"/>
      <c r="C149" s="49"/>
      <c r="D149" s="49"/>
      <c r="E149" s="49"/>
      <c r="F149" s="49"/>
      <c r="G149" s="50"/>
      <c r="H149" s="50"/>
      <c r="I149" s="50"/>
      <c r="J149" s="50"/>
      <c r="K149" s="51"/>
      <c r="L149" s="35" t="str">
        <f t="shared" si="4"/>
        <v/>
      </c>
      <c r="M149" s="49" t="str">
        <f t="shared" si="5"/>
        <v/>
      </c>
      <c r="N149" s="49"/>
      <c r="O149" s="49"/>
      <c r="P149" s="49"/>
      <c r="Q149" s="49"/>
      <c r="R149" s="59"/>
    </row>
    <row r="150" spans="1:18" ht="24" customHeight="1" x14ac:dyDescent="0.45">
      <c r="A150" s="48"/>
      <c r="B150" s="49"/>
      <c r="C150" s="49"/>
      <c r="D150" s="49"/>
      <c r="E150" s="49"/>
      <c r="F150" s="49"/>
      <c r="G150" s="50"/>
      <c r="H150" s="50"/>
      <c r="I150" s="50"/>
      <c r="J150" s="50"/>
      <c r="K150" s="51"/>
      <c r="L150" s="35" t="str">
        <f t="shared" si="4"/>
        <v/>
      </c>
      <c r="M150" s="49" t="str">
        <f t="shared" si="5"/>
        <v/>
      </c>
      <c r="N150" s="49"/>
      <c r="O150" s="49"/>
      <c r="P150" s="49"/>
      <c r="Q150" s="49"/>
      <c r="R150" s="59"/>
    </row>
    <row r="151" spans="1:18" ht="24" customHeight="1" x14ac:dyDescent="0.45">
      <c r="A151" s="48"/>
      <c r="B151" s="49"/>
      <c r="C151" s="49"/>
      <c r="D151" s="49"/>
      <c r="E151" s="49"/>
      <c r="F151" s="49"/>
      <c r="G151" s="50"/>
      <c r="H151" s="50"/>
      <c r="I151" s="50"/>
      <c r="J151" s="50"/>
      <c r="K151" s="51"/>
      <c r="L151" s="35" t="str">
        <f t="shared" si="4"/>
        <v/>
      </c>
      <c r="M151" s="49" t="str">
        <f t="shared" si="5"/>
        <v/>
      </c>
      <c r="N151" s="49"/>
      <c r="O151" s="49"/>
      <c r="P151" s="49"/>
      <c r="Q151" s="49"/>
      <c r="R151" s="59"/>
    </row>
    <row r="152" spans="1:18" ht="24" customHeight="1" x14ac:dyDescent="0.45">
      <c r="A152" s="48"/>
      <c r="B152" s="49"/>
      <c r="C152" s="49"/>
      <c r="D152" s="49"/>
      <c r="E152" s="49"/>
      <c r="F152" s="49"/>
      <c r="G152" s="50"/>
      <c r="H152" s="50"/>
      <c r="I152" s="50"/>
      <c r="J152" s="50"/>
      <c r="K152" s="51"/>
      <c r="L152" s="35" t="str">
        <f t="shared" si="4"/>
        <v/>
      </c>
      <c r="M152" s="49" t="str">
        <f t="shared" si="5"/>
        <v/>
      </c>
      <c r="N152" s="49"/>
      <c r="O152" s="49"/>
      <c r="P152" s="49"/>
      <c r="Q152" s="49"/>
      <c r="R152" s="59"/>
    </row>
    <row r="153" spans="1:18" ht="24" customHeight="1" x14ac:dyDescent="0.45">
      <c r="A153" s="48"/>
      <c r="B153" s="49"/>
      <c r="C153" s="49"/>
      <c r="D153" s="49"/>
      <c r="E153" s="49"/>
      <c r="F153" s="49"/>
      <c r="G153" s="50"/>
      <c r="H153" s="50"/>
      <c r="I153" s="50"/>
      <c r="J153" s="50"/>
      <c r="K153" s="51"/>
      <c r="L153" s="35" t="str">
        <f t="shared" si="4"/>
        <v/>
      </c>
      <c r="M153" s="49" t="str">
        <f t="shared" si="5"/>
        <v/>
      </c>
      <c r="N153" s="49"/>
      <c r="O153" s="49"/>
      <c r="P153" s="49"/>
      <c r="Q153" s="49"/>
      <c r="R153" s="59"/>
    </row>
    <row r="154" spans="1:18" ht="24" customHeight="1" x14ac:dyDescent="0.45">
      <c r="A154" s="48"/>
      <c r="B154" s="49"/>
      <c r="C154" s="49"/>
      <c r="D154" s="49"/>
      <c r="E154" s="49"/>
      <c r="F154" s="49"/>
      <c r="G154" s="50"/>
      <c r="H154" s="50"/>
      <c r="I154" s="50"/>
      <c r="J154" s="50"/>
      <c r="K154" s="51"/>
      <c r="L154" s="35" t="str">
        <f t="shared" si="4"/>
        <v/>
      </c>
      <c r="M154" s="49" t="str">
        <f t="shared" si="5"/>
        <v/>
      </c>
      <c r="N154" s="49"/>
      <c r="O154" s="49"/>
      <c r="P154" s="49"/>
      <c r="Q154" s="49"/>
      <c r="R154" s="59"/>
    </row>
    <row r="155" spans="1:18" ht="24" customHeight="1" x14ac:dyDescent="0.45">
      <c r="A155" s="48"/>
      <c r="B155" s="49"/>
      <c r="C155" s="49"/>
      <c r="D155" s="49"/>
      <c r="E155" s="49"/>
      <c r="F155" s="49"/>
      <c r="G155" s="50"/>
      <c r="H155" s="50"/>
      <c r="I155" s="50"/>
      <c r="J155" s="50"/>
      <c r="K155" s="51"/>
      <c r="L155" s="35" t="str">
        <f t="shared" si="4"/>
        <v/>
      </c>
      <c r="M155" s="49" t="str">
        <f t="shared" si="5"/>
        <v/>
      </c>
      <c r="N155" s="49"/>
      <c r="O155" s="49"/>
      <c r="P155" s="49"/>
      <c r="Q155" s="49"/>
      <c r="R155" s="59"/>
    </row>
    <row r="156" spans="1:18" ht="24" customHeight="1" x14ac:dyDescent="0.45">
      <c r="A156" s="48"/>
      <c r="B156" s="49"/>
      <c r="C156" s="49"/>
      <c r="D156" s="49"/>
      <c r="E156" s="49"/>
      <c r="F156" s="49"/>
      <c r="G156" s="50"/>
      <c r="H156" s="50"/>
      <c r="I156" s="50"/>
      <c r="J156" s="50"/>
      <c r="K156" s="51"/>
      <c r="L156" s="35" t="str">
        <f t="shared" si="4"/>
        <v/>
      </c>
      <c r="M156" s="49" t="str">
        <f t="shared" si="5"/>
        <v/>
      </c>
      <c r="N156" s="49"/>
      <c r="O156" s="49"/>
      <c r="P156" s="49"/>
      <c r="Q156" s="49"/>
      <c r="R156" s="59"/>
    </row>
    <row r="157" spans="1:18" ht="24" customHeight="1" x14ac:dyDescent="0.45">
      <c r="A157" s="48"/>
      <c r="B157" s="49"/>
      <c r="C157" s="49"/>
      <c r="D157" s="49"/>
      <c r="E157" s="49"/>
      <c r="F157" s="49"/>
      <c r="G157" s="50"/>
      <c r="H157" s="50"/>
      <c r="I157" s="50"/>
      <c r="J157" s="50"/>
      <c r="K157" s="51"/>
      <c r="L157" s="35" t="str">
        <f t="shared" si="4"/>
        <v/>
      </c>
      <c r="M157" s="49" t="str">
        <f t="shared" si="5"/>
        <v/>
      </c>
      <c r="N157" s="49"/>
      <c r="O157" s="49"/>
      <c r="P157" s="49"/>
      <c r="Q157" s="49"/>
      <c r="R157" s="59"/>
    </row>
    <row r="158" spans="1:18" ht="24" customHeight="1" x14ac:dyDescent="0.45">
      <c r="A158" s="48"/>
      <c r="B158" s="49"/>
      <c r="C158" s="49"/>
      <c r="D158" s="49"/>
      <c r="E158" s="49"/>
      <c r="F158" s="49"/>
      <c r="G158" s="50"/>
      <c r="H158" s="50"/>
      <c r="I158" s="50"/>
      <c r="J158" s="50"/>
      <c r="K158" s="51"/>
      <c r="L158" s="35" t="str">
        <f t="shared" si="4"/>
        <v/>
      </c>
      <c r="M158" s="49" t="str">
        <f t="shared" si="5"/>
        <v/>
      </c>
      <c r="N158" s="49"/>
      <c r="O158" s="49"/>
      <c r="P158" s="49"/>
      <c r="Q158" s="49"/>
      <c r="R158" s="59"/>
    </row>
    <row r="159" spans="1:18" ht="24" customHeight="1" x14ac:dyDescent="0.45">
      <c r="A159" s="48"/>
      <c r="B159" s="49"/>
      <c r="C159" s="49"/>
      <c r="D159" s="49"/>
      <c r="E159" s="49"/>
      <c r="F159" s="49"/>
      <c r="G159" s="50"/>
      <c r="H159" s="50"/>
      <c r="I159" s="50"/>
      <c r="J159" s="50"/>
      <c r="K159" s="51"/>
      <c r="L159" s="35" t="str">
        <f t="shared" si="4"/>
        <v/>
      </c>
      <c r="M159" s="49" t="str">
        <f t="shared" si="5"/>
        <v/>
      </c>
      <c r="N159" s="49"/>
      <c r="O159" s="49"/>
      <c r="P159" s="49"/>
      <c r="Q159" s="49"/>
      <c r="R159" s="59"/>
    </row>
    <row r="160" spans="1:18" ht="24" customHeight="1" x14ac:dyDescent="0.45">
      <c r="A160" s="48"/>
      <c r="B160" s="49"/>
      <c r="C160" s="49"/>
      <c r="D160" s="49"/>
      <c r="E160" s="49"/>
      <c r="F160" s="49"/>
      <c r="G160" s="50"/>
      <c r="H160" s="50"/>
      <c r="I160" s="50"/>
      <c r="J160" s="50"/>
      <c r="K160" s="51"/>
      <c r="L160" s="35" t="str">
        <f t="shared" si="4"/>
        <v/>
      </c>
      <c r="M160" s="49" t="str">
        <f t="shared" si="5"/>
        <v/>
      </c>
      <c r="N160" s="49"/>
      <c r="O160" s="49"/>
      <c r="P160" s="49"/>
      <c r="Q160" s="49"/>
      <c r="R160" s="59"/>
    </row>
    <row r="161" spans="1:18" ht="24" customHeight="1" x14ac:dyDescent="0.45">
      <c r="A161" s="48"/>
      <c r="B161" s="49"/>
      <c r="C161" s="49"/>
      <c r="D161" s="49"/>
      <c r="E161" s="49"/>
      <c r="F161" s="49"/>
      <c r="G161" s="50"/>
      <c r="H161" s="50"/>
      <c r="I161" s="50"/>
      <c r="J161" s="50"/>
      <c r="K161" s="51"/>
      <c r="L161" s="35" t="str">
        <f t="shared" si="4"/>
        <v/>
      </c>
      <c r="M161" s="49" t="str">
        <f t="shared" si="5"/>
        <v/>
      </c>
      <c r="N161" s="49"/>
      <c r="O161" s="49"/>
      <c r="P161" s="49"/>
      <c r="Q161" s="49"/>
      <c r="R161" s="59"/>
    </row>
    <row r="162" spans="1:18" ht="24" customHeight="1" x14ac:dyDescent="0.45">
      <c r="A162" s="48"/>
      <c r="B162" s="49"/>
      <c r="C162" s="49"/>
      <c r="D162" s="49"/>
      <c r="E162" s="49"/>
      <c r="F162" s="49"/>
      <c r="G162" s="50"/>
      <c r="H162" s="50"/>
      <c r="I162" s="50"/>
      <c r="J162" s="50"/>
      <c r="K162" s="51"/>
      <c r="L162" s="35" t="str">
        <f t="shared" si="4"/>
        <v/>
      </c>
      <c r="M162" s="49" t="str">
        <f t="shared" si="5"/>
        <v/>
      </c>
      <c r="N162" s="49"/>
      <c r="O162" s="49"/>
      <c r="P162" s="49"/>
      <c r="Q162" s="49"/>
      <c r="R162" s="59"/>
    </row>
    <row r="163" spans="1:18" ht="24" customHeight="1" x14ac:dyDescent="0.45">
      <c r="A163" s="48"/>
      <c r="B163" s="49"/>
      <c r="C163" s="49"/>
      <c r="D163" s="49"/>
      <c r="E163" s="49"/>
      <c r="F163" s="49"/>
      <c r="G163" s="50"/>
      <c r="H163" s="50"/>
      <c r="I163" s="50"/>
      <c r="J163" s="50"/>
      <c r="K163" s="51"/>
      <c r="L163" s="35" t="str">
        <f t="shared" si="4"/>
        <v/>
      </c>
      <c r="M163" s="49" t="str">
        <f t="shared" si="5"/>
        <v/>
      </c>
      <c r="N163" s="49"/>
      <c r="O163" s="49"/>
      <c r="P163" s="49"/>
      <c r="Q163" s="49"/>
      <c r="R163" s="59"/>
    </row>
    <row r="164" spans="1:18" ht="24" customHeight="1" x14ac:dyDescent="0.45">
      <c r="A164" s="48"/>
      <c r="B164" s="49"/>
      <c r="C164" s="49"/>
      <c r="D164" s="49"/>
      <c r="E164" s="49"/>
      <c r="F164" s="49"/>
      <c r="G164" s="50"/>
      <c r="H164" s="50"/>
      <c r="I164" s="50"/>
      <c r="J164" s="50"/>
      <c r="K164" s="51"/>
      <c r="L164" s="35" t="str">
        <f t="shared" si="4"/>
        <v/>
      </c>
      <c r="M164" s="49" t="str">
        <f t="shared" si="5"/>
        <v/>
      </c>
      <c r="N164" s="49"/>
      <c r="O164" s="49"/>
      <c r="P164" s="49"/>
      <c r="Q164" s="49"/>
      <c r="R164" s="59"/>
    </row>
    <row r="165" spans="1:18" ht="24" customHeight="1" x14ac:dyDescent="0.45">
      <c r="A165" s="48"/>
      <c r="B165" s="49"/>
      <c r="C165" s="49"/>
      <c r="D165" s="49"/>
      <c r="E165" s="49"/>
      <c r="F165" s="49"/>
      <c r="G165" s="50"/>
      <c r="H165" s="50"/>
      <c r="I165" s="50"/>
      <c r="J165" s="50"/>
      <c r="K165" s="51"/>
      <c r="L165" s="35" t="str">
        <f t="shared" si="4"/>
        <v/>
      </c>
      <c r="M165" s="49" t="str">
        <f t="shared" si="5"/>
        <v/>
      </c>
      <c r="N165" s="49"/>
      <c r="O165" s="49"/>
      <c r="P165" s="49"/>
      <c r="Q165" s="49"/>
      <c r="R165" s="59"/>
    </row>
    <row r="166" spans="1:18" ht="24" customHeight="1" x14ac:dyDescent="0.45">
      <c r="A166" s="48"/>
      <c r="B166" s="49"/>
      <c r="C166" s="49"/>
      <c r="D166" s="49"/>
      <c r="E166" s="49"/>
      <c r="F166" s="49"/>
      <c r="G166" s="50"/>
      <c r="H166" s="50"/>
      <c r="I166" s="50"/>
      <c r="J166" s="50"/>
      <c r="K166" s="51"/>
      <c r="L166" s="35" t="str">
        <f t="shared" si="4"/>
        <v/>
      </c>
      <c r="M166" s="49" t="str">
        <f t="shared" si="5"/>
        <v/>
      </c>
      <c r="N166" s="49"/>
      <c r="O166" s="49"/>
      <c r="P166" s="49"/>
      <c r="Q166" s="49"/>
      <c r="R166" s="59"/>
    </row>
    <row r="167" spans="1:18" ht="24" customHeight="1" x14ac:dyDescent="0.45">
      <c r="A167" s="48"/>
      <c r="B167" s="49"/>
      <c r="C167" s="49"/>
      <c r="D167" s="49"/>
      <c r="E167" s="49"/>
      <c r="F167" s="49"/>
      <c r="G167" s="50"/>
      <c r="H167" s="50"/>
      <c r="I167" s="50"/>
      <c r="J167" s="50"/>
      <c r="K167" s="51"/>
      <c r="L167" s="35" t="str">
        <f t="shared" si="4"/>
        <v/>
      </c>
      <c r="M167" s="49" t="str">
        <f t="shared" si="5"/>
        <v/>
      </c>
      <c r="N167" s="49"/>
      <c r="O167" s="49"/>
      <c r="P167" s="49"/>
      <c r="Q167" s="49"/>
      <c r="R167" s="59"/>
    </row>
    <row r="168" spans="1:18" ht="24" customHeight="1" x14ac:dyDescent="0.45">
      <c r="A168" s="48"/>
      <c r="B168" s="49"/>
      <c r="C168" s="49"/>
      <c r="D168" s="49"/>
      <c r="E168" s="49"/>
      <c r="F168" s="49"/>
      <c r="G168" s="50"/>
      <c r="H168" s="50"/>
      <c r="I168" s="50"/>
      <c r="J168" s="50"/>
      <c r="K168" s="51"/>
      <c r="L168" s="35" t="str">
        <f t="shared" si="4"/>
        <v/>
      </c>
      <c r="M168" s="49" t="str">
        <f t="shared" si="5"/>
        <v/>
      </c>
      <c r="N168" s="49"/>
      <c r="O168" s="49"/>
      <c r="P168" s="49"/>
      <c r="Q168" s="49"/>
      <c r="R168" s="59"/>
    </row>
    <row r="169" spans="1:18" ht="24" customHeight="1" x14ac:dyDescent="0.45">
      <c r="A169" s="48"/>
      <c r="B169" s="49"/>
      <c r="C169" s="49"/>
      <c r="D169" s="49"/>
      <c r="E169" s="49"/>
      <c r="F169" s="49"/>
      <c r="G169" s="50"/>
      <c r="H169" s="50"/>
      <c r="I169" s="50"/>
      <c r="J169" s="50"/>
      <c r="K169" s="51"/>
      <c r="L169" s="35" t="str">
        <f t="shared" si="4"/>
        <v/>
      </c>
      <c r="M169" s="49" t="str">
        <f t="shared" si="5"/>
        <v/>
      </c>
      <c r="N169" s="49"/>
      <c r="O169" s="49"/>
      <c r="P169" s="49"/>
      <c r="Q169" s="49"/>
      <c r="R169" s="59"/>
    </row>
    <row r="170" spans="1:18" ht="24" customHeight="1" x14ac:dyDescent="0.45">
      <c r="A170" s="48"/>
      <c r="B170" s="49"/>
      <c r="C170" s="49"/>
      <c r="D170" s="49"/>
      <c r="E170" s="49"/>
      <c r="F170" s="49"/>
      <c r="G170" s="50"/>
      <c r="H170" s="50"/>
      <c r="I170" s="50"/>
      <c r="J170" s="50"/>
      <c r="K170" s="51"/>
      <c r="L170" s="35" t="str">
        <f t="shared" si="4"/>
        <v/>
      </c>
      <c r="M170" s="49" t="str">
        <f t="shared" si="5"/>
        <v/>
      </c>
      <c r="N170" s="49"/>
      <c r="O170" s="49"/>
      <c r="P170" s="49"/>
      <c r="Q170" s="49"/>
      <c r="R170" s="59"/>
    </row>
    <row r="171" spans="1:18" ht="24" customHeight="1" x14ac:dyDescent="0.45">
      <c r="A171" s="48"/>
      <c r="B171" s="49"/>
      <c r="C171" s="49"/>
      <c r="D171" s="49"/>
      <c r="E171" s="49"/>
      <c r="F171" s="49"/>
      <c r="G171" s="50"/>
      <c r="H171" s="50"/>
      <c r="I171" s="50"/>
      <c r="J171" s="50"/>
      <c r="K171" s="51"/>
      <c r="L171" s="35" t="str">
        <f t="shared" si="4"/>
        <v/>
      </c>
      <c r="M171" s="49" t="str">
        <f t="shared" si="5"/>
        <v/>
      </c>
      <c r="N171" s="49"/>
      <c r="O171" s="49"/>
      <c r="P171" s="49"/>
      <c r="Q171" s="49"/>
      <c r="R171" s="59"/>
    </row>
    <row r="172" spans="1:18" ht="24" customHeight="1" x14ac:dyDescent="0.45">
      <c r="A172" s="48"/>
      <c r="B172" s="49"/>
      <c r="C172" s="49"/>
      <c r="D172" s="49"/>
      <c r="E172" s="49"/>
      <c r="F172" s="49"/>
      <c r="G172" s="50"/>
      <c r="H172" s="50"/>
      <c r="I172" s="50"/>
      <c r="J172" s="50"/>
      <c r="K172" s="51"/>
      <c r="L172" s="35" t="str">
        <f t="shared" si="4"/>
        <v/>
      </c>
      <c r="M172" s="49" t="str">
        <f t="shared" si="5"/>
        <v/>
      </c>
      <c r="N172" s="49"/>
      <c r="O172" s="49"/>
      <c r="P172" s="49"/>
      <c r="Q172" s="49"/>
      <c r="R172" s="59"/>
    </row>
    <row r="173" spans="1:18" ht="24" customHeight="1" x14ac:dyDescent="0.45">
      <c r="A173" s="48"/>
      <c r="B173" s="49"/>
      <c r="C173" s="49"/>
      <c r="D173" s="49"/>
      <c r="E173" s="49"/>
      <c r="F173" s="49"/>
      <c r="G173" s="50"/>
      <c r="H173" s="50"/>
      <c r="I173" s="50"/>
      <c r="J173" s="50"/>
      <c r="K173" s="51"/>
      <c r="L173" s="35" t="str">
        <f t="shared" si="4"/>
        <v/>
      </c>
      <c r="M173" s="49" t="str">
        <f t="shared" si="5"/>
        <v/>
      </c>
      <c r="N173" s="49"/>
      <c r="O173" s="49"/>
      <c r="P173" s="49"/>
      <c r="Q173" s="49"/>
      <c r="R173" s="59"/>
    </row>
    <row r="174" spans="1:18" ht="24" customHeight="1" x14ac:dyDescent="0.45">
      <c r="A174" s="48"/>
      <c r="B174" s="49"/>
      <c r="C174" s="49"/>
      <c r="D174" s="49"/>
      <c r="E174" s="49"/>
      <c r="F174" s="49"/>
      <c r="G174" s="50"/>
      <c r="H174" s="50"/>
      <c r="I174" s="50"/>
      <c r="J174" s="50"/>
      <c r="K174" s="51"/>
      <c r="L174" s="35" t="str">
        <f t="shared" si="4"/>
        <v/>
      </c>
      <c r="M174" s="49" t="str">
        <f t="shared" si="5"/>
        <v/>
      </c>
      <c r="N174" s="49"/>
      <c r="O174" s="49"/>
      <c r="P174" s="49"/>
      <c r="Q174" s="49"/>
      <c r="R174" s="59"/>
    </row>
    <row r="175" spans="1:18" ht="24" customHeight="1" x14ac:dyDescent="0.45">
      <c r="A175" s="48"/>
      <c r="B175" s="49"/>
      <c r="C175" s="49"/>
      <c r="D175" s="49"/>
      <c r="E175" s="49"/>
      <c r="F175" s="49"/>
      <c r="G175" s="50"/>
      <c r="H175" s="50"/>
      <c r="I175" s="50"/>
      <c r="J175" s="50"/>
      <c r="K175" s="51"/>
      <c r="L175" s="35" t="str">
        <f t="shared" si="4"/>
        <v/>
      </c>
      <c r="M175" s="49" t="str">
        <f t="shared" si="5"/>
        <v/>
      </c>
      <c r="N175" s="49"/>
      <c r="O175" s="49"/>
      <c r="P175" s="49"/>
      <c r="Q175" s="49"/>
      <c r="R175" s="59"/>
    </row>
    <row r="176" spans="1:18" ht="24" customHeight="1" x14ac:dyDescent="0.45">
      <c r="A176" s="48"/>
      <c r="B176" s="49"/>
      <c r="C176" s="49"/>
      <c r="D176" s="49"/>
      <c r="E176" s="49"/>
      <c r="F176" s="49"/>
      <c r="G176" s="50"/>
      <c r="H176" s="50"/>
      <c r="I176" s="50"/>
      <c r="J176" s="50"/>
      <c r="K176" s="51"/>
      <c r="L176" s="35" t="str">
        <f t="shared" si="4"/>
        <v/>
      </c>
      <c r="M176" s="49" t="str">
        <f t="shared" si="5"/>
        <v/>
      </c>
      <c r="N176" s="49"/>
      <c r="O176" s="49"/>
      <c r="P176" s="49"/>
      <c r="Q176" s="49"/>
      <c r="R176" s="59"/>
    </row>
    <row r="177" spans="1:18" ht="24" customHeight="1" x14ac:dyDescent="0.45">
      <c r="A177" s="48"/>
      <c r="B177" s="49"/>
      <c r="C177" s="49"/>
      <c r="D177" s="49"/>
      <c r="E177" s="49"/>
      <c r="F177" s="49"/>
      <c r="G177" s="50"/>
      <c r="H177" s="50"/>
      <c r="I177" s="50"/>
      <c r="J177" s="50"/>
      <c r="K177" s="51"/>
      <c r="L177" s="35" t="str">
        <f t="shared" si="4"/>
        <v/>
      </c>
      <c r="M177" s="49" t="str">
        <f t="shared" si="5"/>
        <v/>
      </c>
      <c r="N177" s="49"/>
      <c r="O177" s="49"/>
      <c r="P177" s="49"/>
      <c r="Q177" s="49"/>
      <c r="R177" s="59"/>
    </row>
    <row r="178" spans="1:18" ht="24" customHeight="1" x14ac:dyDescent="0.45">
      <c r="A178" s="48"/>
      <c r="B178" s="49"/>
      <c r="C178" s="49"/>
      <c r="D178" s="49"/>
      <c r="E178" s="49"/>
      <c r="F178" s="49"/>
      <c r="G178" s="50"/>
      <c r="H178" s="50"/>
      <c r="I178" s="50"/>
      <c r="J178" s="50"/>
      <c r="K178" s="51"/>
      <c r="L178" s="35" t="str">
        <f t="shared" si="4"/>
        <v/>
      </c>
      <c r="M178" s="49" t="str">
        <f t="shared" si="5"/>
        <v/>
      </c>
      <c r="N178" s="49"/>
      <c r="O178" s="49"/>
      <c r="P178" s="49"/>
      <c r="Q178" s="49"/>
      <c r="R178" s="59"/>
    </row>
    <row r="179" spans="1:18" ht="24" customHeight="1" x14ac:dyDescent="0.45">
      <c r="A179" s="48"/>
      <c r="B179" s="49"/>
      <c r="C179" s="49"/>
      <c r="D179" s="49"/>
      <c r="E179" s="49"/>
      <c r="F179" s="49"/>
      <c r="G179" s="50"/>
      <c r="H179" s="50"/>
      <c r="I179" s="50"/>
      <c r="J179" s="50"/>
      <c r="K179" s="51"/>
      <c r="L179" s="35" t="str">
        <f t="shared" si="4"/>
        <v/>
      </c>
      <c r="M179" s="49" t="str">
        <f t="shared" si="5"/>
        <v/>
      </c>
      <c r="N179" s="49"/>
      <c r="O179" s="49"/>
      <c r="P179" s="49"/>
      <c r="Q179" s="49"/>
      <c r="R179" s="59"/>
    </row>
    <row r="180" spans="1:18" ht="24" customHeight="1" x14ac:dyDescent="0.45">
      <c r="A180" s="48"/>
      <c r="B180" s="49"/>
      <c r="C180" s="49"/>
      <c r="D180" s="49"/>
      <c r="E180" s="49"/>
      <c r="F180" s="49"/>
      <c r="G180" s="50"/>
      <c r="H180" s="50"/>
      <c r="I180" s="50"/>
      <c r="J180" s="50"/>
      <c r="K180" s="51"/>
      <c r="L180" s="35" t="str">
        <f t="shared" si="4"/>
        <v/>
      </c>
      <c r="M180" s="49" t="str">
        <f t="shared" si="5"/>
        <v/>
      </c>
      <c r="N180" s="49"/>
      <c r="O180" s="49"/>
      <c r="P180" s="49"/>
      <c r="Q180" s="49"/>
      <c r="R180" s="59"/>
    </row>
    <row r="181" spans="1:18" ht="24" customHeight="1" x14ac:dyDescent="0.45">
      <c r="A181" s="48"/>
      <c r="B181" s="49"/>
      <c r="C181" s="49"/>
      <c r="D181" s="49"/>
      <c r="E181" s="49"/>
      <c r="F181" s="49"/>
      <c r="G181" s="50"/>
      <c r="H181" s="50"/>
      <c r="I181" s="50"/>
      <c r="J181" s="50"/>
      <c r="K181" s="51"/>
      <c r="L181" s="35" t="str">
        <f t="shared" si="4"/>
        <v/>
      </c>
      <c r="M181" s="49" t="str">
        <f t="shared" si="5"/>
        <v/>
      </c>
      <c r="N181" s="49"/>
      <c r="O181" s="49"/>
      <c r="P181" s="49"/>
      <c r="Q181" s="49"/>
      <c r="R181" s="59"/>
    </row>
    <row r="182" spans="1:18" ht="24" customHeight="1" x14ac:dyDescent="0.45">
      <c r="A182" s="48"/>
      <c r="B182" s="49"/>
      <c r="C182" s="49"/>
      <c r="D182" s="49"/>
      <c r="E182" s="49"/>
      <c r="F182" s="49"/>
      <c r="G182" s="50"/>
      <c r="H182" s="50"/>
      <c r="I182" s="50"/>
      <c r="J182" s="50"/>
      <c r="K182" s="51"/>
      <c r="L182" s="35" t="str">
        <f t="shared" si="4"/>
        <v/>
      </c>
      <c r="M182" s="49" t="str">
        <f t="shared" si="5"/>
        <v/>
      </c>
      <c r="N182" s="49"/>
      <c r="O182" s="49"/>
      <c r="P182" s="49"/>
      <c r="Q182" s="49"/>
      <c r="R182" s="59"/>
    </row>
    <row r="183" spans="1:18" ht="24" customHeight="1" x14ac:dyDescent="0.45">
      <c r="A183" s="48"/>
      <c r="B183" s="49"/>
      <c r="C183" s="49"/>
      <c r="D183" s="49"/>
      <c r="E183" s="49"/>
      <c r="F183" s="49"/>
      <c r="G183" s="50"/>
      <c r="H183" s="50"/>
      <c r="I183" s="50"/>
      <c r="J183" s="50"/>
      <c r="K183" s="51"/>
      <c r="L183" s="35" t="str">
        <f t="shared" si="4"/>
        <v/>
      </c>
      <c r="M183" s="49" t="str">
        <f t="shared" si="5"/>
        <v/>
      </c>
      <c r="N183" s="49"/>
      <c r="O183" s="49"/>
      <c r="P183" s="49"/>
      <c r="Q183" s="49"/>
      <c r="R183" s="59"/>
    </row>
    <row r="184" spans="1:18" ht="24" customHeight="1" x14ac:dyDescent="0.45">
      <c r="A184" s="48"/>
      <c r="B184" s="49"/>
      <c r="C184" s="49"/>
      <c r="D184" s="49"/>
      <c r="E184" s="49"/>
      <c r="F184" s="49"/>
      <c r="G184" s="50"/>
      <c r="H184" s="50"/>
      <c r="I184" s="50"/>
      <c r="J184" s="50"/>
      <c r="K184" s="51"/>
      <c r="L184" s="35" t="str">
        <f t="shared" si="4"/>
        <v/>
      </c>
      <c r="M184" s="49" t="str">
        <f t="shared" si="5"/>
        <v/>
      </c>
      <c r="N184" s="49"/>
      <c r="O184" s="49"/>
      <c r="P184" s="49"/>
      <c r="Q184" s="49"/>
      <c r="R184" s="59"/>
    </row>
    <row r="185" spans="1:18" ht="24" customHeight="1" x14ac:dyDescent="0.45">
      <c r="A185" s="48"/>
      <c r="B185" s="49"/>
      <c r="C185" s="49"/>
      <c r="D185" s="49"/>
      <c r="E185" s="49"/>
      <c r="F185" s="49"/>
      <c r="G185" s="50"/>
      <c r="H185" s="50"/>
      <c r="I185" s="50"/>
      <c r="J185" s="50"/>
      <c r="K185" s="51"/>
      <c r="L185" s="35" t="str">
        <f t="shared" si="4"/>
        <v/>
      </c>
      <c r="M185" s="49" t="str">
        <f t="shared" si="5"/>
        <v/>
      </c>
      <c r="N185" s="49"/>
      <c r="O185" s="49"/>
      <c r="P185" s="49"/>
      <c r="Q185" s="49"/>
      <c r="R185" s="59"/>
    </row>
    <row r="186" spans="1:18" ht="24" customHeight="1" x14ac:dyDescent="0.45">
      <c r="A186" s="48"/>
      <c r="B186" s="49"/>
      <c r="C186" s="49"/>
      <c r="D186" s="49"/>
      <c r="E186" s="49"/>
      <c r="F186" s="49"/>
      <c r="G186" s="50"/>
      <c r="H186" s="50"/>
      <c r="I186" s="50"/>
      <c r="J186" s="50"/>
      <c r="K186" s="51"/>
      <c r="L186" s="35" t="str">
        <f t="shared" si="4"/>
        <v/>
      </c>
      <c r="M186" s="49" t="str">
        <f t="shared" si="5"/>
        <v/>
      </c>
      <c r="N186" s="49"/>
      <c r="O186" s="49"/>
      <c r="P186" s="49"/>
      <c r="Q186" s="49"/>
      <c r="R186" s="59"/>
    </row>
    <row r="187" spans="1:18" ht="24" customHeight="1" x14ac:dyDescent="0.45">
      <c r="A187" s="48"/>
      <c r="B187" s="49"/>
      <c r="C187" s="49"/>
      <c r="D187" s="49"/>
      <c r="E187" s="49"/>
      <c r="F187" s="49"/>
      <c r="G187" s="50"/>
      <c r="H187" s="50"/>
      <c r="I187" s="50"/>
      <c r="J187" s="50"/>
      <c r="K187" s="51"/>
      <c r="L187" s="35" t="str">
        <f t="shared" si="4"/>
        <v/>
      </c>
      <c r="M187" s="49" t="str">
        <f t="shared" si="5"/>
        <v/>
      </c>
      <c r="N187" s="49"/>
      <c r="O187" s="49"/>
      <c r="P187" s="49"/>
      <c r="Q187" s="49"/>
      <c r="R187" s="59"/>
    </row>
    <row r="188" spans="1:18" ht="24" customHeight="1" x14ac:dyDescent="0.45">
      <c r="A188" s="48"/>
      <c r="B188" s="49"/>
      <c r="C188" s="49"/>
      <c r="D188" s="49"/>
      <c r="E188" s="49"/>
      <c r="F188" s="49"/>
      <c r="G188" s="50"/>
      <c r="H188" s="50"/>
      <c r="I188" s="50"/>
      <c r="J188" s="50"/>
      <c r="K188" s="51"/>
      <c r="L188" s="35" t="str">
        <f t="shared" si="4"/>
        <v/>
      </c>
      <c r="M188" s="49" t="str">
        <f t="shared" si="5"/>
        <v/>
      </c>
      <c r="N188" s="49"/>
      <c r="O188" s="49"/>
      <c r="P188" s="49"/>
      <c r="Q188" s="49"/>
      <c r="R188" s="59"/>
    </row>
    <row r="189" spans="1:18" ht="24" customHeight="1" x14ac:dyDescent="0.45">
      <c r="A189" s="48"/>
      <c r="B189" s="49"/>
      <c r="C189" s="49"/>
      <c r="D189" s="49"/>
      <c r="E189" s="49"/>
      <c r="F189" s="49"/>
      <c r="G189" s="50"/>
      <c r="H189" s="50"/>
      <c r="I189" s="50"/>
      <c r="J189" s="50"/>
      <c r="K189" s="51"/>
      <c r="L189" s="35" t="str">
        <f t="shared" si="4"/>
        <v/>
      </c>
      <c r="M189" s="49" t="str">
        <f t="shared" si="5"/>
        <v/>
      </c>
      <c r="N189" s="49"/>
      <c r="O189" s="49"/>
      <c r="P189" s="49"/>
      <c r="Q189" s="49"/>
      <c r="R189" s="59"/>
    </row>
    <row r="190" spans="1:18" ht="24" customHeight="1" x14ac:dyDescent="0.45">
      <c r="A190" s="48"/>
      <c r="B190" s="49"/>
      <c r="C190" s="49"/>
      <c r="D190" s="49"/>
      <c r="E190" s="49"/>
      <c r="F190" s="49"/>
      <c r="G190" s="50"/>
      <c r="H190" s="50"/>
      <c r="I190" s="50"/>
      <c r="J190" s="50"/>
      <c r="K190" s="51"/>
      <c r="L190" s="35" t="str">
        <f t="shared" si="4"/>
        <v/>
      </c>
      <c r="M190" s="49" t="str">
        <f t="shared" si="5"/>
        <v/>
      </c>
      <c r="N190" s="49"/>
      <c r="O190" s="49"/>
      <c r="P190" s="49"/>
      <c r="Q190" s="49"/>
      <c r="R190" s="59"/>
    </row>
    <row r="191" spans="1:18" ht="24" customHeight="1" x14ac:dyDescent="0.45">
      <c r="A191" s="48"/>
      <c r="B191" s="49"/>
      <c r="C191" s="49"/>
      <c r="D191" s="49"/>
      <c r="E191" s="49"/>
      <c r="F191" s="49"/>
      <c r="G191" s="50"/>
      <c r="H191" s="50"/>
      <c r="I191" s="50"/>
      <c r="J191" s="50"/>
      <c r="K191" s="51"/>
      <c r="L191" s="35" t="str">
        <f t="shared" si="4"/>
        <v/>
      </c>
      <c r="M191" s="49" t="str">
        <f t="shared" si="5"/>
        <v/>
      </c>
      <c r="N191" s="49"/>
      <c r="O191" s="49"/>
      <c r="P191" s="49"/>
      <c r="Q191" s="49"/>
      <c r="R191" s="59"/>
    </row>
    <row r="192" spans="1:18" ht="24" customHeight="1" x14ac:dyDescent="0.45">
      <c r="A192" s="48"/>
      <c r="B192" s="49"/>
      <c r="C192" s="49"/>
      <c r="D192" s="49"/>
      <c r="E192" s="49"/>
      <c r="F192" s="49"/>
      <c r="G192" s="50"/>
      <c r="H192" s="50"/>
      <c r="I192" s="50"/>
      <c r="J192" s="50"/>
      <c r="K192" s="51"/>
      <c r="L192" s="35" t="str">
        <f t="shared" si="4"/>
        <v/>
      </c>
      <c r="M192" s="49" t="str">
        <f t="shared" si="5"/>
        <v/>
      </c>
      <c r="N192" s="49"/>
      <c r="O192" s="49"/>
      <c r="P192" s="49"/>
      <c r="Q192" s="49"/>
      <c r="R192" s="59"/>
    </row>
    <row r="193" spans="1:18" ht="24" customHeight="1" x14ac:dyDescent="0.45">
      <c r="A193" s="48"/>
      <c r="B193" s="49"/>
      <c r="C193" s="49"/>
      <c r="D193" s="49"/>
      <c r="E193" s="49"/>
      <c r="F193" s="49"/>
      <c r="G193" s="50"/>
      <c r="H193" s="50"/>
      <c r="I193" s="50"/>
      <c r="J193" s="50"/>
      <c r="K193" s="51"/>
      <c r="L193" s="35" t="str">
        <f t="shared" si="4"/>
        <v/>
      </c>
      <c r="M193" s="49" t="str">
        <f t="shared" si="5"/>
        <v/>
      </c>
      <c r="N193" s="49"/>
      <c r="O193" s="49"/>
      <c r="P193" s="49"/>
      <c r="Q193" s="49"/>
      <c r="R193" s="59"/>
    </row>
    <row r="194" spans="1:18" ht="24" customHeight="1" x14ac:dyDescent="0.45">
      <c r="A194" s="48"/>
      <c r="B194" s="49"/>
      <c r="C194" s="49"/>
      <c r="D194" s="49"/>
      <c r="E194" s="49"/>
      <c r="F194" s="49"/>
      <c r="G194" s="50"/>
      <c r="H194" s="50"/>
      <c r="I194" s="50"/>
      <c r="J194" s="50"/>
      <c r="K194" s="51"/>
      <c r="L194" s="35" t="str">
        <f t="shared" si="4"/>
        <v/>
      </c>
      <c r="M194" s="49" t="str">
        <f t="shared" si="5"/>
        <v/>
      </c>
      <c r="N194" s="49"/>
      <c r="O194" s="49"/>
      <c r="P194" s="49"/>
      <c r="Q194" s="49"/>
      <c r="R194" s="59"/>
    </row>
    <row r="195" spans="1:18" ht="24" customHeight="1" x14ac:dyDescent="0.45">
      <c r="A195" s="48"/>
      <c r="B195" s="49"/>
      <c r="C195" s="49"/>
      <c r="D195" s="49"/>
      <c r="E195" s="49"/>
      <c r="F195" s="49"/>
      <c r="G195" s="50"/>
      <c r="H195" s="50"/>
      <c r="I195" s="50"/>
      <c r="J195" s="50"/>
      <c r="K195" s="51"/>
      <c r="L195" s="35" t="str">
        <f t="shared" si="4"/>
        <v/>
      </c>
      <c r="M195" s="49" t="str">
        <f t="shared" si="5"/>
        <v/>
      </c>
      <c r="N195" s="49"/>
      <c r="O195" s="49"/>
      <c r="P195" s="49"/>
      <c r="Q195" s="49"/>
      <c r="R195" s="59"/>
    </row>
    <row r="196" spans="1:18" ht="24" customHeight="1" x14ac:dyDescent="0.45">
      <c r="A196" s="48"/>
      <c r="B196" s="49"/>
      <c r="C196" s="49"/>
      <c r="D196" s="49"/>
      <c r="E196" s="49"/>
      <c r="F196" s="49"/>
      <c r="G196" s="50"/>
      <c r="H196" s="50"/>
      <c r="I196" s="50"/>
      <c r="J196" s="50"/>
      <c r="K196" s="51"/>
      <c r="L196" s="35" t="str">
        <f t="shared" si="4"/>
        <v/>
      </c>
      <c r="M196" s="49" t="str">
        <f t="shared" si="5"/>
        <v/>
      </c>
      <c r="N196" s="49"/>
      <c r="O196" s="49"/>
      <c r="P196" s="49"/>
      <c r="Q196" s="49"/>
      <c r="R196" s="59"/>
    </row>
    <row r="197" spans="1:18" ht="24" customHeight="1" x14ac:dyDescent="0.45">
      <c r="A197" s="48"/>
      <c r="B197" s="49"/>
      <c r="C197" s="49"/>
      <c r="D197" s="49"/>
      <c r="E197" s="49"/>
      <c r="F197" s="49"/>
      <c r="G197" s="50"/>
      <c r="H197" s="50"/>
      <c r="I197" s="50"/>
      <c r="J197" s="50"/>
      <c r="K197" s="51"/>
      <c r="L197" s="35" t="str">
        <f t="shared" ref="L197:L260" si="6">IF(F197&gt;0,K197/F197,"")</f>
        <v/>
      </c>
      <c r="M197" s="49" t="str">
        <f t="shared" ref="M197:M260" si="7">IF(A197="","",IF(Q197&lt;&gt;"","Acté",IF(P197&lt;&gt;"","Réservé",IF(O197&lt;&gt;"","Option","Libre"))))</f>
        <v/>
      </c>
      <c r="N197" s="49"/>
      <c r="O197" s="49"/>
      <c r="P197" s="49"/>
      <c r="Q197" s="49"/>
      <c r="R197" s="59"/>
    </row>
    <row r="198" spans="1:18" ht="24" customHeight="1" x14ac:dyDescent="0.45">
      <c r="A198" s="48"/>
      <c r="B198" s="49"/>
      <c r="C198" s="49"/>
      <c r="D198" s="49"/>
      <c r="E198" s="49"/>
      <c r="F198" s="49"/>
      <c r="G198" s="50"/>
      <c r="H198" s="50"/>
      <c r="I198" s="50"/>
      <c r="J198" s="50"/>
      <c r="K198" s="51"/>
      <c r="L198" s="35" t="str">
        <f t="shared" si="6"/>
        <v/>
      </c>
      <c r="M198" s="49" t="str">
        <f t="shared" si="7"/>
        <v/>
      </c>
      <c r="N198" s="49"/>
      <c r="O198" s="49"/>
      <c r="P198" s="49"/>
      <c r="Q198" s="49"/>
      <c r="R198" s="59"/>
    </row>
    <row r="199" spans="1:18" ht="24" customHeight="1" x14ac:dyDescent="0.45">
      <c r="A199" s="48"/>
      <c r="B199" s="49"/>
      <c r="C199" s="49"/>
      <c r="D199" s="49"/>
      <c r="E199" s="49"/>
      <c r="F199" s="49"/>
      <c r="G199" s="50"/>
      <c r="H199" s="50"/>
      <c r="I199" s="50"/>
      <c r="J199" s="50"/>
      <c r="K199" s="51"/>
      <c r="L199" s="35" t="str">
        <f t="shared" si="6"/>
        <v/>
      </c>
      <c r="M199" s="49" t="str">
        <f t="shared" si="7"/>
        <v/>
      </c>
      <c r="N199" s="49"/>
      <c r="O199" s="49"/>
      <c r="P199" s="49"/>
      <c r="Q199" s="49"/>
      <c r="R199" s="59"/>
    </row>
    <row r="200" spans="1:18" ht="24" customHeight="1" x14ac:dyDescent="0.45">
      <c r="A200" s="48"/>
      <c r="B200" s="49"/>
      <c r="C200" s="49"/>
      <c r="D200" s="49"/>
      <c r="E200" s="49"/>
      <c r="F200" s="49"/>
      <c r="G200" s="50"/>
      <c r="H200" s="50"/>
      <c r="I200" s="50"/>
      <c r="J200" s="50"/>
      <c r="K200" s="51"/>
      <c r="L200" s="35" t="str">
        <f t="shared" si="6"/>
        <v/>
      </c>
      <c r="M200" s="49" t="str">
        <f t="shared" si="7"/>
        <v/>
      </c>
      <c r="N200" s="49"/>
      <c r="O200" s="49"/>
      <c r="P200" s="49"/>
      <c r="Q200" s="49"/>
      <c r="R200" s="59"/>
    </row>
    <row r="201" spans="1:18" ht="24" customHeight="1" x14ac:dyDescent="0.45">
      <c r="A201" s="48"/>
      <c r="B201" s="49"/>
      <c r="C201" s="49"/>
      <c r="D201" s="49"/>
      <c r="E201" s="49"/>
      <c r="F201" s="49"/>
      <c r="G201" s="50"/>
      <c r="H201" s="50"/>
      <c r="I201" s="50"/>
      <c r="J201" s="50"/>
      <c r="K201" s="51"/>
      <c r="L201" s="35" t="str">
        <f t="shared" si="6"/>
        <v/>
      </c>
      <c r="M201" s="49" t="str">
        <f t="shared" si="7"/>
        <v/>
      </c>
      <c r="N201" s="49"/>
      <c r="O201" s="49"/>
      <c r="P201" s="49"/>
      <c r="Q201" s="49"/>
      <c r="R201" s="59"/>
    </row>
    <row r="202" spans="1:18" ht="24" customHeight="1" x14ac:dyDescent="0.45">
      <c r="A202" s="48"/>
      <c r="B202" s="49"/>
      <c r="C202" s="49"/>
      <c r="D202" s="49"/>
      <c r="E202" s="49"/>
      <c r="F202" s="49"/>
      <c r="G202" s="50"/>
      <c r="H202" s="50"/>
      <c r="I202" s="50"/>
      <c r="J202" s="50"/>
      <c r="K202" s="51"/>
      <c r="L202" s="35" t="str">
        <f t="shared" si="6"/>
        <v/>
      </c>
      <c r="M202" s="49" t="str">
        <f t="shared" si="7"/>
        <v/>
      </c>
      <c r="N202" s="49"/>
      <c r="O202" s="49"/>
      <c r="P202" s="49"/>
      <c r="Q202" s="49"/>
      <c r="R202" s="59"/>
    </row>
    <row r="203" spans="1:18" ht="24" customHeight="1" x14ac:dyDescent="0.45">
      <c r="A203" s="48"/>
      <c r="B203" s="49"/>
      <c r="C203" s="49"/>
      <c r="D203" s="49"/>
      <c r="E203" s="49"/>
      <c r="F203" s="49"/>
      <c r="G203" s="50"/>
      <c r="H203" s="50"/>
      <c r="I203" s="50"/>
      <c r="J203" s="50"/>
      <c r="K203" s="51"/>
      <c r="L203" s="35" t="str">
        <f t="shared" si="6"/>
        <v/>
      </c>
      <c r="M203" s="49" t="str">
        <f t="shared" si="7"/>
        <v/>
      </c>
      <c r="N203" s="49"/>
      <c r="O203" s="49"/>
      <c r="P203" s="49"/>
      <c r="Q203" s="49"/>
      <c r="R203" s="59"/>
    </row>
    <row r="204" spans="1:18" ht="24" customHeight="1" x14ac:dyDescent="0.45">
      <c r="A204" s="48"/>
      <c r="B204" s="49"/>
      <c r="C204" s="49"/>
      <c r="D204" s="49"/>
      <c r="E204" s="49"/>
      <c r="F204" s="49"/>
      <c r="G204" s="50"/>
      <c r="H204" s="50"/>
      <c r="I204" s="50"/>
      <c r="J204" s="50"/>
      <c r="K204" s="51"/>
      <c r="L204" s="35" t="str">
        <f t="shared" si="6"/>
        <v/>
      </c>
      <c r="M204" s="49" t="str">
        <f t="shared" si="7"/>
        <v/>
      </c>
      <c r="N204" s="49"/>
      <c r="O204" s="49"/>
      <c r="P204" s="49"/>
      <c r="Q204" s="49"/>
      <c r="R204" s="59"/>
    </row>
    <row r="205" spans="1:18" ht="24" customHeight="1" x14ac:dyDescent="0.45">
      <c r="A205" s="48"/>
      <c r="B205" s="49"/>
      <c r="C205" s="49"/>
      <c r="D205" s="49"/>
      <c r="E205" s="49"/>
      <c r="F205" s="49"/>
      <c r="G205" s="50"/>
      <c r="H205" s="50"/>
      <c r="I205" s="50"/>
      <c r="J205" s="50"/>
      <c r="K205" s="51"/>
      <c r="L205" s="35" t="str">
        <f t="shared" si="6"/>
        <v/>
      </c>
      <c r="M205" s="49" t="str">
        <f t="shared" si="7"/>
        <v/>
      </c>
      <c r="N205" s="49"/>
      <c r="O205" s="49"/>
      <c r="P205" s="49"/>
      <c r="Q205" s="49"/>
      <c r="R205" s="59"/>
    </row>
    <row r="206" spans="1:18" ht="24" customHeight="1" x14ac:dyDescent="0.45">
      <c r="A206" s="48"/>
      <c r="B206" s="49"/>
      <c r="C206" s="49"/>
      <c r="D206" s="49"/>
      <c r="E206" s="49"/>
      <c r="F206" s="49"/>
      <c r="G206" s="50"/>
      <c r="H206" s="50"/>
      <c r="I206" s="50"/>
      <c r="J206" s="50"/>
      <c r="K206" s="51"/>
      <c r="L206" s="35" t="str">
        <f t="shared" si="6"/>
        <v/>
      </c>
      <c r="M206" s="49" t="str">
        <f t="shared" si="7"/>
        <v/>
      </c>
      <c r="N206" s="49"/>
      <c r="O206" s="49"/>
      <c r="P206" s="49"/>
      <c r="Q206" s="49"/>
      <c r="R206" s="59"/>
    </row>
    <row r="207" spans="1:18" ht="24" customHeight="1" x14ac:dyDescent="0.45">
      <c r="A207" s="48"/>
      <c r="B207" s="49"/>
      <c r="C207" s="49"/>
      <c r="D207" s="49"/>
      <c r="E207" s="49"/>
      <c r="F207" s="49"/>
      <c r="G207" s="50"/>
      <c r="H207" s="50"/>
      <c r="I207" s="50"/>
      <c r="J207" s="50"/>
      <c r="K207" s="51"/>
      <c r="L207" s="35" t="str">
        <f t="shared" si="6"/>
        <v/>
      </c>
      <c r="M207" s="49" t="str">
        <f t="shared" si="7"/>
        <v/>
      </c>
      <c r="N207" s="49"/>
      <c r="O207" s="49"/>
      <c r="P207" s="49"/>
      <c r="Q207" s="49"/>
      <c r="R207" s="59"/>
    </row>
    <row r="208" spans="1:18" ht="24" customHeight="1" x14ac:dyDescent="0.45">
      <c r="A208" s="48"/>
      <c r="B208" s="49"/>
      <c r="C208" s="49"/>
      <c r="D208" s="49"/>
      <c r="E208" s="49"/>
      <c r="F208" s="49"/>
      <c r="G208" s="50"/>
      <c r="H208" s="50"/>
      <c r="I208" s="50"/>
      <c r="J208" s="50"/>
      <c r="K208" s="51"/>
      <c r="L208" s="35" t="str">
        <f t="shared" si="6"/>
        <v/>
      </c>
      <c r="M208" s="49" t="str">
        <f t="shared" si="7"/>
        <v/>
      </c>
      <c r="N208" s="49"/>
      <c r="O208" s="49"/>
      <c r="P208" s="49"/>
      <c r="Q208" s="49"/>
      <c r="R208" s="59"/>
    </row>
    <row r="209" spans="1:18" ht="24" customHeight="1" x14ac:dyDescent="0.45">
      <c r="A209" s="48"/>
      <c r="B209" s="49"/>
      <c r="C209" s="49"/>
      <c r="D209" s="49"/>
      <c r="E209" s="49"/>
      <c r="F209" s="49"/>
      <c r="G209" s="50"/>
      <c r="H209" s="50"/>
      <c r="I209" s="50"/>
      <c r="J209" s="50"/>
      <c r="K209" s="51"/>
      <c r="L209" s="35" t="str">
        <f t="shared" si="6"/>
        <v/>
      </c>
      <c r="M209" s="49" t="str">
        <f t="shared" si="7"/>
        <v/>
      </c>
      <c r="N209" s="49"/>
      <c r="O209" s="49"/>
      <c r="P209" s="49"/>
      <c r="Q209" s="49"/>
      <c r="R209" s="59"/>
    </row>
    <row r="210" spans="1:18" ht="24" customHeight="1" x14ac:dyDescent="0.45">
      <c r="A210" s="48"/>
      <c r="B210" s="49"/>
      <c r="C210" s="49"/>
      <c r="D210" s="49"/>
      <c r="E210" s="49"/>
      <c r="F210" s="49"/>
      <c r="G210" s="50"/>
      <c r="H210" s="50"/>
      <c r="I210" s="50"/>
      <c r="J210" s="50"/>
      <c r="K210" s="51"/>
      <c r="L210" s="35" t="str">
        <f t="shared" si="6"/>
        <v/>
      </c>
      <c r="M210" s="49" t="str">
        <f t="shared" si="7"/>
        <v/>
      </c>
      <c r="N210" s="49"/>
      <c r="O210" s="49"/>
      <c r="P210" s="49"/>
      <c r="Q210" s="49"/>
      <c r="R210" s="59"/>
    </row>
    <row r="211" spans="1:18" ht="24" customHeight="1" x14ac:dyDescent="0.45">
      <c r="A211" s="48"/>
      <c r="B211" s="49"/>
      <c r="C211" s="49"/>
      <c r="D211" s="49"/>
      <c r="E211" s="49"/>
      <c r="F211" s="49"/>
      <c r="G211" s="50"/>
      <c r="H211" s="50"/>
      <c r="I211" s="50"/>
      <c r="J211" s="50"/>
      <c r="K211" s="51"/>
      <c r="L211" s="35" t="str">
        <f t="shared" si="6"/>
        <v/>
      </c>
      <c r="M211" s="49" t="str">
        <f t="shared" si="7"/>
        <v/>
      </c>
      <c r="N211" s="49"/>
      <c r="O211" s="49"/>
      <c r="P211" s="49"/>
      <c r="Q211" s="49"/>
      <c r="R211" s="59"/>
    </row>
    <row r="212" spans="1:18" ht="24" customHeight="1" x14ac:dyDescent="0.45">
      <c r="A212" s="48"/>
      <c r="B212" s="49"/>
      <c r="C212" s="49"/>
      <c r="D212" s="49"/>
      <c r="E212" s="49"/>
      <c r="F212" s="49"/>
      <c r="G212" s="50"/>
      <c r="H212" s="50"/>
      <c r="I212" s="50"/>
      <c r="J212" s="50"/>
      <c r="K212" s="51"/>
      <c r="L212" s="35" t="str">
        <f t="shared" si="6"/>
        <v/>
      </c>
      <c r="M212" s="49" t="str">
        <f t="shared" si="7"/>
        <v/>
      </c>
      <c r="N212" s="49"/>
      <c r="O212" s="49"/>
      <c r="P212" s="49"/>
      <c r="Q212" s="49"/>
      <c r="R212" s="59"/>
    </row>
    <row r="213" spans="1:18" ht="24" customHeight="1" x14ac:dyDescent="0.45">
      <c r="A213" s="48"/>
      <c r="B213" s="49"/>
      <c r="C213" s="49"/>
      <c r="D213" s="49"/>
      <c r="E213" s="49"/>
      <c r="F213" s="49"/>
      <c r="G213" s="50"/>
      <c r="H213" s="50"/>
      <c r="I213" s="50"/>
      <c r="J213" s="50"/>
      <c r="K213" s="51"/>
      <c r="L213" s="35" t="str">
        <f t="shared" si="6"/>
        <v/>
      </c>
      <c r="M213" s="49" t="str">
        <f t="shared" si="7"/>
        <v/>
      </c>
      <c r="N213" s="49"/>
      <c r="O213" s="49"/>
      <c r="P213" s="49"/>
      <c r="Q213" s="49"/>
      <c r="R213" s="59"/>
    </row>
    <row r="214" spans="1:18" ht="24" customHeight="1" x14ac:dyDescent="0.45">
      <c r="A214" s="48"/>
      <c r="B214" s="49"/>
      <c r="C214" s="49"/>
      <c r="D214" s="49"/>
      <c r="E214" s="49"/>
      <c r="F214" s="49"/>
      <c r="G214" s="50"/>
      <c r="H214" s="50"/>
      <c r="I214" s="50"/>
      <c r="J214" s="50"/>
      <c r="K214" s="51"/>
      <c r="L214" s="35" t="str">
        <f t="shared" si="6"/>
        <v/>
      </c>
      <c r="M214" s="49" t="str">
        <f t="shared" si="7"/>
        <v/>
      </c>
      <c r="N214" s="49"/>
      <c r="O214" s="49"/>
      <c r="P214" s="49"/>
      <c r="Q214" s="49"/>
      <c r="R214" s="59"/>
    </row>
    <row r="215" spans="1:18" ht="24" customHeight="1" x14ac:dyDescent="0.45">
      <c r="A215" s="48"/>
      <c r="B215" s="49"/>
      <c r="C215" s="49"/>
      <c r="D215" s="49"/>
      <c r="E215" s="49"/>
      <c r="F215" s="49"/>
      <c r="G215" s="50"/>
      <c r="H215" s="50"/>
      <c r="I215" s="50"/>
      <c r="J215" s="50"/>
      <c r="K215" s="51"/>
      <c r="L215" s="35" t="str">
        <f t="shared" si="6"/>
        <v/>
      </c>
      <c r="M215" s="49" t="str">
        <f t="shared" si="7"/>
        <v/>
      </c>
      <c r="N215" s="49"/>
      <c r="O215" s="49"/>
      <c r="P215" s="49"/>
      <c r="Q215" s="49"/>
      <c r="R215" s="59"/>
    </row>
    <row r="216" spans="1:18" ht="24" customHeight="1" x14ac:dyDescent="0.45">
      <c r="A216" s="48"/>
      <c r="B216" s="49"/>
      <c r="C216" s="49"/>
      <c r="D216" s="49"/>
      <c r="E216" s="49"/>
      <c r="F216" s="49"/>
      <c r="G216" s="50"/>
      <c r="H216" s="50"/>
      <c r="I216" s="50"/>
      <c r="J216" s="50"/>
      <c r="K216" s="51"/>
      <c r="L216" s="35" t="str">
        <f t="shared" si="6"/>
        <v/>
      </c>
      <c r="M216" s="49" t="str">
        <f t="shared" si="7"/>
        <v/>
      </c>
      <c r="N216" s="49"/>
      <c r="O216" s="49"/>
      <c r="P216" s="49"/>
      <c r="Q216" s="49"/>
      <c r="R216" s="59"/>
    </row>
    <row r="217" spans="1:18" ht="24" customHeight="1" x14ac:dyDescent="0.45">
      <c r="A217" s="48"/>
      <c r="B217" s="49"/>
      <c r="C217" s="49"/>
      <c r="D217" s="49"/>
      <c r="E217" s="49"/>
      <c r="F217" s="49"/>
      <c r="G217" s="50"/>
      <c r="H217" s="50"/>
      <c r="I217" s="50"/>
      <c r="J217" s="50"/>
      <c r="K217" s="51"/>
      <c r="L217" s="35" t="str">
        <f t="shared" si="6"/>
        <v/>
      </c>
      <c r="M217" s="49" t="str">
        <f t="shared" si="7"/>
        <v/>
      </c>
      <c r="N217" s="49"/>
      <c r="O217" s="49"/>
      <c r="P217" s="49"/>
      <c r="Q217" s="49"/>
      <c r="R217" s="59"/>
    </row>
    <row r="218" spans="1:18" ht="24" customHeight="1" x14ac:dyDescent="0.45">
      <c r="A218" s="48"/>
      <c r="B218" s="49"/>
      <c r="C218" s="49"/>
      <c r="D218" s="49"/>
      <c r="E218" s="49"/>
      <c r="F218" s="49"/>
      <c r="G218" s="50"/>
      <c r="H218" s="50"/>
      <c r="I218" s="50"/>
      <c r="J218" s="50"/>
      <c r="K218" s="51"/>
      <c r="L218" s="35" t="str">
        <f t="shared" si="6"/>
        <v/>
      </c>
      <c r="M218" s="49" t="str">
        <f t="shared" si="7"/>
        <v/>
      </c>
      <c r="N218" s="49"/>
      <c r="O218" s="49"/>
      <c r="P218" s="49"/>
      <c r="Q218" s="49"/>
      <c r="R218" s="59"/>
    </row>
    <row r="219" spans="1:18" ht="24" customHeight="1" x14ac:dyDescent="0.45">
      <c r="A219" s="48"/>
      <c r="B219" s="49"/>
      <c r="C219" s="49"/>
      <c r="D219" s="49"/>
      <c r="E219" s="49"/>
      <c r="F219" s="49"/>
      <c r="G219" s="50"/>
      <c r="H219" s="50"/>
      <c r="I219" s="50"/>
      <c r="J219" s="50"/>
      <c r="K219" s="51"/>
      <c r="L219" s="35" t="str">
        <f t="shared" si="6"/>
        <v/>
      </c>
      <c r="M219" s="49" t="str">
        <f t="shared" si="7"/>
        <v/>
      </c>
      <c r="N219" s="49"/>
      <c r="O219" s="49"/>
      <c r="P219" s="49"/>
      <c r="Q219" s="49"/>
      <c r="R219" s="59"/>
    </row>
    <row r="220" spans="1:18" ht="24" customHeight="1" x14ac:dyDescent="0.45">
      <c r="A220" s="48"/>
      <c r="B220" s="49"/>
      <c r="C220" s="49"/>
      <c r="D220" s="49"/>
      <c r="E220" s="49"/>
      <c r="F220" s="49"/>
      <c r="G220" s="50"/>
      <c r="H220" s="50"/>
      <c r="I220" s="50"/>
      <c r="J220" s="50"/>
      <c r="K220" s="51"/>
      <c r="L220" s="35" t="str">
        <f t="shared" si="6"/>
        <v/>
      </c>
      <c r="M220" s="49" t="str">
        <f t="shared" si="7"/>
        <v/>
      </c>
      <c r="N220" s="49"/>
      <c r="O220" s="49"/>
      <c r="P220" s="49"/>
      <c r="Q220" s="49"/>
      <c r="R220" s="59"/>
    </row>
    <row r="221" spans="1:18" ht="24" customHeight="1" x14ac:dyDescent="0.45">
      <c r="A221" s="48"/>
      <c r="B221" s="49"/>
      <c r="C221" s="49"/>
      <c r="D221" s="49"/>
      <c r="E221" s="49"/>
      <c r="F221" s="49"/>
      <c r="G221" s="50"/>
      <c r="H221" s="50"/>
      <c r="I221" s="50"/>
      <c r="J221" s="50"/>
      <c r="K221" s="51"/>
      <c r="L221" s="35" t="str">
        <f t="shared" si="6"/>
        <v/>
      </c>
      <c r="M221" s="49" t="str">
        <f t="shared" si="7"/>
        <v/>
      </c>
      <c r="N221" s="49"/>
      <c r="O221" s="49"/>
      <c r="P221" s="49"/>
      <c r="Q221" s="49"/>
      <c r="R221" s="59"/>
    </row>
    <row r="222" spans="1:18" ht="24" customHeight="1" x14ac:dyDescent="0.45">
      <c r="A222" s="48"/>
      <c r="B222" s="49"/>
      <c r="C222" s="49"/>
      <c r="D222" s="49"/>
      <c r="E222" s="49"/>
      <c r="F222" s="49"/>
      <c r="G222" s="50"/>
      <c r="H222" s="50"/>
      <c r="I222" s="50"/>
      <c r="J222" s="50"/>
      <c r="K222" s="51"/>
      <c r="L222" s="35" t="str">
        <f t="shared" si="6"/>
        <v/>
      </c>
      <c r="M222" s="49" t="str">
        <f t="shared" si="7"/>
        <v/>
      </c>
      <c r="N222" s="49"/>
      <c r="O222" s="49"/>
      <c r="P222" s="49"/>
      <c r="Q222" s="49"/>
      <c r="R222" s="59"/>
    </row>
    <row r="223" spans="1:18" ht="24" customHeight="1" x14ac:dyDescent="0.45">
      <c r="A223" s="48"/>
      <c r="B223" s="49"/>
      <c r="C223" s="49"/>
      <c r="D223" s="49"/>
      <c r="E223" s="49"/>
      <c r="F223" s="49"/>
      <c r="G223" s="50"/>
      <c r="H223" s="50"/>
      <c r="I223" s="50"/>
      <c r="J223" s="50"/>
      <c r="K223" s="51"/>
      <c r="L223" s="35" t="str">
        <f t="shared" si="6"/>
        <v/>
      </c>
      <c r="M223" s="49" t="str">
        <f t="shared" si="7"/>
        <v/>
      </c>
      <c r="N223" s="49"/>
      <c r="O223" s="49"/>
      <c r="P223" s="49"/>
      <c r="Q223" s="49"/>
      <c r="R223" s="59"/>
    </row>
    <row r="224" spans="1:18" ht="24" customHeight="1" x14ac:dyDescent="0.45">
      <c r="A224" s="48"/>
      <c r="B224" s="49"/>
      <c r="C224" s="49"/>
      <c r="D224" s="49"/>
      <c r="E224" s="49"/>
      <c r="F224" s="49"/>
      <c r="G224" s="50"/>
      <c r="H224" s="50"/>
      <c r="I224" s="50"/>
      <c r="J224" s="50"/>
      <c r="K224" s="51"/>
      <c r="L224" s="35" t="str">
        <f t="shared" si="6"/>
        <v/>
      </c>
      <c r="M224" s="49" t="str">
        <f t="shared" si="7"/>
        <v/>
      </c>
      <c r="N224" s="49"/>
      <c r="O224" s="49"/>
      <c r="P224" s="49"/>
      <c r="Q224" s="49"/>
      <c r="R224" s="59"/>
    </row>
    <row r="225" spans="1:18" ht="24" customHeight="1" x14ac:dyDescent="0.45">
      <c r="A225" s="48"/>
      <c r="B225" s="49"/>
      <c r="C225" s="49"/>
      <c r="D225" s="49"/>
      <c r="E225" s="49"/>
      <c r="F225" s="49"/>
      <c r="G225" s="50"/>
      <c r="H225" s="50"/>
      <c r="I225" s="50"/>
      <c r="J225" s="50"/>
      <c r="K225" s="51"/>
      <c r="L225" s="35" t="str">
        <f t="shared" si="6"/>
        <v/>
      </c>
      <c r="M225" s="49" t="str">
        <f t="shared" si="7"/>
        <v/>
      </c>
      <c r="N225" s="49"/>
      <c r="O225" s="49"/>
      <c r="P225" s="49"/>
      <c r="Q225" s="49"/>
      <c r="R225" s="59"/>
    </row>
    <row r="226" spans="1:18" ht="24" customHeight="1" x14ac:dyDescent="0.45">
      <c r="A226" s="48"/>
      <c r="B226" s="49"/>
      <c r="C226" s="49"/>
      <c r="D226" s="49"/>
      <c r="E226" s="49"/>
      <c r="F226" s="49"/>
      <c r="G226" s="50"/>
      <c r="H226" s="50"/>
      <c r="I226" s="50"/>
      <c r="J226" s="50"/>
      <c r="K226" s="51"/>
      <c r="L226" s="35" t="str">
        <f t="shared" si="6"/>
        <v/>
      </c>
      <c r="M226" s="49" t="str">
        <f t="shared" si="7"/>
        <v/>
      </c>
      <c r="N226" s="49"/>
      <c r="O226" s="49"/>
      <c r="P226" s="49"/>
      <c r="Q226" s="49"/>
      <c r="R226" s="59"/>
    </row>
    <row r="227" spans="1:18" ht="24" customHeight="1" x14ac:dyDescent="0.45">
      <c r="A227" s="48"/>
      <c r="B227" s="49"/>
      <c r="C227" s="49"/>
      <c r="D227" s="49"/>
      <c r="E227" s="49"/>
      <c r="F227" s="49"/>
      <c r="G227" s="50"/>
      <c r="H227" s="50"/>
      <c r="I227" s="50"/>
      <c r="J227" s="50"/>
      <c r="K227" s="51"/>
      <c r="L227" s="35" t="str">
        <f t="shared" si="6"/>
        <v/>
      </c>
      <c r="M227" s="49" t="str">
        <f t="shared" si="7"/>
        <v/>
      </c>
      <c r="N227" s="49"/>
      <c r="O227" s="49"/>
      <c r="P227" s="49"/>
      <c r="Q227" s="49"/>
      <c r="R227" s="59"/>
    </row>
    <row r="228" spans="1:18" ht="24" customHeight="1" x14ac:dyDescent="0.45">
      <c r="A228" s="48"/>
      <c r="B228" s="49"/>
      <c r="C228" s="49"/>
      <c r="D228" s="49"/>
      <c r="E228" s="49"/>
      <c r="F228" s="49"/>
      <c r="G228" s="50"/>
      <c r="H228" s="50"/>
      <c r="I228" s="50"/>
      <c r="J228" s="50"/>
      <c r="K228" s="51"/>
      <c r="L228" s="35" t="str">
        <f t="shared" si="6"/>
        <v/>
      </c>
      <c r="M228" s="49" t="str">
        <f t="shared" si="7"/>
        <v/>
      </c>
      <c r="N228" s="49"/>
      <c r="O228" s="49"/>
      <c r="P228" s="49"/>
      <c r="Q228" s="49"/>
      <c r="R228" s="59"/>
    </row>
    <row r="229" spans="1:18" ht="24" customHeight="1" x14ac:dyDescent="0.45">
      <c r="A229" s="48"/>
      <c r="B229" s="49"/>
      <c r="C229" s="49"/>
      <c r="D229" s="49"/>
      <c r="E229" s="49"/>
      <c r="F229" s="49"/>
      <c r="G229" s="50"/>
      <c r="H229" s="50"/>
      <c r="I229" s="50"/>
      <c r="J229" s="50"/>
      <c r="K229" s="51"/>
      <c r="L229" s="35" t="str">
        <f t="shared" si="6"/>
        <v/>
      </c>
      <c r="M229" s="49" t="str">
        <f t="shared" si="7"/>
        <v/>
      </c>
      <c r="N229" s="49"/>
      <c r="O229" s="49"/>
      <c r="P229" s="49"/>
      <c r="Q229" s="49"/>
      <c r="R229" s="59"/>
    </row>
    <row r="230" spans="1:18" ht="24" customHeight="1" x14ac:dyDescent="0.45">
      <c r="A230" s="48"/>
      <c r="B230" s="49"/>
      <c r="C230" s="49"/>
      <c r="D230" s="49"/>
      <c r="E230" s="49"/>
      <c r="F230" s="49"/>
      <c r="G230" s="50"/>
      <c r="H230" s="50"/>
      <c r="I230" s="50"/>
      <c r="J230" s="50"/>
      <c r="K230" s="51"/>
      <c r="L230" s="35" t="str">
        <f t="shared" si="6"/>
        <v/>
      </c>
      <c r="M230" s="49" t="str">
        <f t="shared" si="7"/>
        <v/>
      </c>
      <c r="N230" s="49"/>
      <c r="O230" s="49"/>
      <c r="P230" s="49"/>
      <c r="Q230" s="49"/>
      <c r="R230" s="59"/>
    </row>
    <row r="231" spans="1:18" ht="24" customHeight="1" x14ac:dyDescent="0.45">
      <c r="A231" s="48"/>
      <c r="B231" s="49"/>
      <c r="C231" s="49"/>
      <c r="D231" s="49"/>
      <c r="E231" s="49"/>
      <c r="F231" s="49"/>
      <c r="G231" s="50"/>
      <c r="H231" s="50"/>
      <c r="I231" s="50"/>
      <c r="J231" s="50"/>
      <c r="K231" s="51"/>
      <c r="L231" s="35" t="str">
        <f t="shared" si="6"/>
        <v/>
      </c>
      <c r="M231" s="49" t="str">
        <f t="shared" si="7"/>
        <v/>
      </c>
      <c r="N231" s="49"/>
      <c r="O231" s="49"/>
      <c r="P231" s="49"/>
      <c r="Q231" s="49"/>
      <c r="R231" s="59"/>
    </row>
    <row r="232" spans="1:18" ht="24" customHeight="1" x14ac:dyDescent="0.45">
      <c r="A232" s="48"/>
      <c r="B232" s="49"/>
      <c r="C232" s="49"/>
      <c r="D232" s="49"/>
      <c r="E232" s="49"/>
      <c r="F232" s="49"/>
      <c r="G232" s="50"/>
      <c r="H232" s="50"/>
      <c r="I232" s="50"/>
      <c r="J232" s="50"/>
      <c r="K232" s="51"/>
      <c r="L232" s="35" t="str">
        <f t="shared" si="6"/>
        <v/>
      </c>
      <c r="M232" s="49" t="str">
        <f t="shared" si="7"/>
        <v/>
      </c>
      <c r="N232" s="49"/>
      <c r="O232" s="49"/>
      <c r="P232" s="49"/>
      <c r="Q232" s="49"/>
      <c r="R232" s="59"/>
    </row>
    <row r="233" spans="1:18" ht="24" customHeight="1" x14ac:dyDescent="0.45">
      <c r="A233" s="48"/>
      <c r="B233" s="49"/>
      <c r="C233" s="49"/>
      <c r="D233" s="49"/>
      <c r="E233" s="49"/>
      <c r="F233" s="49"/>
      <c r="G233" s="50"/>
      <c r="H233" s="50"/>
      <c r="I233" s="50"/>
      <c r="J233" s="50"/>
      <c r="K233" s="51"/>
      <c r="L233" s="35" t="str">
        <f t="shared" si="6"/>
        <v/>
      </c>
      <c r="M233" s="49" t="str">
        <f t="shared" si="7"/>
        <v/>
      </c>
      <c r="N233" s="49"/>
      <c r="O233" s="49"/>
      <c r="P233" s="49"/>
      <c r="Q233" s="49"/>
      <c r="R233" s="59"/>
    </row>
    <row r="234" spans="1:18" ht="24" customHeight="1" x14ac:dyDescent="0.45">
      <c r="A234" s="48"/>
      <c r="B234" s="49"/>
      <c r="C234" s="49"/>
      <c r="D234" s="49"/>
      <c r="E234" s="49"/>
      <c r="F234" s="49"/>
      <c r="G234" s="50"/>
      <c r="H234" s="50"/>
      <c r="I234" s="50"/>
      <c r="J234" s="50"/>
      <c r="K234" s="51"/>
      <c r="L234" s="35" t="str">
        <f t="shared" si="6"/>
        <v/>
      </c>
      <c r="M234" s="49" t="str">
        <f t="shared" si="7"/>
        <v/>
      </c>
      <c r="N234" s="49"/>
      <c r="O234" s="49"/>
      <c r="P234" s="49"/>
      <c r="Q234" s="49"/>
      <c r="R234" s="59"/>
    </row>
    <row r="235" spans="1:18" ht="24" customHeight="1" x14ac:dyDescent="0.45">
      <c r="A235" s="48"/>
      <c r="B235" s="49"/>
      <c r="C235" s="49"/>
      <c r="D235" s="49"/>
      <c r="E235" s="49"/>
      <c r="F235" s="49"/>
      <c r="G235" s="50"/>
      <c r="H235" s="50"/>
      <c r="I235" s="50"/>
      <c r="J235" s="50"/>
      <c r="K235" s="51"/>
      <c r="L235" s="35" t="str">
        <f t="shared" si="6"/>
        <v/>
      </c>
      <c r="M235" s="49" t="str">
        <f t="shared" si="7"/>
        <v/>
      </c>
      <c r="N235" s="49"/>
      <c r="O235" s="49"/>
      <c r="P235" s="49"/>
      <c r="Q235" s="49"/>
      <c r="R235" s="59"/>
    </row>
    <row r="236" spans="1:18" ht="24" customHeight="1" x14ac:dyDescent="0.45">
      <c r="A236" s="48"/>
      <c r="B236" s="49"/>
      <c r="C236" s="49"/>
      <c r="D236" s="49"/>
      <c r="E236" s="49"/>
      <c r="F236" s="49"/>
      <c r="G236" s="50"/>
      <c r="H236" s="50"/>
      <c r="I236" s="50"/>
      <c r="J236" s="50"/>
      <c r="K236" s="51"/>
      <c r="L236" s="35" t="str">
        <f t="shared" si="6"/>
        <v/>
      </c>
      <c r="M236" s="49" t="str">
        <f t="shared" si="7"/>
        <v/>
      </c>
      <c r="N236" s="49"/>
      <c r="O236" s="49"/>
      <c r="P236" s="49"/>
      <c r="Q236" s="49"/>
      <c r="R236" s="59"/>
    </row>
    <row r="237" spans="1:18" ht="24" customHeight="1" x14ac:dyDescent="0.45">
      <c r="A237" s="48"/>
      <c r="B237" s="49"/>
      <c r="C237" s="49"/>
      <c r="D237" s="49"/>
      <c r="E237" s="49"/>
      <c r="F237" s="49"/>
      <c r="G237" s="50"/>
      <c r="H237" s="50"/>
      <c r="I237" s="50"/>
      <c r="J237" s="50"/>
      <c r="K237" s="51"/>
      <c r="L237" s="35" t="str">
        <f t="shared" si="6"/>
        <v/>
      </c>
      <c r="M237" s="49" t="str">
        <f t="shared" si="7"/>
        <v/>
      </c>
      <c r="N237" s="49"/>
      <c r="O237" s="49"/>
      <c r="P237" s="49"/>
      <c r="Q237" s="49"/>
      <c r="R237" s="59"/>
    </row>
    <row r="238" spans="1:18" ht="24" customHeight="1" x14ac:dyDescent="0.45">
      <c r="A238" s="48"/>
      <c r="B238" s="49"/>
      <c r="C238" s="49"/>
      <c r="D238" s="49"/>
      <c r="E238" s="49"/>
      <c r="F238" s="49"/>
      <c r="G238" s="50"/>
      <c r="H238" s="50"/>
      <c r="I238" s="50"/>
      <c r="J238" s="50"/>
      <c r="K238" s="51"/>
      <c r="L238" s="35" t="str">
        <f t="shared" si="6"/>
        <v/>
      </c>
      <c r="M238" s="49" t="str">
        <f t="shared" si="7"/>
        <v/>
      </c>
      <c r="N238" s="49"/>
      <c r="O238" s="49"/>
      <c r="P238" s="49"/>
      <c r="Q238" s="49"/>
      <c r="R238" s="59"/>
    </row>
    <row r="239" spans="1:18" ht="24" customHeight="1" x14ac:dyDescent="0.45">
      <c r="A239" s="48"/>
      <c r="B239" s="49"/>
      <c r="C239" s="49"/>
      <c r="D239" s="49"/>
      <c r="E239" s="49"/>
      <c r="F239" s="49"/>
      <c r="G239" s="50"/>
      <c r="H239" s="50"/>
      <c r="I239" s="50"/>
      <c r="J239" s="50"/>
      <c r="K239" s="51"/>
      <c r="L239" s="35" t="str">
        <f t="shared" si="6"/>
        <v/>
      </c>
      <c r="M239" s="49" t="str">
        <f t="shared" si="7"/>
        <v/>
      </c>
      <c r="N239" s="49"/>
      <c r="O239" s="49"/>
      <c r="P239" s="49"/>
      <c r="Q239" s="49"/>
      <c r="R239" s="59"/>
    </row>
    <row r="240" spans="1:18" ht="24" customHeight="1" x14ac:dyDescent="0.45">
      <c r="A240" s="48"/>
      <c r="B240" s="49"/>
      <c r="C240" s="49"/>
      <c r="D240" s="49"/>
      <c r="E240" s="49"/>
      <c r="F240" s="49"/>
      <c r="G240" s="50"/>
      <c r="H240" s="50"/>
      <c r="I240" s="50"/>
      <c r="J240" s="50"/>
      <c r="K240" s="51"/>
      <c r="L240" s="35" t="str">
        <f t="shared" si="6"/>
        <v/>
      </c>
      <c r="M240" s="49" t="str">
        <f t="shared" si="7"/>
        <v/>
      </c>
      <c r="N240" s="49"/>
      <c r="O240" s="49"/>
      <c r="P240" s="49"/>
      <c r="Q240" s="49"/>
      <c r="R240" s="59"/>
    </row>
    <row r="241" spans="1:18" ht="24" customHeight="1" x14ac:dyDescent="0.45">
      <c r="A241" s="48"/>
      <c r="B241" s="49"/>
      <c r="C241" s="49"/>
      <c r="D241" s="49"/>
      <c r="E241" s="49"/>
      <c r="F241" s="49"/>
      <c r="G241" s="50"/>
      <c r="H241" s="50"/>
      <c r="I241" s="50"/>
      <c r="J241" s="50"/>
      <c r="K241" s="51"/>
      <c r="L241" s="35" t="str">
        <f t="shared" si="6"/>
        <v/>
      </c>
      <c r="M241" s="49" t="str">
        <f t="shared" si="7"/>
        <v/>
      </c>
      <c r="N241" s="49"/>
      <c r="O241" s="49"/>
      <c r="P241" s="49"/>
      <c r="Q241" s="49"/>
      <c r="R241" s="59"/>
    </row>
    <row r="242" spans="1:18" ht="24" customHeight="1" x14ac:dyDescent="0.45">
      <c r="A242" s="48"/>
      <c r="B242" s="49"/>
      <c r="C242" s="49"/>
      <c r="D242" s="49"/>
      <c r="E242" s="49"/>
      <c r="F242" s="49"/>
      <c r="G242" s="50"/>
      <c r="H242" s="50"/>
      <c r="I242" s="50"/>
      <c r="J242" s="50"/>
      <c r="K242" s="51"/>
      <c r="L242" s="35" t="str">
        <f t="shared" si="6"/>
        <v/>
      </c>
      <c r="M242" s="49" t="str">
        <f t="shared" si="7"/>
        <v/>
      </c>
      <c r="N242" s="49"/>
      <c r="O242" s="49"/>
      <c r="P242" s="49"/>
      <c r="Q242" s="49"/>
      <c r="R242" s="59"/>
    </row>
    <row r="243" spans="1:18" ht="24" customHeight="1" x14ac:dyDescent="0.45">
      <c r="A243" s="48"/>
      <c r="B243" s="49"/>
      <c r="C243" s="49"/>
      <c r="D243" s="49"/>
      <c r="E243" s="49"/>
      <c r="F243" s="49"/>
      <c r="G243" s="50"/>
      <c r="H243" s="50"/>
      <c r="I243" s="50"/>
      <c r="J243" s="50"/>
      <c r="K243" s="51"/>
      <c r="L243" s="35" t="str">
        <f t="shared" si="6"/>
        <v/>
      </c>
      <c r="M243" s="49" t="str">
        <f t="shared" si="7"/>
        <v/>
      </c>
      <c r="N243" s="49"/>
      <c r="O243" s="49"/>
      <c r="P243" s="49"/>
      <c r="Q243" s="49"/>
      <c r="R243" s="59"/>
    </row>
    <row r="244" spans="1:18" ht="24" customHeight="1" x14ac:dyDescent="0.45">
      <c r="A244" s="48"/>
      <c r="B244" s="49"/>
      <c r="C244" s="49"/>
      <c r="D244" s="49"/>
      <c r="E244" s="49"/>
      <c r="F244" s="49"/>
      <c r="G244" s="50"/>
      <c r="H244" s="50"/>
      <c r="I244" s="50"/>
      <c r="J244" s="50"/>
      <c r="K244" s="51"/>
      <c r="L244" s="35" t="str">
        <f t="shared" si="6"/>
        <v/>
      </c>
      <c r="M244" s="49" t="str">
        <f t="shared" si="7"/>
        <v/>
      </c>
      <c r="N244" s="49"/>
      <c r="O244" s="49"/>
      <c r="P244" s="49"/>
      <c r="Q244" s="49"/>
      <c r="R244" s="59"/>
    </row>
    <row r="245" spans="1:18" ht="24" customHeight="1" x14ac:dyDescent="0.45">
      <c r="A245" s="48"/>
      <c r="B245" s="49"/>
      <c r="C245" s="49"/>
      <c r="D245" s="49"/>
      <c r="E245" s="49"/>
      <c r="F245" s="49"/>
      <c r="G245" s="50"/>
      <c r="H245" s="50"/>
      <c r="I245" s="50"/>
      <c r="J245" s="50"/>
      <c r="K245" s="51"/>
      <c r="L245" s="35" t="str">
        <f t="shared" si="6"/>
        <v/>
      </c>
      <c r="M245" s="49" t="str">
        <f t="shared" si="7"/>
        <v/>
      </c>
      <c r="N245" s="49"/>
      <c r="O245" s="49"/>
      <c r="P245" s="49"/>
      <c r="Q245" s="49"/>
      <c r="R245" s="59"/>
    </row>
    <row r="246" spans="1:18" ht="24" customHeight="1" x14ac:dyDescent="0.45">
      <c r="A246" s="48"/>
      <c r="B246" s="49"/>
      <c r="C246" s="49"/>
      <c r="D246" s="49"/>
      <c r="E246" s="49"/>
      <c r="F246" s="49"/>
      <c r="G246" s="50"/>
      <c r="H246" s="50"/>
      <c r="I246" s="50"/>
      <c r="J246" s="50"/>
      <c r="K246" s="51"/>
      <c r="L246" s="35" t="str">
        <f t="shared" si="6"/>
        <v/>
      </c>
      <c r="M246" s="49" t="str">
        <f t="shared" si="7"/>
        <v/>
      </c>
      <c r="N246" s="49"/>
      <c r="O246" s="49"/>
      <c r="P246" s="49"/>
      <c r="Q246" s="49"/>
      <c r="R246" s="59"/>
    </row>
    <row r="247" spans="1:18" ht="24" customHeight="1" x14ac:dyDescent="0.45">
      <c r="A247" s="48"/>
      <c r="B247" s="49"/>
      <c r="C247" s="49"/>
      <c r="D247" s="49"/>
      <c r="E247" s="49"/>
      <c r="F247" s="49"/>
      <c r="G247" s="50"/>
      <c r="H247" s="50"/>
      <c r="I247" s="50"/>
      <c r="J247" s="50"/>
      <c r="K247" s="51"/>
      <c r="L247" s="35" t="str">
        <f t="shared" si="6"/>
        <v/>
      </c>
      <c r="M247" s="49" t="str">
        <f t="shared" si="7"/>
        <v/>
      </c>
      <c r="N247" s="49"/>
      <c r="O247" s="49"/>
      <c r="P247" s="49"/>
      <c r="Q247" s="49"/>
      <c r="R247" s="59"/>
    </row>
    <row r="248" spans="1:18" ht="24" customHeight="1" x14ac:dyDescent="0.45">
      <c r="A248" s="48"/>
      <c r="B248" s="49"/>
      <c r="C248" s="49"/>
      <c r="D248" s="49"/>
      <c r="E248" s="49"/>
      <c r="F248" s="49"/>
      <c r="G248" s="50"/>
      <c r="H248" s="50"/>
      <c r="I248" s="50"/>
      <c r="J248" s="50"/>
      <c r="K248" s="51"/>
      <c r="L248" s="35" t="str">
        <f t="shared" si="6"/>
        <v/>
      </c>
      <c r="M248" s="49" t="str">
        <f t="shared" si="7"/>
        <v/>
      </c>
      <c r="N248" s="49"/>
      <c r="O248" s="49"/>
      <c r="P248" s="49"/>
      <c r="Q248" s="49"/>
      <c r="R248" s="59"/>
    </row>
    <row r="249" spans="1:18" ht="24" customHeight="1" x14ac:dyDescent="0.45">
      <c r="A249" s="48"/>
      <c r="B249" s="49"/>
      <c r="C249" s="49"/>
      <c r="D249" s="49"/>
      <c r="E249" s="49"/>
      <c r="F249" s="49"/>
      <c r="G249" s="50"/>
      <c r="H249" s="50"/>
      <c r="I249" s="50"/>
      <c r="J249" s="50"/>
      <c r="K249" s="51"/>
      <c r="L249" s="35" t="str">
        <f t="shared" si="6"/>
        <v/>
      </c>
      <c r="M249" s="49" t="str">
        <f t="shared" si="7"/>
        <v/>
      </c>
      <c r="N249" s="49"/>
      <c r="O249" s="49"/>
      <c r="P249" s="49"/>
      <c r="Q249" s="49"/>
      <c r="R249" s="59"/>
    </row>
    <row r="250" spans="1:18" ht="24" customHeight="1" x14ac:dyDescent="0.45">
      <c r="A250" s="48"/>
      <c r="B250" s="49"/>
      <c r="C250" s="49"/>
      <c r="D250" s="49"/>
      <c r="E250" s="49"/>
      <c r="F250" s="49"/>
      <c r="G250" s="50"/>
      <c r="H250" s="50"/>
      <c r="I250" s="50"/>
      <c r="J250" s="50"/>
      <c r="K250" s="51"/>
      <c r="L250" s="35" t="str">
        <f t="shared" si="6"/>
        <v/>
      </c>
      <c r="M250" s="49" t="str">
        <f t="shared" si="7"/>
        <v/>
      </c>
      <c r="N250" s="49"/>
      <c r="O250" s="49"/>
      <c r="P250" s="49"/>
      <c r="Q250" s="49"/>
      <c r="R250" s="59"/>
    </row>
    <row r="251" spans="1:18" ht="24" customHeight="1" x14ac:dyDescent="0.45">
      <c r="A251" s="48"/>
      <c r="B251" s="49"/>
      <c r="C251" s="49"/>
      <c r="D251" s="49"/>
      <c r="E251" s="49"/>
      <c r="F251" s="49"/>
      <c r="G251" s="50"/>
      <c r="H251" s="50"/>
      <c r="I251" s="50"/>
      <c r="J251" s="50"/>
      <c r="K251" s="51"/>
      <c r="L251" s="35" t="str">
        <f t="shared" si="6"/>
        <v/>
      </c>
      <c r="M251" s="49" t="str">
        <f t="shared" si="7"/>
        <v/>
      </c>
      <c r="N251" s="49"/>
      <c r="O251" s="49"/>
      <c r="P251" s="49"/>
      <c r="Q251" s="49"/>
      <c r="R251" s="59"/>
    </row>
    <row r="252" spans="1:18" ht="24" customHeight="1" x14ac:dyDescent="0.45">
      <c r="A252" s="48"/>
      <c r="B252" s="49"/>
      <c r="C252" s="49"/>
      <c r="D252" s="49"/>
      <c r="E252" s="49"/>
      <c r="F252" s="49"/>
      <c r="G252" s="50"/>
      <c r="H252" s="50"/>
      <c r="I252" s="50"/>
      <c r="J252" s="50"/>
      <c r="K252" s="51"/>
      <c r="L252" s="35" t="str">
        <f t="shared" si="6"/>
        <v/>
      </c>
      <c r="M252" s="49" t="str">
        <f t="shared" si="7"/>
        <v/>
      </c>
      <c r="N252" s="49"/>
      <c r="O252" s="49"/>
      <c r="P252" s="49"/>
      <c r="Q252" s="49"/>
      <c r="R252" s="59"/>
    </row>
    <row r="253" spans="1:18" ht="24" customHeight="1" x14ac:dyDescent="0.45">
      <c r="A253" s="48"/>
      <c r="B253" s="49"/>
      <c r="C253" s="49"/>
      <c r="D253" s="49"/>
      <c r="E253" s="49"/>
      <c r="F253" s="49"/>
      <c r="G253" s="50"/>
      <c r="H253" s="50"/>
      <c r="I253" s="50"/>
      <c r="J253" s="50"/>
      <c r="K253" s="51"/>
      <c r="L253" s="35" t="str">
        <f t="shared" si="6"/>
        <v/>
      </c>
      <c r="M253" s="49" t="str">
        <f t="shared" si="7"/>
        <v/>
      </c>
      <c r="N253" s="49"/>
      <c r="O253" s="49"/>
      <c r="P253" s="49"/>
      <c r="Q253" s="49"/>
      <c r="R253" s="59"/>
    </row>
    <row r="254" spans="1:18" ht="24" customHeight="1" x14ac:dyDescent="0.45">
      <c r="A254" s="48"/>
      <c r="B254" s="49"/>
      <c r="C254" s="49"/>
      <c r="D254" s="49"/>
      <c r="E254" s="49"/>
      <c r="F254" s="49"/>
      <c r="G254" s="50"/>
      <c r="H254" s="50"/>
      <c r="I254" s="50"/>
      <c r="J254" s="50"/>
      <c r="K254" s="51"/>
      <c r="L254" s="35" t="str">
        <f t="shared" si="6"/>
        <v/>
      </c>
      <c r="M254" s="49" t="str">
        <f t="shared" si="7"/>
        <v/>
      </c>
      <c r="N254" s="49"/>
      <c r="O254" s="49"/>
      <c r="P254" s="49"/>
      <c r="Q254" s="49"/>
      <c r="R254" s="59"/>
    </row>
    <row r="255" spans="1:18" ht="24" customHeight="1" x14ac:dyDescent="0.45">
      <c r="A255" s="48"/>
      <c r="B255" s="49"/>
      <c r="C255" s="49"/>
      <c r="D255" s="49"/>
      <c r="E255" s="49"/>
      <c r="F255" s="49"/>
      <c r="G255" s="50"/>
      <c r="H255" s="50"/>
      <c r="I255" s="50"/>
      <c r="J255" s="50"/>
      <c r="K255" s="51"/>
      <c r="L255" s="35" t="str">
        <f t="shared" si="6"/>
        <v/>
      </c>
      <c r="M255" s="49" t="str">
        <f t="shared" si="7"/>
        <v/>
      </c>
      <c r="N255" s="49"/>
      <c r="O255" s="49"/>
      <c r="P255" s="49"/>
      <c r="Q255" s="49"/>
      <c r="R255" s="59"/>
    </row>
    <row r="256" spans="1:18" ht="24" customHeight="1" x14ac:dyDescent="0.45">
      <c r="A256" s="48"/>
      <c r="B256" s="49"/>
      <c r="C256" s="49"/>
      <c r="D256" s="49"/>
      <c r="E256" s="49"/>
      <c r="F256" s="49"/>
      <c r="G256" s="50"/>
      <c r="H256" s="50"/>
      <c r="I256" s="50"/>
      <c r="J256" s="50"/>
      <c r="K256" s="51"/>
      <c r="L256" s="35" t="str">
        <f t="shared" si="6"/>
        <v/>
      </c>
      <c r="M256" s="49" t="str">
        <f t="shared" si="7"/>
        <v/>
      </c>
      <c r="N256" s="49"/>
      <c r="O256" s="49"/>
      <c r="P256" s="49"/>
      <c r="Q256" s="49"/>
      <c r="R256" s="59"/>
    </row>
    <row r="257" spans="1:18" ht="24" customHeight="1" x14ac:dyDescent="0.45">
      <c r="A257" s="48"/>
      <c r="B257" s="49"/>
      <c r="C257" s="49"/>
      <c r="D257" s="49"/>
      <c r="E257" s="49"/>
      <c r="F257" s="49"/>
      <c r="G257" s="50"/>
      <c r="H257" s="50"/>
      <c r="I257" s="50"/>
      <c r="J257" s="50"/>
      <c r="K257" s="51"/>
      <c r="L257" s="35" t="str">
        <f t="shared" si="6"/>
        <v/>
      </c>
      <c r="M257" s="49" t="str">
        <f t="shared" si="7"/>
        <v/>
      </c>
      <c r="N257" s="49"/>
      <c r="O257" s="49"/>
      <c r="P257" s="49"/>
      <c r="Q257" s="49"/>
      <c r="R257" s="59"/>
    </row>
    <row r="258" spans="1:18" ht="24" customHeight="1" x14ac:dyDescent="0.45">
      <c r="A258" s="48"/>
      <c r="B258" s="49"/>
      <c r="C258" s="49"/>
      <c r="D258" s="49"/>
      <c r="E258" s="49"/>
      <c r="F258" s="49"/>
      <c r="G258" s="50"/>
      <c r="H258" s="50"/>
      <c r="I258" s="50"/>
      <c r="J258" s="50"/>
      <c r="K258" s="51"/>
      <c r="L258" s="35" t="str">
        <f t="shared" si="6"/>
        <v/>
      </c>
      <c r="M258" s="49" t="str">
        <f t="shared" si="7"/>
        <v/>
      </c>
      <c r="N258" s="49"/>
      <c r="O258" s="49"/>
      <c r="P258" s="49"/>
      <c r="Q258" s="49"/>
      <c r="R258" s="59"/>
    </row>
    <row r="259" spans="1:18" ht="24" customHeight="1" x14ac:dyDescent="0.45">
      <c r="A259" s="48"/>
      <c r="B259" s="49"/>
      <c r="C259" s="49"/>
      <c r="D259" s="49"/>
      <c r="E259" s="49"/>
      <c r="F259" s="49"/>
      <c r="G259" s="50"/>
      <c r="H259" s="50"/>
      <c r="I259" s="50"/>
      <c r="J259" s="50"/>
      <c r="K259" s="51"/>
      <c r="L259" s="35" t="str">
        <f t="shared" si="6"/>
        <v/>
      </c>
      <c r="M259" s="49" t="str">
        <f t="shared" si="7"/>
        <v/>
      </c>
      <c r="N259" s="49"/>
      <c r="O259" s="49"/>
      <c r="P259" s="49"/>
      <c r="Q259" s="49"/>
      <c r="R259" s="59"/>
    </row>
    <row r="260" spans="1:18" ht="24" customHeight="1" x14ac:dyDescent="0.45">
      <c r="A260" s="48"/>
      <c r="B260" s="49"/>
      <c r="C260" s="49"/>
      <c r="D260" s="49"/>
      <c r="E260" s="49"/>
      <c r="F260" s="49"/>
      <c r="G260" s="50"/>
      <c r="H260" s="50"/>
      <c r="I260" s="50"/>
      <c r="J260" s="50"/>
      <c r="K260" s="51"/>
      <c r="L260" s="35" t="str">
        <f t="shared" si="6"/>
        <v/>
      </c>
      <c r="M260" s="49" t="str">
        <f t="shared" si="7"/>
        <v/>
      </c>
      <c r="N260" s="49"/>
      <c r="O260" s="49"/>
      <c r="P260" s="49"/>
      <c r="Q260" s="49"/>
      <c r="R260" s="59"/>
    </row>
    <row r="261" spans="1:18" ht="24" customHeight="1" x14ac:dyDescent="0.45">
      <c r="A261" s="48"/>
      <c r="B261" s="49"/>
      <c r="C261" s="49"/>
      <c r="D261" s="49"/>
      <c r="E261" s="49"/>
      <c r="F261" s="49"/>
      <c r="G261" s="50"/>
      <c r="H261" s="50"/>
      <c r="I261" s="50"/>
      <c r="J261" s="50"/>
      <c r="K261" s="51"/>
      <c r="L261" s="35" t="str">
        <f t="shared" ref="L261:L293" si="8">IF(F261&gt;0,K261/F261,"")</f>
        <v/>
      </c>
      <c r="M261" s="49" t="str">
        <f t="shared" ref="M261:M293" si="9">IF(A261="","",IF(Q261&lt;&gt;"","Acté",IF(P261&lt;&gt;"","Réservé",IF(O261&lt;&gt;"","Option","Libre"))))</f>
        <v/>
      </c>
      <c r="N261" s="49"/>
      <c r="O261" s="49"/>
      <c r="P261" s="49"/>
      <c r="Q261" s="49"/>
      <c r="R261" s="59"/>
    </row>
    <row r="262" spans="1:18" ht="24" customHeight="1" x14ac:dyDescent="0.45">
      <c r="A262" s="48"/>
      <c r="B262" s="49"/>
      <c r="C262" s="49"/>
      <c r="D262" s="49"/>
      <c r="E262" s="49"/>
      <c r="F262" s="49"/>
      <c r="G262" s="50"/>
      <c r="H262" s="50"/>
      <c r="I262" s="50"/>
      <c r="J262" s="50"/>
      <c r="K262" s="51"/>
      <c r="L262" s="35" t="str">
        <f t="shared" si="8"/>
        <v/>
      </c>
      <c r="M262" s="49" t="str">
        <f t="shared" si="9"/>
        <v/>
      </c>
      <c r="N262" s="49"/>
      <c r="O262" s="49"/>
      <c r="P262" s="49"/>
      <c r="Q262" s="49"/>
      <c r="R262" s="59"/>
    </row>
    <row r="263" spans="1:18" ht="24" customHeight="1" x14ac:dyDescent="0.45">
      <c r="A263" s="48"/>
      <c r="B263" s="49"/>
      <c r="C263" s="49"/>
      <c r="D263" s="49"/>
      <c r="E263" s="49"/>
      <c r="F263" s="49"/>
      <c r="G263" s="50"/>
      <c r="H263" s="50"/>
      <c r="I263" s="50"/>
      <c r="J263" s="50"/>
      <c r="K263" s="51"/>
      <c r="L263" s="35" t="str">
        <f t="shared" si="8"/>
        <v/>
      </c>
      <c r="M263" s="49" t="str">
        <f t="shared" si="9"/>
        <v/>
      </c>
      <c r="N263" s="49"/>
      <c r="O263" s="49"/>
      <c r="P263" s="49"/>
      <c r="Q263" s="49"/>
      <c r="R263" s="59"/>
    </row>
    <row r="264" spans="1:18" ht="24" customHeight="1" x14ac:dyDescent="0.45">
      <c r="A264" s="48"/>
      <c r="B264" s="49"/>
      <c r="C264" s="49"/>
      <c r="D264" s="49"/>
      <c r="E264" s="49"/>
      <c r="F264" s="49"/>
      <c r="G264" s="50"/>
      <c r="H264" s="50"/>
      <c r="I264" s="50"/>
      <c r="J264" s="50"/>
      <c r="K264" s="51"/>
      <c r="L264" s="35" t="str">
        <f t="shared" si="8"/>
        <v/>
      </c>
      <c r="M264" s="49" t="str">
        <f t="shared" si="9"/>
        <v/>
      </c>
      <c r="N264" s="49"/>
      <c r="O264" s="49"/>
      <c r="P264" s="49"/>
      <c r="Q264" s="49"/>
      <c r="R264" s="59"/>
    </row>
    <row r="265" spans="1:18" ht="24" customHeight="1" x14ac:dyDescent="0.45">
      <c r="A265" s="48"/>
      <c r="B265" s="49"/>
      <c r="C265" s="49"/>
      <c r="D265" s="49"/>
      <c r="E265" s="49"/>
      <c r="F265" s="49"/>
      <c r="G265" s="50"/>
      <c r="H265" s="50"/>
      <c r="I265" s="50"/>
      <c r="J265" s="50"/>
      <c r="K265" s="51"/>
      <c r="L265" s="35" t="str">
        <f t="shared" si="8"/>
        <v/>
      </c>
      <c r="M265" s="49" t="str">
        <f t="shared" si="9"/>
        <v/>
      </c>
      <c r="N265" s="49"/>
      <c r="O265" s="49"/>
      <c r="P265" s="49"/>
      <c r="Q265" s="49"/>
      <c r="R265" s="59"/>
    </row>
    <row r="266" spans="1:18" ht="24" customHeight="1" x14ac:dyDescent="0.45">
      <c r="A266" s="48"/>
      <c r="B266" s="49"/>
      <c r="C266" s="49"/>
      <c r="D266" s="49"/>
      <c r="E266" s="49"/>
      <c r="F266" s="49"/>
      <c r="G266" s="50"/>
      <c r="H266" s="50"/>
      <c r="I266" s="50"/>
      <c r="J266" s="50"/>
      <c r="K266" s="51"/>
      <c r="L266" s="35" t="str">
        <f t="shared" si="8"/>
        <v/>
      </c>
      <c r="M266" s="49" t="str">
        <f t="shared" si="9"/>
        <v/>
      </c>
      <c r="N266" s="49"/>
      <c r="O266" s="49"/>
      <c r="P266" s="49"/>
      <c r="Q266" s="49"/>
      <c r="R266" s="59"/>
    </row>
    <row r="267" spans="1:18" ht="24" customHeight="1" x14ac:dyDescent="0.45">
      <c r="A267" s="48"/>
      <c r="B267" s="49"/>
      <c r="C267" s="49"/>
      <c r="D267" s="49"/>
      <c r="E267" s="49"/>
      <c r="F267" s="49"/>
      <c r="G267" s="50"/>
      <c r="H267" s="50"/>
      <c r="I267" s="50"/>
      <c r="J267" s="50"/>
      <c r="K267" s="51"/>
      <c r="L267" s="35" t="str">
        <f t="shared" si="8"/>
        <v/>
      </c>
      <c r="M267" s="49" t="str">
        <f t="shared" si="9"/>
        <v/>
      </c>
      <c r="N267" s="49"/>
      <c r="O267" s="49"/>
      <c r="P267" s="49"/>
      <c r="Q267" s="49"/>
      <c r="R267" s="59"/>
    </row>
    <row r="268" spans="1:18" ht="24" customHeight="1" x14ac:dyDescent="0.45">
      <c r="A268" s="48"/>
      <c r="B268" s="49"/>
      <c r="C268" s="49"/>
      <c r="D268" s="49"/>
      <c r="E268" s="49"/>
      <c r="F268" s="49"/>
      <c r="G268" s="50"/>
      <c r="H268" s="50"/>
      <c r="I268" s="50"/>
      <c r="J268" s="50"/>
      <c r="K268" s="51"/>
      <c r="L268" s="35" t="str">
        <f t="shared" si="8"/>
        <v/>
      </c>
      <c r="M268" s="49" t="str">
        <f t="shared" si="9"/>
        <v/>
      </c>
      <c r="N268" s="49"/>
      <c r="O268" s="49"/>
      <c r="P268" s="49"/>
      <c r="Q268" s="49"/>
      <c r="R268" s="59"/>
    </row>
    <row r="269" spans="1:18" ht="24" customHeight="1" x14ac:dyDescent="0.45">
      <c r="A269" s="48"/>
      <c r="B269" s="49"/>
      <c r="C269" s="49"/>
      <c r="D269" s="49"/>
      <c r="E269" s="49"/>
      <c r="F269" s="49"/>
      <c r="G269" s="50"/>
      <c r="H269" s="50"/>
      <c r="I269" s="50"/>
      <c r="J269" s="50"/>
      <c r="K269" s="51"/>
      <c r="L269" s="35" t="str">
        <f t="shared" si="8"/>
        <v/>
      </c>
      <c r="M269" s="49" t="str">
        <f t="shared" si="9"/>
        <v/>
      </c>
      <c r="N269" s="49"/>
      <c r="O269" s="49"/>
      <c r="P269" s="49"/>
      <c r="Q269" s="49"/>
      <c r="R269" s="59"/>
    </row>
    <row r="270" spans="1:18" ht="24" customHeight="1" x14ac:dyDescent="0.45">
      <c r="A270" s="48"/>
      <c r="B270" s="49"/>
      <c r="C270" s="49"/>
      <c r="D270" s="49"/>
      <c r="E270" s="49"/>
      <c r="F270" s="49"/>
      <c r="G270" s="50"/>
      <c r="H270" s="50"/>
      <c r="I270" s="50"/>
      <c r="J270" s="50"/>
      <c r="K270" s="51"/>
      <c r="L270" s="35" t="str">
        <f t="shared" si="8"/>
        <v/>
      </c>
      <c r="M270" s="49" t="str">
        <f t="shared" si="9"/>
        <v/>
      </c>
      <c r="N270" s="49"/>
      <c r="O270" s="49"/>
      <c r="P270" s="49"/>
      <c r="Q270" s="49"/>
      <c r="R270" s="59"/>
    </row>
    <row r="271" spans="1:18" ht="24" customHeight="1" x14ac:dyDescent="0.45">
      <c r="A271" s="48"/>
      <c r="B271" s="49"/>
      <c r="C271" s="49"/>
      <c r="D271" s="49"/>
      <c r="E271" s="49"/>
      <c r="F271" s="49"/>
      <c r="G271" s="50"/>
      <c r="H271" s="50"/>
      <c r="I271" s="50"/>
      <c r="J271" s="50"/>
      <c r="K271" s="51"/>
      <c r="L271" s="35" t="str">
        <f t="shared" si="8"/>
        <v/>
      </c>
      <c r="M271" s="49" t="str">
        <f t="shared" si="9"/>
        <v/>
      </c>
      <c r="N271" s="49"/>
      <c r="O271" s="49"/>
      <c r="P271" s="49"/>
      <c r="Q271" s="49"/>
      <c r="R271" s="59"/>
    </row>
    <row r="272" spans="1:18" ht="24" customHeight="1" x14ac:dyDescent="0.45">
      <c r="A272" s="48"/>
      <c r="B272" s="49"/>
      <c r="C272" s="49"/>
      <c r="D272" s="49"/>
      <c r="E272" s="49"/>
      <c r="F272" s="49"/>
      <c r="G272" s="50"/>
      <c r="H272" s="50"/>
      <c r="I272" s="50"/>
      <c r="J272" s="50"/>
      <c r="K272" s="51"/>
      <c r="L272" s="35" t="str">
        <f t="shared" si="8"/>
        <v/>
      </c>
      <c r="M272" s="49" t="str">
        <f t="shared" si="9"/>
        <v/>
      </c>
      <c r="N272" s="49"/>
      <c r="O272" s="49"/>
      <c r="P272" s="49"/>
      <c r="Q272" s="49"/>
      <c r="R272" s="59"/>
    </row>
    <row r="273" spans="1:18" ht="24" customHeight="1" x14ac:dyDescent="0.45">
      <c r="A273" s="48"/>
      <c r="B273" s="49"/>
      <c r="C273" s="49"/>
      <c r="D273" s="49"/>
      <c r="E273" s="49"/>
      <c r="F273" s="49"/>
      <c r="G273" s="50"/>
      <c r="H273" s="50"/>
      <c r="I273" s="50"/>
      <c r="J273" s="50"/>
      <c r="K273" s="51"/>
      <c r="L273" s="35" t="str">
        <f t="shared" si="8"/>
        <v/>
      </c>
      <c r="M273" s="49" t="str">
        <f t="shared" si="9"/>
        <v/>
      </c>
      <c r="N273" s="49"/>
      <c r="O273" s="49"/>
      <c r="P273" s="49"/>
      <c r="Q273" s="49"/>
      <c r="R273" s="59"/>
    </row>
    <row r="274" spans="1:18" ht="24" customHeight="1" x14ac:dyDescent="0.45">
      <c r="A274" s="48"/>
      <c r="B274" s="49"/>
      <c r="C274" s="49"/>
      <c r="D274" s="49"/>
      <c r="E274" s="49"/>
      <c r="F274" s="49"/>
      <c r="G274" s="50"/>
      <c r="H274" s="50"/>
      <c r="I274" s="50"/>
      <c r="J274" s="50"/>
      <c r="K274" s="51"/>
      <c r="L274" s="35" t="str">
        <f t="shared" si="8"/>
        <v/>
      </c>
      <c r="M274" s="49" t="str">
        <f t="shared" si="9"/>
        <v/>
      </c>
      <c r="N274" s="49"/>
      <c r="O274" s="49"/>
      <c r="P274" s="49"/>
      <c r="Q274" s="49"/>
      <c r="R274" s="59"/>
    </row>
    <row r="275" spans="1:18" ht="24" customHeight="1" x14ac:dyDescent="0.45">
      <c r="A275" s="48"/>
      <c r="B275" s="49"/>
      <c r="C275" s="49"/>
      <c r="D275" s="49"/>
      <c r="E275" s="49"/>
      <c r="F275" s="49"/>
      <c r="G275" s="50"/>
      <c r="H275" s="50"/>
      <c r="I275" s="50"/>
      <c r="J275" s="50"/>
      <c r="K275" s="51"/>
      <c r="L275" s="35" t="str">
        <f t="shared" si="8"/>
        <v/>
      </c>
      <c r="M275" s="49" t="str">
        <f t="shared" si="9"/>
        <v/>
      </c>
      <c r="N275" s="49"/>
      <c r="O275" s="49"/>
      <c r="P275" s="49"/>
      <c r="Q275" s="49"/>
      <c r="R275" s="59"/>
    </row>
    <row r="276" spans="1:18" ht="24" customHeight="1" x14ac:dyDescent="0.45">
      <c r="A276" s="48"/>
      <c r="B276" s="49"/>
      <c r="C276" s="49"/>
      <c r="D276" s="49"/>
      <c r="E276" s="49"/>
      <c r="F276" s="49"/>
      <c r="G276" s="50"/>
      <c r="H276" s="50"/>
      <c r="I276" s="50"/>
      <c r="J276" s="50"/>
      <c r="K276" s="51"/>
      <c r="L276" s="35" t="str">
        <f t="shared" si="8"/>
        <v/>
      </c>
      <c r="M276" s="49" t="str">
        <f t="shared" si="9"/>
        <v/>
      </c>
      <c r="N276" s="49"/>
      <c r="O276" s="49"/>
      <c r="P276" s="49"/>
      <c r="Q276" s="49"/>
      <c r="R276" s="59"/>
    </row>
    <row r="277" spans="1:18" ht="24" customHeight="1" x14ac:dyDescent="0.45">
      <c r="A277" s="48"/>
      <c r="B277" s="49"/>
      <c r="C277" s="49"/>
      <c r="D277" s="49"/>
      <c r="E277" s="49"/>
      <c r="F277" s="49"/>
      <c r="G277" s="50"/>
      <c r="H277" s="50"/>
      <c r="I277" s="50"/>
      <c r="J277" s="50"/>
      <c r="K277" s="51"/>
      <c r="L277" s="35" t="str">
        <f t="shared" si="8"/>
        <v/>
      </c>
      <c r="M277" s="49" t="str">
        <f t="shared" si="9"/>
        <v/>
      </c>
      <c r="N277" s="49"/>
      <c r="O277" s="49"/>
      <c r="P277" s="49"/>
      <c r="Q277" s="49"/>
      <c r="R277" s="59"/>
    </row>
    <row r="278" spans="1:18" ht="24" customHeight="1" x14ac:dyDescent="0.45">
      <c r="A278" s="48"/>
      <c r="B278" s="49"/>
      <c r="C278" s="49"/>
      <c r="D278" s="49"/>
      <c r="E278" s="49"/>
      <c r="F278" s="49"/>
      <c r="G278" s="50"/>
      <c r="H278" s="50"/>
      <c r="I278" s="50"/>
      <c r="J278" s="50"/>
      <c r="K278" s="51"/>
      <c r="L278" s="35" t="str">
        <f t="shared" si="8"/>
        <v/>
      </c>
      <c r="M278" s="49" t="str">
        <f t="shared" si="9"/>
        <v/>
      </c>
      <c r="N278" s="49"/>
      <c r="O278" s="49"/>
      <c r="P278" s="49"/>
      <c r="Q278" s="49"/>
      <c r="R278" s="59"/>
    </row>
    <row r="279" spans="1:18" ht="24" customHeight="1" x14ac:dyDescent="0.45">
      <c r="A279" s="48"/>
      <c r="B279" s="49"/>
      <c r="C279" s="49"/>
      <c r="D279" s="49"/>
      <c r="E279" s="49"/>
      <c r="F279" s="49"/>
      <c r="G279" s="50"/>
      <c r="H279" s="50"/>
      <c r="I279" s="50"/>
      <c r="J279" s="50"/>
      <c r="K279" s="51"/>
      <c r="L279" s="35" t="str">
        <f t="shared" si="8"/>
        <v/>
      </c>
      <c r="M279" s="49" t="str">
        <f t="shared" si="9"/>
        <v/>
      </c>
      <c r="N279" s="49"/>
      <c r="O279" s="49"/>
      <c r="P279" s="49"/>
      <c r="Q279" s="49"/>
      <c r="R279" s="59"/>
    </row>
    <row r="280" spans="1:18" ht="24" customHeight="1" x14ac:dyDescent="0.45">
      <c r="A280" s="48"/>
      <c r="B280" s="49"/>
      <c r="C280" s="49"/>
      <c r="D280" s="49"/>
      <c r="E280" s="49"/>
      <c r="F280" s="49"/>
      <c r="G280" s="50"/>
      <c r="H280" s="50"/>
      <c r="I280" s="50"/>
      <c r="J280" s="50"/>
      <c r="K280" s="51"/>
      <c r="L280" s="35" t="str">
        <f t="shared" si="8"/>
        <v/>
      </c>
      <c r="M280" s="49" t="str">
        <f t="shared" si="9"/>
        <v/>
      </c>
      <c r="N280" s="49"/>
      <c r="O280" s="49"/>
      <c r="P280" s="49"/>
      <c r="Q280" s="49"/>
      <c r="R280" s="59"/>
    </row>
    <row r="281" spans="1:18" ht="24" customHeight="1" x14ac:dyDescent="0.45">
      <c r="A281" s="48"/>
      <c r="B281" s="49"/>
      <c r="C281" s="49"/>
      <c r="D281" s="49"/>
      <c r="E281" s="49"/>
      <c r="F281" s="49"/>
      <c r="G281" s="50"/>
      <c r="H281" s="50"/>
      <c r="I281" s="50"/>
      <c r="J281" s="50"/>
      <c r="K281" s="51"/>
      <c r="L281" s="35" t="str">
        <f t="shared" si="8"/>
        <v/>
      </c>
      <c r="M281" s="49" t="str">
        <f t="shared" si="9"/>
        <v/>
      </c>
      <c r="N281" s="49"/>
      <c r="O281" s="49"/>
      <c r="P281" s="49"/>
      <c r="Q281" s="49"/>
      <c r="R281" s="59"/>
    </row>
    <row r="282" spans="1:18" ht="24" customHeight="1" x14ac:dyDescent="0.45">
      <c r="A282" s="48"/>
      <c r="B282" s="49"/>
      <c r="C282" s="49"/>
      <c r="D282" s="49"/>
      <c r="E282" s="49"/>
      <c r="F282" s="49"/>
      <c r="G282" s="50"/>
      <c r="H282" s="50"/>
      <c r="I282" s="50"/>
      <c r="J282" s="50"/>
      <c r="K282" s="51"/>
      <c r="L282" s="35" t="str">
        <f t="shared" si="8"/>
        <v/>
      </c>
      <c r="M282" s="49" t="str">
        <f t="shared" si="9"/>
        <v/>
      </c>
      <c r="N282" s="49"/>
      <c r="O282" s="49"/>
      <c r="P282" s="49"/>
      <c r="Q282" s="49"/>
      <c r="R282" s="59"/>
    </row>
    <row r="283" spans="1:18" ht="24" customHeight="1" x14ac:dyDescent="0.45">
      <c r="A283" s="48"/>
      <c r="B283" s="49"/>
      <c r="C283" s="49"/>
      <c r="D283" s="49"/>
      <c r="E283" s="49"/>
      <c r="F283" s="49"/>
      <c r="G283" s="50"/>
      <c r="H283" s="50"/>
      <c r="I283" s="50"/>
      <c r="J283" s="50"/>
      <c r="K283" s="51"/>
      <c r="L283" s="35" t="str">
        <f t="shared" si="8"/>
        <v/>
      </c>
      <c r="M283" s="49" t="str">
        <f t="shared" si="9"/>
        <v/>
      </c>
      <c r="N283" s="49"/>
      <c r="O283" s="49"/>
      <c r="P283" s="49"/>
      <c r="Q283" s="49"/>
      <c r="R283" s="59"/>
    </row>
    <row r="284" spans="1:18" ht="24" customHeight="1" x14ac:dyDescent="0.45">
      <c r="A284" s="48"/>
      <c r="B284" s="49"/>
      <c r="C284" s="49"/>
      <c r="D284" s="49"/>
      <c r="E284" s="49"/>
      <c r="F284" s="49"/>
      <c r="G284" s="50"/>
      <c r="H284" s="50"/>
      <c r="I284" s="50"/>
      <c r="J284" s="50"/>
      <c r="K284" s="51"/>
      <c r="L284" s="35" t="str">
        <f t="shared" si="8"/>
        <v/>
      </c>
      <c r="M284" s="49" t="str">
        <f t="shared" si="9"/>
        <v/>
      </c>
      <c r="N284" s="49"/>
      <c r="O284" s="49"/>
      <c r="P284" s="49"/>
      <c r="Q284" s="49"/>
      <c r="R284" s="59"/>
    </row>
    <row r="285" spans="1:18" ht="24" customHeight="1" x14ac:dyDescent="0.45">
      <c r="A285" s="48"/>
      <c r="B285" s="49"/>
      <c r="C285" s="49"/>
      <c r="D285" s="49"/>
      <c r="E285" s="49"/>
      <c r="F285" s="49"/>
      <c r="G285" s="50"/>
      <c r="H285" s="50"/>
      <c r="I285" s="50"/>
      <c r="J285" s="50"/>
      <c r="K285" s="51"/>
      <c r="L285" s="35" t="str">
        <f t="shared" si="8"/>
        <v/>
      </c>
      <c r="M285" s="49" t="str">
        <f t="shared" si="9"/>
        <v/>
      </c>
      <c r="N285" s="49"/>
      <c r="O285" s="49"/>
      <c r="P285" s="49"/>
      <c r="Q285" s="49"/>
      <c r="R285" s="59"/>
    </row>
    <row r="286" spans="1:18" ht="24" customHeight="1" x14ac:dyDescent="0.45">
      <c r="A286" s="48"/>
      <c r="B286" s="49"/>
      <c r="C286" s="49"/>
      <c r="D286" s="49"/>
      <c r="E286" s="49"/>
      <c r="F286" s="49"/>
      <c r="G286" s="50"/>
      <c r="H286" s="50"/>
      <c r="I286" s="50"/>
      <c r="J286" s="50"/>
      <c r="K286" s="51"/>
      <c r="L286" s="35" t="str">
        <f t="shared" si="8"/>
        <v/>
      </c>
      <c r="M286" s="49" t="str">
        <f t="shared" si="9"/>
        <v/>
      </c>
      <c r="N286" s="49"/>
      <c r="O286" s="49"/>
      <c r="P286" s="49"/>
      <c r="Q286" s="49"/>
      <c r="R286" s="59"/>
    </row>
    <row r="287" spans="1:18" ht="24" customHeight="1" x14ac:dyDescent="0.45">
      <c r="A287" s="48"/>
      <c r="B287" s="49"/>
      <c r="C287" s="49"/>
      <c r="D287" s="49"/>
      <c r="E287" s="49"/>
      <c r="F287" s="49"/>
      <c r="G287" s="50"/>
      <c r="H287" s="50"/>
      <c r="I287" s="50"/>
      <c r="J287" s="50"/>
      <c r="K287" s="51"/>
      <c r="L287" s="35" t="str">
        <f t="shared" si="8"/>
        <v/>
      </c>
      <c r="M287" s="49" t="str">
        <f t="shared" si="9"/>
        <v/>
      </c>
      <c r="N287" s="49"/>
      <c r="O287" s="49"/>
      <c r="P287" s="49"/>
      <c r="Q287" s="49"/>
      <c r="R287" s="59"/>
    </row>
    <row r="288" spans="1:18" ht="24" customHeight="1" x14ac:dyDescent="0.45">
      <c r="A288" s="48"/>
      <c r="B288" s="49"/>
      <c r="C288" s="49"/>
      <c r="D288" s="49"/>
      <c r="E288" s="49"/>
      <c r="F288" s="49"/>
      <c r="G288" s="50"/>
      <c r="H288" s="50"/>
      <c r="I288" s="50"/>
      <c r="J288" s="50"/>
      <c r="K288" s="51"/>
      <c r="L288" s="35" t="str">
        <f t="shared" si="8"/>
        <v/>
      </c>
      <c r="M288" s="49" t="str">
        <f t="shared" si="9"/>
        <v/>
      </c>
      <c r="N288" s="49"/>
      <c r="O288" s="49"/>
      <c r="P288" s="49"/>
      <c r="Q288" s="49"/>
      <c r="R288" s="59"/>
    </row>
    <row r="289" spans="1:18" ht="24" customHeight="1" x14ac:dyDescent="0.45">
      <c r="A289" s="48"/>
      <c r="B289" s="49"/>
      <c r="C289" s="49"/>
      <c r="D289" s="49"/>
      <c r="E289" s="49"/>
      <c r="F289" s="49"/>
      <c r="G289" s="50"/>
      <c r="H289" s="50"/>
      <c r="I289" s="50"/>
      <c r="J289" s="50"/>
      <c r="K289" s="51"/>
      <c r="L289" s="35" t="str">
        <f t="shared" si="8"/>
        <v/>
      </c>
      <c r="M289" s="49" t="str">
        <f t="shared" si="9"/>
        <v/>
      </c>
      <c r="N289" s="49"/>
      <c r="O289" s="49"/>
      <c r="P289" s="49"/>
      <c r="Q289" s="49"/>
      <c r="R289" s="59"/>
    </row>
    <row r="290" spans="1:18" ht="24" customHeight="1" x14ac:dyDescent="0.45">
      <c r="A290" s="48"/>
      <c r="B290" s="49"/>
      <c r="C290" s="49"/>
      <c r="D290" s="49"/>
      <c r="E290" s="49"/>
      <c r="F290" s="49"/>
      <c r="G290" s="50"/>
      <c r="H290" s="50"/>
      <c r="I290" s="50"/>
      <c r="J290" s="50"/>
      <c r="K290" s="51"/>
      <c r="L290" s="35" t="str">
        <f t="shared" si="8"/>
        <v/>
      </c>
      <c r="M290" s="49" t="str">
        <f t="shared" si="9"/>
        <v/>
      </c>
      <c r="N290" s="49"/>
      <c r="O290" s="49"/>
      <c r="P290" s="49"/>
      <c r="Q290" s="49"/>
      <c r="R290" s="59"/>
    </row>
    <row r="291" spans="1:18" ht="24" customHeight="1" x14ac:dyDescent="0.45">
      <c r="A291" s="48"/>
      <c r="B291" s="49"/>
      <c r="C291" s="49"/>
      <c r="D291" s="49"/>
      <c r="E291" s="49"/>
      <c r="F291" s="49"/>
      <c r="G291" s="50"/>
      <c r="H291" s="50"/>
      <c r="I291" s="50"/>
      <c r="J291" s="50"/>
      <c r="K291" s="51"/>
      <c r="L291" s="35" t="str">
        <f t="shared" si="8"/>
        <v/>
      </c>
      <c r="M291" s="49" t="str">
        <f t="shared" si="9"/>
        <v/>
      </c>
      <c r="N291" s="49"/>
      <c r="O291" s="49"/>
      <c r="P291" s="49"/>
      <c r="Q291" s="49"/>
      <c r="R291" s="59"/>
    </row>
    <row r="292" spans="1:18" ht="24" customHeight="1" x14ac:dyDescent="0.45">
      <c r="A292" s="48"/>
      <c r="B292" s="49"/>
      <c r="C292" s="49"/>
      <c r="D292" s="49"/>
      <c r="E292" s="49"/>
      <c r="F292" s="49"/>
      <c r="G292" s="50"/>
      <c r="H292" s="50"/>
      <c r="I292" s="50"/>
      <c r="J292" s="50"/>
      <c r="K292" s="51"/>
      <c r="L292" s="35" t="str">
        <f t="shared" si="8"/>
        <v/>
      </c>
      <c r="M292" s="49" t="str">
        <f t="shared" si="9"/>
        <v/>
      </c>
      <c r="N292" s="49"/>
      <c r="O292" s="49"/>
      <c r="P292" s="49"/>
      <c r="Q292" s="49"/>
      <c r="R292" s="59"/>
    </row>
    <row r="293" spans="1:18" ht="24" customHeight="1" thickBot="1" x14ac:dyDescent="0.5">
      <c r="A293" s="54"/>
      <c r="B293" s="55"/>
      <c r="C293" s="55"/>
      <c r="D293" s="55"/>
      <c r="E293" s="55"/>
      <c r="F293" s="55"/>
      <c r="G293" s="56"/>
      <c r="H293" s="56"/>
      <c r="I293" s="56"/>
      <c r="J293" s="56"/>
      <c r="K293" s="57"/>
      <c r="L293" s="36" t="str">
        <f t="shared" si="8"/>
        <v/>
      </c>
      <c r="M293" s="49" t="str">
        <f t="shared" si="9"/>
        <v/>
      </c>
      <c r="N293" s="55"/>
      <c r="O293" s="55"/>
      <c r="P293" s="55"/>
      <c r="Q293" s="55"/>
      <c r="R293" s="60"/>
    </row>
  </sheetData>
  <sheetProtection algorithmName="SHA-512" hashValue="ocnUDHwXgtp7M2g7IGYEzpydGuf8H0YPf3GAqkXEe3ZVQgTQdS1sHKMQDSqILRoIZ+NpYvlbAqxcbcfqkFk2zQ==" saltValue="1ow+aKJiOYMZ7507My7XYg==" spinCount="100000" sheet="1" objects="1" scenarios="1" selectLockedCells="1"/>
  <mergeCells count="2">
    <mergeCell ref="A1:R1"/>
    <mergeCell ref="A2:R2"/>
  </mergeCells>
  <phoneticPr fontId="20" type="noConversion"/>
  <conditionalFormatting sqref="A8:R293">
    <cfRule type="expression" dxfId="53" priority="1">
      <formula>$M8="Option"</formula>
    </cfRule>
    <cfRule type="expression" dxfId="52" priority="2">
      <formula>$M8="Réservé"</formula>
    </cfRule>
    <cfRule type="expression" dxfId="51" priority="3">
      <formula>$M8="Acté"</formula>
    </cfRule>
  </conditionalFormatting>
  <dataValidations count="3">
    <dataValidation type="list" sqref="C8:C293" xr:uid="{00000000-0002-0000-0100-000000000000}">
      <formula1>"RDJ,RDC,R+1,R+2,R+3,R+4,R+5,R+6,R+7,R+8,R+9,R+10"</formula1>
    </dataValidation>
    <dataValidation type="list" sqref="D8:D293" xr:uid="{00000000-0002-0000-0100-000001000000}">
      <formula1>"T1,T1bis,T2,T2bis,T3,T3bis,T4,T4bis,T5,T6"</formula1>
    </dataValidation>
    <dataValidation type="list" sqref="E8:E293" xr:uid="{00000000-0002-0000-0100-000002000000}">
      <formula1>"Nord,Sud,Est,Ouest,Nord-Est,Nord-Ouest,Sud-Est,Sud-Ouest"</formula1>
    </dataValidation>
  </dataValidations>
  <printOptions horizontalCentered="1"/>
  <pageMargins left="0.75" right="0.75" top="1" bottom="1" header="0.5" footer="0.5"/>
  <pageSetup paperSize="9" scale="45" fitToHeight="0" orientation="landscape" horizontalDpi="0" verticalDpi="0" r:id="rId1"/>
  <headerFooter>
    <oddFooter>&amp;CDocument généré le 16/04/2026&amp;RPage &amp;P /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7231-7976-40ED-BA0C-ABC4032F2784}">
  <sheetPr codeName="Feuil12">
    <tabColor theme="9" tint="0.59999389629810485"/>
  </sheetPr>
  <dimension ref="A2:B8"/>
  <sheetViews>
    <sheetView tabSelected="1" workbookViewId="0">
      <selection activeCell="B8" sqref="B8"/>
    </sheetView>
  </sheetViews>
  <sheetFormatPr baseColWidth="10" defaultRowHeight="14.25" x14ac:dyDescent="0.45"/>
  <cols>
    <col min="1" max="1" width="17.46484375" customWidth="1"/>
    <col min="2" max="2" width="38.6640625" customWidth="1"/>
  </cols>
  <sheetData>
    <row r="2" spans="1:2" ht="24.4" customHeight="1" x14ac:dyDescent="0.45"/>
    <row r="7" spans="1:2" ht="14.65" thickBot="1" x14ac:dyDescent="0.5"/>
    <row r="8" spans="1:2" ht="14.65" thickBot="1" x14ac:dyDescent="0.5">
      <c r="A8" s="30" t="s">
        <v>159</v>
      </c>
      <c r="B8" s="34" t="s">
        <v>217</v>
      </c>
    </row>
  </sheetData>
  <sheetProtection algorithmName="SHA-512" hashValue="KpaafGsK5704AihAb7IxVlUuLUA4i3lFBqCX8PnerGgJC6wil61rmoXlyIppvZaKqoJqHx95GC3B1bhAwhz/Vg==" saltValue="HzIoKfvEHkYneEB1NizQpg==" spinCount="100000" sheet="1" objects="1" scenarios="1" selectLockedCells="1"/>
  <dataValidations count="1">
    <dataValidation type="list" allowBlank="1" showInputMessage="1" showErrorMessage="1" sqref="B8" xr:uid="{B2C08BC5-0D45-4B5A-B948-B39D0A58625B}">
      <formula1>"Listing_acquéreurs,Suivi_Prêt_et_Notaire,Appels_de_fonds,EXPORT_Synthese_programme,Tableau_Commercial"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1FEA-6B2C-4B21-A3C5-3DAFF72A530C}">
  <sheetPr codeName="Feuil13">
    <pageSetUpPr fitToPage="1"/>
  </sheetPr>
  <dimension ref="A1:R342"/>
  <sheetViews>
    <sheetView zoomScale="90" zoomScaleNormal="90" zoomScaleSheetLayoutView="71" workbookViewId="0">
      <selection activeCell="G11" sqref="G11"/>
    </sheetView>
  </sheetViews>
  <sheetFormatPr baseColWidth="10" defaultRowHeight="14.25" x14ac:dyDescent="0.45"/>
  <cols>
    <col min="1" max="1" width="12.1328125" style="175" customWidth="1"/>
    <col min="2" max="2" width="23.33203125" style="175" customWidth="1"/>
    <col min="3" max="3" width="12.9296875" style="175" customWidth="1"/>
    <col min="4" max="4" width="10.3984375" style="175" customWidth="1"/>
    <col min="5" max="5" width="12.3984375" style="175" customWidth="1"/>
    <col min="6" max="6" width="18" style="175" customWidth="1"/>
    <col min="7" max="7" width="14.796875" style="175" customWidth="1"/>
    <col min="8" max="8" width="19.06640625" style="175" customWidth="1"/>
    <col min="9" max="10" width="9.73046875" style="175" customWidth="1"/>
    <col min="11" max="11" width="20.59765625" style="175" customWidth="1"/>
    <col min="12" max="12" width="10.3984375" style="175" customWidth="1"/>
    <col min="13" max="13" width="10.53125" style="175" customWidth="1"/>
    <col min="14" max="14" width="27.33203125" style="175" customWidth="1"/>
    <col min="15" max="15" width="13.19921875" style="175" customWidth="1"/>
    <col min="16" max="16" width="12.9296875" style="175" customWidth="1"/>
    <col min="17" max="17" width="13.19921875" style="175" customWidth="1"/>
    <col min="18" max="18" width="30.3984375" style="175" customWidth="1"/>
    <col min="19" max="16384" width="10.6640625" style="175"/>
  </cols>
  <sheetData>
    <row r="1" spans="1:18" ht="46.05" customHeight="1" x14ac:dyDescent="0.45">
      <c r="A1" s="172" t="s">
        <v>166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4"/>
    </row>
    <row r="2" spans="1:18" ht="80" customHeight="1" x14ac:dyDescent="0.45">
      <c r="A2" s="176" t="s">
        <v>190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</row>
    <row r="3" spans="1:18" ht="26" customHeight="1" x14ac:dyDescent="0.45">
      <c r="A3" s="177" t="s">
        <v>158</v>
      </c>
      <c r="B3" s="178" t="s">
        <v>196</v>
      </c>
      <c r="C3" s="179" t="s">
        <v>2</v>
      </c>
      <c r="D3" s="180">
        <v>12</v>
      </c>
      <c r="E3" s="181"/>
      <c r="F3" s="181"/>
      <c r="G3" s="178"/>
      <c r="H3" s="182"/>
      <c r="I3" s="183"/>
      <c r="J3" s="184"/>
      <c r="K3" s="185"/>
      <c r="L3" s="185"/>
      <c r="M3" s="186"/>
      <c r="N3" s="186"/>
      <c r="O3" s="187" t="s">
        <v>164</v>
      </c>
      <c r="P3" s="188" t="s">
        <v>60</v>
      </c>
      <c r="Q3" s="189" t="s">
        <v>74</v>
      </c>
      <c r="R3" s="190"/>
    </row>
    <row r="4" spans="1:18" ht="26" customHeight="1" x14ac:dyDescent="0.45">
      <c r="A4" s="191" t="s">
        <v>0</v>
      </c>
      <c r="B4" s="178" t="s">
        <v>153</v>
      </c>
      <c r="C4" s="179" t="s">
        <v>3</v>
      </c>
      <c r="D4" s="192">
        <v>46112</v>
      </c>
      <c r="E4" s="193"/>
      <c r="F4" s="181"/>
      <c r="G4" s="194"/>
      <c r="H4" s="195"/>
      <c r="I4" s="181"/>
      <c r="J4" s="181"/>
      <c r="K4" s="181"/>
      <c r="L4" s="196"/>
      <c r="M4" s="196"/>
      <c r="N4" s="196"/>
      <c r="O4" s="196"/>
      <c r="P4" s="197" t="s">
        <v>51</v>
      </c>
      <c r="Q4" s="196" t="s">
        <v>67</v>
      </c>
      <c r="R4" s="198"/>
    </row>
    <row r="5" spans="1:18" ht="26" customHeight="1" x14ac:dyDescent="0.45">
      <c r="A5" s="191" t="s">
        <v>1</v>
      </c>
      <c r="B5" s="178" t="s">
        <v>5</v>
      </c>
      <c r="C5" s="178"/>
      <c r="D5" s="178"/>
      <c r="E5" s="181"/>
      <c r="F5" s="181"/>
      <c r="G5" s="181"/>
      <c r="H5" s="199"/>
      <c r="I5" s="181"/>
      <c r="J5" s="181"/>
      <c r="K5" s="181"/>
      <c r="L5" s="196"/>
      <c r="M5" s="196"/>
      <c r="N5" s="196"/>
      <c r="O5" s="181"/>
      <c r="P5" s="181"/>
      <c r="Q5" s="181"/>
      <c r="R5" s="196"/>
    </row>
    <row r="6" spans="1:18" ht="26" customHeight="1" thickBot="1" x14ac:dyDescent="0.5">
      <c r="A6" s="223"/>
      <c r="B6" s="224"/>
      <c r="C6" s="225"/>
      <c r="D6" s="225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</row>
    <row r="7" spans="1:18" ht="42" customHeight="1" x14ac:dyDescent="0.45">
      <c r="A7" s="209" t="s">
        <v>154</v>
      </c>
      <c r="B7" s="210" t="s">
        <v>4</v>
      </c>
      <c r="C7" s="210" t="s">
        <v>30</v>
      </c>
      <c r="D7" s="210" t="s">
        <v>31</v>
      </c>
      <c r="E7" s="210" t="s">
        <v>32</v>
      </c>
      <c r="F7" s="210" t="s">
        <v>33</v>
      </c>
      <c r="G7" s="211" t="s">
        <v>34</v>
      </c>
      <c r="H7" s="211" t="s">
        <v>35</v>
      </c>
      <c r="I7" s="212" t="s">
        <v>36</v>
      </c>
      <c r="J7" s="211" t="s">
        <v>37</v>
      </c>
      <c r="K7" s="213" t="s">
        <v>38</v>
      </c>
      <c r="L7" s="213" t="s">
        <v>39</v>
      </c>
      <c r="M7" s="210" t="s">
        <v>40</v>
      </c>
      <c r="N7" s="210" t="s">
        <v>6</v>
      </c>
      <c r="O7" s="210" t="s">
        <v>41</v>
      </c>
      <c r="P7" s="214" t="s">
        <v>13</v>
      </c>
      <c r="Q7" s="210" t="s">
        <v>42</v>
      </c>
      <c r="R7" s="220" t="s">
        <v>43</v>
      </c>
    </row>
    <row r="8" spans="1:18" ht="26" customHeight="1" x14ac:dyDescent="0.45">
      <c r="A8" s="208">
        <v>1</v>
      </c>
      <c r="B8" s="200" t="s">
        <v>44</v>
      </c>
      <c r="C8" s="200" t="s">
        <v>45</v>
      </c>
      <c r="D8" s="200" t="s">
        <v>103</v>
      </c>
      <c r="E8" s="200" t="s">
        <v>47</v>
      </c>
      <c r="F8" s="200">
        <v>45.02</v>
      </c>
      <c r="G8" s="201" t="s">
        <v>48</v>
      </c>
      <c r="H8" s="201" t="s">
        <v>49</v>
      </c>
      <c r="I8" s="201" t="s">
        <v>50</v>
      </c>
      <c r="J8" s="201" t="s">
        <v>50</v>
      </c>
      <c r="K8" s="202">
        <v>260000</v>
      </c>
      <c r="L8" s="203">
        <f t="shared" ref="L8:L19" si="0">IF(F8&gt;0,K8/F8,"")</f>
        <v>5775.2110173256324</v>
      </c>
      <c r="M8" s="200" t="str">
        <f t="shared" ref="M8:M19" si="1">IF(A8="","",IF(Q8&lt;&gt;"","Acté",IF(P8&lt;&gt;"","Réservé",IF(O8&lt;&gt;"","Option","Libre"))))</f>
        <v>Réservé</v>
      </c>
      <c r="N8" s="200" t="s">
        <v>52</v>
      </c>
      <c r="O8" s="204"/>
      <c r="P8" s="204">
        <v>45700</v>
      </c>
      <c r="Q8" s="200"/>
      <c r="R8" s="221"/>
    </row>
    <row r="9" spans="1:18" ht="26" customHeight="1" x14ac:dyDescent="0.45">
      <c r="A9" s="208">
        <v>2</v>
      </c>
      <c r="B9" s="200" t="s">
        <v>53</v>
      </c>
      <c r="C9" s="200" t="s">
        <v>45</v>
      </c>
      <c r="D9" s="200" t="s">
        <v>54</v>
      </c>
      <c r="E9" s="200" t="s">
        <v>55</v>
      </c>
      <c r="F9" s="200">
        <v>63.12</v>
      </c>
      <c r="G9" s="201" t="s">
        <v>56</v>
      </c>
      <c r="H9" s="201" t="s">
        <v>57</v>
      </c>
      <c r="I9" s="201" t="s">
        <v>58</v>
      </c>
      <c r="J9" s="201" t="s">
        <v>59</v>
      </c>
      <c r="K9" s="202">
        <v>370000</v>
      </c>
      <c r="L9" s="203">
        <f t="shared" si="0"/>
        <v>5861.8504435994937</v>
      </c>
      <c r="M9" s="200" t="str">
        <f t="shared" si="1"/>
        <v>Acté</v>
      </c>
      <c r="N9" s="200" t="s">
        <v>61</v>
      </c>
      <c r="O9" s="200"/>
      <c r="P9" s="204">
        <v>45575</v>
      </c>
      <c r="Q9" s="204">
        <v>45759</v>
      </c>
      <c r="R9" s="221"/>
    </row>
    <row r="10" spans="1:18" ht="26" customHeight="1" x14ac:dyDescent="0.45">
      <c r="A10" s="208">
        <v>3</v>
      </c>
      <c r="B10" s="200" t="s">
        <v>62</v>
      </c>
      <c r="C10" s="200" t="s">
        <v>45</v>
      </c>
      <c r="D10" s="200" t="s">
        <v>54</v>
      </c>
      <c r="E10" s="200" t="s">
        <v>47</v>
      </c>
      <c r="F10" s="200">
        <v>64.25</v>
      </c>
      <c r="G10" s="201" t="s">
        <v>63</v>
      </c>
      <c r="H10" s="201" t="s">
        <v>64</v>
      </c>
      <c r="I10" s="201" t="s">
        <v>65</v>
      </c>
      <c r="J10" s="201" t="s">
        <v>66</v>
      </c>
      <c r="K10" s="202">
        <v>380000</v>
      </c>
      <c r="L10" s="203">
        <f t="shared" si="0"/>
        <v>5914.3968871595334</v>
      </c>
      <c r="M10" s="200" t="str">
        <f t="shared" si="1"/>
        <v>Libre</v>
      </c>
      <c r="N10" s="200"/>
      <c r="O10" s="200"/>
      <c r="P10" s="200"/>
      <c r="Q10" s="200"/>
      <c r="R10" s="221"/>
    </row>
    <row r="11" spans="1:18" ht="26" customHeight="1" x14ac:dyDescent="0.45">
      <c r="A11" s="208">
        <v>4</v>
      </c>
      <c r="B11" s="200" t="s">
        <v>68</v>
      </c>
      <c r="C11" s="200" t="s">
        <v>45</v>
      </c>
      <c r="D11" s="200" t="s">
        <v>46</v>
      </c>
      <c r="E11" s="200" t="s">
        <v>69</v>
      </c>
      <c r="F11" s="200">
        <v>45.15</v>
      </c>
      <c r="G11" s="201" t="s">
        <v>70</v>
      </c>
      <c r="H11" s="201" t="s">
        <v>71</v>
      </c>
      <c r="I11" s="201" t="s">
        <v>72</v>
      </c>
      <c r="J11" s="201" t="s">
        <v>73</v>
      </c>
      <c r="K11" s="202">
        <v>262000</v>
      </c>
      <c r="L11" s="203">
        <f t="shared" si="0"/>
        <v>5802.8792912513845</v>
      </c>
      <c r="M11" s="200" t="str">
        <f t="shared" si="1"/>
        <v>Réservé</v>
      </c>
      <c r="N11" s="200" t="s">
        <v>75</v>
      </c>
      <c r="O11" s="204"/>
      <c r="P11" s="204">
        <v>45719</v>
      </c>
      <c r="Q11" s="200"/>
      <c r="R11" s="221"/>
    </row>
    <row r="12" spans="1:18" ht="26" customHeight="1" x14ac:dyDescent="0.45">
      <c r="A12" s="208">
        <v>5</v>
      </c>
      <c r="B12" s="200" t="s">
        <v>76</v>
      </c>
      <c r="C12" s="200" t="s">
        <v>77</v>
      </c>
      <c r="D12" s="200" t="s">
        <v>46</v>
      </c>
      <c r="E12" s="200" t="s">
        <v>47</v>
      </c>
      <c r="F12" s="200">
        <v>45.02</v>
      </c>
      <c r="G12" s="201" t="s">
        <v>78</v>
      </c>
      <c r="H12" s="201"/>
      <c r="I12" s="201" t="s">
        <v>73</v>
      </c>
      <c r="J12" s="201" t="s">
        <v>72</v>
      </c>
      <c r="K12" s="202">
        <v>270000</v>
      </c>
      <c r="L12" s="203">
        <f t="shared" si="0"/>
        <v>5997.3345179920034</v>
      </c>
      <c r="M12" s="200" t="str">
        <f t="shared" si="1"/>
        <v>Libre</v>
      </c>
      <c r="N12" s="200"/>
      <c r="O12" s="200"/>
      <c r="P12" s="204"/>
      <c r="Q12" s="200"/>
      <c r="R12" s="221"/>
    </row>
    <row r="13" spans="1:18" ht="26" customHeight="1" x14ac:dyDescent="0.45">
      <c r="A13" s="208">
        <v>6</v>
      </c>
      <c r="B13" s="200" t="s">
        <v>79</v>
      </c>
      <c r="C13" s="200" t="s">
        <v>77</v>
      </c>
      <c r="D13" s="200" t="s">
        <v>89</v>
      </c>
      <c r="E13" s="200" t="s">
        <v>47</v>
      </c>
      <c r="F13" s="200">
        <v>85.17</v>
      </c>
      <c r="G13" s="201" t="s">
        <v>78</v>
      </c>
      <c r="H13" s="201"/>
      <c r="I13" s="201" t="s">
        <v>80</v>
      </c>
      <c r="J13" s="201" t="s">
        <v>81</v>
      </c>
      <c r="K13" s="202">
        <v>525000</v>
      </c>
      <c r="L13" s="203">
        <f t="shared" si="0"/>
        <v>6164.1423036280376</v>
      </c>
      <c r="M13" s="200" t="str">
        <f t="shared" si="1"/>
        <v>Réservé</v>
      </c>
      <c r="N13" s="200" t="s">
        <v>121</v>
      </c>
      <c r="O13" s="200"/>
      <c r="P13" s="204">
        <v>45795</v>
      </c>
      <c r="Q13" s="200"/>
      <c r="R13" s="221"/>
    </row>
    <row r="14" spans="1:18" ht="26" customHeight="1" x14ac:dyDescent="0.45">
      <c r="A14" s="208">
        <v>7</v>
      </c>
      <c r="B14" s="200" t="s">
        <v>82</v>
      </c>
      <c r="C14" s="200" t="s">
        <v>77</v>
      </c>
      <c r="D14" s="200" t="s">
        <v>54</v>
      </c>
      <c r="E14" s="200" t="s">
        <v>69</v>
      </c>
      <c r="F14" s="200">
        <v>64.25</v>
      </c>
      <c r="G14" s="201" t="s">
        <v>78</v>
      </c>
      <c r="H14" s="201"/>
      <c r="I14" s="201" t="s">
        <v>83</v>
      </c>
      <c r="J14" s="201" t="s">
        <v>84</v>
      </c>
      <c r="K14" s="202">
        <v>390000</v>
      </c>
      <c r="L14" s="203">
        <f t="shared" si="0"/>
        <v>6070.0389105058366</v>
      </c>
      <c r="M14" s="200" t="str">
        <f t="shared" si="1"/>
        <v>Acté</v>
      </c>
      <c r="N14" s="200" t="s">
        <v>85</v>
      </c>
      <c r="O14" s="200"/>
      <c r="P14" s="204">
        <v>45609</v>
      </c>
      <c r="Q14" s="204">
        <v>45759</v>
      </c>
      <c r="R14" s="221"/>
    </row>
    <row r="15" spans="1:18" ht="26" customHeight="1" x14ac:dyDescent="0.45">
      <c r="A15" s="208">
        <v>8</v>
      </c>
      <c r="B15" s="200" t="s">
        <v>86</v>
      </c>
      <c r="C15" s="200" t="s">
        <v>77</v>
      </c>
      <c r="D15" s="200" t="s">
        <v>46</v>
      </c>
      <c r="E15" s="200" t="s">
        <v>206</v>
      </c>
      <c r="F15" s="200">
        <v>45.15</v>
      </c>
      <c r="G15" s="201" t="s">
        <v>78</v>
      </c>
      <c r="H15" s="201"/>
      <c r="I15" s="201" t="s">
        <v>87</v>
      </c>
      <c r="J15" s="201" t="s">
        <v>211</v>
      </c>
      <c r="K15" s="202">
        <v>280000</v>
      </c>
      <c r="L15" s="203">
        <f t="shared" si="0"/>
        <v>6201.5503875968998</v>
      </c>
      <c r="M15" s="200" t="str">
        <f t="shared" si="1"/>
        <v>Option</v>
      </c>
      <c r="N15" s="200" t="s">
        <v>216</v>
      </c>
      <c r="O15" s="204">
        <v>45775</v>
      </c>
      <c r="P15" s="200"/>
      <c r="Q15" s="200"/>
      <c r="R15" s="221"/>
    </row>
    <row r="16" spans="1:18" ht="26" customHeight="1" x14ac:dyDescent="0.45">
      <c r="A16" s="208">
        <v>9</v>
      </c>
      <c r="B16" s="200" t="s">
        <v>202</v>
      </c>
      <c r="C16" s="200" t="s">
        <v>88</v>
      </c>
      <c r="D16" s="200" t="s">
        <v>46</v>
      </c>
      <c r="E16" s="200" t="s">
        <v>47</v>
      </c>
      <c r="F16" s="200">
        <v>45.02</v>
      </c>
      <c r="G16" s="201" t="s">
        <v>78</v>
      </c>
      <c r="H16" s="201"/>
      <c r="I16" s="201" t="s">
        <v>207</v>
      </c>
      <c r="J16" s="201" t="s">
        <v>212</v>
      </c>
      <c r="K16" s="202">
        <v>280000</v>
      </c>
      <c r="L16" s="203">
        <f t="shared" si="0"/>
        <v>6219.4580186583735</v>
      </c>
      <c r="M16" s="200" t="str">
        <f t="shared" si="1"/>
        <v>Acté</v>
      </c>
      <c r="N16" s="200" t="s">
        <v>215</v>
      </c>
      <c r="O16" s="200"/>
      <c r="P16" s="204">
        <v>45667</v>
      </c>
      <c r="Q16" s="204">
        <v>45759</v>
      </c>
      <c r="R16" s="221"/>
    </row>
    <row r="17" spans="1:18" ht="26" customHeight="1" x14ac:dyDescent="0.45">
      <c r="A17" s="208">
        <v>10</v>
      </c>
      <c r="B17" s="200" t="s">
        <v>203</v>
      </c>
      <c r="C17" s="200" t="s">
        <v>88</v>
      </c>
      <c r="D17" s="200" t="s">
        <v>89</v>
      </c>
      <c r="E17" s="200" t="s">
        <v>47</v>
      </c>
      <c r="F17" s="200">
        <v>85.17</v>
      </c>
      <c r="G17" s="201" t="s">
        <v>78</v>
      </c>
      <c r="H17" s="201"/>
      <c r="I17" s="201" t="s">
        <v>208</v>
      </c>
      <c r="J17" s="201" t="s">
        <v>213</v>
      </c>
      <c r="K17" s="202">
        <v>535000</v>
      </c>
      <c r="L17" s="203">
        <f t="shared" si="0"/>
        <v>6281.5545379828573</v>
      </c>
      <c r="M17" s="200" t="str">
        <f t="shared" si="1"/>
        <v>Libre</v>
      </c>
      <c r="N17" s="200"/>
      <c r="O17" s="204"/>
      <c r="P17" s="200"/>
      <c r="Q17" s="200"/>
      <c r="R17" s="221"/>
    </row>
    <row r="18" spans="1:18" ht="26" customHeight="1" x14ac:dyDescent="0.45">
      <c r="A18" s="208">
        <v>11</v>
      </c>
      <c r="B18" s="200" t="s">
        <v>204</v>
      </c>
      <c r="C18" s="200" t="s">
        <v>88</v>
      </c>
      <c r="D18" s="200" t="s">
        <v>54</v>
      </c>
      <c r="E18" s="200" t="s">
        <v>69</v>
      </c>
      <c r="F18" s="200">
        <v>64.25</v>
      </c>
      <c r="G18" s="201" t="s">
        <v>78</v>
      </c>
      <c r="H18" s="201"/>
      <c r="I18" s="201" t="s">
        <v>209</v>
      </c>
      <c r="J18" s="201" t="s">
        <v>87</v>
      </c>
      <c r="K18" s="202">
        <v>400000</v>
      </c>
      <c r="L18" s="203">
        <f t="shared" si="0"/>
        <v>6225.6809338521398</v>
      </c>
      <c r="M18" s="200" t="str">
        <f t="shared" si="1"/>
        <v>Réservé</v>
      </c>
      <c r="N18" s="200" t="s">
        <v>214</v>
      </c>
      <c r="O18" s="200"/>
      <c r="P18" s="204">
        <v>45704</v>
      </c>
      <c r="Q18" s="204"/>
      <c r="R18" s="221"/>
    </row>
    <row r="19" spans="1:18" ht="26" customHeight="1" thickBot="1" x14ac:dyDescent="0.5">
      <c r="A19" s="215">
        <v>12</v>
      </c>
      <c r="B19" s="216" t="s">
        <v>205</v>
      </c>
      <c r="C19" s="216" t="s">
        <v>88</v>
      </c>
      <c r="D19" s="216" t="s">
        <v>46</v>
      </c>
      <c r="E19" s="216" t="s">
        <v>206</v>
      </c>
      <c r="F19" s="216">
        <v>45.15</v>
      </c>
      <c r="G19" s="217" t="s">
        <v>78</v>
      </c>
      <c r="H19" s="217"/>
      <c r="I19" s="217" t="s">
        <v>210</v>
      </c>
      <c r="J19" s="217" t="s">
        <v>207</v>
      </c>
      <c r="K19" s="218">
        <v>290000</v>
      </c>
      <c r="L19" s="219">
        <f t="shared" si="0"/>
        <v>6423.0343300110744</v>
      </c>
      <c r="M19" s="216" t="str">
        <f t="shared" si="1"/>
        <v>Libre</v>
      </c>
      <c r="N19" s="216"/>
      <c r="O19" s="216"/>
      <c r="P19" s="216"/>
      <c r="Q19" s="216"/>
      <c r="R19" s="222"/>
    </row>
    <row r="20" spans="1:18" ht="32.549999999999997" customHeight="1" x14ac:dyDescent="0.45">
      <c r="A20" s="205"/>
      <c r="B20" s="205"/>
      <c r="C20" s="205"/>
      <c r="D20" s="205"/>
      <c r="E20" s="205"/>
      <c r="F20" s="205"/>
      <c r="G20" s="205"/>
      <c r="H20" s="205"/>
      <c r="I20" s="205"/>
      <c r="J20" s="248" t="s">
        <v>160</v>
      </c>
      <c r="K20" s="206">
        <v>4242000</v>
      </c>
      <c r="L20" s="205"/>
      <c r="M20" s="205"/>
      <c r="N20" s="205"/>
      <c r="O20" s="205"/>
      <c r="P20" s="205"/>
      <c r="Q20" s="205"/>
      <c r="R20" s="205"/>
    </row>
    <row r="21" spans="1:18" ht="18.3" customHeight="1" x14ac:dyDescent="0.45">
      <c r="A21" s="205"/>
      <c r="B21" s="205"/>
      <c r="C21" s="205"/>
      <c r="D21" s="205"/>
      <c r="E21" s="205"/>
      <c r="F21" s="205"/>
      <c r="G21" s="205"/>
      <c r="H21" s="205"/>
      <c r="I21" s="205"/>
      <c r="J21" s="248" t="s">
        <v>161</v>
      </c>
      <c r="K21" s="206">
        <v>848400</v>
      </c>
      <c r="L21" s="205"/>
      <c r="M21" s="205"/>
      <c r="N21" s="205"/>
      <c r="O21" s="205"/>
      <c r="P21" s="205"/>
      <c r="Q21" s="205"/>
      <c r="R21" s="205"/>
    </row>
    <row r="22" spans="1:18" ht="32.549999999999997" customHeight="1" thickBot="1" x14ac:dyDescent="0.5">
      <c r="A22" s="205"/>
      <c r="B22" s="205"/>
      <c r="C22" s="205"/>
      <c r="D22" s="205"/>
      <c r="E22" s="205"/>
      <c r="F22" s="205"/>
      <c r="G22" s="205"/>
      <c r="H22" s="205"/>
      <c r="I22" s="205"/>
      <c r="J22" s="249" t="s">
        <v>162</v>
      </c>
      <c r="K22" s="207">
        <v>3393600</v>
      </c>
      <c r="L22" s="205"/>
      <c r="M22" s="205"/>
      <c r="N22" s="205"/>
      <c r="O22" s="205"/>
      <c r="P22" s="205"/>
      <c r="Q22" s="205"/>
      <c r="R22" s="205"/>
    </row>
    <row r="23" spans="1:18" ht="26" customHeight="1" x14ac:dyDescent="0.45"/>
    <row r="24" spans="1:18" ht="26" customHeight="1" x14ac:dyDescent="0.45"/>
    <row r="25" spans="1:18" ht="26" customHeight="1" x14ac:dyDescent="0.45"/>
    <row r="26" spans="1:18" ht="26" customHeight="1" x14ac:dyDescent="0.45"/>
    <row r="27" spans="1:18" ht="26" customHeight="1" x14ac:dyDescent="0.45"/>
    <row r="28" spans="1:18" ht="26" customHeight="1" x14ac:dyDescent="0.45"/>
    <row r="29" spans="1:18" ht="26" customHeight="1" x14ac:dyDescent="0.45"/>
    <row r="30" spans="1:18" ht="26" customHeight="1" x14ac:dyDescent="0.45"/>
    <row r="31" spans="1:18" ht="26" customHeight="1" x14ac:dyDescent="0.45"/>
    <row r="32" spans="1:18" ht="26" customHeight="1" x14ac:dyDescent="0.45"/>
    <row r="33" s="175" customFormat="1" ht="26" customHeight="1" x14ac:dyDescent="0.45"/>
    <row r="34" s="175" customFormat="1" ht="26" customHeight="1" x14ac:dyDescent="0.45"/>
    <row r="35" s="175" customFormat="1" ht="26" customHeight="1" x14ac:dyDescent="0.45"/>
    <row r="36" s="175" customFormat="1" ht="26" customHeight="1" x14ac:dyDescent="0.45"/>
    <row r="37" s="175" customFormat="1" ht="26" customHeight="1" x14ac:dyDescent="0.45"/>
    <row r="38" s="175" customFormat="1" ht="26" customHeight="1" x14ac:dyDescent="0.45"/>
    <row r="39" s="175" customFormat="1" ht="26" customHeight="1" x14ac:dyDescent="0.45"/>
    <row r="40" s="175" customFormat="1" ht="26" customHeight="1" x14ac:dyDescent="0.45"/>
    <row r="41" s="175" customFormat="1" ht="26" customHeight="1" x14ac:dyDescent="0.45"/>
    <row r="42" s="175" customFormat="1" ht="26" customHeight="1" x14ac:dyDescent="0.45"/>
    <row r="43" s="175" customFormat="1" ht="26" customHeight="1" x14ac:dyDescent="0.45"/>
    <row r="44" s="175" customFormat="1" ht="26" customHeight="1" x14ac:dyDescent="0.45"/>
    <row r="45" s="175" customFormat="1" ht="26" customHeight="1" x14ac:dyDescent="0.45"/>
    <row r="46" s="175" customFormat="1" ht="26" customHeight="1" x14ac:dyDescent="0.45"/>
    <row r="47" s="175" customFormat="1" ht="26" customHeight="1" x14ac:dyDescent="0.45"/>
    <row r="48" s="175" customFormat="1" ht="26" customHeight="1" x14ac:dyDescent="0.45"/>
    <row r="49" s="175" customFormat="1" ht="26" customHeight="1" x14ac:dyDescent="0.45"/>
    <row r="50" s="175" customFormat="1" ht="26" customHeight="1" x14ac:dyDescent="0.45"/>
    <row r="51" s="175" customFormat="1" ht="26" customHeight="1" x14ac:dyDescent="0.45"/>
    <row r="52" s="175" customFormat="1" ht="26" customHeight="1" x14ac:dyDescent="0.45"/>
    <row r="53" s="175" customFormat="1" ht="26" customHeight="1" x14ac:dyDescent="0.45"/>
    <row r="54" s="175" customFormat="1" ht="26" customHeight="1" x14ac:dyDescent="0.45"/>
    <row r="55" s="175" customFormat="1" ht="26" customHeight="1" x14ac:dyDescent="0.45"/>
    <row r="56" s="175" customFormat="1" ht="26" customHeight="1" x14ac:dyDescent="0.45"/>
    <row r="57" s="175" customFormat="1" ht="26" customHeight="1" x14ac:dyDescent="0.45"/>
    <row r="58" s="175" customFormat="1" ht="26" customHeight="1" x14ac:dyDescent="0.45"/>
    <row r="59" s="175" customFormat="1" ht="26" customHeight="1" x14ac:dyDescent="0.45"/>
    <row r="60" s="175" customFormat="1" ht="26" customHeight="1" x14ac:dyDescent="0.45"/>
    <row r="61" s="175" customFormat="1" ht="26" customHeight="1" x14ac:dyDescent="0.45"/>
    <row r="62" s="175" customFormat="1" ht="26" customHeight="1" x14ac:dyDescent="0.45"/>
    <row r="63" s="175" customFormat="1" ht="26" customHeight="1" x14ac:dyDescent="0.45"/>
    <row r="64" s="175" customFormat="1" ht="26" customHeight="1" x14ac:dyDescent="0.45"/>
    <row r="65" s="175" customFormat="1" ht="26" customHeight="1" x14ac:dyDescent="0.45"/>
    <row r="66" s="175" customFormat="1" ht="26" customHeight="1" x14ac:dyDescent="0.45"/>
    <row r="67" s="175" customFormat="1" ht="26" customHeight="1" x14ac:dyDescent="0.45"/>
    <row r="68" s="175" customFormat="1" ht="26" customHeight="1" x14ac:dyDescent="0.45"/>
    <row r="69" s="175" customFormat="1" ht="26" customHeight="1" x14ac:dyDescent="0.45"/>
    <row r="70" s="175" customFormat="1" ht="26" customHeight="1" x14ac:dyDescent="0.45"/>
    <row r="71" s="175" customFormat="1" ht="26" customHeight="1" x14ac:dyDescent="0.45"/>
    <row r="72" s="175" customFormat="1" ht="26" customHeight="1" x14ac:dyDescent="0.45"/>
    <row r="73" s="175" customFormat="1" ht="26" customHeight="1" x14ac:dyDescent="0.45"/>
    <row r="74" s="175" customFormat="1" ht="26" customHeight="1" x14ac:dyDescent="0.45"/>
    <row r="75" s="175" customFormat="1" ht="26" customHeight="1" x14ac:dyDescent="0.45"/>
    <row r="76" s="175" customFormat="1" ht="26" customHeight="1" x14ac:dyDescent="0.45"/>
    <row r="77" s="175" customFormat="1" ht="26" customHeight="1" x14ac:dyDescent="0.45"/>
    <row r="78" s="175" customFormat="1" ht="26" customHeight="1" x14ac:dyDescent="0.45"/>
    <row r="79" s="175" customFormat="1" ht="26" customHeight="1" x14ac:dyDescent="0.45"/>
    <row r="80" s="175" customFormat="1" ht="26" customHeight="1" x14ac:dyDescent="0.45"/>
    <row r="81" s="175" customFormat="1" ht="26" customHeight="1" x14ac:dyDescent="0.45"/>
    <row r="82" s="175" customFormat="1" ht="26" customHeight="1" x14ac:dyDescent="0.45"/>
    <row r="83" s="175" customFormat="1" ht="26" customHeight="1" x14ac:dyDescent="0.45"/>
    <row r="84" s="175" customFormat="1" ht="26" customHeight="1" x14ac:dyDescent="0.45"/>
    <row r="85" s="175" customFormat="1" ht="26" customHeight="1" x14ac:dyDescent="0.45"/>
    <row r="86" s="175" customFormat="1" ht="26" customHeight="1" x14ac:dyDescent="0.45"/>
    <row r="87" s="175" customFormat="1" ht="26" customHeight="1" x14ac:dyDescent="0.45"/>
    <row r="88" s="175" customFormat="1" ht="26" customHeight="1" x14ac:dyDescent="0.45"/>
    <row r="89" s="175" customFormat="1" ht="26" customHeight="1" x14ac:dyDescent="0.45"/>
    <row r="90" s="175" customFormat="1" ht="26" customHeight="1" x14ac:dyDescent="0.45"/>
    <row r="91" s="175" customFormat="1" ht="26" customHeight="1" x14ac:dyDescent="0.45"/>
    <row r="92" s="175" customFormat="1" ht="26" customHeight="1" x14ac:dyDescent="0.45"/>
    <row r="93" s="175" customFormat="1" ht="26" customHeight="1" x14ac:dyDescent="0.45"/>
    <row r="94" s="175" customFormat="1" ht="26" customHeight="1" x14ac:dyDescent="0.45"/>
    <row r="95" s="175" customFormat="1" ht="26" customHeight="1" x14ac:dyDescent="0.45"/>
    <row r="96" s="175" customFormat="1" ht="26" customHeight="1" x14ac:dyDescent="0.45"/>
    <row r="97" s="175" customFormat="1" ht="26" customHeight="1" x14ac:dyDescent="0.45"/>
    <row r="98" s="175" customFormat="1" ht="26" customHeight="1" x14ac:dyDescent="0.45"/>
    <row r="99" s="175" customFormat="1" ht="26" customHeight="1" x14ac:dyDescent="0.45"/>
    <row r="100" s="175" customFormat="1" ht="26" customHeight="1" x14ac:dyDescent="0.45"/>
    <row r="101" s="175" customFormat="1" ht="26" customHeight="1" x14ac:dyDescent="0.45"/>
    <row r="102" s="175" customFormat="1" ht="26" customHeight="1" x14ac:dyDescent="0.45"/>
    <row r="103" s="175" customFormat="1" ht="26" customHeight="1" x14ac:dyDescent="0.45"/>
    <row r="104" s="175" customFormat="1" ht="26" customHeight="1" x14ac:dyDescent="0.45"/>
    <row r="105" s="175" customFormat="1" ht="26" customHeight="1" x14ac:dyDescent="0.45"/>
    <row r="106" s="175" customFormat="1" ht="26" customHeight="1" x14ac:dyDescent="0.45"/>
    <row r="107" s="175" customFormat="1" ht="26" customHeight="1" x14ac:dyDescent="0.45"/>
    <row r="108" s="175" customFormat="1" ht="26" customHeight="1" x14ac:dyDescent="0.45"/>
    <row r="109" s="175" customFormat="1" ht="26" customHeight="1" x14ac:dyDescent="0.45"/>
    <row r="110" s="175" customFormat="1" ht="26" customHeight="1" x14ac:dyDescent="0.45"/>
    <row r="111" s="175" customFormat="1" ht="26" customHeight="1" x14ac:dyDescent="0.45"/>
    <row r="112" s="175" customFormat="1" ht="26" customHeight="1" x14ac:dyDescent="0.45"/>
    <row r="113" s="175" customFormat="1" ht="26" customHeight="1" x14ac:dyDescent="0.45"/>
    <row r="114" s="175" customFormat="1" ht="32" customHeight="1" x14ac:dyDescent="0.45"/>
    <row r="115" s="175" customFormat="1" ht="32" customHeight="1" x14ac:dyDescent="0.45"/>
    <row r="116" s="175" customFormat="1" ht="32" customHeight="1" x14ac:dyDescent="0.45"/>
    <row r="117" s="175" customFormat="1" ht="26" customHeight="1" x14ac:dyDescent="0.45"/>
    <row r="118" s="175" customFormat="1" ht="26" customHeight="1" x14ac:dyDescent="0.45"/>
    <row r="119" s="175" customFormat="1" ht="26" customHeight="1" x14ac:dyDescent="0.45"/>
    <row r="120" s="175" customFormat="1" ht="26" customHeight="1" x14ac:dyDescent="0.45"/>
    <row r="121" s="175" customFormat="1" ht="26" customHeight="1" x14ac:dyDescent="0.45"/>
    <row r="122" s="175" customFormat="1" ht="26" customHeight="1" x14ac:dyDescent="0.45"/>
    <row r="123" s="175" customFormat="1" ht="26" customHeight="1" x14ac:dyDescent="0.45"/>
    <row r="124" s="175" customFormat="1" ht="26" customHeight="1" x14ac:dyDescent="0.45"/>
    <row r="125" s="175" customFormat="1" ht="26" customHeight="1" x14ac:dyDescent="0.45"/>
    <row r="126" s="175" customFormat="1" ht="26" customHeight="1" x14ac:dyDescent="0.45"/>
    <row r="127" s="175" customFormat="1" ht="26" customHeight="1" x14ac:dyDescent="0.45"/>
    <row r="128" s="175" customFormat="1" ht="26" customHeight="1" x14ac:dyDescent="0.45"/>
    <row r="129" s="175" customFormat="1" ht="26" customHeight="1" x14ac:dyDescent="0.45"/>
    <row r="130" s="175" customFormat="1" ht="26" customHeight="1" x14ac:dyDescent="0.45"/>
    <row r="131" s="175" customFormat="1" ht="26" customHeight="1" x14ac:dyDescent="0.45"/>
    <row r="132" s="175" customFormat="1" ht="26" customHeight="1" x14ac:dyDescent="0.45"/>
    <row r="133" s="175" customFormat="1" ht="26" customHeight="1" x14ac:dyDescent="0.45"/>
    <row r="134" s="175" customFormat="1" ht="26" customHeight="1" x14ac:dyDescent="0.45"/>
    <row r="135" s="175" customFormat="1" ht="26" customHeight="1" x14ac:dyDescent="0.45"/>
    <row r="136" s="175" customFormat="1" ht="26" customHeight="1" x14ac:dyDescent="0.45"/>
    <row r="137" s="175" customFormat="1" ht="26" customHeight="1" x14ac:dyDescent="0.45"/>
    <row r="138" s="175" customFormat="1" ht="26" customHeight="1" x14ac:dyDescent="0.45"/>
    <row r="139" s="175" customFormat="1" ht="26" customHeight="1" x14ac:dyDescent="0.45"/>
    <row r="140" s="175" customFormat="1" ht="26" customHeight="1" x14ac:dyDescent="0.45"/>
    <row r="141" s="175" customFormat="1" ht="26" customHeight="1" x14ac:dyDescent="0.45"/>
    <row r="142" s="175" customFormat="1" ht="26" customHeight="1" x14ac:dyDescent="0.45"/>
    <row r="143" s="175" customFormat="1" ht="26" customHeight="1" x14ac:dyDescent="0.45"/>
    <row r="144" s="175" customFormat="1" ht="26" customHeight="1" x14ac:dyDescent="0.45"/>
    <row r="145" s="175" customFormat="1" ht="26" customHeight="1" x14ac:dyDescent="0.45"/>
    <row r="146" s="175" customFormat="1" ht="26" customHeight="1" x14ac:dyDescent="0.45"/>
    <row r="147" s="175" customFormat="1" ht="26" customHeight="1" x14ac:dyDescent="0.45"/>
    <row r="148" s="175" customFormat="1" ht="26" customHeight="1" x14ac:dyDescent="0.45"/>
    <row r="149" s="175" customFormat="1" ht="26" customHeight="1" x14ac:dyDescent="0.45"/>
    <row r="150" s="175" customFormat="1" ht="26" customHeight="1" x14ac:dyDescent="0.45"/>
    <row r="151" s="175" customFormat="1" ht="26" customHeight="1" x14ac:dyDescent="0.45"/>
    <row r="152" s="175" customFormat="1" ht="26" customHeight="1" x14ac:dyDescent="0.45"/>
    <row r="153" s="175" customFormat="1" ht="26" customHeight="1" x14ac:dyDescent="0.45"/>
    <row r="154" s="175" customFormat="1" ht="26" customHeight="1" x14ac:dyDescent="0.45"/>
    <row r="155" s="175" customFormat="1" ht="26" customHeight="1" x14ac:dyDescent="0.45"/>
    <row r="156" s="175" customFormat="1" ht="26" customHeight="1" x14ac:dyDescent="0.45"/>
    <row r="157" s="175" customFormat="1" ht="26" customHeight="1" x14ac:dyDescent="0.45"/>
    <row r="158" s="175" customFormat="1" ht="26" customHeight="1" x14ac:dyDescent="0.45"/>
    <row r="159" s="175" customFormat="1" ht="26" customHeight="1" x14ac:dyDescent="0.45"/>
    <row r="160" s="175" customFormat="1" ht="26" customHeight="1" x14ac:dyDescent="0.45"/>
    <row r="161" s="175" customFormat="1" ht="26" customHeight="1" x14ac:dyDescent="0.45"/>
    <row r="162" s="175" customFormat="1" ht="26" customHeight="1" x14ac:dyDescent="0.45"/>
    <row r="163" s="175" customFormat="1" ht="26" customHeight="1" x14ac:dyDescent="0.45"/>
    <row r="164" s="175" customFormat="1" ht="26" customHeight="1" x14ac:dyDescent="0.45"/>
    <row r="165" s="175" customFormat="1" ht="26" customHeight="1" x14ac:dyDescent="0.45"/>
    <row r="166" s="175" customFormat="1" ht="26" customHeight="1" x14ac:dyDescent="0.45"/>
    <row r="167" s="175" customFormat="1" ht="26" customHeight="1" x14ac:dyDescent="0.45"/>
    <row r="168" s="175" customFormat="1" ht="26" customHeight="1" x14ac:dyDescent="0.45"/>
    <row r="169" s="175" customFormat="1" ht="26" customHeight="1" x14ac:dyDescent="0.45"/>
    <row r="170" s="175" customFormat="1" ht="26" customHeight="1" x14ac:dyDescent="0.45"/>
    <row r="171" s="175" customFormat="1" ht="26" customHeight="1" x14ac:dyDescent="0.45"/>
    <row r="172" s="175" customFormat="1" ht="26" customHeight="1" x14ac:dyDescent="0.45"/>
    <row r="173" s="175" customFormat="1" ht="26" customHeight="1" x14ac:dyDescent="0.45"/>
    <row r="174" s="175" customFormat="1" ht="26" customHeight="1" x14ac:dyDescent="0.45"/>
    <row r="175" s="175" customFormat="1" ht="26" customHeight="1" x14ac:dyDescent="0.45"/>
    <row r="176" s="175" customFormat="1" ht="26" customHeight="1" x14ac:dyDescent="0.45"/>
    <row r="177" s="175" customFormat="1" ht="26" customHeight="1" x14ac:dyDescent="0.45"/>
    <row r="178" s="175" customFormat="1" ht="26" customHeight="1" x14ac:dyDescent="0.45"/>
    <row r="179" s="175" customFormat="1" ht="26" customHeight="1" x14ac:dyDescent="0.45"/>
    <row r="180" s="175" customFormat="1" ht="26" customHeight="1" x14ac:dyDescent="0.45"/>
    <row r="181" s="175" customFormat="1" ht="26" customHeight="1" x14ac:dyDescent="0.45"/>
    <row r="182" s="175" customFormat="1" ht="26" customHeight="1" x14ac:dyDescent="0.45"/>
    <row r="183" s="175" customFormat="1" ht="26" customHeight="1" x14ac:dyDescent="0.45"/>
    <row r="184" s="175" customFormat="1" ht="26" customHeight="1" x14ac:dyDescent="0.45"/>
    <row r="185" s="175" customFormat="1" ht="26" customHeight="1" x14ac:dyDescent="0.45"/>
    <row r="186" s="175" customFormat="1" ht="26" customHeight="1" x14ac:dyDescent="0.45"/>
    <row r="187" s="175" customFormat="1" ht="26" customHeight="1" x14ac:dyDescent="0.45"/>
    <row r="188" s="175" customFormat="1" ht="26" customHeight="1" x14ac:dyDescent="0.45"/>
    <row r="189" s="175" customFormat="1" ht="26" customHeight="1" x14ac:dyDescent="0.45"/>
    <row r="190" s="175" customFormat="1" ht="26" customHeight="1" x14ac:dyDescent="0.45"/>
    <row r="191" s="175" customFormat="1" ht="26" customHeight="1" x14ac:dyDescent="0.45"/>
    <row r="192" s="175" customFormat="1" ht="26" customHeight="1" x14ac:dyDescent="0.45"/>
    <row r="193" s="175" customFormat="1" ht="26" customHeight="1" x14ac:dyDescent="0.45"/>
    <row r="194" s="175" customFormat="1" ht="26" customHeight="1" x14ac:dyDescent="0.45"/>
    <row r="195" s="175" customFormat="1" ht="26" customHeight="1" x14ac:dyDescent="0.45"/>
    <row r="196" s="175" customFormat="1" ht="26" customHeight="1" x14ac:dyDescent="0.45"/>
    <row r="197" s="175" customFormat="1" ht="26" customHeight="1" x14ac:dyDescent="0.45"/>
    <row r="198" s="175" customFormat="1" ht="26" customHeight="1" x14ac:dyDescent="0.45"/>
    <row r="199" s="175" customFormat="1" ht="26" customHeight="1" x14ac:dyDescent="0.45"/>
    <row r="200" s="175" customFormat="1" ht="26" customHeight="1" x14ac:dyDescent="0.45"/>
    <row r="201" s="175" customFormat="1" ht="26" customHeight="1" x14ac:dyDescent="0.45"/>
    <row r="202" s="175" customFormat="1" ht="26" customHeight="1" x14ac:dyDescent="0.45"/>
    <row r="203" s="175" customFormat="1" ht="26" customHeight="1" x14ac:dyDescent="0.45"/>
    <row r="204" s="175" customFormat="1" ht="26" customHeight="1" x14ac:dyDescent="0.45"/>
    <row r="205" s="175" customFormat="1" ht="26" customHeight="1" x14ac:dyDescent="0.45"/>
    <row r="206" s="175" customFormat="1" ht="26" customHeight="1" x14ac:dyDescent="0.45"/>
    <row r="207" s="175" customFormat="1" ht="26" customHeight="1" x14ac:dyDescent="0.45"/>
    <row r="208" s="175" customFormat="1" ht="26" customHeight="1" x14ac:dyDescent="0.45"/>
    <row r="209" s="175" customFormat="1" ht="26" customHeight="1" x14ac:dyDescent="0.45"/>
    <row r="210" s="175" customFormat="1" ht="26" customHeight="1" x14ac:dyDescent="0.45"/>
    <row r="211" s="175" customFormat="1" ht="26" customHeight="1" x14ac:dyDescent="0.45"/>
    <row r="212" s="175" customFormat="1" ht="26" customHeight="1" x14ac:dyDescent="0.45"/>
    <row r="213" s="175" customFormat="1" ht="26" customHeight="1" x14ac:dyDescent="0.45"/>
    <row r="214" s="175" customFormat="1" ht="26" customHeight="1" x14ac:dyDescent="0.45"/>
    <row r="215" s="175" customFormat="1" ht="26" customHeight="1" x14ac:dyDescent="0.45"/>
    <row r="216" s="175" customFormat="1" ht="26" customHeight="1" x14ac:dyDescent="0.45"/>
    <row r="217" s="175" customFormat="1" ht="26" customHeight="1" x14ac:dyDescent="0.45"/>
    <row r="218" s="175" customFormat="1" ht="26" customHeight="1" x14ac:dyDescent="0.45"/>
    <row r="219" s="175" customFormat="1" ht="26" customHeight="1" x14ac:dyDescent="0.45"/>
    <row r="220" s="175" customFormat="1" ht="26" customHeight="1" x14ac:dyDescent="0.45"/>
    <row r="221" s="175" customFormat="1" ht="26" customHeight="1" x14ac:dyDescent="0.45"/>
    <row r="222" s="175" customFormat="1" ht="26" customHeight="1" x14ac:dyDescent="0.45"/>
    <row r="223" s="175" customFormat="1" ht="26" customHeight="1" x14ac:dyDescent="0.45"/>
    <row r="224" s="175" customFormat="1" ht="26" customHeight="1" x14ac:dyDescent="0.45"/>
    <row r="225" s="175" customFormat="1" ht="26" customHeight="1" x14ac:dyDescent="0.45"/>
    <row r="226" s="175" customFormat="1" ht="26" customHeight="1" x14ac:dyDescent="0.45"/>
    <row r="227" s="175" customFormat="1" ht="26" customHeight="1" x14ac:dyDescent="0.45"/>
    <row r="228" s="175" customFormat="1" ht="26" customHeight="1" x14ac:dyDescent="0.45"/>
    <row r="229" s="175" customFormat="1" ht="26" customHeight="1" x14ac:dyDescent="0.45"/>
    <row r="230" s="175" customFormat="1" ht="26" customHeight="1" x14ac:dyDescent="0.45"/>
    <row r="231" s="175" customFormat="1" ht="26" customHeight="1" x14ac:dyDescent="0.45"/>
    <row r="232" s="175" customFormat="1" ht="26" customHeight="1" x14ac:dyDescent="0.45"/>
    <row r="233" s="175" customFormat="1" ht="26" customHeight="1" x14ac:dyDescent="0.45"/>
    <row r="234" s="175" customFormat="1" ht="26" customHeight="1" x14ac:dyDescent="0.45"/>
    <row r="235" s="175" customFormat="1" ht="26" customHeight="1" x14ac:dyDescent="0.45"/>
    <row r="236" s="175" customFormat="1" ht="26" customHeight="1" x14ac:dyDescent="0.45"/>
    <row r="237" s="175" customFormat="1" ht="26" customHeight="1" x14ac:dyDescent="0.45"/>
    <row r="238" s="175" customFormat="1" ht="26" customHeight="1" x14ac:dyDescent="0.45"/>
    <row r="239" s="175" customFormat="1" ht="26" customHeight="1" x14ac:dyDescent="0.45"/>
    <row r="240" s="175" customFormat="1" ht="26" customHeight="1" x14ac:dyDescent="0.45"/>
    <row r="241" s="175" customFormat="1" ht="26" customHeight="1" x14ac:dyDescent="0.45"/>
    <row r="242" s="175" customFormat="1" ht="26" customHeight="1" x14ac:dyDescent="0.45"/>
    <row r="243" s="175" customFormat="1" ht="26" customHeight="1" x14ac:dyDescent="0.45"/>
    <row r="244" s="175" customFormat="1" ht="26" customHeight="1" x14ac:dyDescent="0.45"/>
    <row r="245" s="175" customFormat="1" ht="26" customHeight="1" x14ac:dyDescent="0.45"/>
    <row r="246" s="175" customFormat="1" ht="26" customHeight="1" x14ac:dyDescent="0.45"/>
    <row r="247" s="175" customFormat="1" ht="26" customHeight="1" x14ac:dyDescent="0.45"/>
    <row r="248" s="175" customFormat="1" ht="26" customHeight="1" x14ac:dyDescent="0.45"/>
    <row r="249" s="175" customFormat="1" ht="26" customHeight="1" x14ac:dyDescent="0.45"/>
    <row r="250" s="175" customFormat="1" ht="26" customHeight="1" x14ac:dyDescent="0.45"/>
    <row r="251" s="175" customFormat="1" ht="26" customHeight="1" x14ac:dyDescent="0.45"/>
    <row r="252" s="175" customFormat="1" ht="26" customHeight="1" x14ac:dyDescent="0.45"/>
    <row r="253" s="175" customFormat="1" ht="26" customHeight="1" x14ac:dyDescent="0.45"/>
    <row r="254" s="175" customFormat="1" ht="26" customHeight="1" x14ac:dyDescent="0.45"/>
    <row r="255" s="175" customFormat="1" ht="26" customHeight="1" x14ac:dyDescent="0.45"/>
    <row r="256" s="175" customFormat="1" ht="26" customHeight="1" x14ac:dyDescent="0.45"/>
    <row r="257" s="175" customFormat="1" ht="26" customHeight="1" x14ac:dyDescent="0.45"/>
    <row r="258" s="175" customFormat="1" ht="26" customHeight="1" x14ac:dyDescent="0.45"/>
    <row r="259" s="175" customFormat="1" ht="26" customHeight="1" x14ac:dyDescent="0.45"/>
    <row r="260" s="175" customFormat="1" ht="26" customHeight="1" x14ac:dyDescent="0.45"/>
    <row r="261" s="175" customFormat="1" ht="26" customHeight="1" x14ac:dyDescent="0.45"/>
    <row r="262" s="175" customFormat="1" ht="26" customHeight="1" x14ac:dyDescent="0.45"/>
    <row r="263" s="175" customFormat="1" ht="26" customHeight="1" x14ac:dyDescent="0.45"/>
    <row r="264" s="175" customFormat="1" ht="26" customHeight="1" x14ac:dyDescent="0.45"/>
    <row r="265" s="175" customFormat="1" ht="26" customHeight="1" x14ac:dyDescent="0.45"/>
    <row r="266" s="175" customFormat="1" ht="26" customHeight="1" x14ac:dyDescent="0.45"/>
    <row r="267" s="175" customFormat="1" ht="26" customHeight="1" x14ac:dyDescent="0.45"/>
    <row r="268" s="175" customFormat="1" ht="26" customHeight="1" x14ac:dyDescent="0.45"/>
    <row r="269" s="175" customFormat="1" ht="26" customHeight="1" x14ac:dyDescent="0.45"/>
    <row r="270" s="175" customFormat="1" ht="26" customHeight="1" x14ac:dyDescent="0.45"/>
    <row r="271" s="175" customFormat="1" ht="26" customHeight="1" x14ac:dyDescent="0.45"/>
    <row r="272" s="175" customFormat="1" ht="26" customHeight="1" x14ac:dyDescent="0.45"/>
    <row r="273" s="175" customFormat="1" ht="26" customHeight="1" x14ac:dyDescent="0.45"/>
    <row r="274" s="175" customFormat="1" ht="26" customHeight="1" x14ac:dyDescent="0.45"/>
    <row r="275" s="175" customFormat="1" ht="26" customHeight="1" x14ac:dyDescent="0.45"/>
    <row r="276" s="175" customFormat="1" ht="26" customHeight="1" x14ac:dyDescent="0.45"/>
    <row r="277" s="175" customFormat="1" ht="26" customHeight="1" x14ac:dyDescent="0.45"/>
    <row r="278" s="175" customFormat="1" ht="26" customHeight="1" x14ac:dyDescent="0.45"/>
    <row r="279" s="175" customFormat="1" ht="26" customHeight="1" x14ac:dyDescent="0.45"/>
    <row r="280" s="175" customFormat="1" ht="26" customHeight="1" x14ac:dyDescent="0.45"/>
    <row r="281" s="175" customFormat="1" ht="26" customHeight="1" x14ac:dyDescent="0.45"/>
    <row r="282" s="175" customFormat="1" ht="26" customHeight="1" x14ac:dyDescent="0.45"/>
    <row r="283" s="175" customFormat="1" ht="26" customHeight="1" x14ac:dyDescent="0.45"/>
    <row r="284" s="175" customFormat="1" ht="26" customHeight="1" x14ac:dyDescent="0.45"/>
    <row r="285" s="175" customFormat="1" ht="26" customHeight="1" x14ac:dyDescent="0.45"/>
    <row r="286" s="175" customFormat="1" ht="26" customHeight="1" x14ac:dyDescent="0.45"/>
    <row r="287" s="175" customFormat="1" ht="26" customHeight="1" x14ac:dyDescent="0.45"/>
    <row r="288" s="175" customFormat="1" ht="26" customHeight="1" x14ac:dyDescent="0.45"/>
    <row r="289" s="175" customFormat="1" ht="26" customHeight="1" x14ac:dyDescent="0.45"/>
    <row r="290" s="175" customFormat="1" ht="26" customHeight="1" x14ac:dyDescent="0.45"/>
    <row r="291" s="175" customFormat="1" ht="26" customHeight="1" x14ac:dyDescent="0.45"/>
    <row r="292" s="175" customFormat="1" ht="26" customHeight="1" x14ac:dyDescent="0.45"/>
    <row r="293" s="175" customFormat="1" ht="26" customHeight="1" x14ac:dyDescent="0.45"/>
    <row r="294" s="175" customFormat="1" x14ac:dyDescent="0.45"/>
    <row r="295" s="175" customFormat="1" ht="28.05" customHeight="1" x14ac:dyDescent="0.45"/>
    <row r="296" s="175" customFormat="1" x14ac:dyDescent="0.45"/>
    <row r="297" s="175" customFormat="1" ht="26" customHeight="1" x14ac:dyDescent="0.45"/>
    <row r="298" s="175" customFormat="1" ht="26" customHeight="1" x14ac:dyDescent="0.45"/>
    <row r="299" s="175" customFormat="1" ht="26" customHeight="1" x14ac:dyDescent="0.45"/>
    <row r="300" s="175" customFormat="1" ht="26" customHeight="1" x14ac:dyDescent="0.45"/>
    <row r="301" s="175" customFormat="1" ht="26" customHeight="1" x14ac:dyDescent="0.45"/>
    <row r="302" s="175" customFormat="1" ht="26" customHeight="1" x14ac:dyDescent="0.45"/>
    <row r="303" s="175" customFormat="1" ht="26" customHeight="1" x14ac:dyDescent="0.45"/>
    <row r="304" s="175" customFormat="1" ht="26" customHeight="1" x14ac:dyDescent="0.45"/>
    <row r="305" s="175" customFormat="1" ht="26" customHeight="1" x14ac:dyDescent="0.45"/>
    <row r="306" s="175" customFormat="1" ht="26" customHeight="1" x14ac:dyDescent="0.45"/>
    <row r="307" s="175" customFormat="1" ht="26" customHeight="1" x14ac:dyDescent="0.45"/>
    <row r="308" s="175" customFormat="1" ht="26" customHeight="1" x14ac:dyDescent="0.45"/>
    <row r="309" s="175" customFormat="1" ht="26" customHeight="1" x14ac:dyDescent="0.45"/>
    <row r="310" s="175" customFormat="1" ht="26" customHeight="1" x14ac:dyDescent="0.45"/>
    <row r="311" s="175" customFormat="1" ht="26" customHeight="1" x14ac:dyDescent="0.45"/>
    <row r="312" s="175" customFormat="1" ht="26" customHeight="1" x14ac:dyDescent="0.45"/>
    <row r="313" s="175" customFormat="1" ht="26" customHeight="1" x14ac:dyDescent="0.45"/>
    <row r="314" s="175" customFormat="1" ht="26" customHeight="1" x14ac:dyDescent="0.45"/>
    <row r="315" s="175" customFormat="1" ht="26" customHeight="1" x14ac:dyDescent="0.45"/>
    <row r="316" s="175" customFormat="1" ht="26" customHeight="1" x14ac:dyDescent="0.45"/>
    <row r="317" s="175" customFormat="1" ht="26" customHeight="1" x14ac:dyDescent="0.45"/>
    <row r="318" s="175" customFormat="1" ht="26" customHeight="1" x14ac:dyDescent="0.45"/>
    <row r="319" s="175" customFormat="1" ht="26" customHeight="1" x14ac:dyDescent="0.45"/>
    <row r="320" s="175" customFormat="1" ht="26" customHeight="1" x14ac:dyDescent="0.45"/>
    <row r="321" s="175" customFormat="1" ht="26" customHeight="1" x14ac:dyDescent="0.45"/>
    <row r="322" s="175" customFormat="1" ht="26" customHeight="1" x14ac:dyDescent="0.45"/>
    <row r="323" s="175" customFormat="1" ht="26" customHeight="1" x14ac:dyDescent="0.45"/>
    <row r="324" s="175" customFormat="1" ht="26" customHeight="1" x14ac:dyDescent="0.45"/>
    <row r="325" s="175" customFormat="1" ht="26" customHeight="1" x14ac:dyDescent="0.45"/>
    <row r="326" s="175" customFormat="1" ht="26" customHeight="1" x14ac:dyDescent="0.45"/>
    <row r="327" s="175" customFormat="1" ht="26" customHeight="1" x14ac:dyDescent="0.45"/>
    <row r="328" s="175" customFormat="1" ht="26" customHeight="1" x14ac:dyDescent="0.45"/>
    <row r="329" s="175" customFormat="1" ht="26" customHeight="1" x14ac:dyDescent="0.45"/>
    <row r="330" s="175" customFormat="1" ht="26" customHeight="1" x14ac:dyDescent="0.45"/>
    <row r="331" s="175" customFormat="1" ht="26" customHeight="1" x14ac:dyDescent="0.45"/>
    <row r="332" s="175" customFormat="1" ht="26" customHeight="1" x14ac:dyDescent="0.45"/>
    <row r="333" s="175" customFormat="1" ht="26" customHeight="1" x14ac:dyDescent="0.45"/>
    <row r="334" s="175" customFormat="1" ht="26" customHeight="1" x14ac:dyDescent="0.45"/>
    <row r="335" s="175" customFormat="1" ht="26" customHeight="1" x14ac:dyDescent="0.45"/>
    <row r="336" s="175" customFormat="1" ht="26" customHeight="1" x14ac:dyDescent="0.45"/>
    <row r="337" s="175" customFormat="1" ht="26" customHeight="1" x14ac:dyDescent="0.45"/>
    <row r="338" s="175" customFormat="1" ht="26" customHeight="1" x14ac:dyDescent="0.45"/>
    <row r="339" s="175" customFormat="1" ht="26" customHeight="1" x14ac:dyDescent="0.45"/>
    <row r="340" s="175" customFormat="1" ht="26" customHeight="1" x14ac:dyDescent="0.45"/>
    <row r="341" s="175" customFormat="1" ht="26" customHeight="1" x14ac:dyDescent="0.45"/>
    <row r="342" s="175" customFormat="1" ht="26" customHeight="1" x14ac:dyDescent="0.45"/>
  </sheetData>
  <sheetProtection algorithmName="SHA-512" hashValue="YkeLKObTBI9458AoeVz1WcL8gpfxLbqhBvGhXvo+VTT92+0szCCgcmmnOkm+q3vy8rGggcOaflT8IGHPpUKqCg==" saltValue="tsbGx7ux4uqMgztZ0s1fZg==" spinCount="100000" sheet="1" objects="1" scenarios="1"/>
  <mergeCells count="2">
    <mergeCell ref="A1:R1"/>
    <mergeCell ref="A2:R2"/>
  </mergeCells>
  <conditionalFormatting sqref="A8:R19">
    <cfRule type="expression" dxfId="2" priority="1">
      <formula>$M8="Option"</formula>
    </cfRule>
    <cfRule type="expression" dxfId="1" priority="2">
      <formula>$M8="Réservé"</formula>
    </cfRule>
    <cfRule type="expression" dxfId="0" priority="3">
      <formula>$M8="Acté"</formula>
    </cfRule>
  </conditionalFormatting>
  <dataValidations count="3">
    <dataValidation type="list" sqref="E8:E19" xr:uid="{D8BABFCE-29D9-4705-B193-9BCD70150D83}">
      <formula1>"Nord,Sud,Est,Ouest,Nord-Est,Nord-Ouest,Sud-Est,Sud-Ouest"</formula1>
    </dataValidation>
    <dataValidation type="list" sqref="D8:D19" xr:uid="{74CD6797-AC9F-423E-B344-4B54A0216ED4}">
      <formula1>"T1,T1bis,T2,T2bis,T3,T3bis,T4,T4bis,T5,T6"</formula1>
    </dataValidation>
    <dataValidation type="list" sqref="C8:C19" xr:uid="{4F51DB82-1877-4E65-A4F8-A0CA7C7E62A7}">
      <formula1>"RDJ,RDC,R+1,R+2,R+3,R+4,R+5,R+6,R+7,R+8,R+9,R+10"</formula1>
    </dataValidation>
  </dataValidations>
  <printOptions horizontalCentered="1"/>
  <pageMargins left="0.39370078740157477" right="0.39370078740157477" top="0.59055118110236215" bottom="0.78740157480314954" header="0.3" footer="0.4724409448818897"/>
  <pageSetup paperSize="9" scale="49" fitToHeight="0" orientation="landscape" horizontalDpi="0" verticalDpi="0" r:id="rId1"/>
  <headerFooter>
    <oddFooter>&amp;CDocument généré le 21/04/2026&amp;RPage 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I293"/>
  <sheetViews>
    <sheetView zoomScale="70" zoomScaleNormal="70" workbookViewId="0">
      <selection activeCell="N14" sqref="N14"/>
    </sheetView>
  </sheetViews>
  <sheetFormatPr baseColWidth="10" defaultColWidth="9.06640625" defaultRowHeight="14.25" x14ac:dyDescent="0.45"/>
  <cols>
    <col min="1" max="1" width="12.1328125" style="15" customWidth="1"/>
    <col min="2" max="2" width="20.53125" style="15" customWidth="1"/>
    <col min="3" max="3" width="23.19921875" style="15" customWidth="1"/>
    <col min="4" max="4" width="11.33203125" style="15" customWidth="1"/>
    <col min="5" max="5" width="25.06640625" style="15" customWidth="1"/>
    <col min="6" max="6" width="22.1328125" style="15" customWidth="1"/>
    <col min="7" max="7" width="9.19921875" style="15" customWidth="1"/>
    <col min="8" max="8" width="15.19921875" style="15" customWidth="1"/>
    <col min="9" max="9" width="30" style="15" customWidth="1"/>
    <col min="10" max="10" width="18.1328125" style="15" customWidth="1"/>
    <col min="11" max="16384" width="9.06640625" style="15"/>
  </cols>
  <sheetData>
    <row r="1" spans="1:9" s="17" customFormat="1" ht="36.4" customHeight="1" thickBot="1" x14ac:dyDescent="0.5">
      <c r="A1" s="160" t="s">
        <v>155</v>
      </c>
      <c r="B1" s="161"/>
      <c r="C1" s="161"/>
      <c r="D1" s="161"/>
      <c r="E1" s="161"/>
      <c r="F1" s="161"/>
      <c r="G1" s="161"/>
      <c r="H1" s="161"/>
      <c r="I1" s="162"/>
    </row>
    <row r="2" spans="1:9" customFormat="1" ht="80" customHeight="1" x14ac:dyDescent="0.45">
      <c r="A2" s="151" t="s">
        <v>190</v>
      </c>
      <c r="B2" s="151"/>
      <c r="C2" s="151"/>
      <c r="D2" s="151"/>
      <c r="E2" s="151"/>
      <c r="F2" s="151"/>
      <c r="G2" s="151"/>
      <c r="H2" s="151"/>
      <c r="I2" s="151"/>
    </row>
    <row r="3" spans="1:9" customFormat="1" ht="30" customHeight="1" x14ac:dyDescent="0.45">
      <c r="A3" s="107" t="s">
        <v>158</v>
      </c>
      <c r="B3" s="108" t="s">
        <v>196</v>
      </c>
      <c r="C3" s="109" t="s">
        <v>2</v>
      </c>
      <c r="D3" s="110">
        <v>12</v>
      </c>
      <c r="E3" s="18"/>
      <c r="F3" s="18"/>
      <c r="G3" s="44"/>
      <c r="H3" s="124"/>
      <c r="I3" s="116"/>
    </row>
    <row r="4" spans="1:9" customFormat="1" ht="30" customHeight="1" x14ac:dyDescent="0.45">
      <c r="A4" s="117" t="s">
        <v>0</v>
      </c>
      <c r="B4" s="108" t="s">
        <v>153</v>
      </c>
      <c r="C4" s="109" t="s">
        <v>3</v>
      </c>
      <c r="D4" s="118">
        <v>46112</v>
      </c>
      <c r="E4" s="119"/>
      <c r="F4" s="18"/>
      <c r="G4" s="120"/>
      <c r="H4" s="124"/>
      <c r="I4" s="125"/>
    </row>
    <row r="5" spans="1:9" customFormat="1" ht="30" customHeight="1" x14ac:dyDescent="0.45">
      <c r="A5" s="117" t="s">
        <v>1</v>
      </c>
      <c r="B5" s="108" t="s">
        <v>5</v>
      </c>
      <c r="C5" s="44"/>
      <c r="D5" s="44"/>
      <c r="E5" s="18"/>
      <c r="F5" s="18"/>
      <c r="G5" s="18"/>
      <c r="H5" s="18"/>
      <c r="I5" s="124"/>
    </row>
    <row r="6" spans="1:9" customFormat="1" ht="30" customHeight="1" thickBot="1" x14ac:dyDescent="0.5">
      <c r="A6" s="144"/>
      <c r="B6" s="145"/>
      <c r="C6" s="146"/>
      <c r="D6" s="146"/>
      <c r="E6" s="145"/>
      <c r="F6" s="145"/>
      <c r="G6" s="145"/>
      <c r="H6" s="145"/>
      <c r="I6" s="145"/>
    </row>
    <row r="7" spans="1:9" ht="57" customHeight="1" thickBot="1" x14ac:dyDescent="0.5">
      <c r="A7" s="24" t="s">
        <v>152</v>
      </c>
      <c r="B7" s="25" t="s">
        <v>4</v>
      </c>
      <c r="C7" s="25" t="s">
        <v>6</v>
      </c>
      <c r="D7" s="25" t="s">
        <v>7</v>
      </c>
      <c r="E7" s="25" t="s">
        <v>8</v>
      </c>
      <c r="F7" s="25" t="s">
        <v>9</v>
      </c>
      <c r="G7" s="25" t="s">
        <v>10</v>
      </c>
      <c r="H7" s="25" t="s">
        <v>11</v>
      </c>
      <c r="I7" s="26" t="s">
        <v>12</v>
      </c>
    </row>
    <row r="8" spans="1:9" s="14" customFormat="1" ht="30" customHeight="1" thickBot="1" x14ac:dyDescent="0.5">
      <c r="A8" s="21">
        <f>IF(Base_de_donnée_clients!A8="","",Base_de_donnée_clients!A8)</f>
        <v>1</v>
      </c>
      <c r="B8" s="22" t="str">
        <f>IF(Base_de_donnée_clients!B8="","",Base_de_donnée_clients!B8)</f>
        <v>A01</v>
      </c>
      <c r="C8" s="22" t="str">
        <f>IF(Base_de_donnée_clients!C8="","",Base_de_donnée_clients!C8)</f>
        <v>M. FOURNIER</v>
      </c>
      <c r="D8" s="22" t="str">
        <f>IF(Base_de_donnée_clients!D8="","",Base_de_donnée_clients!D8)</f>
        <v>Nicolas</v>
      </c>
      <c r="E8" s="22" t="str">
        <f>IF(Base_de_donnée_clients!E8="","",Base_de_donnée_clients!E8)</f>
        <v>12 rue du Chatelet</v>
      </c>
      <c r="F8" s="22" t="str">
        <f>IF(Base_de_donnée_clients!F8="","",Base_de_donnée_clients!F8)</f>
        <v>CHALON SUR SOANE</v>
      </c>
      <c r="G8" s="22">
        <f>IF(Base_de_donnée_clients!G8="","",Base_de_donnée_clients!G8)</f>
        <v>71110</v>
      </c>
      <c r="H8" s="22" t="str">
        <f>IF(Base_de_donnée_clients!H8="","",Base_de_donnée_clients!H8)</f>
        <v>07 68 45 XX XX</v>
      </c>
      <c r="I8" s="23" t="str">
        <f>IF(Base_de_donnée_clients!I8="","",Base_de_donnée_clients!I8)</f>
        <v>nicXXX@gmail.com</v>
      </c>
    </row>
    <row r="9" spans="1:9" s="14" customFormat="1" ht="30" customHeight="1" thickBot="1" x14ac:dyDescent="0.5">
      <c r="A9" s="21">
        <f>IF(Base_de_donnée_clients!A9="","",Base_de_donnée_clients!A9)</f>
        <v>2</v>
      </c>
      <c r="B9" s="22" t="str">
        <f>IF(Base_de_donnée_clients!B9="","",Base_de_donnée_clients!B9)</f>
        <v>A02</v>
      </c>
      <c r="C9" s="22" t="str">
        <f>IF(Base_de_donnée_clients!C9="","",Base_de_donnée_clients!C9)</f>
        <v>Mme DUPONT</v>
      </c>
      <c r="D9" s="22" t="str">
        <f>IF(Base_de_donnée_clients!D9="","",Base_de_donnée_clients!D9)</f>
        <v>Françoise</v>
      </c>
      <c r="E9" s="22" t="str">
        <f>IF(Base_de_donnée_clients!E9="","",Base_de_donnée_clients!E9)</f>
        <v>36 avenue Marc Desbats</v>
      </c>
      <c r="F9" s="22" t="str">
        <f>IF(Base_de_donnée_clients!F9="","",Base_de_donnée_clients!F9)</f>
        <v>PESSAC</v>
      </c>
      <c r="G9" s="22">
        <f>IF(Base_de_donnée_clients!G9="","",Base_de_donnée_clients!G9)</f>
        <v>33600</v>
      </c>
      <c r="H9" s="22" t="str">
        <f>IF(Base_de_donnée_clients!H9="","",Base_de_donnée_clients!H9)</f>
        <v>06 54 68 XX XX</v>
      </c>
      <c r="I9" s="23" t="str">
        <f>IF(Base_de_donnée_clients!I9="","",Base_de_donnée_clients!I9)</f>
        <v>mosXXXX@icloud.com</v>
      </c>
    </row>
    <row r="10" spans="1:9" s="14" customFormat="1" ht="30" customHeight="1" thickBot="1" x14ac:dyDescent="0.5">
      <c r="A10" s="21">
        <f>IF(Base_de_donnée_clients!A10="","",Base_de_donnée_clients!A10)</f>
        <v>3</v>
      </c>
      <c r="B10" s="22" t="str">
        <f>IF(Base_de_donnée_clients!B10="","",Base_de_donnée_clients!B10)</f>
        <v>A03</v>
      </c>
      <c r="C10" s="22" t="str">
        <f>IF(Base_de_donnée_clients!C10="","",Base_de_donnée_clients!C10)</f>
        <v/>
      </c>
      <c r="D10" s="22" t="str">
        <f>IF(Base_de_donnée_clients!D10="","",Base_de_donnée_clients!D10)</f>
        <v/>
      </c>
      <c r="E10" s="22" t="str">
        <f>IF(Base_de_donnée_clients!E10="","",Base_de_donnée_clients!E10)</f>
        <v/>
      </c>
      <c r="F10" s="22" t="str">
        <f>IF(Base_de_donnée_clients!F10="","",Base_de_donnée_clients!F10)</f>
        <v/>
      </c>
      <c r="G10" s="22" t="str">
        <f>IF(Base_de_donnée_clients!G10="","",Base_de_donnée_clients!G10)</f>
        <v/>
      </c>
      <c r="H10" s="22" t="str">
        <f>IF(Base_de_donnée_clients!H10="","",Base_de_donnée_clients!H10)</f>
        <v/>
      </c>
      <c r="I10" s="23" t="str">
        <f>IF(Base_de_donnée_clients!I10="","",Base_de_donnée_clients!I10)</f>
        <v/>
      </c>
    </row>
    <row r="11" spans="1:9" s="14" customFormat="1" ht="30" customHeight="1" thickBot="1" x14ac:dyDescent="0.5">
      <c r="A11" s="21">
        <f>IF(Base_de_donnée_clients!A11="","",Base_de_donnée_clients!A11)</f>
        <v>4</v>
      </c>
      <c r="B11" s="22" t="str">
        <f>IF(Base_de_donnée_clients!B11="","",Base_de_donnée_clients!B11)</f>
        <v>A04</v>
      </c>
      <c r="C11" s="22" t="str">
        <f>IF(Base_de_donnée_clients!C11="","",Base_de_donnée_clients!C11)</f>
        <v>M. et Mme ARNAUD</v>
      </c>
      <c r="D11" s="22" t="str">
        <f>IF(Base_de_donnée_clients!D11="","",Base_de_donnée_clients!D11)</f>
        <v>Jean et Nicole</v>
      </c>
      <c r="E11" s="22" t="str">
        <f>IF(Base_de_donnée_clients!E11="","",Base_de_donnée_clients!E11)</f>
        <v>06 avenue Jean Jaurès</v>
      </c>
      <c r="F11" s="22" t="str">
        <f>IF(Base_de_donnée_clients!F11="","",Base_de_donnée_clients!F11)</f>
        <v>CIBOURE</v>
      </c>
      <c r="G11" s="22">
        <f>IF(Base_de_donnée_clients!G11="","",Base_de_donnée_clients!G11)</f>
        <v>64500</v>
      </c>
      <c r="H11" s="22" t="str">
        <f>IF(Base_de_donnée_clients!H11="","",Base_de_donnée_clients!H11)</f>
        <v>06 12 36 XX XX</v>
      </c>
      <c r="I11" s="23" t="str">
        <f>IF(Base_de_donnée_clients!I11="","",Base_de_donnée_clients!I11)</f>
        <v>jeaxxxx@icloud.com</v>
      </c>
    </row>
    <row r="12" spans="1:9" s="14" customFormat="1" ht="30" customHeight="1" thickBot="1" x14ac:dyDescent="0.5">
      <c r="A12" s="21">
        <f>IF(Base_de_donnée_clients!A12="","",Base_de_donnée_clients!A12)</f>
        <v>5</v>
      </c>
      <c r="B12" s="22" t="str">
        <f>IF(Base_de_donnée_clients!B12="","",Base_de_donnée_clients!B12)</f>
        <v>A101</v>
      </c>
      <c r="C12" s="22" t="str">
        <f>IF(Base_de_donnée_clients!C12="","",Base_de_donnée_clients!C12)</f>
        <v/>
      </c>
      <c r="D12" s="22" t="str">
        <f>IF(Base_de_donnée_clients!D12="","",Base_de_donnée_clients!D12)</f>
        <v/>
      </c>
      <c r="E12" s="22" t="str">
        <f>IF(Base_de_donnée_clients!E12="","",Base_de_donnée_clients!E12)</f>
        <v/>
      </c>
      <c r="F12" s="22" t="str">
        <f>IF(Base_de_donnée_clients!F12="","",Base_de_donnée_clients!F12)</f>
        <v/>
      </c>
      <c r="G12" s="22" t="str">
        <f>IF(Base_de_donnée_clients!G12="","",Base_de_donnée_clients!G12)</f>
        <v/>
      </c>
      <c r="H12" s="22" t="str">
        <f>IF(Base_de_donnée_clients!H12="","",Base_de_donnée_clients!H12)</f>
        <v/>
      </c>
      <c r="I12" s="23" t="str">
        <f>IF(Base_de_donnée_clients!I12="","",Base_de_donnée_clients!I12)</f>
        <v/>
      </c>
    </row>
    <row r="13" spans="1:9" s="14" customFormat="1" ht="30" customHeight="1" thickBot="1" x14ac:dyDescent="0.5">
      <c r="A13" s="21">
        <f>IF(Base_de_donnée_clients!A13="","",Base_de_donnée_clients!A13)</f>
        <v>6</v>
      </c>
      <c r="B13" s="22" t="str">
        <f>IF(Base_de_donnée_clients!B13="","",Base_de_donnée_clients!B13)</f>
        <v>A102</v>
      </c>
      <c r="C13" s="22" t="str">
        <f>IF(Base_de_donnée_clients!C13="","",Base_de_donnée_clients!C13)</f>
        <v>M. et Mme JAUREGUI</v>
      </c>
      <c r="D13" s="22" t="str">
        <f>IF(Base_de_donnée_clients!D13="","",Base_de_donnée_clients!D13)</f>
        <v>Francis et Monique</v>
      </c>
      <c r="E13" s="22" t="str">
        <f>IF(Base_de_donnée_clients!E13="","",Base_de_donnée_clients!E13)</f>
        <v>12 avenue de la Marne</v>
      </c>
      <c r="F13" s="22" t="str">
        <f>IF(Base_de_donnée_clients!F13="","",Base_de_donnée_clients!F13)</f>
        <v>BIARRITZ</v>
      </c>
      <c r="G13" s="22">
        <f>IF(Base_de_donnée_clients!G13="","",Base_de_donnée_clients!G13)</f>
        <v>64200</v>
      </c>
      <c r="H13" s="22" t="str">
        <f>IF(Base_de_donnée_clients!H13="","",Base_de_donnée_clients!H13)</f>
        <v>06 38 47 XX XX</v>
      </c>
      <c r="I13" s="23" t="str">
        <f>IF(Base_de_donnée_clients!I13="","",Base_de_donnée_clients!I13)</f>
        <v>spaXXXX@orange.fr</v>
      </c>
    </row>
    <row r="14" spans="1:9" s="14" customFormat="1" ht="30" customHeight="1" thickBot="1" x14ac:dyDescent="0.5">
      <c r="A14" s="21">
        <f>IF(Base_de_donnée_clients!A14="","",Base_de_donnée_clients!A14)</f>
        <v>7</v>
      </c>
      <c r="B14" s="22" t="str">
        <f>IF(Base_de_donnée_clients!B14="","",Base_de_donnée_clients!B14)</f>
        <v>A103</v>
      </c>
      <c r="C14" s="22" t="str">
        <f>IF(Base_de_donnée_clients!C14="","",Base_de_donnée_clients!C14)</f>
        <v>M. DESPRES</v>
      </c>
      <c r="D14" s="22" t="str">
        <f>IF(Base_de_donnée_clients!D14="","",Base_de_donnée_clients!D14)</f>
        <v>Jacques</v>
      </c>
      <c r="E14" s="22" t="str">
        <f>IF(Base_de_donnée_clients!E14="","",Base_de_donnée_clients!E14)</f>
        <v>15 rue Charles Mapou</v>
      </c>
      <c r="F14" s="22" t="str">
        <f>IF(Base_de_donnée_clients!F14="","",Base_de_donnée_clients!F14)</f>
        <v>CIBOURE</v>
      </c>
      <c r="G14" s="22">
        <f>IF(Base_de_donnée_clients!G14="","",Base_de_donnée_clients!G14)</f>
        <v>64500</v>
      </c>
      <c r="H14" s="22" t="str">
        <f>IF(Base_de_donnée_clients!H14="","",Base_de_donnée_clients!H14)</f>
        <v>06 32 56 XX XX</v>
      </c>
      <c r="I14" s="23" t="str">
        <f>IF(Base_de_donnée_clients!I14="","",Base_de_donnée_clients!I14)</f>
        <v>djeXXX@orange.fr</v>
      </c>
    </row>
    <row r="15" spans="1:9" s="14" customFormat="1" ht="30" customHeight="1" thickBot="1" x14ac:dyDescent="0.5">
      <c r="A15" s="21">
        <f>IF(Base_de_donnée_clients!A15="","",Base_de_donnée_clients!A15)</f>
        <v>8</v>
      </c>
      <c r="B15" s="22" t="str">
        <f>IF(Base_de_donnée_clients!B15="","",Base_de_donnée_clients!B15)</f>
        <v>A104</v>
      </c>
      <c r="C15" s="22" t="str">
        <f>IF(Base_de_donnée_clients!C15="","",Base_de_donnée_clients!C15)</f>
        <v/>
      </c>
      <c r="D15" s="22" t="str">
        <f>IF(Base_de_donnée_clients!D15="","",Base_de_donnée_clients!D15)</f>
        <v/>
      </c>
      <c r="E15" s="22" t="str">
        <f>IF(Base_de_donnée_clients!E15="","",Base_de_donnée_clients!E15)</f>
        <v/>
      </c>
      <c r="F15" s="22" t="str">
        <f>IF(Base_de_donnée_clients!F15="","",Base_de_donnée_clients!F15)</f>
        <v/>
      </c>
      <c r="G15" s="22" t="str">
        <f>IF(Base_de_donnée_clients!G15="","",Base_de_donnée_clients!G15)</f>
        <v/>
      </c>
      <c r="H15" s="22" t="str">
        <f>IF(Base_de_donnée_clients!H15="","",Base_de_donnée_clients!H15)</f>
        <v/>
      </c>
      <c r="I15" s="23" t="str">
        <f>IF(Base_de_donnée_clients!I15="","",Base_de_donnée_clients!I15)</f>
        <v>jgi@gmail.com</v>
      </c>
    </row>
    <row r="16" spans="1:9" s="14" customFormat="1" ht="30" customHeight="1" thickBot="1" x14ac:dyDescent="0.5">
      <c r="A16" s="21">
        <f>IF(Base_de_donnée_clients!A16="","",Base_de_donnée_clients!A16)</f>
        <v>9</v>
      </c>
      <c r="B16" s="22" t="str">
        <f>IF(Base_de_donnée_clients!B16="","",Base_de_donnée_clients!B16)</f>
        <v>A201</v>
      </c>
      <c r="C16" s="22" t="str">
        <f>IF(Base_de_donnée_clients!C16="","",Base_de_donnée_clients!C16)</f>
        <v>M. et Mme RATOI</v>
      </c>
      <c r="D16" s="22" t="str">
        <f>IF(Base_de_donnée_clients!D16="","",Base_de_donnée_clients!D16)</f>
        <v>Michel et Josianne</v>
      </c>
      <c r="E16" s="22" t="str">
        <f>IF(Base_de_donnée_clients!E16="","",Base_de_donnée_clients!E16)</f>
        <v>24 rue Charles Pucheu</v>
      </c>
      <c r="F16" s="22" t="str">
        <f>IF(Base_de_donnée_clients!F16="","",Base_de_donnée_clients!F16)</f>
        <v>URRUGNE</v>
      </c>
      <c r="G16" s="22">
        <f>IF(Base_de_donnée_clients!G16="","",Base_de_donnée_clients!G16)</f>
        <v>64122</v>
      </c>
      <c r="H16" s="22" t="str">
        <f>IF(Base_de_donnée_clients!H16="","",Base_de_donnée_clients!H16)</f>
        <v>06 25 47 XX XX</v>
      </c>
      <c r="I16" s="23" t="str">
        <f>IF(Base_de_donnée_clients!I16="","",Base_de_donnée_clients!I16)</f>
        <v>micXXXX@gmail.com</v>
      </c>
    </row>
    <row r="17" spans="1:9" s="14" customFormat="1" ht="30" customHeight="1" thickBot="1" x14ac:dyDescent="0.5">
      <c r="A17" s="21">
        <f>IF(Base_de_donnée_clients!A17="","",Base_de_donnée_clients!A17)</f>
        <v>10</v>
      </c>
      <c r="B17" s="22" t="str">
        <f>IF(Base_de_donnée_clients!B17="","",Base_de_donnée_clients!B17)</f>
        <v>A202</v>
      </c>
      <c r="C17" s="22" t="str">
        <f>IF(Base_de_donnée_clients!C17="","",Base_de_donnée_clients!C17)</f>
        <v/>
      </c>
      <c r="D17" s="22" t="str">
        <f>IF(Base_de_donnée_clients!D17="","",Base_de_donnée_clients!D17)</f>
        <v/>
      </c>
      <c r="E17" s="22" t="str">
        <f>IF(Base_de_donnée_clients!E17="","",Base_de_donnée_clients!E17)</f>
        <v/>
      </c>
      <c r="F17" s="22" t="str">
        <f>IF(Base_de_donnée_clients!F17="","",Base_de_donnée_clients!F17)</f>
        <v/>
      </c>
      <c r="G17" s="22" t="str">
        <f>IF(Base_de_donnée_clients!G17="","",Base_de_donnée_clients!G17)</f>
        <v/>
      </c>
      <c r="H17" s="22" t="str">
        <f>IF(Base_de_donnée_clients!H17="","",Base_de_donnée_clients!H17)</f>
        <v/>
      </c>
      <c r="I17" s="23" t="str">
        <f>IF(Base_de_donnée_clients!I17="","",Base_de_donnée_clients!I17)</f>
        <v/>
      </c>
    </row>
    <row r="18" spans="1:9" s="14" customFormat="1" ht="30" customHeight="1" thickBot="1" x14ac:dyDescent="0.5">
      <c r="A18" s="21">
        <f>IF(Base_de_donnée_clients!A18="","",Base_de_donnée_clients!A18)</f>
        <v>11</v>
      </c>
      <c r="B18" s="22" t="str">
        <f>IF(Base_de_donnée_clients!B18="","",Base_de_donnée_clients!B18)</f>
        <v>A203</v>
      </c>
      <c r="C18" s="22" t="str">
        <f>IF(Base_de_donnée_clients!C18="","",Base_de_donnée_clients!C18)</f>
        <v>M. JUZAN</v>
      </c>
      <c r="D18" s="22" t="str">
        <f>IF(Base_de_donnée_clients!D18="","",Base_de_donnée_clients!D18)</f>
        <v>Richard</v>
      </c>
      <c r="E18" s="22" t="str">
        <f>IF(Base_de_donnée_clients!E18="","",Base_de_donnée_clients!E18)</f>
        <v>37 impasse de la glacière</v>
      </c>
      <c r="F18" s="22" t="str">
        <f>IF(Base_de_donnée_clients!F18="","",Base_de_donnée_clients!F18)</f>
        <v>TOULOUSE</v>
      </c>
      <c r="G18" s="22">
        <f>IF(Base_de_donnée_clients!G18="","",Base_de_donnée_clients!G18)</f>
        <v>31200</v>
      </c>
      <c r="H18" s="22" t="str">
        <f>IF(Base_de_donnée_clients!H18="","",Base_de_donnée_clients!H18)</f>
        <v>06 24 45 XX XX</v>
      </c>
      <c r="I18" s="23" t="str">
        <f>IF(Base_de_donnée_clients!I18="","",Base_de_donnée_clients!I18)</f>
        <v>pluXXX@gmail.com</v>
      </c>
    </row>
    <row r="19" spans="1:9" s="14" customFormat="1" ht="30" customHeight="1" thickBot="1" x14ac:dyDescent="0.5">
      <c r="A19" s="21">
        <f>IF(Base_de_donnée_clients!A19="","",Base_de_donnée_clients!A19)</f>
        <v>12</v>
      </c>
      <c r="B19" s="22" t="str">
        <f>IF(Base_de_donnée_clients!B19="","",Base_de_donnée_clients!B19)</f>
        <v>A204</v>
      </c>
      <c r="C19" s="22" t="str">
        <f>IF(Base_de_donnée_clients!C19="","",Base_de_donnée_clients!C19)</f>
        <v/>
      </c>
      <c r="D19" s="22" t="str">
        <f>IF(Base_de_donnée_clients!D19="","",Base_de_donnée_clients!D19)</f>
        <v/>
      </c>
      <c r="E19" s="22" t="str">
        <f>IF(Base_de_donnée_clients!E19="","",Base_de_donnée_clients!E19)</f>
        <v/>
      </c>
      <c r="F19" s="22" t="str">
        <f>IF(Base_de_donnée_clients!F19="","",Base_de_donnée_clients!F19)</f>
        <v/>
      </c>
      <c r="G19" s="22" t="str">
        <f>IF(Base_de_donnée_clients!G19="","",Base_de_donnée_clients!G19)</f>
        <v/>
      </c>
      <c r="H19" s="22" t="str">
        <f>IF(Base_de_donnée_clients!H19="","",Base_de_donnée_clients!H19)</f>
        <v/>
      </c>
      <c r="I19" s="23" t="str">
        <f>IF(Base_de_donnée_clients!I19="","",Base_de_donnée_clients!I19)</f>
        <v/>
      </c>
    </row>
    <row r="20" spans="1:9" s="14" customFormat="1" ht="30" customHeight="1" thickBot="1" x14ac:dyDescent="0.5">
      <c r="A20" s="21" t="str">
        <f>IF(Base_de_donnée_clients!A20="","",Base_de_donnée_clients!A20)</f>
        <v/>
      </c>
      <c r="B20" s="22" t="str">
        <f>IF(Base_de_donnée_clients!B20="","",Base_de_donnée_clients!B20)</f>
        <v/>
      </c>
      <c r="C20" s="22" t="str">
        <f>IF(Base_de_donnée_clients!C20="","",Base_de_donnée_clients!C20)</f>
        <v/>
      </c>
      <c r="D20" s="22" t="str">
        <f>IF(Base_de_donnée_clients!D20="","",Base_de_donnée_clients!D20)</f>
        <v/>
      </c>
      <c r="E20" s="22" t="str">
        <f>IF(Base_de_donnée_clients!E20="","",Base_de_donnée_clients!E20)</f>
        <v/>
      </c>
      <c r="F20" s="22" t="str">
        <f>IF(Base_de_donnée_clients!F20="","",Base_de_donnée_clients!F20)</f>
        <v/>
      </c>
      <c r="G20" s="22" t="str">
        <f>IF(Base_de_donnée_clients!G20="","",Base_de_donnée_clients!G20)</f>
        <v/>
      </c>
      <c r="H20" s="22" t="str">
        <f>IF(Base_de_donnée_clients!H20="","",Base_de_donnée_clients!H20)</f>
        <v/>
      </c>
      <c r="I20" s="23" t="str">
        <f>IF(Base_de_donnée_clients!I20="","",Base_de_donnée_clients!I20)</f>
        <v/>
      </c>
    </row>
    <row r="21" spans="1:9" s="14" customFormat="1" ht="30" customHeight="1" thickBot="1" x14ac:dyDescent="0.5">
      <c r="A21" s="21" t="str">
        <f>IF(Base_de_donnée_clients!A21="","",Base_de_donnée_clients!A21)</f>
        <v/>
      </c>
      <c r="B21" s="22" t="str">
        <f>IF(Base_de_donnée_clients!B21="","",Base_de_donnée_clients!B21)</f>
        <v/>
      </c>
      <c r="C21" s="22" t="str">
        <f>IF(Base_de_donnée_clients!C21="","",Base_de_donnée_clients!C21)</f>
        <v/>
      </c>
      <c r="D21" s="22" t="str">
        <f>IF(Base_de_donnée_clients!D21="","",Base_de_donnée_clients!D21)</f>
        <v/>
      </c>
      <c r="E21" s="22" t="str">
        <f>IF(Base_de_donnée_clients!E21="","",Base_de_donnée_clients!E21)</f>
        <v/>
      </c>
      <c r="F21" s="22" t="str">
        <f>IF(Base_de_donnée_clients!F21="","",Base_de_donnée_clients!F21)</f>
        <v/>
      </c>
      <c r="G21" s="22" t="str">
        <f>IF(Base_de_donnée_clients!G21="","",Base_de_donnée_clients!G21)</f>
        <v/>
      </c>
      <c r="H21" s="22" t="str">
        <f>IF(Base_de_donnée_clients!H21="","",Base_de_donnée_clients!H21)</f>
        <v/>
      </c>
      <c r="I21" s="23" t="str">
        <f>IF(Base_de_donnée_clients!I21="","",Base_de_donnée_clients!I21)</f>
        <v/>
      </c>
    </row>
    <row r="22" spans="1:9" s="14" customFormat="1" ht="30" customHeight="1" thickBot="1" x14ac:dyDescent="0.5">
      <c r="A22" s="21" t="str">
        <f>IF(Base_de_donnée_clients!A22="","",Base_de_donnée_clients!A22)</f>
        <v/>
      </c>
      <c r="B22" s="22" t="str">
        <f>IF(Base_de_donnée_clients!B22="","",Base_de_donnée_clients!B22)</f>
        <v/>
      </c>
      <c r="C22" s="22" t="str">
        <f>IF(Base_de_donnée_clients!C22="","",Base_de_donnée_clients!C22)</f>
        <v/>
      </c>
      <c r="D22" s="22" t="str">
        <f>IF(Base_de_donnée_clients!D22="","",Base_de_donnée_clients!D22)</f>
        <v/>
      </c>
      <c r="E22" s="22" t="str">
        <f>IF(Base_de_donnée_clients!E22="","",Base_de_donnée_clients!E22)</f>
        <v/>
      </c>
      <c r="F22" s="22" t="str">
        <f>IF(Base_de_donnée_clients!F22="","",Base_de_donnée_clients!F22)</f>
        <v/>
      </c>
      <c r="G22" s="22" t="str">
        <f>IF(Base_de_donnée_clients!G22="","",Base_de_donnée_clients!G22)</f>
        <v/>
      </c>
      <c r="H22" s="22" t="str">
        <f>IF(Base_de_donnée_clients!H22="","",Base_de_donnée_clients!H22)</f>
        <v/>
      </c>
      <c r="I22" s="23" t="str">
        <f>IF(Base_de_donnée_clients!I22="","",Base_de_donnée_clients!I22)</f>
        <v/>
      </c>
    </row>
    <row r="23" spans="1:9" s="14" customFormat="1" ht="30" customHeight="1" thickBot="1" x14ac:dyDescent="0.5">
      <c r="A23" s="21" t="str">
        <f>IF(Base_de_donnée_clients!A23="","",Base_de_donnée_clients!A23)</f>
        <v/>
      </c>
      <c r="B23" s="22" t="str">
        <f>IF(Base_de_donnée_clients!B23="","",Base_de_donnée_clients!B23)</f>
        <v/>
      </c>
      <c r="C23" s="22" t="str">
        <f>IF(Base_de_donnée_clients!C23="","",Base_de_donnée_clients!C23)</f>
        <v/>
      </c>
      <c r="D23" s="22" t="str">
        <f>IF(Base_de_donnée_clients!D23="","",Base_de_donnée_clients!D23)</f>
        <v/>
      </c>
      <c r="E23" s="22" t="str">
        <f>IF(Base_de_donnée_clients!E23="","",Base_de_donnée_clients!E23)</f>
        <v/>
      </c>
      <c r="F23" s="22" t="str">
        <f>IF(Base_de_donnée_clients!F23="","",Base_de_donnée_clients!F23)</f>
        <v/>
      </c>
      <c r="G23" s="22" t="str">
        <f>IF(Base_de_donnée_clients!G23="","",Base_de_donnée_clients!G23)</f>
        <v/>
      </c>
      <c r="H23" s="22" t="str">
        <f>IF(Base_de_donnée_clients!H23="","",Base_de_donnée_clients!H23)</f>
        <v/>
      </c>
      <c r="I23" s="23" t="str">
        <f>IF(Base_de_donnée_clients!I23="","",Base_de_donnée_clients!I23)</f>
        <v/>
      </c>
    </row>
    <row r="24" spans="1:9" s="14" customFormat="1" ht="30" customHeight="1" thickBot="1" x14ac:dyDescent="0.5">
      <c r="A24" s="21" t="str">
        <f>IF(Base_de_donnée_clients!A24="","",Base_de_donnée_clients!A24)</f>
        <v/>
      </c>
      <c r="B24" s="22" t="str">
        <f>IF(Base_de_donnée_clients!B24="","",Base_de_donnée_clients!B24)</f>
        <v/>
      </c>
      <c r="C24" s="22" t="str">
        <f>IF(Base_de_donnée_clients!C24="","",Base_de_donnée_clients!C24)</f>
        <v/>
      </c>
      <c r="D24" s="22" t="str">
        <f>IF(Base_de_donnée_clients!D24="","",Base_de_donnée_clients!D24)</f>
        <v/>
      </c>
      <c r="E24" s="22" t="str">
        <f>IF(Base_de_donnée_clients!E24="","",Base_de_donnée_clients!E24)</f>
        <v/>
      </c>
      <c r="F24" s="22" t="str">
        <f>IF(Base_de_donnée_clients!F24="","",Base_de_donnée_clients!F24)</f>
        <v/>
      </c>
      <c r="G24" s="22" t="str">
        <f>IF(Base_de_donnée_clients!G24="","",Base_de_donnée_clients!G24)</f>
        <v/>
      </c>
      <c r="H24" s="22" t="str">
        <f>IF(Base_de_donnée_clients!H24="","",Base_de_donnée_clients!H24)</f>
        <v/>
      </c>
      <c r="I24" s="23" t="str">
        <f>IF(Base_de_donnée_clients!I24="","",Base_de_donnée_clients!I24)</f>
        <v/>
      </c>
    </row>
    <row r="25" spans="1:9" s="14" customFormat="1" ht="30" customHeight="1" thickBot="1" x14ac:dyDescent="0.5">
      <c r="A25" s="21" t="str">
        <f>IF(Base_de_donnée_clients!A25="","",Base_de_donnée_clients!A25)</f>
        <v/>
      </c>
      <c r="B25" s="22" t="str">
        <f>IF(Base_de_donnée_clients!B25="","",Base_de_donnée_clients!B25)</f>
        <v/>
      </c>
      <c r="C25" s="22" t="str">
        <f>IF(Base_de_donnée_clients!C25="","",Base_de_donnée_clients!C25)</f>
        <v/>
      </c>
      <c r="D25" s="22" t="str">
        <f>IF(Base_de_donnée_clients!D25="","",Base_de_donnée_clients!D25)</f>
        <v/>
      </c>
      <c r="E25" s="22" t="str">
        <f>IF(Base_de_donnée_clients!E25="","",Base_de_donnée_clients!E25)</f>
        <v/>
      </c>
      <c r="F25" s="22" t="str">
        <f>IF(Base_de_donnée_clients!F25="","",Base_de_donnée_clients!F25)</f>
        <v/>
      </c>
      <c r="G25" s="22" t="str">
        <f>IF(Base_de_donnée_clients!G25="","",Base_de_donnée_clients!G25)</f>
        <v/>
      </c>
      <c r="H25" s="22" t="str">
        <f>IF(Base_de_donnée_clients!H25="","",Base_de_donnée_clients!H25)</f>
        <v/>
      </c>
      <c r="I25" s="23" t="str">
        <f>IF(Base_de_donnée_clients!I25="","",Base_de_donnée_clients!I25)</f>
        <v/>
      </c>
    </row>
    <row r="26" spans="1:9" s="14" customFormat="1" ht="30" customHeight="1" thickBot="1" x14ac:dyDescent="0.5">
      <c r="A26" s="21" t="str">
        <f>IF(Base_de_donnée_clients!A26="","",Base_de_donnée_clients!A26)</f>
        <v/>
      </c>
      <c r="B26" s="22" t="str">
        <f>IF(Base_de_donnée_clients!B26="","",Base_de_donnée_clients!B26)</f>
        <v/>
      </c>
      <c r="C26" s="22" t="str">
        <f>IF(Base_de_donnée_clients!C26="","",Base_de_donnée_clients!C26)</f>
        <v/>
      </c>
      <c r="D26" s="22" t="str">
        <f>IF(Base_de_donnée_clients!D26="","",Base_de_donnée_clients!D26)</f>
        <v/>
      </c>
      <c r="E26" s="22" t="str">
        <f>IF(Base_de_donnée_clients!E26="","",Base_de_donnée_clients!E26)</f>
        <v/>
      </c>
      <c r="F26" s="22" t="str">
        <f>IF(Base_de_donnée_clients!F26="","",Base_de_donnée_clients!F26)</f>
        <v/>
      </c>
      <c r="G26" s="22" t="str">
        <f>IF(Base_de_donnée_clients!G26="","",Base_de_donnée_clients!G26)</f>
        <v/>
      </c>
      <c r="H26" s="22" t="str">
        <f>IF(Base_de_donnée_clients!H26="","",Base_de_donnée_clients!H26)</f>
        <v/>
      </c>
      <c r="I26" s="23" t="str">
        <f>IF(Base_de_donnée_clients!I26="","",Base_de_donnée_clients!I26)</f>
        <v/>
      </c>
    </row>
    <row r="27" spans="1:9" s="14" customFormat="1" ht="30" customHeight="1" thickBot="1" x14ac:dyDescent="0.5">
      <c r="A27" s="21" t="str">
        <f>IF(Base_de_donnée_clients!A27="","",Base_de_donnée_clients!A27)</f>
        <v/>
      </c>
      <c r="B27" s="22" t="str">
        <f>IF(Base_de_donnée_clients!B27="","",Base_de_donnée_clients!B27)</f>
        <v/>
      </c>
      <c r="C27" s="22" t="str">
        <f>IF(Base_de_donnée_clients!C27="","",Base_de_donnée_clients!C27)</f>
        <v/>
      </c>
      <c r="D27" s="22" t="str">
        <f>IF(Base_de_donnée_clients!D27="","",Base_de_donnée_clients!D27)</f>
        <v/>
      </c>
      <c r="E27" s="22" t="str">
        <f>IF(Base_de_donnée_clients!E27="","",Base_de_donnée_clients!E27)</f>
        <v/>
      </c>
      <c r="F27" s="22" t="str">
        <f>IF(Base_de_donnée_clients!F27="","",Base_de_donnée_clients!F27)</f>
        <v/>
      </c>
      <c r="G27" s="22" t="str">
        <f>IF(Base_de_donnée_clients!G27="","",Base_de_donnée_clients!G27)</f>
        <v/>
      </c>
      <c r="H27" s="22" t="str">
        <f>IF(Base_de_donnée_clients!H27="","",Base_de_donnée_clients!H27)</f>
        <v/>
      </c>
      <c r="I27" s="23" t="str">
        <f>IF(Base_de_donnée_clients!I27="","",Base_de_donnée_clients!I27)</f>
        <v/>
      </c>
    </row>
    <row r="28" spans="1:9" s="14" customFormat="1" ht="30" customHeight="1" thickBot="1" x14ac:dyDescent="0.5">
      <c r="A28" s="21" t="str">
        <f>IF(Base_de_donnée_clients!A28="","",Base_de_donnée_clients!A28)</f>
        <v/>
      </c>
      <c r="B28" s="22" t="str">
        <f>IF(Base_de_donnée_clients!B28="","",Base_de_donnée_clients!B28)</f>
        <v/>
      </c>
      <c r="C28" s="22" t="str">
        <f>IF(Base_de_donnée_clients!C28="","",Base_de_donnée_clients!C28)</f>
        <v/>
      </c>
      <c r="D28" s="22" t="str">
        <f>IF(Base_de_donnée_clients!D28="","",Base_de_donnée_clients!D28)</f>
        <v/>
      </c>
      <c r="E28" s="22" t="str">
        <f>IF(Base_de_donnée_clients!E28="","",Base_de_donnée_clients!E28)</f>
        <v/>
      </c>
      <c r="F28" s="22" t="str">
        <f>IF(Base_de_donnée_clients!F28="","",Base_de_donnée_clients!F28)</f>
        <v/>
      </c>
      <c r="G28" s="22" t="str">
        <f>IF(Base_de_donnée_clients!G28="","",Base_de_donnée_clients!G28)</f>
        <v/>
      </c>
      <c r="H28" s="22" t="str">
        <f>IF(Base_de_donnée_clients!H28="","",Base_de_donnée_clients!H28)</f>
        <v/>
      </c>
      <c r="I28" s="23" t="str">
        <f>IF(Base_de_donnée_clients!I28="","",Base_de_donnée_clients!I28)</f>
        <v/>
      </c>
    </row>
    <row r="29" spans="1:9" s="14" customFormat="1" ht="30" customHeight="1" thickBot="1" x14ac:dyDescent="0.5">
      <c r="A29" s="21" t="str">
        <f>IF(Base_de_donnée_clients!A29="","",Base_de_donnée_clients!A29)</f>
        <v/>
      </c>
      <c r="B29" s="22" t="str">
        <f>IF(Base_de_donnée_clients!B29="","",Base_de_donnée_clients!B29)</f>
        <v/>
      </c>
      <c r="C29" s="22" t="str">
        <f>IF(Base_de_donnée_clients!C29="","",Base_de_donnée_clients!C29)</f>
        <v/>
      </c>
      <c r="D29" s="22" t="str">
        <f>IF(Base_de_donnée_clients!D29="","",Base_de_donnée_clients!D29)</f>
        <v/>
      </c>
      <c r="E29" s="22" t="str">
        <f>IF(Base_de_donnée_clients!E29="","",Base_de_donnée_clients!E29)</f>
        <v/>
      </c>
      <c r="F29" s="22" t="str">
        <f>IF(Base_de_donnée_clients!F29="","",Base_de_donnée_clients!F29)</f>
        <v/>
      </c>
      <c r="G29" s="22" t="str">
        <f>IF(Base_de_donnée_clients!G29="","",Base_de_donnée_clients!G29)</f>
        <v/>
      </c>
      <c r="H29" s="22" t="str">
        <f>IF(Base_de_donnée_clients!H29="","",Base_de_donnée_clients!H29)</f>
        <v/>
      </c>
      <c r="I29" s="23" t="str">
        <f>IF(Base_de_donnée_clients!I29="","",Base_de_donnée_clients!I29)</f>
        <v/>
      </c>
    </row>
    <row r="30" spans="1:9" s="14" customFormat="1" ht="30" customHeight="1" thickBot="1" x14ac:dyDescent="0.5">
      <c r="A30" s="21" t="str">
        <f>IF(Base_de_donnée_clients!A30="","",Base_de_donnée_clients!A30)</f>
        <v/>
      </c>
      <c r="B30" s="22" t="str">
        <f>IF(Base_de_donnée_clients!B30="","",Base_de_donnée_clients!B30)</f>
        <v/>
      </c>
      <c r="C30" s="22" t="str">
        <f>IF(Base_de_donnée_clients!C30="","",Base_de_donnée_clients!C30)</f>
        <v/>
      </c>
      <c r="D30" s="22" t="str">
        <f>IF(Base_de_donnée_clients!D30="","",Base_de_donnée_clients!D30)</f>
        <v/>
      </c>
      <c r="E30" s="22" t="str">
        <f>IF(Base_de_donnée_clients!E30="","",Base_de_donnée_clients!E30)</f>
        <v/>
      </c>
      <c r="F30" s="22" t="str">
        <f>IF(Base_de_donnée_clients!F30="","",Base_de_donnée_clients!F30)</f>
        <v/>
      </c>
      <c r="G30" s="22" t="str">
        <f>IF(Base_de_donnée_clients!G30="","",Base_de_donnée_clients!G30)</f>
        <v/>
      </c>
      <c r="H30" s="22" t="str">
        <f>IF(Base_de_donnée_clients!H30="","",Base_de_donnée_clients!H30)</f>
        <v/>
      </c>
      <c r="I30" s="23" t="str">
        <f>IF(Base_de_donnée_clients!I30="","",Base_de_donnée_clients!I30)</f>
        <v/>
      </c>
    </row>
    <row r="31" spans="1:9" s="14" customFormat="1" ht="30" customHeight="1" thickBot="1" x14ac:dyDescent="0.5">
      <c r="A31" s="21" t="str">
        <f>IF(Base_de_donnée_clients!A31="","",Base_de_donnée_clients!A31)</f>
        <v/>
      </c>
      <c r="B31" s="22" t="str">
        <f>IF(Base_de_donnée_clients!B31="","",Base_de_donnée_clients!B31)</f>
        <v/>
      </c>
      <c r="C31" s="22" t="str">
        <f>IF(Base_de_donnée_clients!C31="","",Base_de_donnée_clients!C31)</f>
        <v/>
      </c>
      <c r="D31" s="22" t="str">
        <f>IF(Base_de_donnée_clients!D31="","",Base_de_donnée_clients!D31)</f>
        <v/>
      </c>
      <c r="E31" s="22" t="str">
        <f>IF(Base_de_donnée_clients!E31="","",Base_de_donnée_clients!E31)</f>
        <v/>
      </c>
      <c r="F31" s="22" t="str">
        <f>IF(Base_de_donnée_clients!F31="","",Base_de_donnée_clients!F31)</f>
        <v/>
      </c>
      <c r="G31" s="22" t="str">
        <f>IF(Base_de_donnée_clients!G31="","",Base_de_donnée_clients!G31)</f>
        <v/>
      </c>
      <c r="H31" s="22" t="str">
        <f>IF(Base_de_donnée_clients!H31="","",Base_de_donnée_clients!H31)</f>
        <v/>
      </c>
      <c r="I31" s="23" t="str">
        <f>IF(Base_de_donnée_clients!I31="","",Base_de_donnée_clients!I31)</f>
        <v/>
      </c>
    </row>
    <row r="32" spans="1:9" s="14" customFormat="1" ht="30" customHeight="1" thickBot="1" x14ac:dyDescent="0.5">
      <c r="A32" s="21" t="str">
        <f>IF(Base_de_donnée_clients!A32="","",Base_de_donnée_clients!A32)</f>
        <v/>
      </c>
      <c r="B32" s="22" t="str">
        <f>IF(Base_de_donnée_clients!B32="","",Base_de_donnée_clients!B32)</f>
        <v/>
      </c>
      <c r="C32" s="22" t="str">
        <f>IF(Base_de_donnée_clients!C32="","",Base_de_donnée_clients!C32)</f>
        <v/>
      </c>
      <c r="D32" s="22" t="str">
        <f>IF(Base_de_donnée_clients!D32="","",Base_de_donnée_clients!D32)</f>
        <v/>
      </c>
      <c r="E32" s="22" t="str">
        <f>IF(Base_de_donnée_clients!E32="","",Base_de_donnée_clients!E32)</f>
        <v/>
      </c>
      <c r="F32" s="22" t="str">
        <f>IF(Base_de_donnée_clients!F32="","",Base_de_donnée_clients!F32)</f>
        <v/>
      </c>
      <c r="G32" s="22" t="str">
        <f>IF(Base_de_donnée_clients!G32="","",Base_de_donnée_clients!G32)</f>
        <v/>
      </c>
      <c r="H32" s="22" t="str">
        <f>IF(Base_de_donnée_clients!H32="","",Base_de_donnée_clients!H32)</f>
        <v/>
      </c>
      <c r="I32" s="23" t="str">
        <f>IF(Base_de_donnée_clients!I32="","",Base_de_donnée_clients!I32)</f>
        <v/>
      </c>
    </row>
    <row r="33" spans="1:9" s="14" customFormat="1" ht="30" customHeight="1" thickBot="1" x14ac:dyDescent="0.5">
      <c r="A33" s="21" t="str">
        <f>IF(Base_de_donnée_clients!A33="","",Base_de_donnée_clients!A33)</f>
        <v/>
      </c>
      <c r="B33" s="22" t="str">
        <f>IF(Base_de_donnée_clients!B33="","",Base_de_donnée_clients!B33)</f>
        <v/>
      </c>
      <c r="C33" s="22" t="str">
        <f>IF(Base_de_donnée_clients!C33="","",Base_de_donnée_clients!C33)</f>
        <v/>
      </c>
      <c r="D33" s="22" t="str">
        <f>IF(Base_de_donnée_clients!D33="","",Base_de_donnée_clients!D33)</f>
        <v/>
      </c>
      <c r="E33" s="22" t="str">
        <f>IF(Base_de_donnée_clients!E33="","",Base_de_donnée_clients!E33)</f>
        <v/>
      </c>
      <c r="F33" s="22" t="str">
        <f>IF(Base_de_donnée_clients!F33="","",Base_de_donnée_clients!F33)</f>
        <v/>
      </c>
      <c r="G33" s="22" t="str">
        <f>IF(Base_de_donnée_clients!G33="","",Base_de_donnée_clients!G33)</f>
        <v/>
      </c>
      <c r="H33" s="22" t="str">
        <f>IF(Base_de_donnée_clients!H33="","",Base_de_donnée_clients!H33)</f>
        <v/>
      </c>
      <c r="I33" s="23" t="str">
        <f>IF(Base_de_donnée_clients!I33="","",Base_de_donnée_clients!I33)</f>
        <v/>
      </c>
    </row>
    <row r="34" spans="1:9" s="14" customFormat="1" ht="30" customHeight="1" thickBot="1" x14ac:dyDescent="0.5">
      <c r="A34" s="21" t="str">
        <f>IF(Base_de_donnée_clients!A34="","",Base_de_donnée_clients!A34)</f>
        <v/>
      </c>
      <c r="B34" s="22" t="str">
        <f>IF(Base_de_donnée_clients!B34="","",Base_de_donnée_clients!B34)</f>
        <v/>
      </c>
      <c r="C34" s="22" t="str">
        <f>IF(Base_de_donnée_clients!C34="","",Base_de_donnée_clients!C34)</f>
        <v/>
      </c>
      <c r="D34" s="22" t="str">
        <f>IF(Base_de_donnée_clients!D34="","",Base_de_donnée_clients!D34)</f>
        <v/>
      </c>
      <c r="E34" s="22" t="str">
        <f>IF(Base_de_donnée_clients!E34="","",Base_de_donnée_clients!E34)</f>
        <v/>
      </c>
      <c r="F34" s="22" t="str">
        <f>IF(Base_de_donnée_clients!F34="","",Base_de_donnée_clients!F34)</f>
        <v/>
      </c>
      <c r="G34" s="22" t="str">
        <f>IF(Base_de_donnée_clients!G34="","",Base_de_donnée_clients!G34)</f>
        <v/>
      </c>
      <c r="H34" s="22" t="str">
        <f>IF(Base_de_donnée_clients!H34="","",Base_de_donnée_clients!H34)</f>
        <v/>
      </c>
      <c r="I34" s="23" t="str">
        <f>IF(Base_de_donnée_clients!I34="","",Base_de_donnée_clients!I34)</f>
        <v/>
      </c>
    </row>
    <row r="35" spans="1:9" s="14" customFormat="1" ht="30" customHeight="1" thickBot="1" x14ac:dyDescent="0.5">
      <c r="A35" s="21" t="str">
        <f>IF(Base_de_donnée_clients!A35="","",Base_de_donnée_clients!A35)</f>
        <v/>
      </c>
      <c r="B35" s="22" t="str">
        <f>IF(Base_de_donnée_clients!B35="","",Base_de_donnée_clients!B35)</f>
        <v/>
      </c>
      <c r="C35" s="22" t="str">
        <f>IF(Base_de_donnée_clients!C35="","",Base_de_donnée_clients!C35)</f>
        <v/>
      </c>
      <c r="D35" s="22" t="str">
        <f>IF(Base_de_donnée_clients!D35="","",Base_de_donnée_clients!D35)</f>
        <v/>
      </c>
      <c r="E35" s="22" t="str">
        <f>IF(Base_de_donnée_clients!E35="","",Base_de_donnée_clients!E35)</f>
        <v/>
      </c>
      <c r="F35" s="22" t="str">
        <f>IF(Base_de_donnée_clients!F35="","",Base_de_donnée_clients!F35)</f>
        <v/>
      </c>
      <c r="G35" s="22" t="str">
        <f>IF(Base_de_donnée_clients!G35="","",Base_de_donnée_clients!G35)</f>
        <v/>
      </c>
      <c r="H35" s="22" t="str">
        <f>IF(Base_de_donnée_clients!H35="","",Base_de_donnée_clients!H35)</f>
        <v/>
      </c>
      <c r="I35" s="23" t="str">
        <f>IF(Base_de_donnée_clients!I35="","",Base_de_donnée_clients!I35)</f>
        <v/>
      </c>
    </row>
    <row r="36" spans="1:9" s="14" customFormat="1" ht="30" customHeight="1" thickBot="1" x14ac:dyDescent="0.5">
      <c r="A36" s="21" t="str">
        <f>IF(Base_de_donnée_clients!A36="","",Base_de_donnée_clients!A36)</f>
        <v/>
      </c>
      <c r="B36" s="22" t="str">
        <f>IF(Base_de_donnée_clients!B36="","",Base_de_donnée_clients!B36)</f>
        <v/>
      </c>
      <c r="C36" s="22" t="str">
        <f>IF(Base_de_donnée_clients!C36="","",Base_de_donnée_clients!C36)</f>
        <v/>
      </c>
      <c r="D36" s="22" t="str">
        <f>IF(Base_de_donnée_clients!D36="","",Base_de_donnée_clients!D36)</f>
        <v/>
      </c>
      <c r="E36" s="22" t="str">
        <f>IF(Base_de_donnée_clients!E36="","",Base_de_donnée_clients!E36)</f>
        <v/>
      </c>
      <c r="F36" s="22" t="str">
        <f>IF(Base_de_donnée_clients!F36="","",Base_de_donnée_clients!F36)</f>
        <v/>
      </c>
      <c r="G36" s="22" t="str">
        <f>IF(Base_de_donnée_clients!G36="","",Base_de_donnée_clients!G36)</f>
        <v/>
      </c>
      <c r="H36" s="22" t="str">
        <f>IF(Base_de_donnée_clients!H36="","",Base_de_donnée_clients!H36)</f>
        <v/>
      </c>
      <c r="I36" s="23" t="str">
        <f>IF(Base_de_donnée_clients!I36="","",Base_de_donnée_clients!I36)</f>
        <v/>
      </c>
    </row>
    <row r="37" spans="1:9" s="14" customFormat="1" ht="30" customHeight="1" thickBot="1" x14ac:dyDescent="0.5">
      <c r="A37" s="21" t="str">
        <f>IF(Base_de_donnée_clients!A37="","",Base_de_donnée_clients!A37)</f>
        <v/>
      </c>
      <c r="B37" s="22" t="str">
        <f>IF(Base_de_donnée_clients!B37="","",Base_de_donnée_clients!B37)</f>
        <v/>
      </c>
      <c r="C37" s="22" t="str">
        <f>IF(Base_de_donnée_clients!C37="","",Base_de_donnée_clients!C37)</f>
        <v/>
      </c>
      <c r="D37" s="22" t="str">
        <f>IF(Base_de_donnée_clients!D37="","",Base_de_donnée_clients!D37)</f>
        <v/>
      </c>
      <c r="E37" s="22" t="str">
        <f>IF(Base_de_donnée_clients!E37="","",Base_de_donnée_clients!E37)</f>
        <v/>
      </c>
      <c r="F37" s="22" t="str">
        <f>IF(Base_de_donnée_clients!F37="","",Base_de_donnée_clients!F37)</f>
        <v/>
      </c>
      <c r="G37" s="22" t="str">
        <f>IF(Base_de_donnée_clients!G37="","",Base_de_donnée_clients!G37)</f>
        <v/>
      </c>
      <c r="H37" s="22" t="str">
        <f>IF(Base_de_donnée_clients!H37="","",Base_de_donnée_clients!H37)</f>
        <v/>
      </c>
      <c r="I37" s="23" t="str">
        <f>IF(Base_de_donnée_clients!I37="","",Base_de_donnée_clients!I37)</f>
        <v/>
      </c>
    </row>
    <row r="38" spans="1:9" s="14" customFormat="1" ht="30" customHeight="1" thickBot="1" x14ac:dyDescent="0.5">
      <c r="A38" s="21" t="str">
        <f>IF(Base_de_donnée_clients!A38="","",Base_de_donnée_clients!A38)</f>
        <v/>
      </c>
      <c r="B38" s="22" t="str">
        <f>IF(Base_de_donnée_clients!B38="","",Base_de_donnée_clients!B38)</f>
        <v/>
      </c>
      <c r="C38" s="22" t="str">
        <f>IF(Base_de_donnée_clients!C38="","",Base_de_donnée_clients!C38)</f>
        <v/>
      </c>
      <c r="D38" s="22" t="str">
        <f>IF(Base_de_donnée_clients!D38="","",Base_de_donnée_clients!D38)</f>
        <v/>
      </c>
      <c r="E38" s="22" t="str">
        <f>IF(Base_de_donnée_clients!E38="","",Base_de_donnée_clients!E38)</f>
        <v/>
      </c>
      <c r="F38" s="22" t="str">
        <f>IF(Base_de_donnée_clients!F38="","",Base_de_donnée_clients!F38)</f>
        <v/>
      </c>
      <c r="G38" s="22" t="str">
        <f>IF(Base_de_donnée_clients!G38="","",Base_de_donnée_clients!G38)</f>
        <v/>
      </c>
      <c r="H38" s="22" t="str">
        <f>IF(Base_de_donnée_clients!H38="","",Base_de_donnée_clients!H38)</f>
        <v/>
      </c>
      <c r="I38" s="23" t="str">
        <f>IF(Base_de_donnée_clients!I38="","",Base_de_donnée_clients!I38)</f>
        <v/>
      </c>
    </row>
    <row r="39" spans="1:9" s="14" customFormat="1" ht="30" customHeight="1" thickBot="1" x14ac:dyDescent="0.5">
      <c r="A39" s="21" t="str">
        <f>IF(Base_de_donnée_clients!A39="","",Base_de_donnée_clients!A39)</f>
        <v/>
      </c>
      <c r="B39" s="22" t="str">
        <f>IF(Base_de_donnée_clients!B39="","",Base_de_donnée_clients!B39)</f>
        <v/>
      </c>
      <c r="C39" s="22" t="str">
        <f>IF(Base_de_donnée_clients!C39="","",Base_de_donnée_clients!C39)</f>
        <v/>
      </c>
      <c r="D39" s="22" t="str">
        <f>IF(Base_de_donnée_clients!D39="","",Base_de_donnée_clients!D39)</f>
        <v/>
      </c>
      <c r="E39" s="22" t="str">
        <f>IF(Base_de_donnée_clients!E39="","",Base_de_donnée_clients!E39)</f>
        <v/>
      </c>
      <c r="F39" s="22" t="str">
        <f>IF(Base_de_donnée_clients!F39="","",Base_de_donnée_clients!F39)</f>
        <v/>
      </c>
      <c r="G39" s="22" t="str">
        <f>IF(Base_de_donnée_clients!G39="","",Base_de_donnée_clients!G39)</f>
        <v/>
      </c>
      <c r="H39" s="22" t="str">
        <f>IF(Base_de_donnée_clients!H39="","",Base_de_donnée_clients!H39)</f>
        <v/>
      </c>
      <c r="I39" s="23" t="str">
        <f>IF(Base_de_donnée_clients!I39="","",Base_de_donnée_clients!I39)</f>
        <v/>
      </c>
    </row>
    <row r="40" spans="1:9" s="14" customFormat="1" ht="30" customHeight="1" thickBot="1" x14ac:dyDescent="0.5">
      <c r="A40" s="21" t="str">
        <f>IF(Base_de_donnée_clients!A40="","",Base_de_donnée_clients!A40)</f>
        <v/>
      </c>
      <c r="B40" s="22" t="str">
        <f>IF(Base_de_donnée_clients!B40="","",Base_de_donnée_clients!B40)</f>
        <v/>
      </c>
      <c r="C40" s="22" t="str">
        <f>IF(Base_de_donnée_clients!C40="","",Base_de_donnée_clients!C40)</f>
        <v/>
      </c>
      <c r="D40" s="22" t="str">
        <f>IF(Base_de_donnée_clients!D40="","",Base_de_donnée_clients!D40)</f>
        <v/>
      </c>
      <c r="E40" s="22" t="str">
        <f>IF(Base_de_donnée_clients!E40="","",Base_de_donnée_clients!E40)</f>
        <v/>
      </c>
      <c r="F40" s="22" t="str">
        <f>IF(Base_de_donnée_clients!F40="","",Base_de_donnée_clients!F40)</f>
        <v/>
      </c>
      <c r="G40" s="22" t="str">
        <f>IF(Base_de_donnée_clients!G40="","",Base_de_donnée_clients!G40)</f>
        <v/>
      </c>
      <c r="H40" s="22" t="str">
        <f>IF(Base_de_donnée_clients!H40="","",Base_de_donnée_clients!H40)</f>
        <v/>
      </c>
      <c r="I40" s="23" t="str">
        <f>IF(Base_de_donnée_clients!I40="","",Base_de_donnée_clients!I40)</f>
        <v/>
      </c>
    </row>
    <row r="41" spans="1:9" s="14" customFormat="1" ht="30" customHeight="1" thickBot="1" x14ac:dyDescent="0.5">
      <c r="A41" s="21" t="str">
        <f>IF(Base_de_donnée_clients!A41="","",Base_de_donnée_clients!A41)</f>
        <v/>
      </c>
      <c r="B41" s="22" t="str">
        <f>IF(Base_de_donnée_clients!B41="","",Base_de_donnée_clients!B41)</f>
        <v/>
      </c>
      <c r="C41" s="22" t="str">
        <f>IF(Base_de_donnée_clients!C41="","",Base_de_donnée_clients!C41)</f>
        <v/>
      </c>
      <c r="D41" s="22" t="str">
        <f>IF(Base_de_donnée_clients!D41="","",Base_de_donnée_clients!D41)</f>
        <v/>
      </c>
      <c r="E41" s="22" t="str">
        <f>IF(Base_de_donnée_clients!E41="","",Base_de_donnée_clients!E41)</f>
        <v/>
      </c>
      <c r="F41" s="22" t="str">
        <f>IF(Base_de_donnée_clients!F41="","",Base_de_donnée_clients!F41)</f>
        <v/>
      </c>
      <c r="G41" s="22" t="str">
        <f>IF(Base_de_donnée_clients!G41="","",Base_de_donnée_clients!G41)</f>
        <v/>
      </c>
      <c r="H41" s="22" t="str">
        <f>IF(Base_de_donnée_clients!H41="","",Base_de_donnée_clients!H41)</f>
        <v/>
      </c>
      <c r="I41" s="23" t="str">
        <f>IF(Base_de_donnée_clients!I41="","",Base_de_donnée_clients!I41)</f>
        <v/>
      </c>
    </row>
    <row r="42" spans="1:9" s="14" customFormat="1" ht="30" customHeight="1" thickBot="1" x14ac:dyDescent="0.5">
      <c r="A42" s="21" t="str">
        <f>IF(Base_de_donnée_clients!A42="","",Base_de_donnée_clients!A42)</f>
        <v/>
      </c>
      <c r="B42" s="22" t="str">
        <f>IF(Base_de_donnée_clients!B42="","",Base_de_donnée_clients!B42)</f>
        <v/>
      </c>
      <c r="C42" s="22" t="str">
        <f>IF(Base_de_donnée_clients!C42="","",Base_de_donnée_clients!C42)</f>
        <v/>
      </c>
      <c r="D42" s="22" t="str">
        <f>IF(Base_de_donnée_clients!D42="","",Base_de_donnée_clients!D42)</f>
        <v/>
      </c>
      <c r="E42" s="22" t="str">
        <f>IF(Base_de_donnée_clients!E42="","",Base_de_donnée_clients!E42)</f>
        <v/>
      </c>
      <c r="F42" s="22" t="str">
        <f>IF(Base_de_donnée_clients!F42="","",Base_de_donnée_clients!F42)</f>
        <v/>
      </c>
      <c r="G42" s="22" t="str">
        <f>IF(Base_de_donnée_clients!G42="","",Base_de_donnée_clients!G42)</f>
        <v/>
      </c>
      <c r="H42" s="22" t="str">
        <f>IF(Base_de_donnée_clients!H42="","",Base_de_donnée_clients!H42)</f>
        <v/>
      </c>
      <c r="I42" s="23" t="str">
        <f>IF(Base_de_donnée_clients!I42="","",Base_de_donnée_clients!I42)</f>
        <v/>
      </c>
    </row>
    <row r="43" spans="1:9" s="14" customFormat="1" ht="30" customHeight="1" thickBot="1" x14ac:dyDescent="0.5">
      <c r="A43" s="21" t="str">
        <f>IF(Base_de_donnée_clients!A43="","",Base_de_donnée_clients!A43)</f>
        <v/>
      </c>
      <c r="B43" s="22" t="str">
        <f>IF(Base_de_donnée_clients!B43="","",Base_de_donnée_clients!B43)</f>
        <v/>
      </c>
      <c r="C43" s="22" t="str">
        <f>IF(Base_de_donnée_clients!C43="","",Base_de_donnée_clients!C43)</f>
        <v/>
      </c>
      <c r="D43" s="22" t="str">
        <f>IF(Base_de_donnée_clients!D43="","",Base_de_donnée_clients!D43)</f>
        <v/>
      </c>
      <c r="E43" s="22" t="str">
        <f>IF(Base_de_donnée_clients!E43="","",Base_de_donnée_clients!E43)</f>
        <v/>
      </c>
      <c r="F43" s="22" t="str">
        <f>IF(Base_de_donnée_clients!F43="","",Base_de_donnée_clients!F43)</f>
        <v/>
      </c>
      <c r="G43" s="22" t="str">
        <f>IF(Base_de_donnée_clients!G43="","",Base_de_donnée_clients!G43)</f>
        <v/>
      </c>
      <c r="H43" s="22" t="str">
        <f>IF(Base_de_donnée_clients!H43="","",Base_de_donnée_clients!H43)</f>
        <v/>
      </c>
      <c r="I43" s="23" t="str">
        <f>IF(Base_de_donnée_clients!I43="","",Base_de_donnée_clients!I43)</f>
        <v/>
      </c>
    </row>
    <row r="44" spans="1:9" s="14" customFormat="1" ht="30" customHeight="1" thickBot="1" x14ac:dyDescent="0.5">
      <c r="A44" s="21" t="str">
        <f>IF(Base_de_donnée_clients!A44="","",Base_de_donnée_clients!A44)</f>
        <v/>
      </c>
      <c r="B44" s="22" t="str">
        <f>IF(Base_de_donnée_clients!B44="","",Base_de_donnée_clients!B44)</f>
        <v/>
      </c>
      <c r="C44" s="22" t="str">
        <f>IF(Base_de_donnée_clients!C44="","",Base_de_donnée_clients!C44)</f>
        <v/>
      </c>
      <c r="D44" s="22" t="str">
        <f>IF(Base_de_donnée_clients!D44="","",Base_de_donnée_clients!D44)</f>
        <v/>
      </c>
      <c r="E44" s="22" t="str">
        <f>IF(Base_de_donnée_clients!E44="","",Base_de_donnée_clients!E44)</f>
        <v/>
      </c>
      <c r="F44" s="22" t="str">
        <f>IF(Base_de_donnée_clients!F44="","",Base_de_donnée_clients!F44)</f>
        <v/>
      </c>
      <c r="G44" s="22" t="str">
        <f>IF(Base_de_donnée_clients!G44="","",Base_de_donnée_clients!G44)</f>
        <v/>
      </c>
      <c r="H44" s="22" t="str">
        <f>IF(Base_de_donnée_clients!H44="","",Base_de_donnée_clients!H44)</f>
        <v/>
      </c>
      <c r="I44" s="23" t="str">
        <f>IF(Base_de_donnée_clients!I44="","",Base_de_donnée_clients!I44)</f>
        <v/>
      </c>
    </row>
    <row r="45" spans="1:9" s="14" customFormat="1" ht="30" customHeight="1" thickBot="1" x14ac:dyDescent="0.5">
      <c r="A45" s="21" t="str">
        <f>IF(Base_de_donnée_clients!A45="","",Base_de_donnée_clients!A45)</f>
        <v/>
      </c>
      <c r="B45" s="22" t="str">
        <f>IF(Base_de_donnée_clients!B45="","",Base_de_donnée_clients!B45)</f>
        <v/>
      </c>
      <c r="C45" s="22" t="str">
        <f>IF(Base_de_donnée_clients!C45="","",Base_de_donnée_clients!C45)</f>
        <v/>
      </c>
      <c r="D45" s="22" t="str">
        <f>IF(Base_de_donnée_clients!D45="","",Base_de_donnée_clients!D45)</f>
        <v/>
      </c>
      <c r="E45" s="22" t="str">
        <f>IF(Base_de_donnée_clients!E45="","",Base_de_donnée_clients!E45)</f>
        <v/>
      </c>
      <c r="F45" s="22" t="str">
        <f>IF(Base_de_donnée_clients!F45="","",Base_de_donnée_clients!F45)</f>
        <v/>
      </c>
      <c r="G45" s="22" t="str">
        <f>IF(Base_de_donnée_clients!G45="","",Base_de_donnée_clients!G45)</f>
        <v/>
      </c>
      <c r="H45" s="22" t="str">
        <f>IF(Base_de_donnée_clients!H45="","",Base_de_donnée_clients!H45)</f>
        <v/>
      </c>
      <c r="I45" s="23" t="str">
        <f>IF(Base_de_donnée_clients!I45="","",Base_de_donnée_clients!I45)</f>
        <v/>
      </c>
    </row>
    <row r="46" spans="1:9" s="14" customFormat="1" ht="30" customHeight="1" thickBot="1" x14ac:dyDescent="0.5">
      <c r="A46" s="21" t="str">
        <f>IF(Base_de_donnée_clients!A46="","",Base_de_donnée_clients!A46)</f>
        <v/>
      </c>
      <c r="B46" s="22" t="str">
        <f>IF(Base_de_donnée_clients!B46="","",Base_de_donnée_clients!B46)</f>
        <v/>
      </c>
      <c r="C46" s="22" t="str">
        <f>IF(Base_de_donnée_clients!C46="","",Base_de_donnée_clients!C46)</f>
        <v/>
      </c>
      <c r="D46" s="22" t="str">
        <f>IF(Base_de_donnée_clients!D46="","",Base_de_donnée_clients!D46)</f>
        <v/>
      </c>
      <c r="E46" s="22" t="str">
        <f>IF(Base_de_donnée_clients!E46="","",Base_de_donnée_clients!E46)</f>
        <v/>
      </c>
      <c r="F46" s="22" t="str">
        <f>IF(Base_de_donnée_clients!F46="","",Base_de_donnée_clients!F46)</f>
        <v/>
      </c>
      <c r="G46" s="22" t="str">
        <f>IF(Base_de_donnée_clients!G46="","",Base_de_donnée_clients!G46)</f>
        <v/>
      </c>
      <c r="H46" s="22" t="str">
        <f>IF(Base_de_donnée_clients!H46="","",Base_de_donnée_clients!H46)</f>
        <v/>
      </c>
      <c r="I46" s="23" t="str">
        <f>IF(Base_de_donnée_clients!I46="","",Base_de_donnée_clients!I46)</f>
        <v/>
      </c>
    </row>
    <row r="47" spans="1:9" s="14" customFormat="1" ht="30" customHeight="1" thickBot="1" x14ac:dyDescent="0.5">
      <c r="A47" s="21" t="str">
        <f>IF(Base_de_donnée_clients!A47="","",Base_de_donnée_clients!A47)</f>
        <v/>
      </c>
      <c r="B47" s="22" t="str">
        <f>IF(Base_de_donnée_clients!B47="","",Base_de_donnée_clients!B47)</f>
        <v/>
      </c>
      <c r="C47" s="22" t="str">
        <f>IF(Base_de_donnée_clients!C47="","",Base_de_donnée_clients!C47)</f>
        <v/>
      </c>
      <c r="D47" s="22" t="str">
        <f>IF(Base_de_donnée_clients!D47="","",Base_de_donnée_clients!D47)</f>
        <v/>
      </c>
      <c r="E47" s="22" t="str">
        <f>IF(Base_de_donnée_clients!E47="","",Base_de_donnée_clients!E47)</f>
        <v/>
      </c>
      <c r="F47" s="22" t="str">
        <f>IF(Base_de_donnée_clients!F47="","",Base_de_donnée_clients!F47)</f>
        <v/>
      </c>
      <c r="G47" s="22" t="str">
        <f>IF(Base_de_donnée_clients!G47="","",Base_de_donnée_clients!G47)</f>
        <v/>
      </c>
      <c r="H47" s="22" t="str">
        <f>IF(Base_de_donnée_clients!H47="","",Base_de_donnée_clients!H47)</f>
        <v/>
      </c>
      <c r="I47" s="23" t="str">
        <f>IF(Base_de_donnée_clients!I47="","",Base_de_donnée_clients!I47)</f>
        <v/>
      </c>
    </row>
    <row r="48" spans="1:9" s="14" customFormat="1" ht="30" customHeight="1" thickBot="1" x14ac:dyDescent="0.5">
      <c r="A48" s="21" t="str">
        <f>IF(Base_de_donnée_clients!A48="","",Base_de_donnée_clients!A48)</f>
        <v/>
      </c>
      <c r="B48" s="22" t="str">
        <f>IF(Base_de_donnée_clients!B48="","",Base_de_donnée_clients!B48)</f>
        <v/>
      </c>
      <c r="C48" s="22" t="str">
        <f>IF(Base_de_donnée_clients!C48="","",Base_de_donnée_clients!C48)</f>
        <v/>
      </c>
      <c r="D48" s="22" t="str">
        <f>IF(Base_de_donnée_clients!D48="","",Base_de_donnée_clients!D48)</f>
        <v/>
      </c>
      <c r="E48" s="22" t="str">
        <f>IF(Base_de_donnée_clients!E48="","",Base_de_donnée_clients!E48)</f>
        <v/>
      </c>
      <c r="F48" s="22" t="str">
        <f>IF(Base_de_donnée_clients!F48="","",Base_de_donnée_clients!F48)</f>
        <v/>
      </c>
      <c r="G48" s="22" t="str">
        <f>IF(Base_de_donnée_clients!G48="","",Base_de_donnée_clients!G48)</f>
        <v/>
      </c>
      <c r="H48" s="22" t="str">
        <f>IF(Base_de_donnée_clients!H48="","",Base_de_donnée_clients!H48)</f>
        <v/>
      </c>
      <c r="I48" s="23" t="str">
        <f>IF(Base_de_donnée_clients!I48="","",Base_de_donnée_clients!I48)</f>
        <v/>
      </c>
    </row>
    <row r="49" spans="1:9" s="14" customFormat="1" ht="30" customHeight="1" thickBot="1" x14ac:dyDescent="0.5">
      <c r="A49" s="21" t="str">
        <f>IF(Base_de_donnée_clients!A49="","",Base_de_donnée_clients!A49)</f>
        <v/>
      </c>
      <c r="B49" s="22" t="str">
        <f>IF(Base_de_donnée_clients!B49="","",Base_de_donnée_clients!B49)</f>
        <v/>
      </c>
      <c r="C49" s="22" t="str">
        <f>IF(Base_de_donnée_clients!C49="","",Base_de_donnée_clients!C49)</f>
        <v/>
      </c>
      <c r="D49" s="22" t="str">
        <f>IF(Base_de_donnée_clients!D49="","",Base_de_donnée_clients!D49)</f>
        <v/>
      </c>
      <c r="E49" s="22" t="str">
        <f>IF(Base_de_donnée_clients!E49="","",Base_de_donnée_clients!E49)</f>
        <v/>
      </c>
      <c r="F49" s="22" t="str">
        <f>IF(Base_de_donnée_clients!F49="","",Base_de_donnée_clients!F49)</f>
        <v/>
      </c>
      <c r="G49" s="22" t="str">
        <f>IF(Base_de_donnée_clients!G49="","",Base_de_donnée_clients!G49)</f>
        <v/>
      </c>
      <c r="H49" s="22" t="str">
        <f>IF(Base_de_donnée_clients!H49="","",Base_de_donnée_clients!H49)</f>
        <v/>
      </c>
      <c r="I49" s="23" t="str">
        <f>IF(Base_de_donnée_clients!I49="","",Base_de_donnée_clients!I49)</f>
        <v/>
      </c>
    </row>
    <row r="50" spans="1:9" s="14" customFormat="1" ht="30" customHeight="1" thickBot="1" x14ac:dyDescent="0.5">
      <c r="A50" s="21" t="str">
        <f>IF(Base_de_donnée_clients!A50="","",Base_de_donnée_clients!A50)</f>
        <v/>
      </c>
      <c r="B50" s="22" t="str">
        <f>IF(Base_de_donnée_clients!B50="","",Base_de_donnée_clients!B50)</f>
        <v/>
      </c>
      <c r="C50" s="22" t="str">
        <f>IF(Base_de_donnée_clients!C50="","",Base_de_donnée_clients!C50)</f>
        <v/>
      </c>
      <c r="D50" s="22" t="str">
        <f>IF(Base_de_donnée_clients!D50="","",Base_de_donnée_clients!D50)</f>
        <v/>
      </c>
      <c r="E50" s="22" t="str">
        <f>IF(Base_de_donnée_clients!E50="","",Base_de_donnée_clients!E50)</f>
        <v/>
      </c>
      <c r="F50" s="22" t="str">
        <f>IF(Base_de_donnée_clients!F50="","",Base_de_donnée_clients!F50)</f>
        <v/>
      </c>
      <c r="G50" s="22" t="str">
        <f>IF(Base_de_donnée_clients!G50="","",Base_de_donnée_clients!G50)</f>
        <v/>
      </c>
      <c r="H50" s="22" t="str">
        <f>IF(Base_de_donnée_clients!H50="","",Base_de_donnée_clients!H50)</f>
        <v/>
      </c>
      <c r="I50" s="23" t="str">
        <f>IF(Base_de_donnée_clients!I50="","",Base_de_donnée_clients!I50)</f>
        <v/>
      </c>
    </row>
    <row r="51" spans="1:9" s="14" customFormat="1" ht="30" customHeight="1" thickBot="1" x14ac:dyDescent="0.5">
      <c r="A51" s="21" t="str">
        <f>IF(Base_de_donnée_clients!A51="","",Base_de_donnée_clients!A51)</f>
        <v/>
      </c>
      <c r="B51" s="22" t="str">
        <f>IF(Base_de_donnée_clients!B51="","",Base_de_donnée_clients!B51)</f>
        <v/>
      </c>
      <c r="C51" s="22" t="str">
        <f>IF(Base_de_donnée_clients!C51="","",Base_de_donnée_clients!C51)</f>
        <v/>
      </c>
      <c r="D51" s="22" t="str">
        <f>IF(Base_de_donnée_clients!D51="","",Base_de_donnée_clients!D51)</f>
        <v/>
      </c>
      <c r="E51" s="22" t="str">
        <f>IF(Base_de_donnée_clients!E51="","",Base_de_donnée_clients!E51)</f>
        <v/>
      </c>
      <c r="F51" s="22" t="str">
        <f>IF(Base_de_donnée_clients!F51="","",Base_de_donnée_clients!F51)</f>
        <v/>
      </c>
      <c r="G51" s="22" t="str">
        <f>IF(Base_de_donnée_clients!G51="","",Base_de_donnée_clients!G51)</f>
        <v/>
      </c>
      <c r="H51" s="22" t="str">
        <f>IF(Base_de_donnée_clients!H51="","",Base_de_donnée_clients!H51)</f>
        <v/>
      </c>
      <c r="I51" s="23" t="str">
        <f>IF(Base_de_donnée_clients!I51="","",Base_de_donnée_clients!I51)</f>
        <v/>
      </c>
    </row>
    <row r="52" spans="1:9" s="14" customFormat="1" ht="30" customHeight="1" thickBot="1" x14ac:dyDescent="0.5">
      <c r="A52" s="21" t="str">
        <f>IF(Base_de_donnée_clients!A52="","",Base_de_donnée_clients!A52)</f>
        <v/>
      </c>
      <c r="B52" s="22" t="str">
        <f>IF(Base_de_donnée_clients!B52="","",Base_de_donnée_clients!B52)</f>
        <v/>
      </c>
      <c r="C52" s="22" t="str">
        <f>IF(Base_de_donnée_clients!C52="","",Base_de_donnée_clients!C52)</f>
        <v/>
      </c>
      <c r="D52" s="22" t="str">
        <f>IF(Base_de_donnée_clients!D52="","",Base_de_donnée_clients!D52)</f>
        <v/>
      </c>
      <c r="E52" s="22" t="str">
        <f>IF(Base_de_donnée_clients!E52="","",Base_de_donnée_clients!E52)</f>
        <v/>
      </c>
      <c r="F52" s="22" t="str">
        <f>IF(Base_de_donnée_clients!F52="","",Base_de_donnée_clients!F52)</f>
        <v/>
      </c>
      <c r="G52" s="22" t="str">
        <f>IF(Base_de_donnée_clients!G52="","",Base_de_donnée_clients!G52)</f>
        <v/>
      </c>
      <c r="H52" s="22" t="str">
        <f>IF(Base_de_donnée_clients!H52="","",Base_de_donnée_clients!H52)</f>
        <v/>
      </c>
      <c r="I52" s="23" t="str">
        <f>IF(Base_de_donnée_clients!I52="","",Base_de_donnée_clients!I52)</f>
        <v/>
      </c>
    </row>
    <row r="53" spans="1:9" s="14" customFormat="1" ht="30" customHeight="1" thickBot="1" x14ac:dyDescent="0.5">
      <c r="A53" s="21" t="str">
        <f>IF(Base_de_donnée_clients!A53="","",Base_de_donnée_clients!A53)</f>
        <v/>
      </c>
      <c r="B53" s="22" t="str">
        <f>IF(Base_de_donnée_clients!B53="","",Base_de_donnée_clients!B53)</f>
        <v/>
      </c>
      <c r="C53" s="22" t="str">
        <f>IF(Base_de_donnée_clients!C53="","",Base_de_donnée_clients!C53)</f>
        <v/>
      </c>
      <c r="D53" s="22" t="str">
        <f>IF(Base_de_donnée_clients!D53="","",Base_de_donnée_clients!D53)</f>
        <v/>
      </c>
      <c r="E53" s="22" t="str">
        <f>IF(Base_de_donnée_clients!E53="","",Base_de_donnée_clients!E53)</f>
        <v/>
      </c>
      <c r="F53" s="22" t="str">
        <f>IF(Base_de_donnée_clients!F53="","",Base_de_donnée_clients!F53)</f>
        <v/>
      </c>
      <c r="G53" s="22" t="str">
        <f>IF(Base_de_donnée_clients!G53="","",Base_de_donnée_clients!G53)</f>
        <v/>
      </c>
      <c r="H53" s="22" t="str">
        <f>IF(Base_de_donnée_clients!H53="","",Base_de_donnée_clients!H53)</f>
        <v/>
      </c>
      <c r="I53" s="23" t="str">
        <f>IF(Base_de_donnée_clients!I53="","",Base_de_donnée_clients!I53)</f>
        <v/>
      </c>
    </row>
    <row r="54" spans="1:9" s="14" customFormat="1" ht="30" customHeight="1" thickBot="1" x14ac:dyDescent="0.5">
      <c r="A54" s="21" t="str">
        <f>IF(Base_de_donnée_clients!A54="","",Base_de_donnée_clients!A54)</f>
        <v/>
      </c>
      <c r="B54" s="22" t="str">
        <f>IF(Base_de_donnée_clients!B54="","",Base_de_donnée_clients!B54)</f>
        <v/>
      </c>
      <c r="C54" s="22" t="str">
        <f>IF(Base_de_donnée_clients!C54="","",Base_de_donnée_clients!C54)</f>
        <v/>
      </c>
      <c r="D54" s="22" t="str">
        <f>IF(Base_de_donnée_clients!D54="","",Base_de_donnée_clients!D54)</f>
        <v/>
      </c>
      <c r="E54" s="22" t="str">
        <f>IF(Base_de_donnée_clients!E54="","",Base_de_donnée_clients!E54)</f>
        <v/>
      </c>
      <c r="F54" s="22" t="str">
        <f>IF(Base_de_donnée_clients!F54="","",Base_de_donnée_clients!F54)</f>
        <v/>
      </c>
      <c r="G54" s="22" t="str">
        <f>IF(Base_de_donnée_clients!G54="","",Base_de_donnée_clients!G54)</f>
        <v/>
      </c>
      <c r="H54" s="22" t="str">
        <f>IF(Base_de_donnée_clients!H54="","",Base_de_donnée_clients!H54)</f>
        <v/>
      </c>
      <c r="I54" s="23" t="str">
        <f>IF(Base_de_donnée_clients!I54="","",Base_de_donnée_clients!I54)</f>
        <v/>
      </c>
    </row>
    <row r="55" spans="1:9" s="14" customFormat="1" ht="30" customHeight="1" thickBot="1" x14ac:dyDescent="0.5">
      <c r="A55" s="21"/>
      <c r="B55" s="22" t="str">
        <f>IF(Base_de_donnée_clients!B55="","",Base_de_donnée_clients!B55)</f>
        <v/>
      </c>
      <c r="C55" s="22" t="str">
        <f>IF(Base_de_donnée_clients!C55="","",Base_de_donnée_clients!C55)</f>
        <v/>
      </c>
      <c r="D55" s="22" t="str">
        <f>IF(Base_de_donnée_clients!D55="","",Base_de_donnée_clients!D55)</f>
        <v/>
      </c>
      <c r="E55" s="22" t="str">
        <f>IF(Base_de_donnée_clients!E55="","",Base_de_donnée_clients!E55)</f>
        <v/>
      </c>
      <c r="F55" s="22" t="str">
        <f>IF(Base_de_donnée_clients!F55="","",Base_de_donnée_clients!F55)</f>
        <v/>
      </c>
      <c r="G55" s="22" t="str">
        <f>IF(Base_de_donnée_clients!G55="","",Base_de_donnée_clients!G55)</f>
        <v/>
      </c>
      <c r="H55" s="22" t="str">
        <f>IF(Base_de_donnée_clients!H55="","",Base_de_donnée_clients!H55)</f>
        <v/>
      </c>
      <c r="I55" s="23" t="str">
        <f>IF(Base_de_donnée_clients!I55="","",Base_de_donnée_clients!I55)</f>
        <v/>
      </c>
    </row>
    <row r="56" spans="1:9" s="14" customFormat="1" ht="30" customHeight="1" thickBot="1" x14ac:dyDescent="0.5">
      <c r="A56" s="21"/>
      <c r="B56" s="22" t="str">
        <f>IF(Base_de_donnée_clients!B56="","",Base_de_donnée_clients!B56)</f>
        <v/>
      </c>
      <c r="C56" s="22" t="str">
        <f>IF(Base_de_donnée_clients!C56="","",Base_de_donnée_clients!C56)</f>
        <v/>
      </c>
      <c r="D56" s="22" t="str">
        <f>IF(Base_de_donnée_clients!D56="","",Base_de_donnée_clients!D56)</f>
        <v/>
      </c>
      <c r="E56" s="22" t="str">
        <f>IF(Base_de_donnée_clients!E56="","",Base_de_donnée_clients!E56)</f>
        <v/>
      </c>
      <c r="F56" s="22" t="str">
        <f>IF(Base_de_donnée_clients!F56="","",Base_de_donnée_clients!F56)</f>
        <v/>
      </c>
      <c r="G56" s="22" t="str">
        <f>IF(Base_de_donnée_clients!G56="","",Base_de_donnée_clients!G56)</f>
        <v/>
      </c>
      <c r="H56" s="22" t="str">
        <f>IF(Base_de_donnée_clients!H56="","",Base_de_donnée_clients!H56)</f>
        <v/>
      </c>
      <c r="I56" s="23" t="str">
        <f>IF(Base_de_donnée_clients!I56="","",Base_de_donnée_clients!I56)</f>
        <v/>
      </c>
    </row>
    <row r="57" spans="1:9" s="14" customFormat="1" ht="30" customHeight="1" thickBot="1" x14ac:dyDescent="0.5">
      <c r="A57" s="21"/>
      <c r="B57" s="22" t="str">
        <f>IF(Base_de_donnée_clients!B57="","",Base_de_donnée_clients!B57)</f>
        <v/>
      </c>
      <c r="C57" s="22" t="str">
        <f>IF(Base_de_donnée_clients!C57="","",Base_de_donnée_clients!C57)</f>
        <v/>
      </c>
      <c r="D57" s="22" t="str">
        <f>IF(Base_de_donnée_clients!D57="","",Base_de_donnée_clients!D57)</f>
        <v/>
      </c>
      <c r="E57" s="22" t="str">
        <f>IF(Base_de_donnée_clients!E57="","",Base_de_donnée_clients!E57)</f>
        <v/>
      </c>
      <c r="F57" s="22" t="str">
        <f>IF(Base_de_donnée_clients!F57="","",Base_de_donnée_clients!F57)</f>
        <v/>
      </c>
      <c r="G57" s="22" t="str">
        <f>IF(Base_de_donnée_clients!G57="","",Base_de_donnée_clients!G57)</f>
        <v/>
      </c>
      <c r="H57" s="22" t="str">
        <f>IF(Base_de_donnée_clients!H57="","",Base_de_donnée_clients!H57)</f>
        <v/>
      </c>
      <c r="I57" s="23" t="str">
        <f>IF(Base_de_donnée_clients!I57="","",Base_de_donnée_clients!I57)</f>
        <v/>
      </c>
    </row>
    <row r="58" spans="1:9" s="14" customFormat="1" ht="30" customHeight="1" thickBot="1" x14ac:dyDescent="0.5">
      <c r="A58" s="21"/>
      <c r="B58" s="22" t="str">
        <f>IF(Base_de_donnée_clients!B58="","",Base_de_donnée_clients!B58)</f>
        <v/>
      </c>
      <c r="C58" s="22" t="str">
        <f>IF(Base_de_donnée_clients!C58="","",Base_de_donnée_clients!C58)</f>
        <v/>
      </c>
      <c r="D58" s="22" t="str">
        <f>IF(Base_de_donnée_clients!D58="","",Base_de_donnée_clients!D58)</f>
        <v/>
      </c>
      <c r="E58" s="22" t="str">
        <f>IF(Base_de_donnée_clients!E58="","",Base_de_donnée_clients!E58)</f>
        <v/>
      </c>
      <c r="F58" s="22" t="str">
        <f>IF(Base_de_donnée_clients!F58="","",Base_de_donnée_clients!F58)</f>
        <v/>
      </c>
      <c r="G58" s="22" t="str">
        <f>IF(Base_de_donnée_clients!G58="","",Base_de_donnée_clients!G58)</f>
        <v/>
      </c>
      <c r="H58" s="22" t="str">
        <f>IF(Base_de_donnée_clients!H58="","",Base_de_donnée_clients!H58)</f>
        <v/>
      </c>
      <c r="I58" s="23" t="str">
        <f>IF(Base_de_donnée_clients!I58="","",Base_de_donnée_clients!I58)</f>
        <v/>
      </c>
    </row>
    <row r="59" spans="1:9" s="14" customFormat="1" ht="30" customHeight="1" thickBot="1" x14ac:dyDescent="0.5">
      <c r="A59" s="21"/>
      <c r="B59" s="22" t="str">
        <f>IF(Base_de_donnée_clients!B59="","",Base_de_donnée_clients!B59)</f>
        <v/>
      </c>
      <c r="C59" s="22" t="str">
        <f>IF(Base_de_donnée_clients!C59="","",Base_de_donnée_clients!C59)</f>
        <v/>
      </c>
      <c r="D59" s="22" t="str">
        <f>IF(Base_de_donnée_clients!D59="","",Base_de_donnée_clients!D59)</f>
        <v/>
      </c>
      <c r="E59" s="22" t="str">
        <f>IF(Base_de_donnée_clients!E59="","",Base_de_donnée_clients!E59)</f>
        <v/>
      </c>
      <c r="F59" s="22" t="str">
        <f>IF(Base_de_donnée_clients!F59="","",Base_de_donnée_clients!F59)</f>
        <v/>
      </c>
      <c r="G59" s="22" t="str">
        <f>IF(Base_de_donnée_clients!G59="","",Base_de_donnée_clients!G59)</f>
        <v/>
      </c>
      <c r="H59" s="22" t="str">
        <f>IF(Base_de_donnée_clients!H59="","",Base_de_donnée_clients!H59)</f>
        <v/>
      </c>
      <c r="I59" s="23" t="str">
        <f>IF(Base_de_donnée_clients!I59="","",Base_de_donnée_clients!I59)</f>
        <v/>
      </c>
    </row>
    <row r="60" spans="1:9" s="14" customFormat="1" ht="30" customHeight="1" thickBot="1" x14ac:dyDescent="0.5">
      <c r="A60" s="21"/>
      <c r="B60" s="22" t="str">
        <f>IF(Base_de_donnée_clients!B60="","",Base_de_donnée_clients!B60)</f>
        <v/>
      </c>
      <c r="C60" s="22" t="str">
        <f>IF(Base_de_donnée_clients!C60="","",Base_de_donnée_clients!C60)</f>
        <v/>
      </c>
      <c r="D60" s="22" t="str">
        <f>IF(Base_de_donnée_clients!D60="","",Base_de_donnée_clients!D60)</f>
        <v/>
      </c>
      <c r="E60" s="22" t="str">
        <f>IF(Base_de_donnée_clients!E60="","",Base_de_donnée_clients!E60)</f>
        <v/>
      </c>
      <c r="F60" s="22" t="str">
        <f>IF(Base_de_donnée_clients!F60="","",Base_de_donnée_clients!F60)</f>
        <v/>
      </c>
      <c r="G60" s="22" t="str">
        <f>IF(Base_de_donnée_clients!G60="","",Base_de_donnée_clients!G60)</f>
        <v/>
      </c>
      <c r="H60" s="22" t="str">
        <f>IF(Base_de_donnée_clients!H60="","",Base_de_donnée_clients!H60)</f>
        <v/>
      </c>
      <c r="I60" s="23" t="str">
        <f>IF(Base_de_donnée_clients!I60="","",Base_de_donnée_clients!I60)</f>
        <v/>
      </c>
    </row>
    <row r="61" spans="1:9" s="14" customFormat="1" ht="30" customHeight="1" thickBot="1" x14ac:dyDescent="0.5">
      <c r="A61" s="21"/>
      <c r="B61" s="22" t="str">
        <f>IF(Base_de_donnée_clients!B61="","",Base_de_donnée_clients!B61)</f>
        <v/>
      </c>
      <c r="C61" s="22" t="str">
        <f>IF(Base_de_donnée_clients!C61="","",Base_de_donnée_clients!C61)</f>
        <v/>
      </c>
      <c r="D61" s="22" t="str">
        <f>IF(Base_de_donnée_clients!D61="","",Base_de_donnée_clients!D61)</f>
        <v/>
      </c>
      <c r="E61" s="22" t="str">
        <f>IF(Base_de_donnée_clients!E61="","",Base_de_donnée_clients!E61)</f>
        <v/>
      </c>
      <c r="F61" s="22" t="str">
        <f>IF(Base_de_donnée_clients!F61="","",Base_de_donnée_clients!F61)</f>
        <v/>
      </c>
      <c r="G61" s="22" t="str">
        <f>IF(Base_de_donnée_clients!G61="","",Base_de_donnée_clients!G61)</f>
        <v/>
      </c>
      <c r="H61" s="22" t="str">
        <f>IF(Base_de_donnée_clients!H61="","",Base_de_donnée_clients!H61)</f>
        <v/>
      </c>
      <c r="I61" s="23" t="str">
        <f>IF(Base_de_donnée_clients!I61="","",Base_de_donnée_clients!I61)</f>
        <v/>
      </c>
    </row>
    <row r="62" spans="1:9" s="14" customFormat="1" ht="30" customHeight="1" thickBot="1" x14ac:dyDescent="0.5">
      <c r="A62" s="21"/>
      <c r="B62" s="22" t="str">
        <f>IF(Base_de_donnée_clients!B62="","",Base_de_donnée_clients!B62)</f>
        <v/>
      </c>
      <c r="C62" s="22" t="str">
        <f>IF(Base_de_donnée_clients!C62="","",Base_de_donnée_clients!C62)</f>
        <v/>
      </c>
      <c r="D62" s="22" t="str">
        <f>IF(Base_de_donnée_clients!D62="","",Base_de_donnée_clients!D62)</f>
        <v/>
      </c>
      <c r="E62" s="22" t="str">
        <f>IF(Base_de_donnée_clients!E62="","",Base_de_donnée_clients!E62)</f>
        <v/>
      </c>
      <c r="F62" s="22" t="str">
        <f>IF(Base_de_donnée_clients!F62="","",Base_de_donnée_clients!F62)</f>
        <v/>
      </c>
      <c r="G62" s="22" t="str">
        <f>IF(Base_de_donnée_clients!G62="","",Base_de_donnée_clients!G62)</f>
        <v/>
      </c>
      <c r="H62" s="22" t="str">
        <f>IF(Base_de_donnée_clients!H62="","",Base_de_donnée_clients!H62)</f>
        <v/>
      </c>
      <c r="I62" s="23" t="str">
        <f>IF(Base_de_donnée_clients!I62="","",Base_de_donnée_clients!I62)</f>
        <v/>
      </c>
    </row>
    <row r="63" spans="1:9" s="14" customFormat="1" ht="30" customHeight="1" thickBot="1" x14ac:dyDescent="0.5">
      <c r="A63" s="21"/>
      <c r="B63" s="22" t="str">
        <f>IF(Base_de_donnée_clients!B63="","",Base_de_donnée_clients!B63)</f>
        <v/>
      </c>
      <c r="C63" s="22" t="str">
        <f>IF(Base_de_donnée_clients!C63="","",Base_de_donnée_clients!C63)</f>
        <v/>
      </c>
      <c r="D63" s="22" t="str">
        <f>IF(Base_de_donnée_clients!D63="","",Base_de_donnée_clients!D63)</f>
        <v/>
      </c>
      <c r="E63" s="22" t="str">
        <f>IF(Base_de_donnée_clients!E63="","",Base_de_donnée_clients!E63)</f>
        <v/>
      </c>
      <c r="F63" s="22" t="str">
        <f>IF(Base_de_donnée_clients!F63="","",Base_de_donnée_clients!F63)</f>
        <v/>
      </c>
      <c r="G63" s="22" t="str">
        <f>IF(Base_de_donnée_clients!G63="","",Base_de_donnée_clients!G63)</f>
        <v/>
      </c>
      <c r="H63" s="22" t="str">
        <f>IF(Base_de_donnée_clients!H63="","",Base_de_donnée_clients!H63)</f>
        <v/>
      </c>
      <c r="I63" s="23" t="str">
        <f>IF(Base_de_donnée_clients!I63="","",Base_de_donnée_clients!I63)</f>
        <v/>
      </c>
    </row>
    <row r="64" spans="1:9" s="14" customFormat="1" ht="30" customHeight="1" thickBot="1" x14ac:dyDescent="0.5">
      <c r="A64" s="21"/>
      <c r="B64" s="22" t="str">
        <f>IF(Base_de_donnée_clients!B64="","",Base_de_donnée_clients!B64)</f>
        <v/>
      </c>
      <c r="C64" s="22" t="str">
        <f>IF(Base_de_donnée_clients!C64="","",Base_de_donnée_clients!C64)</f>
        <v/>
      </c>
      <c r="D64" s="22" t="str">
        <f>IF(Base_de_donnée_clients!D64="","",Base_de_donnée_clients!D64)</f>
        <v/>
      </c>
      <c r="E64" s="22" t="str">
        <f>IF(Base_de_donnée_clients!E64="","",Base_de_donnée_clients!E64)</f>
        <v/>
      </c>
      <c r="F64" s="22" t="str">
        <f>IF(Base_de_donnée_clients!F64="","",Base_de_donnée_clients!F64)</f>
        <v/>
      </c>
      <c r="G64" s="22" t="str">
        <f>IF(Base_de_donnée_clients!G64="","",Base_de_donnée_clients!G64)</f>
        <v/>
      </c>
      <c r="H64" s="22" t="str">
        <f>IF(Base_de_donnée_clients!H64="","",Base_de_donnée_clients!H64)</f>
        <v/>
      </c>
      <c r="I64" s="23" t="str">
        <f>IF(Base_de_donnée_clients!I64="","",Base_de_donnée_clients!I64)</f>
        <v/>
      </c>
    </row>
    <row r="65" spans="1:9" s="14" customFormat="1" ht="30" customHeight="1" thickBot="1" x14ac:dyDescent="0.5">
      <c r="A65" s="21"/>
      <c r="B65" s="22" t="str">
        <f>IF(Base_de_donnée_clients!B65="","",Base_de_donnée_clients!B65)</f>
        <v/>
      </c>
      <c r="C65" s="22" t="str">
        <f>IF(Base_de_donnée_clients!C65="","",Base_de_donnée_clients!C65)</f>
        <v/>
      </c>
      <c r="D65" s="22" t="str">
        <f>IF(Base_de_donnée_clients!D65="","",Base_de_donnée_clients!D65)</f>
        <v/>
      </c>
      <c r="E65" s="22" t="str">
        <f>IF(Base_de_donnée_clients!E65="","",Base_de_donnée_clients!E65)</f>
        <v/>
      </c>
      <c r="F65" s="22" t="str">
        <f>IF(Base_de_donnée_clients!F65="","",Base_de_donnée_clients!F65)</f>
        <v/>
      </c>
      <c r="G65" s="22" t="str">
        <f>IF(Base_de_donnée_clients!G65="","",Base_de_donnée_clients!G65)</f>
        <v/>
      </c>
      <c r="H65" s="22" t="str">
        <f>IF(Base_de_donnée_clients!H65="","",Base_de_donnée_clients!H65)</f>
        <v/>
      </c>
      <c r="I65" s="23" t="str">
        <f>IF(Base_de_donnée_clients!I65="","",Base_de_donnée_clients!I65)</f>
        <v/>
      </c>
    </row>
    <row r="66" spans="1:9" s="14" customFormat="1" ht="30" customHeight="1" thickBot="1" x14ac:dyDescent="0.5">
      <c r="A66" s="21"/>
      <c r="B66" s="22" t="str">
        <f>IF(Base_de_donnée_clients!B66="","",Base_de_donnée_clients!B66)</f>
        <v/>
      </c>
      <c r="C66" s="22" t="str">
        <f>IF(Base_de_donnée_clients!C66="","",Base_de_donnée_clients!C66)</f>
        <v/>
      </c>
      <c r="D66" s="22" t="str">
        <f>IF(Base_de_donnée_clients!D66="","",Base_de_donnée_clients!D66)</f>
        <v/>
      </c>
      <c r="E66" s="22" t="str">
        <f>IF(Base_de_donnée_clients!E66="","",Base_de_donnée_clients!E66)</f>
        <v/>
      </c>
      <c r="F66" s="22" t="str">
        <f>IF(Base_de_donnée_clients!F66="","",Base_de_donnée_clients!F66)</f>
        <v/>
      </c>
      <c r="G66" s="22" t="str">
        <f>IF(Base_de_donnée_clients!G66="","",Base_de_donnée_clients!G66)</f>
        <v/>
      </c>
      <c r="H66" s="22" t="str">
        <f>IF(Base_de_donnée_clients!H66="","",Base_de_donnée_clients!H66)</f>
        <v/>
      </c>
      <c r="I66" s="23" t="str">
        <f>IF(Base_de_donnée_clients!I66="","",Base_de_donnée_clients!I66)</f>
        <v/>
      </c>
    </row>
    <row r="67" spans="1:9" s="14" customFormat="1" ht="30" customHeight="1" thickBot="1" x14ac:dyDescent="0.5">
      <c r="A67" s="21"/>
      <c r="B67" s="22" t="str">
        <f>IF(Base_de_donnée_clients!B67="","",Base_de_donnée_clients!B67)</f>
        <v/>
      </c>
      <c r="C67" s="22" t="str">
        <f>IF(Base_de_donnée_clients!C67="","",Base_de_donnée_clients!C67)</f>
        <v/>
      </c>
      <c r="D67" s="22" t="str">
        <f>IF(Base_de_donnée_clients!D67="","",Base_de_donnée_clients!D67)</f>
        <v/>
      </c>
      <c r="E67" s="22" t="str">
        <f>IF(Base_de_donnée_clients!E67="","",Base_de_donnée_clients!E67)</f>
        <v/>
      </c>
      <c r="F67" s="22" t="str">
        <f>IF(Base_de_donnée_clients!F67="","",Base_de_donnée_clients!F67)</f>
        <v/>
      </c>
      <c r="G67" s="22" t="str">
        <f>IF(Base_de_donnée_clients!G67="","",Base_de_donnée_clients!G67)</f>
        <v/>
      </c>
      <c r="H67" s="22" t="str">
        <f>IF(Base_de_donnée_clients!H67="","",Base_de_donnée_clients!H67)</f>
        <v/>
      </c>
      <c r="I67" s="23" t="str">
        <f>IF(Base_de_donnée_clients!I67="","",Base_de_donnée_clients!I67)</f>
        <v/>
      </c>
    </row>
    <row r="68" spans="1:9" s="14" customFormat="1" ht="30" customHeight="1" thickBot="1" x14ac:dyDescent="0.5">
      <c r="A68" s="21"/>
      <c r="B68" s="22" t="str">
        <f>IF(Base_de_donnée_clients!B68="","",Base_de_donnée_clients!B68)</f>
        <v/>
      </c>
      <c r="C68" s="22" t="str">
        <f>IF(Base_de_donnée_clients!C68="","",Base_de_donnée_clients!C68)</f>
        <v/>
      </c>
      <c r="D68" s="22" t="str">
        <f>IF(Base_de_donnée_clients!D68="","",Base_de_donnée_clients!D68)</f>
        <v/>
      </c>
      <c r="E68" s="22" t="str">
        <f>IF(Base_de_donnée_clients!E68="","",Base_de_donnée_clients!E68)</f>
        <v/>
      </c>
      <c r="F68" s="22" t="str">
        <f>IF(Base_de_donnée_clients!F68="","",Base_de_donnée_clients!F68)</f>
        <v/>
      </c>
      <c r="G68" s="22" t="str">
        <f>IF(Base_de_donnée_clients!G68="","",Base_de_donnée_clients!G68)</f>
        <v/>
      </c>
      <c r="H68" s="22" t="str">
        <f>IF(Base_de_donnée_clients!H68="","",Base_de_donnée_clients!H68)</f>
        <v/>
      </c>
      <c r="I68" s="23" t="str">
        <f>IF(Base_de_donnée_clients!I68="","",Base_de_donnée_clients!I68)</f>
        <v/>
      </c>
    </row>
    <row r="69" spans="1:9" s="14" customFormat="1" ht="30" customHeight="1" thickBot="1" x14ac:dyDescent="0.5">
      <c r="A69" s="21"/>
      <c r="B69" s="22" t="str">
        <f>IF(Base_de_donnée_clients!B69="","",Base_de_donnée_clients!B69)</f>
        <v/>
      </c>
      <c r="C69" s="22" t="str">
        <f>IF(Base_de_donnée_clients!C69="","",Base_de_donnée_clients!C69)</f>
        <v/>
      </c>
      <c r="D69" s="22" t="str">
        <f>IF(Base_de_donnée_clients!D69="","",Base_de_donnée_clients!D69)</f>
        <v/>
      </c>
      <c r="E69" s="22" t="str">
        <f>IF(Base_de_donnée_clients!E69="","",Base_de_donnée_clients!E69)</f>
        <v/>
      </c>
      <c r="F69" s="22" t="str">
        <f>IF(Base_de_donnée_clients!F69="","",Base_de_donnée_clients!F69)</f>
        <v/>
      </c>
      <c r="G69" s="22" t="str">
        <f>IF(Base_de_donnée_clients!G69="","",Base_de_donnée_clients!G69)</f>
        <v/>
      </c>
      <c r="H69" s="22" t="str">
        <f>IF(Base_de_donnée_clients!H69="","",Base_de_donnée_clients!H69)</f>
        <v/>
      </c>
      <c r="I69" s="23" t="str">
        <f>IF(Base_de_donnée_clients!I69="","",Base_de_donnée_clients!I69)</f>
        <v/>
      </c>
    </row>
    <row r="70" spans="1:9" s="14" customFormat="1" ht="30" customHeight="1" thickBot="1" x14ac:dyDescent="0.5">
      <c r="A70" s="21"/>
      <c r="B70" s="22" t="str">
        <f>IF(Base_de_donnée_clients!B70="","",Base_de_donnée_clients!B70)</f>
        <v/>
      </c>
      <c r="C70" s="22" t="str">
        <f>IF(Base_de_donnée_clients!C70="","",Base_de_donnée_clients!C70)</f>
        <v/>
      </c>
      <c r="D70" s="22" t="str">
        <f>IF(Base_de_donnée_clients!D70="","",Base_de_donnée_clients!D70)</f>
        <v/>
      </c>
      <c r="E70" s="22" t="str">
        <f>IF(Base_de_donnée_clients!E70="","",Base_de_donnée_clients!E70)</f>
        <v/>
      </c>
      <c r="F70" s="22" t="str">
        <f>IF(Base_de_donnée_clients!F70="","",Base_de_donnée_clients!F70)</f>
        <v/>
      </c>
      <c r="G70" s="22" t="str">
        <f>IF(Base_de_donnée_clients!G70="","",Base_de_donnée_clients!G70)</f>
        <v/>
      </c>
      <c r="H70" s="22" t="str">
        <f>IF(Base_de_donnée_clients!H70="","",Base_de_donnée_clients!H70)</f>
        <v/>
      </c>
      <c r="I70" s="23" t="str">
        <f>IF(Base_de_donnée_clients!I70="","",Base_de_donnée_clients!I70)</f>
        <v/>
      </c>
    </row>
    <row r="71" spans="1:9" s="14" customFormat="1" ht="30" customHeight="1" thickBot="1" x14ac:dyDescent="0.5">
      <c r="A71" s="21"/>
      <c r="B71" s="22" t="str">
        <f>IF(Base_de_donnée_clients!B71="","",Base_de_donnée_clients!B71)</f>
        <v/>
      </c>
      <c r="C71" s="22" t="str">
        <f>IF(Base_de_donnée_clients!C71="","",Base_de_donnée_clients!C71)</f>
        <v/>
      </c>
      <c r="D71" s="22" t="str">
        <f>IF(Base_de_donnée_clients!D71="","",Base_de_donnée_clients!D71)</f>
        <v/>
      </c>
      <c r="E71" s="22" t="str">
        <f>IF(Base_de_donnée_clients!E71="","",Base_de_donnée_clients!E71)</f>
        <v/>
      </c>
      <c r="F71" s="22" t="str">
        <f>IF(Base_de_donnée_clients!F71="","",Base_de_donnée_clients!F71)</f>
        <v/>
      </c>
      <c r="G71" s="22" t="str">
        <f>IF(Base_de_donnée_clients!G71="","",Base_de_donnée_clients!G71)</f>
        <v/>
      </c>
      <c r="H71" s="22" t="str">
        <f>IF(Base_de_donnée_clients!H71="","",Base_de_donnée_clients!H71)</f>
        <v/>
      </c>
      <c r="I71" s="23" t="str">
        <f>IF(Base_de_donnée_clients!I71="","",Base_de_donnée_clients!I71)</f>
        <v/>
      </c>
    </row>
    <row r="72" spans="1:9" s="14" customFormat="1" ht="30" customHeight="1" thickBot="1" x14ac:dyDescent="0.5">
      <c r="A72" s="21"/>
      <c r="B72" s="22" t="str">
        <f>IF(Base_de_donnée_clients!B72="","",Base_de_donnée_clients!B72)</f>
        <v/>
      </c>
      <c r="C72" s="22" t="str">
        <f>IF(Base_de_donnée_clients!C72="","",Base_de_donnée_clients!C72)</f>
        <v/>
      </c>
      <c r="D72" s="22" t="str">
        <f>IF(Base_de_donnée_clients!D72="","",Base_de_donnée_clients!D72)</f>
        <v/>
      </c>
      <c r="E72" s="22" t="str">
        <f>IF(Base_de_donnée_clients!E72="","",Base_de_donnée_clients!E72)</f>
        <v/>
      </c>
      <c r="F72" s="22" t="str">
        <f>IF(Base_de_donnée_clients!F72="","",Base_de_donnée_clients!F72)</f>
        <v/>
      </c>
      <c r="G72" s="22" t="str">
        <f>IF(Base_de_donnée_clients!G72="","",Base_de_donnée_clients!G72)</f>
        <v/>
      </c>
      <c r="H72" s="22" t="str">
        <f>IF(Base_de_donnée_clients!H72="","",Base_de_donnée_clients!H72)</f>
        <v/>
      </c>
      <c r="I72" s="23" t="str">
        <f>IF(Base_de_donnée_clients!I72="","",Base_de_donnée_clients!I72)</f>
        <v/>
      </c>
    </row>
    <row r="73" spans="1:9" s="14" customFormat="1" ht="30" customHeight="1" thickBot="1" x14ac:dyDescent="0.5">
      <c r="A73" s="21"/>
      <c r="B73" s="22" t="str">
        <f>IF(Base_de_donnée_clients!B73="","",Base_de_donnée_clients!B73)</f>
        <v/>
      </c>
      <c r="C73" s="22" t="str">
        <f>IF(Base_de_donnée_clients!C73="","",Base_de_donnée_clients!C73)</f>
        <v/>
      </c>
      <c r="D73" s="22" t="str">
        <f>IF(Base_de_donnée_clients!D73="","",Base_de_donnée_clients!D73)</f>
        <v/>
      </c>
      <c r="E73" s="22" t="str">
        <f>IF(Base_de_donnée_clients!E73="","",Base_de_donnée_clients!E73)</f>
        <v/>
      </c>
      <c r="F73" s="22" t="str">
        <f>IF(Base_de_donnée_clients!F73="","",Base_de_donnée_clients!F73)</f>
        <v/>
      </c>
      <c r="G73" s="22" t="str">
        <f>IF(Base_de_donnée_clients!G73="","",Base_de_donnée_clients!G73)</f>
        <v/>
      </c>
      <c r="H73" s="22" t="str">
        <f>IF(Base_de_donnée_clients!H73="","",Base_de_donnée_clients!H73)</f>
        <v/>
      </c>
      <c r="I73" s="23" t="str">
        <f>IF(Base_de_donnée_clients!I73="","",Base_de_donnée_clients!I73)</f>
        <v/>
      </c>
    </row>
    <row r="74" spans="1:9" s="14" customFormat="1" ht="30" customHeight="1" thickBot="1" x14ac:dyDescent="0.5">
      <c r="A74" s="21"/>
      <c r="B74" s="22" t="str">
        <f>IF(Base_de_donnée_clients!B74="","",Base_de_donnée_clients!B74)</f>
        <v/>
      </c>
      <c r="C74" s="22" t="str">
        <f>IF(Base_de_donnée_clients!C74="","",Base_de_donnée_clients!C74)</f>
        <v/>
      </c>
      <c r="D74" s="22" t="str">
        <f>IF(Base_de_donnée_clients!D74="","",Base_de_donnée_clients!D74)</f>
        <v/>
      </c>
      <c r="E74" s="22" t="str">
        <f>IF(Base_de_donnée_clients!E74="","",Base_de_donnée_clients!E74)</f>
        <v/>
      </c>
      <c r="F74" s="22" t="str">
        <f>IF(Base_de_donnée_clients!F74="","",Base_de_donnée_clients!F74)</f>
        <v/>
      </c>
      <c r="G74" s="22" t="str">
        <f>IF(Base_de_donnée_clients!G74="","",Base_de_donnée_clients!G74)</f>
        <v/>
      </c>
      <c r="H74" s="22" t="str">
        <f>IF(Base_de_donnée_clients!H74="","",Base_de_donnée_clients!H74)</f>
        <v/>
      </c>
      <c r="I74" s="23" t="str">
        <f>IF(Base_de_donnée_clients!I74="","",Base_de_donnée_clients!I74)</f>
        <v/>
      </c>
    </row>
    <row r="75" spans="1:9" s="14" customFormat="1" ht="30" customHeight="1" thickBot="1" x14ac:dyDescent="0.5">
      <c r="A75" s="21"/>
      <c r="B75" s="22" t="str">
        <f>IF(Base_de_donnée_clients!B75="","",Base_de_donnée_clients!B75)</f>
        <v/>
      </c>
      <c r="C75" s="22" t="str">
        <f>IF(Base_de_donnée_clients!C75="","",Base_de_donnée_clients!C75)</f>
        <v/>
      </c>
      <c r="D75" s="22" t="str">
        <f>IF(Base_de_donnée_clients!D75="","",Base_de_donnée_clients!D75)</f>
        <v/>
      </c>
      <c r="E75" s="22" t="str">
        <f>IF(Base_de_donnée_clients!E75="","",Base_de_donnée_clients!E75)</f>
        <v/>
      </c>
      <c r="F75" s="22" t="str">
        <f>IF(Base_de_donnée_clients!F75="","",Base_de_donnée_clients!F75)</f>
        <v/>
      </c>
      <c r="G75" s="22" t="str">
        <f>IF(Base_de_donnée_clients!G75="","",Base_de_donnée_clients!G75)</f>
        <v/>
      </c>
      <c r="H75" s="22" t="str">
        <f>IF(Base_de_donnée_clients!H75="","",Base_de_donnée_clients!H75)</f>
        <v/>
      </c>
      <c r="I75" s="23" t="str">
        <f>IF(Base_de_donnée_clients!I75="","",Base_de_donnée_clients!I75)</f>
        <v/>
      </c>
    </row>
    <row r="76" spans="1:9" s="14" customFormat="1" ht="30" customHeight="1" thickBot="1" x14ac:dyDescent="0.5">
      <c r="A76" s="21"/>
      <c r="B76" s="22" t="str">
        <f>IF(Base_de_donnée_clients!B76="","",Base_de_donnée_clients!B76)</f>
        <v/>
      </c>
      <c r="C76" s="22" t="str">
        <f>IF(Base_de_donnée_clients!C76="","",Base_de_donnée_clients!C76)</f>
        <v/>
      </c>
      <c r="D76" s="22" t="str">
        <f>IF(Base_de_donnée_clients!D76="","",Base_de_donnée_clients!D76)</f>
        <v/>
      </c>
      <c r="E76" s="22" t="str">
        <f>IF(Base_de_donnée_clients!E76="","",Base_de_donnée_clients!E76)</f>
        <v/>
      </c>
      <c r="F76" s="22" t="str">
        <f>IF(Base_de_donnée_clients!F76="","",Base_de_donnée_clients!F76)</f>
        <v/>
      </c>
      <c r="G76" s="22" t="str">
        <f>IF(Base_de_donnée_clients!G76="","",Base_de_donnée_clients!G76)</f>
        <v/>
      </c>
      <c r="H76" s="22" t="str">
        <f>IF(Base_de_donnée_clients!H76="","",Base_de_donnée_clients!H76)</f>
        <v/>
      </c>
      <c r="I76" s="23" t="str">
        <f>IF(Base_de_donnée_clients!I76="","",Base_de_donnée_clients!I76)</f>
        <v/>
      </c>
    </row>
    <row r="77" spans="1:9" s="14" customFormat="1" ht="30" customHeight="1" thickBot="1" x14ac:dyDescent="0.5">
      <c r="A77" s="21"/>
      <c r="B77" s="22" t="str">
        <f>IF(Base_de_donnée_clients!B77="","",Base_de_donnée_clients!B77)</f>
        <v/>
      </c>
      <c r="C77" s="22" t="str">
        <f>IF(Base_de_donnée_clients!C77="","",Base_de_donnée_clients!C77)</f>
        <v/>
      </c>
      <c r="D77" s="22" t="str">
        <f>IF(Base_de_donnée_clients!D77="","",Base_de_donnée_clients!D77)</f>
        <v/>
      </c>
      <c r="E77" s="22" t="str">
        <f>IF(Base_de_donnée_clients!E77="","",Base_de_donnée_clients!E77)</f>
        <v/>
      </c>
      <c r="F77" s="22" t="str">
        <f>IF(Base_de_donnée_clients!F77="","",Base_de_donnée_clients!F77)</f>
        <v/>
      </c>
      <c r="G77" s="22" t="str">
        <f>IF(Base_de_donnée_clients!G77="","",Base_de_donnée_clients!G77)</f>
        <v/>
      </c>
      <c r="H77" s="22" t="str">
        <f>IF(Base_de_donnée_clients!H77="","",Base_de_donnée_clients!H77)</f>
        <v/>
      </c>
      <c r="I77" s="23" t="str">
        <f>IF(Base_de_donnée_clients!I77="","",Base_de_donnée_clients!I77)</f>
        <v/>
      </c>
    </row>
    <row r="78" spans="1:9" s="14" customFormat="1" ht="30" customHeight="1" thickBot="1" x14ac:dyDescent="0.5">
      <c r="A78" s="21"/>
      <c r="B78" s="22" t="str">
        <f>IF(Base_de_donnée_clients!B78="","",Base_de_donnée_clients!B78)</f>
        <v/>
      </c>
      <c r="C78" s="22" t="str">
        <f>IF(Base_de_donnée_clients!C78="","",Base_de_donnée_clients!C78)</f>
        <v/>
      </c>
      <c r="D78" s="22" t="str">
        <f>IF(Base_de_donnée_clients!D78="","",Base_de_donnée_clients!D78)</f>
        <v/>
      </c>
      <c r="E78" s="22" t="str">
        <f>IF(Base_de_donnée_clients!E78="","",Base_de_donnée_clients!E78)</f>
        <v/>
      </c>
      <c r="F78" s="22" t="str">
        <f>IF(Base_de_donnée_clients!F78="","",Base_de_donnée_clients!F78)</f>
        <v/>
      </c>
      <c r="G78" s="22" t="str">
        <f>IF(Base_de_donnée_clients!G78="","",Base_de_donnée_clients!G78)</f>
        <v/>
      </c>
      <c r="H78" s="22" t="str">
        <f>IF(Base_de_donnée_clients!H78="","",Base_de_donnée_clients!H78)</f>
        <v/>
      </c>
      <c r="I78" s="23" t="str">
        <f>IF(Base_de_donnée_clients!I78="","",Base_de_donnée_clients!I78)</f>
        <v/>
      </c>
    </row>
    <row r="79" spans="1:9" s="14" customFormat="1" ht="30" customHeight="1" thickBot="1" x14ac:dyDescent="0.5">
      <c r="A79" s="21"/>
      <c r="B79" s="22" t="str">
        <f>IF(Base_de_donnée_clients!B79="","",Base_de_donnée_clients!B79)</f>
        <v/>
      </c>
      <c r="C79" s="22" t="str">
        <f>IF(Base_de_donnée_clients!C79="","",Base_de_donnée_clients!C79)</f>
        <v/>
      </c>
      <c r="D79" s="22" t="str">
        <f>IF(Base_de_donnée_clients!D79="","",Base_de_donnée_clients!D79)</f>
        <v/>
      </c>
      <c r="E79" s="22" t="str">
        <f>IF(Base_de_donnée_clients!E79="","",Base_de_donnée_clients!E79)</f>
        <v/>
      </c>
      <c r="F79" s="22" t="str">
        <f>IF(Base_de_donnée_clients!F79="","",Base_de_donnée_clients!F79)</f>
        <v/>
      </c>
      <c r="G79" s="22" t="str">
        <f>IF(Base_de_donnée_clients!G79="","",Base_de_donnée_clients!G79)</f>
        <v/>
      </c>
      <c r="H79" s="22" t="str">
        <f>IF(Base_de_donnée_clients!H79="","",Base_de_donnée_clients!H79)</f>
        <v/>
      </c>
      <c r="I79" s="23" t="str">
        <f>IF(Base_de_donnée_clients!I79="","",Base_de_donnée_clients!I79)</f>
        <v/>
      </c>
    </row>
    <row r="80" spans="1:9" s="14" customFormat="1" ht="30" customHeight="1" thickBot="1" x14ac:dyDescent="0.5">
      <c r="A80" s="21"/>
      <c r="B80" s="22" t="str">
        <f>IF(Base_de_donnée_clients!B80="","",Base_de_donnée_clients!B80)</f>
        <v/>
      </c>
      <c r="C80" s="22" t="str">
        <f>IF(Base_de_donnée_clients!C80="","",Base_de_donnée_clients!C80)</f>
        <v/>
      </c>
      <c r="D80" s="22" t="str">
        <f>IF(Base_de_donnée_clients!D80="","",Base_de_donnée_clients!D80)</f>
        <v/>
      </c>
      <c r="E80" s="22" t="str">
        <f>IF(Base_de_donnée_clients!E80="","",Base_de_donnée_clients!E80)</f>
        <v/>
      </c>
      <c r="F80" s="22" t="str">
        <f>IF(Base_de_donnée_clients!F80="","",Base_de_donnée_clients!F80)</f>
        <v/>
      </c>
      <c r="G80" s="22" t="str">
        <f>IF(Base_de_donnée_clients!G80="","",Base_de_donnée_clients!G80)</f>
        <v/>
      </c>
      <c r="H80" s="22" t="str">
        <f>IF(Base_de_donnée_clients!H80="","",Base_de_donnée_clients!H80)</f>
        <v/>
      </c>
      <c r="I80" s="23" t="str">
        <f>IF(Base_de_donnée_clients!I80="","",Base_de_donnée_clients!I80)</f>
        <v/>
      </c>
    </row>
    <row r="81" spans="1:9" s="14" customFormat="1" ht="30" customHeight="1" thickBot="1" x14ac:dyDescent="0.5">
      <c r="A81" s="21"/>
      <c r="B81" s="22" t="str">
        <f>IF(Base_de_donnée_clients!B81="","",Base_de_donnée_clients!B81)</f>
        <v/>
      </c>
      <c r="C81" s="22" t="str">
        <f>IF(Base_de_donnée_clients!C81="","",Base_de_donnée_clients!C81)</f>
        <v/>
      </c>
      <c r="D81" s="22" t="str">
        <f>IF(Base_de_donnée_clients!D81="","",Base_de_donnée_clients!D81)</f>
        <v/>
      </c>
      <c r="E81" s="22" t="str">
        <f>IF(Base_de_donnée_clients!E81="","",Base_de_donnée_clients!E81)</f>
        <v/>
      </c>
      <c r="F81" s="22" t="str">
        <f>IF(Base_de_donnée_clients!F81="","",Base_de_donnée_clients!F81)</f>
        <v/>
      </c>
      <c r="G81" s="22" t="str">
        <f>IF(Base_de_donnée_clients!G81="","",Base_de_donnée_clients!G81)</f>
        <v/>
      </c>
      <c r="H81" s="22" t="str">
        <f>IF(Base_de_donnée_clients!H81="","",Base_de_donnée_clients!H81)</f>
        <v/>
      </c>
      <c r="I81" s="23" t="str">
        <f>IF(Base_de_donnée_clients!I81="","",Base_de_donnée_clients!I81)</f>
        <v/>
      </c>
    </row>
    <row r="82" spans="1:9" s="14" customFormat="1" ht="30" customHeight="1" thickBot="1" x14ac:dyDescent="0.5">
      <c r="A82" s="21"/>
      <c r="B82" s="22" t="str">
        <f>IF(Base_de_donnée_clients!B82="","",Base_de_donnée_clients!B82)</f>
        <v/>
      </c>
      <c r="C82" s="22" t="str">
        <f>IF(Base_de_donnée_clients!C82="","",Base_de_donnée_clients!C82)</f>
        <v/>
      </c>
      <c r="D82" s="22" t="str">
        <f>IF(Base_de_donnée_clients!D82="","",Base_de_donnée_clients!D82)</f>
        <v/>
      </c>
      <c r="E82" s="22" t="str">
        <f>IF(Base_de_donnée_clients!E82="","",Base_de_donnée_clients!E82)</f>
        <v/>
      </c>
      <c r="F82" s="22" t="str">
        <f>IF(Base_de_donnée_clients!F82="","",Base_de_donnée_clients!F82)</f>
        <v/>
      </c>
      <c r="G82" s="22" t="str">
        <f>IF(Base_de_donnée_clients!G82="","",Base_de_donnée_clients!G82)</f>
        <v/>
      </c>
      <c r="H82" s="22" t="str">
        <f>IF(Base_de_donnée_clients!H82="","",Base_de_donnée_clients!H82)</f>
        <v/>
      </c>
      <c r="I82" s="23" t="str">
        <f>IF(Base_de_donnée_clients!I82="","",Base_de_donnée_clients!I82)</f>
        <v/>
      </c>
    </row>
    <row r="83" spans="1:9" s="14" customFormat="1" ht="30" customHeight="1" thickBot="1" x14ac:dyDescent="0.5">
      <c r="A83" s="21"/>
      <c r="B83" s="22" t="str">
        <f>IF(Base_de_donnée_clients!B83="","",Base_de_donnée_clients!B83)</f>
        <v/>
      </c>
      <c r="C83" s="22" t="str">
        <f>IF(Base_de_donnée_clients!C83="","",Base_de_donnée_clients!C83)</f>
        <v/>
      </c>
      <c r="D83" s="22" t="str">
        <f>IF(Base_de_donnée_clients!D83="","",Base_de_donnée_clients!D83)</f>
        <v/>
      </c>
      <c r="E83" s="22" t="str">
        <f>IF(Base_de_donnée_clients!E83="","",Base_de_donnée_clients!E83)</f>
        <v/>
      </c>
      <c r="F83" s="22" t="str">
        <f>IF(Base_de_donnée_clients!F83="","",Base_de_donnée_clients!F83)</f>
        <v/>
      </c>
      <c r="G83" s="22" t="str">
        <f>IF(Base_de_donnée_clients!G83="","",Base_de_donnée_clients!G83)</f>
        <v/>
      </c>
      <c r="H83" s="22" t="str">
        <f>IF(Base_de_donnée_clients!H83="","",Base_de_donnée_clients!H83)</f>
        <v/>
      </c>
      <c r="I83" s="23" t="str">
        <f>IF(Base_de_donnée_clients!I83="","",Base_de_donnée_clients!I83)</f>
        <v/>
      </c>
    </row>
    <row r="84" spans="1:9" s="14" customFormat="1" ht="30" customHeight="1" thickBot="1" x14ac:dyDescent="0.5">
      <c r="A84" s="21"/>
      <c r="B84" s="22" t="str">
        <f>IF(Base_de_donnée_clients!B84="","",Base_de_donnée_clients!B84)</f>
        <v/>
      </c>
      <c r="C84" s="22" t="str">
        <f>IF(Base_de_donnée_clients!C84="","",Base_de_donnée_clients!C84)</f>
        <v/>
      </c>
      <c r="D84" s="22" t="str">
        <f>IF(Base_de_donnée_clients!D84="","",Base_de_donnée_clients!D84)</f>
        <v/>
      </c>
      <c r="E84" s="22" t="str">
        <f>IF(Base_de_donnée_clients!E84="","",Base_de_donnée_clients!E84)</f>
        <v/>
      </c>
      <c r="F84" s="22" t="str">
        <f>IF(Base_de_donnée_clients!F84="","",Base_de_donnée_clients!F84)</f>
        <v/>
      </c>
      <c r="G84" s="22" t="str">
        <f>IF(Base_de_donnée_clients!G84="","",Base_de_donnée_clients!G84)</f>
        <v/>
      </c>
      <c r="H84" s="22" t="str">
        <f>IF(Base_de_donnée_clients!H84="","",Base_de_donnée_clients!H84)</f>
        <v/>
      </c>
      <c r="I84" s="23" t="str">
        <f>IF(Base_de_donnée_clients!I84="","",Base_de_donnée_clients!I84)</f>
        <v/>
      </c>
    </row>
    <row r="85" spans="1:9" s="14" customFormat="1" ht="30" customHeight="1" thickBot="1" x14ac:dyDescent="0.5">
      <c r="A85" s="21"/>
      <c r="B85" s="22" t="str">
        <f>IF(Base_de_donnée_clients!B85="","",Base_de_donnée_clients!B85)</f>
        <v/>
      </c>
      <c r="C85" s="22" t="str">
        <f>IF(Base_de_donnée_clients!C85="","",Base_de_donnée_clients!C85)</f>
        <v/>
      </c>
      <c r="D85" s="22" t="str">
        <f>IF(Base_de_donnée_clients!D85="","",Base_de_donnée_clients!D85)</f>
        <v/>
      </c>
      <c r="E85" s="22" t="str">
        <f>IF(Base_de_donnée_clients!E85="","",Base_de_donnée_clients!E85)</f>
        <v/>
      </c>
      <c r="F85" s="22" t="str">
        <f>IF(Base_de_donnée_clients!F85="","",Base_de_donnée_clients!F85)</f>
        <v/>
      </c>
      <c r="G85" s="22" t="str">
        <f>IF(Base_de_donnée_clients!G85="","",Base_de_donnée_clients!G85)</f>
        <v/>
      </c>
      <c r="H85" s="22" t="str">
        <f>IF(Base_de_donnée_clients!H85="","",Base_de_donnée_clients!H85)</f>
        <v/>
      </c>
      <c r="I85" s="23" t="str">
        <f>IF(Base_de_donnée_clients!I85="","",Base_de_donnée_clients!I85)</f>
        <v/>
      </c>
    </row>
    <row r="86" spans="1:9" s="14" customFormat="1" ht="30" customHeight="1" thickBot="1" x14ac:dyDescent="0.5">
      <c r="A86" s="21"/>
      <c r="B86" s="22" t="str">
        <f>IF(Base_de_donnée_clients!B86="","",Base_de_donnée_clients!B86)</f>
        <v/>
      </c>
      <c r="C86" s="22" t="str">
        <f>IF(Base_de_donnée_clients!C86="","",Base_de_donnée_clients!C86)</f>
        <v/>
      </c>
      <c r="D86" s="22" t="str">
        <f>IF(Base_de_donnée_clients!D86="","",Base_de_donnée_clients!D86)</f>
        <v/>
      </c>
      <c r="E86" s="22" t="str">
        <f>IF(Base_de_donnée_clients!E86="","",Base_de_donnée_clients!E86)</f>
        <v/>
      </c>
      <c r="F86" s="22" t="str">
        <f>IF(Base_de_donnée_clients!F86="","",Base_de_donnée_clients!F86)</f>
        <v/>
      </c>
      <c r="G86" s="22" t="str">
        <f>IF(Base_de_donnée_clients!G86="","",Base_de_donnée_clients!G86)</f>
        <v/>
      </c>
      <c r="H86" s="22" t="str">
        <f>IF(Base_de_donnée_clients!H86="","",Base_de_donnée_clients!H86)</f>
        <v/>
      </c>
      <c r="I86" s="23" t="str">
        <f>IF(Base_de_donnée_clients!I86="","",Base_de_donnée_clients!I86)</f>
        <v/>
      </c>
    </row>
    <row r="87" spans="1:9" s="14" customFormat="1" ht="30" customHeight="1" thickBot="1" x14ac:dyDescent="0.5">
      <c r="A87" s="21"/>
      <c r="B87" s="22" t="str">
        <f>IF(Base_de_donnée_clients!B87="","",Base_de_donnée_clients!B87)</f>
        <v/>
      </c>
      <c r="C87" s="22" t="str">
        <f>IF(Base_de_donnée_clients!C87="","",Base_de_donnée_clients!C87)</f>
        <v/>
      </c>
      <c r="D87" s="22" t="str">
        <f>IF(Base_de_donnée_clients!D87="","",Base_de_donnée_clients!D87)</f>
        <v/>
      </c>
      <c r="E87" s="22" t="str">
        <f>IF(Base_de_donnée_clients!E87="","",Base_de_donnée_clients!E87)</f>
        <v/>
      </c>
      <c r="F87" s="22" t="str">
        <f>IF(Base_de_donnée_clients!F87="","",Base_de_donnée_clients!F87)</f>
        <v/>
      </c>
      <c r="G87" s="22" t="str">
        <f>IF(Base_de_donnée_clients!G87="","",Base_de_donnée_clients!G87)</f>
        <v/>
      </c>
      <c r="H87" s="22" t="str">
        <f>IF(Base_de_donnée_clients!H87="","",Base_de_donnée_clients!H87)</f>
        <v/>
      </c>
      <c r="I87" s="23" t="str">
        <f>IF(Base_de_donnée_clients!I87="","",Base_de_donnée_clients!I87)</f>
        <v/>
      </c>
    </row>
    <row r="88" spans="1:9" s="14" customFormat="1" ht="30" customHeight="1" thickBot="1" x14ac:dyDescent="0.5">
      <c r="A88" s="21"/>
      <c r="B88" s="22" t="str">
        <f>IF(Base_de_donnée_clients!B88="","",Base_de_donnée_clients!B88)</f>
        <v/>
      </c>
      <c r="C88" s="22" t="str">
        <f>IF(Base_de_donnée_clients!C88="","",Base_de_donnée_clients!C88)</f>
        <v/>
      </c>
      <c r="D88" s="22" t="str">
        <f>IF(Base_de_donnée_clients!D88="","",Base_de_donnée_clients!D88)</f>
        <v/>
      </c>
      <c r="E88" s="22" t="str">
        <f>IF(Base_de_donnée_clients!E88="","",Base_de_donnée_clients!E88)</f>
        <v/>
      </c>
      <c r="F88" s="22" t="str">
        <f>IF(Base_de_donnée_clients!F88="","",Base_de_donnée_clients!F88)</f>
        <v/>
      </c>
      <c r="G88" s="22" t="str">
        <f>IF(Base_de_donnée_clients!G88="","",Base_de_donnée_clients!G88)</f>
        <v/>
      </c>
      <c r="H88" s="22" t="str">
        <f>IF(Base_de_donnée_clients!H88="","",Base_de_donnée_clients!H88)</f>
        <v/>
      </c>
      <c r="I88" s="23" t="str">
        <f>IF(Base_de_donnée_clients!I88="","",Base_de_donnée_clients!I88)</f>
        <v/>
      </c>
    </row>
    <row r="89" spans="1:9" s="14" customFormat="1" ht="30" customHeight="1" thickBot="1" x14ac:dyDescent="0.5">
      <c r="A89" s="21"/>
      <c r="B89" s="22" t="str">
        <f>IF(Base_de_donnée_clients!B89="","",Base_de_donnée_clients!B89)</f>
        <v/>
      </c>
      <c r="C89" s="22" t="str">
        <f>IF(Base_de_donnée_clients!C89="","",Base_de_donnée_clients!C89)</f>
        <v/>
      </c>
      <c r="D89" s="22" t="str">
        <f>IF(Base_de_donnée_clients!D89="","",Base_de_donnée_clients!D89)</f>
        <v/>
      </c>
      <c r="E89" s="22" t="str">
        <f>IF(Base_de_donnée_clients!E89="","",Base_de_donnée_clients!E89)</f>
        <v/>
      </c>
      <c r="F89" s="22" t="str">
        <f>IF(Base_de_donnée_clients!F89="","",Base_de_donnée_clients!F89)</f>
        <v/>
      </c>
      <c r="G89" s="22" t="str">
        <f>IF(Base_de_donnée_clients!G89="","",Base_de_donnée_clients!G89)</f>
        <v/>
      </c>
      <c r="H89" s="22" t="str">
        <f>IF(Base_de_donnée_clients!H89="","",Base_de_donnée_clients!H89)</f>
        <v/>
      </c>
      <c r="I89" s="23" t="str">
        <f>IF(Base_de_donnée_clients!I89="","",Base_de_donnée_clients!I89)</f>
        <v/>
      </c>
    </row>
    <row r="90" spans="1:9" s="14" customFormat="1" ht="30" customHeight="1" thickBot="1" x14ac:dyDescent="0.5">
      <c r="A90" s="21"/>
      <c r="B90" s="22" t="str">
        <f>IF(Base_de_donnée_clients!B90="","",Base_de_donnée_clients!B90)</f>
        <v/>
      </c>
      <c r="C90" s="22" t="str">
        <f>IF(Base_de_donnée_clients!C90="","",Base_de_donnée_clients!C90)</f>
        <v/>
      </c>
      <c r="D90" s="22" t="str">
        <f>IF(Base_de_donnée_clients!D90="","",Base_de_donnée_clients!D90)</f>
        <v/>
      </c>
      <c r="E90" s="22" t="str">
        <f>IF(Base_de_donnée_clients!E90="","",Base_de_donnée_clients!E90)</f>
        <v/>
      </c>
      <c r="F90" s="22" t="str">
        <f>IF(Base_de_donnée_clients!F90="","",Base_de_donnée_clients!F90)</f>
        <v/>
      </c>
      <c r="G90" s="22" t="str">
        <f>IF(Base_de_donnée_clients!G90="","",Base_de_donnée_clients!G90)</f>
        <v/>
      </c>
      <c r="H90" s="22" t="str">
        <f>IF(Base_de_donnée_clients!H90="","",Base_de_donnée_clients!H90)</f>
        <v/>
      </c>
      <c r="I90" s="23" t="str">
        <f>IF(Base_de_donnée_clients!I90="","",Base_de_donnée_clients!I90)</f>
        <v/>
      </c>
    </row>
    <row r="91" spans="1:9" s="14" customFormat="1" ht="30" customHeight="1" thickBot="1" x14ac:dyDescent="0.5">
      <c r="A91" s="21"/>
      <c r="B91" s="22" t="str">
        <f>IF(Base_de_donnée_clients!B91="","",Base_de_donnée_clients!B91)</f>
        <v/>
      </c>
      <c r="C91" s="22" t="str">
        <f>IF(Base_de_donnée_clients!C91="","",Base_de_donnée_clients!C91)</f>
        <v/>
      </c>
      <c r="D91" s="22" t="str">
        <f>IF(Base_de_donnée_clients!D91="","",Base_de_donnée_clients!D91)</f>
        <v/>
      </c>
      <c r="E91" s="22" t="str">
        <f>IF(Base_de_donnée_clients!E91="","",Base_de_donnée_clients!E91)</f>
        <v/>
      </c>
      <c r="F91" s="22" t="str">
        <f>IF(Base_de_donnée_clients!F91="","",Base_de_donnée_clients!F91)</f>
        <v/>
      </c>
      <c r="G91" s="22" t="str">
        <f>IF(Base_de_donnée_clients!G91="","",Base_de_donnée_clients!G91)</f>
        <v/>
      </c>
      <c r="H91" s="22" t="str">
        <f>IF(Base_de_donnée_clients!H91="","",Base_de_donnée_clients!H91)</f>
        <v/>
      </c>
      <c r="I91" s="23" t="str">
        <f>IF(Base_de_donnée_clients!I91="","",Base_de_donnée_clients!I91)</f>
        <v/>
      </c>
    </row>
    <row r="92" spans="1:9" s="14" customFormat="1" ht="30" customHeight="1" thickBot="1" x14ac:dyDescent="0.5">
      <c r="A92" s="21"/>
      <c r="B92" s="22" t="str">
        <f>IF(Base_de_donnée_clients!B92="","",Base_de_donnée_clients!B92)</f>
        <v/>
      </c>
      <c r="C92" s="22" t="str">
        <f>IF(Base_de_donnée_clients!C92="","",Base_de_donnée_clients!C92)</f>
        <v/>
      </c>
      <c r="D92" s="22" t="str">
        <f>IF(Base_de_donnée_clients!D92="","",Base_de_donnée_clients!D92)</f>
        <v/>
      </c>
      <c r="E92" s="22" t="str">
        <f>IF(Base_de_donnée_clients!E92="","",Base_de_donnée_clients!E92)</f>
        <v/>
      </c>
      <c r="F92" s="22" t="str">
        <f>IF(Base_de_donnée_clients!F92="","",Base_de_donnée_clients!F92)</f>
        <v/>
      </c>
      <c r="G92" s="22" t="str">
        <f>IF(Base_de_donnée_clients!G92="","",Base_de_donnée_clients!G92)</f>
        <v/>
      </c>
      <c r="H92" s="22" t="str">
        <f>IF(Base_de_donnée_clients!H92="","",Base_de_donnée_clients!H92)</f>
        <v/>
      </c>
      <c r="I92" s="23" t="str">
        <f>IF(Base_de_donnée_clients!I92="","",Base_de_donnée_clients!I92)</f>
        <v/>
      </c>
    </row>
    <row r="93" spans="1:9" s="14" customFormat="1" ht="30" customHeight="1" thickBot="1" x14ac:dyDescent="0.5">
      <c r="A93" s="21"/>
      <c r="B93" s="22" t="str">
        <f>IF(Base_de_donnée_clients!B93="","",Base_de_donnée_clients!B93)</f>
        <v/>
      </c>
      <c r="C93" s="22" t="str">
        <f>IF(Base_de_donnée_clients!C93="","",Base_de_donnée_clients!C93)</f>
        <v/>
      </c>
      <c r="D93" s="22" t="str">
        <f>IF(Base_de_donnée_clients!D93="","",Base_de_donnée_clients!D93)</f>
        <v/>
      </c>
      <c r="E93" s="22" t="str">
        <f>IF(Base_de_donnée_clients!E93="","",Base_de_donnée_clients!E93)</f>
        <v/>
      </c>
      <c r="F93" s="22" t="str">
        <f>IF(Base_de_donnée_clients!F93="","",Base_de_donnée_clients!F93)</f>
        <v/>
      </c>
      <c r="G93" s="22" t="str">
        <f>IF(Base_de_donnée_clients!G93="","",Base_de_donnée_clients!G93)</f>
        <v/>
      </c>
      <c r="H93" s="22" t="str">
        <f>IF(Base_de_donnée_clients!H93="","",Base_de_donnée_clients!H93)</f>
        <v/>
      </c>
      <c r="I93" s="23" t="str">
        <f>IF(Base_de_donnée_clients!I93="","",Base_de_donnée_clients!I93)</f>
        <v/>
      </c>
    </row>
    <row r="94" spans="1:9" s="14" customFormat="1" ht="30" customHeight="1" thickBot="1" x14ac:dyDescent="0.5">
      <c r="A94" s="21"/>
      <c r="B94" s="22" t="str">
        <f>IF(Base_de_donnée_clients!B94="","",Base_de_donnée_clients!B94)</f>
        <v/>
      </c>
      <c r="C94" s="22" t="str">
        <f>IF(Base_de_donnée_clients!C94="","",Base_de_donnée_clients!C94)</f>
        <v/>
      </c>
      <c r="D94" s="22" t="str">
        <f>IF(Base_de_donnée_clients!D94="","",Base_de_donnée_clients!D94)</f>
        <v/>
      </c>
      <c r="E94" s="22" t="str">
        <f>IF(Base_de_donnée_clients!E94="","",Base_de_donnée_clients!E94)</f>
        <v/>
      </c>
      <c r="F94" s="22" t="str">
        <f>IF(Base_de_donnée_clients!F94="","",Base_de_donnée_clients!F94)</f>
        <v/>
      </c>
      <c r="G94" s="22" t="str">
        <f>IF(Base_de_donnée_clients!G94="","",Base_de_donnée_clients!G94)</f>
        <v/>
      </c>
      <c r="H94" s="22" t="str">
        <f>IF(Base_de_donnée_clients!H94="","",Base_de_donnée_clients!H94)</f>
        <v/>
      </c>
      <c r="I94" s="23" t="str">
        <f>IF(Base_de_donnée_clients!I94="","",Base_de_donnée_clients!I94)</f>
        <v/>
      </c>
    </row>
    <row r="95" spans="1:9" s="14" customFormat="1" ht="30" customHeight="1" thickBot="1" x14ac:dyDescent="0.5">
      <c r="A95" s="21"/>
      <c r="B95" s="22" t="str">
        <f>IF(Base_de_donnée_clients!B95="","",Base_de_donnée_clients!B95)</f>
        <v/>
      </c>
      <c r="C95" s="22" t="str">
        <f>IF(Base_de_donnée_clients!C95="","",Base_de_donnée_clients!C95)</f>
        <v/>
      </c>
      <c r="D95" s="22" t="str">
        <f>IF(Base_de_donnée_clients!D95="","",Base_de_donnée_clients!D95)</f>
        <v/>
      </c>
      <c r="E95" s="22" t="str">
        <f>IF(Base_de_donnée_clients!E95="","",Base_de_donnée_clients!E95)</f>
        <v/>
      </c>
      <c r="F95" s="22" t="str">
        <f>IF(Base_de_donnée_clients!F95="","",Base_de_donnée_clients!F95)</f>
        <v/>
      </c>
      <c r="G95" s="22" t="str">
        <f>IF(Base_de_donnée_clients!G95="","",Base_de_donnée_clients!G95)</f>
        <v/>
      </c>
      <c r="H95" s="22" t="str">
        <f>IF(Base_de_donnée_clients!H95="","",Base_de_donnée_clients!H95)</f>
        <v/>
      </c>
      <c r="I95" s="23" t="str">
        <f>IF(Base_de_donnée_clients!I95="","",Base_de_donnée_clients!I95)</f>
        <v/>
      </c>
    </row>
    <row r="96" spans="1:9" s="14" customFormat="1" ht="30" customHeight="1" thickBot="1" x14ac:dyDescent="0.5">
      <c r="A96" s="21"/>
      <c r="B96" s="22" t="str">
        <f>IF(Base_de_donnée_clients!B96="","",Base_de_donnée_clients!B96)</f>
        <v/>
      </c>
      <c r="C96" s="22" t="str">
        <f>IF(Base_de_donnée_clients!C96="","",Base_de_donnée_clients!C96)</f>
        <v/>
      </c>
      <c r="D96" s="22" t="str">
        <f>IF(Base_de_donnée_clients!D96="","",Base_de_donnée_clients!D96)</f>
        <v/>
      </c>
      <c r="E96" s="22" t="str">
        <f>IF(Base_de_donnée_clients!E96="","",Base_de_donnée_clients!E96)</f>
        <v/>
      </c>
      <c r="F96" s="22" t="str">
        <f>IF(Base_de_donnée_clients!F96="","",Base_de_donnée_clients!F96)</f>
        <v/>
      </c>
      <c r="G96" s="22" t="str">
        <f>IF(Base_de_donnée_clients!G96="","",Base_de_donnée_clients!G96)</f>
        <v/>
      </c>
      <c r="H96" s="22" t="str">
        <f>IF(Base_de_donnée_clients!H96="","",Base_de_donnée_clients!H96)</f>
        <v/>
      </c>
      <c r="I96" s="23" t="str">
        <f>IF(Base_de_donnée_clients!I96="","",Base_de_donnée_clients!I96)</f>
        <v/>
      </c>
    </row>
    <row r="97" spans="1:9" s="14" customFormat="1" ht="30" customHeight="1" thickBot="1" x14ac:dyDescent="0.5">
      <c r="A97" s="21"/>
      <c r="B97" s="22" t="str">
        <f>IF(Base_de_donnée_clients!B97="","",Base_de_donnée_clients!B97)</f>
        <v/>
      </c>
      <c r="C97" s="22" t="str">
        <f>IF(Base_de_donnée_clients!C97="","",Base_de_donnée_clients!C97)</f>
        <v/>
      </c>
      <c r="D97" s="22" t="str">
        <f>IF(Base_de_donnée_clients!D97="","",Base_de_donnée_clients!D97)</f>
        <v/>
      </c>
      <c r="E97" s="22" t="str">
        <f>IF(Base_de_donnée_clients!E97="","",Base_de_donnée_clients!E97)</f>
        <v/>
      </c>
      <c r="F97" s="22" t="str">
        <f>IF(Base_de_donnée_clients!F97="","",Base_de_donnée_clients!F97)</f>
        <v/>
      </c>
      <c r="G97" s="22" t="str">
        <f>IF(Base_de_donnée_clients!G97="","",Base_de_donnée_clients!G97)</f>
        <v/>
      </c>
      <c r="H97" s="22" t="str">
        <f>IF(Base_de_donnée_clients!H97="","",Base_de_donnée_clients!H97)</f>
        <v/>
      </c>
      <c r="I97" s="23" t="str">
        <f>IF(Base_de_donnée_clients!I97="","",Base_de_donnée_clients!I97)</f>
        <v/>
      </c>
    </row>
    <row r="98" spans="1:9" s="14" customFormat="1" ht="30" customHeight="1" thickBot="1" x14ac:dyDescent="0.5">
      <c r="A98" s="21"/>
      <c r="B98" s="22" t="str">
        <f>IF(Base_de_donnée_clients!B98="","",Base_de_donnée_clients!B98)</f>
        <v/>
      </c>
      <c r="C98" s="22" t="str">
        <f>IF(Base_de_donnée_clients!C98="","",Base_de_donnée_clients!C98)</f>
        <v/>
      </c>
      <c r="D98" s="22" t="str">
        <f>IF(Base_de_donnée_clients!D98="","",Base_de_donnée_clients!D98)</f>
        <v/>
      </c>
      <c r="E98" s="22" t="str">
        <f>IF(Base_de_donnée_clients!E98="","",Base_de_donnée_clients!E98)</f>
        <v/>
      </c>
      <c r="F98" s="22" t="str">
        <f>IF(Base_de_donnée_clients!F98="","",Base_de_donnée_clients!F98)</f>
        <v/>
      </c>
      <c r="G98" s="22" t="str">
        <f>IF(Base_de_donnée_clients!G98="","",Base_de_donnée_clients!G98)</f>
        <v/>
      </c>
      <c r="H98" s="22" t="str">
        <f>IF(Base_de_donnée_clients!H98="","",Base_de_donnée_clients!H98)</f>
        <v/>
      </c>
      <c r="I98" s="23" t="str">
        <f>IF(Base_de_donnée_clients!I98="","",Base_de_donnée_clients!I98)</f>
        <v/>
      </c>
    </row>
    <row r="99" spans="1:9" s="14" customFormat="1" ht="30" customHeight="1" thickBot="1" x14ac:dyDescent="0.5">
      <c r="A99" s="21"/>
      <c r="B99" s="22" t="str">
        <f>IF(Base_de_donnée_clients!B99="","",Base_de_donnée_clients!B99)</f>
        <v/>
      </c>
      <c r="C99" s="22" t="str">
        <f>IF(Base_de_donnée_clients!C99="","",Base_de_donnée_clients!C99)</f>
        <v/>
      </c>
      <c r="D99" s="22" t="str">
        <f>IF(Base_de_donnée_clients!D99="","",Base_de_donnée_clients!D99)</f>
        <v/>
      </c>
      <c r="E99" s="22" t="str">
        <f>IF(Base_de_donnée_clients!E99="","",Base_de_donnée_clients!E99)</f>
        <v/>
      </c>
      <c r="F99" s="22" t="str">
        <f>IF(Base_de_donnée_clients!F99="","",Base_de_donnée_clients!F99)</f>
        <v/>
      </c>
      <c r="G99" s="22" t="str">
        <f>IF(Base_de_donnée_clients!G99="","",Base_de_donnée_clients!G99)</f>
        <v/>
      </c>
      <c r="H99" s="22" t="str">
        <f>IF(Base_de_donnée_clients!H99="","",Base_de_donnée_clients!H99)</f>
        <v/>
      </c>
      <c r="I99" s="23" t="str">
        <f>IF(Base_de_donnée_clients!I99="","",Base_de_donnée_clients!I99)</f>
        <v/>
      </c>
    </row>
    <row r="100" spans="1:9" s="14" customFormat="1" ht="30" customHeight="1" thickBot="1" x14ac:dyDescent="0.5">
      <c r="A100" s="21"/>
      <c r="B100" s="22" t="str">
        <f>IF(Base_de_donnée_clients!B100="","",Base_de_donnée_clients!B100)</f>
        <v/>
      </c>
      <c r="C100" s="22" t="str">
        <f>IF(Base_de_donnée_clients!C100="","",Base_de_donnée_clients!C100)</f>
        <v/>
      </c>
      <c r="D100" s="22" t="str">
        <f>IF(Base_de_donnée_clients!D100="","",Base_de_donnée_clients!D100)</f>
        <v/>
      </c>
      <c r="E100" s="22" t="str">
        <f>IF(Base_de_donnée_clients!E100="","",Base_de_donnée_clients!E100)</f>
        <v/>
      </c>
      <c r="F100" s="22" t="str">
        <f>IF(Base_de_donnée_clients!F100="","",Base_de_donnée_clients!F100)</f>
        <v/>
      </c>
      <c r="G100" s="22" t="str">
        <f>IF(Base_de_donnée_clients!G100="","",Base_de_donnée_clients!G100)</f>
        <v/>
      </c>
      <c r="H100" s="22" t="str">
        <f>IF(Base_de_donnée_clients!H100="","",Base_de_donnée_clients!H100)</f>
        <v/>
      </c>
      <c r="I100" s="23" t="str">
        <f>IF(Base_de_donnée_clients!I100="","",Base_de_donnée_clients!I100)</f>
        <v/>
      </c>
    </row>
    <row r="101" spans="1:9" s="14" customFormat="1" ht="30" customHeight="1" thickBot="1" x14ac:dyDescent="0.5">
      <c r="A101" s="21"/>
      <c r="B101" s="22" t="str">
        <f>IF(Base_de_donnée_clients!B101="","",Base_de_donnée_clients!B101)</f>
        <v/>
      </c>
      <c r="C101" s="22" t="str">
        <f>IF(Base_de_donnée_clients!C101="","",Base_de_donnée_clients!C101)</f>
        <v/>
      </c>
      <c r="D101" s="22" t="str">
        <f>IF(Base_de_donnée_clients!D101="","",Base_de_donnée_clients!D101)</f>
        <v/>
      </c>
      <c r="E101" s="22" t="str">
        <f>IF(Base_de_donnée_clients!E101="","",Base_de_donnée_clients!E101)</f>
        <v/>
      </c>
      <c r="F101" s="22" t="str">
        <f>IF(Base_de_donnée_clients!F101="","",Base_de_donnée_clients!F101)</f>
        <v/>
      </c>
      <c r="G101" s="22" t="str">
        <f>IF(Base_de_donnée_clients!G101="","",Base_de_donnée_clients!G101)</f>
        <v/>
      </c>
      <c r="H101" s="22" t="str">
        <f>IF(Base_de_donnée_clients!H101="","",Base_de_donnée_clients!H101)</f>
        <v/>
      </c>
      <c r="I101" s="23" t="str">
        <f>IF(Base_de_donnée_clients!I101="","",Base_de_donnée_clients!I101)</f>
        <v/>
      </c>
    </row>
    <row r="102" spans="1:9" s="14" customFormat="1" ht="30" customHeight="1" thickBot="1" x14ac:dyDescent="0.5">
      <c r="A102" s="21"/>
      <c r="B102" s="22" t="str">
        <f>IF(Base_de_donnée_clients!B102="","",Base_de_donnée_clients!B102)</f>
        <v/>
      </c>
      <c r="C102" s="22" t="str">
        <f>IF(Base_de_donnée_clients!C102="","",Base_de_donnée_clients!C102)</f>
        <v/>
      </c>
      <c r="D102" s="22" t="str">
        <f>IF(Base_de_donnée_clients!D102="","",Base_de_donnée_clients!D102)</f>
        <v/>
      </c>
      <c r="E102" s="22" t="str">
        <f>IF(Base_de_donnée_clients!E102="","",Base_de_donnée_clients!E102)</f>
        <v/>
      </c>
      <c r="F102" s="22" t="str">
        <f>IF(Base_de_donnée_clients!F102="","",Base_de_donnée_clients!F102)</f>
        <v/>
      </c>
      <c r="G102" s="22" t="str">
        <f>IF(Base_de_donnée_clients!G102="","",Base_de_donnée_clients!G102)</f>
        <v/>
      </c>
      <c r="H102" s="22" t="str">
        <f>IF(Base_de_donnée_clients!H102="","",Base_de_donnée_clients!H102)</f>
        <v/>
      </c>
      <c r="I102" s="23" t="str">
        <f>IF(Base_de_donnée_clients!I102="","",Base_de_donnée_clients!I102)</f>
        <v/>
      </c>
    </row>
    <row r="103" spans="1:9" s="14" customFormat="1" ht="30" customHeight="1" thickBot="1" x14ac:dyDescent="0.5">
      <c r="A103" s="21"/>
      <c r="B103" s="22" t="str">
        <f>IF(Base_de_donnée_clients!B103="","",Base_de_donnée_clients!B103)</f>
        <v/>
      </c>
      <c r="C103" s="22" t="str">
        <f>IF(Base_de_donnée_clients!C103="","",Base_de_donnée_clients!C103)</f>
        <v/>
      </c>
      <c r="D103" s="22" t="str">
        <f>IF(Base_de_donnée_clients!D103="","",Base_de_donnée_clients!D103)</f>
        <v/>
      </c>
      <c r="E103" s="22" t="str">
        <f>IF(Base_de_donnée_clients!E103="","",Base_de_donnée_clients!E103)</f>
        <v/>
      </c>
      <c r="F103" s="22" t="str">
        <f>IF(Base_de_donnée_clients!F103="","",Base_de_donnée_clients!F103)</f>
        <v/>
      </c>
      <c r="G103" s="22" t="str">
        <f>IF(Base_de_donnée_clients!G103="","",Base_de_donnée_clients!G103)</f>
        <v/>
      </c>
      <c r="H103" s="22" t="str">
        <f>IF(Base_de_donnée_clients!H103="","",Base_de_donnée_clients!H103)</f>
        <v/>
      </c>
      <c r="I103" s="23" t="str">
        <f>IF(Base_de_donnée_clients!I103="","",Base_de_donnée_clients!I103)</f>
        <v/>
      </c>
    </row>
    <row r="104" spans="1:9" s="14" customFormat="1" ht="30" customHeight="1" thickBot="1" x14ac:dyDescent="0.5">
      <c r="A104" s="21"/>
      <c r="B104" s="22" t="str">
        <f>IF(Base_de_donnée_clients!B104="","",Base_de_donnée_clients!B104)</f>
        <v/>
      </c>
      <c r="C104" s="22" t="str">
        <f>IF(Base_de_donnée_clients!C104="","",Base_de_donnée_clients!C104)</f>
        <v/>
      </c>
      <c r="D104" s="22" t="str">
        <f>IF(Base_de_donnée_clients!D104="","",Base_de_donnée_clients!D104)</f>
        <v/>
      </c>
      <c r="E104" s="22" t="str">
        <f>IF(Base_de_donnée_clients!E104="","",Base_de_donnée_clients!E104)</f>
        <v/>
      </c>
      <c r="F104" s="22" t="str">
        <f>IF(Base_de_donnée_clients!F104="","",Base_de_donnée_clients!F104)</f>
        <v/>
      </c>
      <c r="G104" s="22" t="str">
        <f>IF(Base_de_donnée_clients!G104="","",Base_de_donnée_clients!G104)</f>
        <v/>
      </c>
      <c r="H104" s="22" t="str">
        <f>IF(Base_de_donnée_clients!H104="","",Base_de_donnée_clients!H104)</f>
        <v/>
      </c>
      <c r="I104" s="23" t="str">
        <f>IF(Base_de_donnée_clients!I104="","",Base_de_donnée_clients!I104)</f>
        <v/>
      </c>
    </row>
    <row r="105" spans="1:9" s="14" customFormat="1" ht="30" customHeight="1" thickBot="1" x14ac:dyDescent="0.5">
      <c r="A105" s="21"/>
      <c r="B105" s="22" t="str">
        <f>IF(Base_de_donnée_clients!B105="","",Base_de_donnée_clients!B105)</f>
        <v/>
      </c>
      <c r="C105" s="22" t="str">
        <f>IF(Base_de_donnée_clients!C105="","",Base_de_donnée_clients!C105)</f>
        <v/>
      </c>
      <c r="D105" s="22" t="str">
        <f>IF(Base_de_donnée_clients!D105="","",Base_de_donnée_clients!D105)</f>
        <v/>
      </c>
      <c r="E105" s="22" t="str">
        <f>IF(Base_de_donnée_clients!E105="","",Base_de_donnée_clients!E105)</f>
        <v/>
      </c>
      <c r="F105" s="22" t="str">
        <f>IF(Base_de_donnée_clients!F105="","",Base_de_donnée_clients!F105)</f>
        <v/>
      </c>
      <c r="G105" s="22" t="str">
        <f>IF(Base_de_donnée_clients!G105="","",Base_de_donnée_clients!G105)</f>
        <v/>
      </c>
      <c r="H105" s="22" t="str">
        <f>IF(Base_de_donnée_clients!H105="","",Base_de_donnée_clients!H105)</f>
        <v/>
      </c>
      <c r="I105" s="23" t="str">
        <f>IF(Base_de_donnée_clients!I105="","",Base_de_donnée_clients!I105)</f>
        <v/>
      </c>
    </row>
    <row r="106" spans="1:9" s="14" customFormat="1" ht="30" customHeight="1" thickBot="1" x14ac:dyDescent="0.5">
      <c r="A106" s="21"/>
      <c r="B106" s="22" t="str">
        <f>IF(Base_de_donnée_clients!B106="","",Base_de_donnée_clients!B106)</f>
        <v/>
      </c>
      <c r="C106" s="22" t="str">
        <f>IF(Base_de_donnée_clients!C106="","",Base_de_donnée_clients!C106)</f>
        <v/>
      </c>
      <c r="D106" s="22" t="str">
        <f>IF(Base_de_donnée_clients!D106="","",Base_de_donnée_clients!D106)</f>
        <v/>
      </c>
      <c r="E106" s="22" t="str">
        <f>IF(Base_de_donnée_clients!E106="","",Base_de_donnée_clients!E106)</f>
        <v/>
      </c>
      <c r="F106" s="22" t="str">
        <f>IF(Base_de_donnée_clients!F106="","",Base_de_donnée_clients!F106)</f>
        <v/>
      </c>
      <c r="G106" s="22" t="str">
        <f>IF(Base_de_donnée_clients!G106="","",Base_de_donnée_clients!G106)</f>
        <v/>
      </c>
      <c r="H106" s="22" t="str">
        <f>IF(Base_de_donnée_clients!H106="","",Base_de_donnée_clients!H106)</f>
        <v/>
      </c>
      <c r="I106" s="23" t="str">
        <f>IF(Base_de_donnée_clients!I106="","",Base_de_donnée_clients!I106)</f>
        <v/>
      </c>
    </row>
    <row r="107" spans="1:9" s="14" customFormat="1" ht="30" customHeight="1" thickBot="1" x14ac:dyDescent="0.5">
      <c r="A107" s="21"/>
      <c r="B107" s="22" t="str">
        <f>IF(Base_de_donnée_clients!B107="","",Base_de_donnée_clients!B107)</f>
        <v/>
      </c>
      <c r="C107" s="22" t="str">
        <f>IF(Base_de_donnée_clients!C107="","",Base_de_donnée_clients!C107)</f>
        <v/>
      </c>
      <c r="D107" s="22" t="str">
        <f>IF(Base_de_donnée_clients!D107="","",Base_de_donnée_clients!D107)</f>
        <v/>
      </c>
      <c r="E107" s="22" t="str">
        <f>IF(Base_de_donnée_clients!E107="","",Base_de_donnée_clients!E107)</f>
        <v/>
      </c>
      <c r="F107" s="22" t="str">
        <f>IF(Base_de_donnée_clients!F107="","",Base_de_donnée_clients!F107)</f>
        <v/>
      </c>
      <c r="G107" s="22" t="str">
        <f>IF(Base_de_donnée_clients!G107="","",Base_de_donnée_clients!G107)</f>
        <v/>
      </c>
      <c r="H107" s="22" t="str">
        <f>IF(Base_de_donnée_clients!H107="","",Base_de_donnée_clients!H107)</f>
        <v/>
      </c>
      <c r="I107" s="23" t="str">
        <f>IF(Base_de_donnée_clients!I107="","",Base_de_donnée_clients!I107)</f>
        <v/>
      </c>
    </row>
    <row r="108" spans="1:9" s="14" customFormat="1" ht="30" customHeight="1" thickBot="1" x14ac:dyDescent="0.5">
      <c r="A108" s="21"/>
      <c r="B108" s="22" t="str">
        <f>IF(Base_de_donnée_clients!B108="","",Base_de_donnée_clients!B108)</f>
        <v/>
      </c>
      <c r="C108" s="22" t="str">
        <f>IF(Base_de_donnée_clients!C108="","",Base_de_donnée_clients!C108)</f>
        <v/>
      </c>
      <c r="D108" s="22" t="str">
        <f>IF(Base_de_donnée_clients!D108="","",Base_de_donnée_clients!D108)</f>
        <v/>
      </c>
      <c r="E108" s="22" t="str">
        <f>IF(Base_de_donnée_clients!E108="","",Base_de_donnée_clients!E108)</f>
        <v/>
      </c>
      <c r="F108" s="22" t="str">
        <f>IF(Base_de_donnée_clients!F108="","",Base_de_donnée_clients!F108)</f>
        <v/>
      </c>
      <c r="G108" s="22" t="str">
        <f>IF(Base_de_donnée_clients!G108="","",Base_de_donnée_clients!G108)</f>
        <v/>
      </c>
      <c r="H108" s="22" t="str">
        <f>IF(Base_de_donnée_clients!H108="","",Base_de_donnée_clients!H108)</f>
        <v/>
      </c>
      <c r="I108" s="23" t="str">
        <f>IF(Base_de_donnée_clients!I108="","",Base_de_donnée_clients!I108)</f>
        <v/>
      </c>
    </row>
    <row r="109" spans="1:9" s="14" customFormat="1" ht="30" customHeight="1" thickBot="1" x14ac:dyDescent="0.5">
      <c r="A109" s="21"/>
      <c r="B109" s="22" t="str">
        <f>IF(Base_de_donnée_clients!B109="","",Base_de_donnée_clients!B109)</f>
        <v/>
      </c>
      <c r="C109" s="22" t="str">
        <f>IF(Base_de_donnée_clients!C109="","",Base_de_donnée_clients!C109)</f>
        <v/>
      </c>
      <c r="D109" s="22" t="str">
        <f>IF(Base_de_donnée_clients!D109="","",Base_de_donnée_clients!D109)</f>
        <v/>
      </c>
      <c r="E109" s="22" t="str">
        <f>IF(Base_de_donnée_clients!E109="","",Base_de_donnée_clients!E109)</f>
        <v/>
      </c>
      <c r="F109" s="22" t="str">
        <f>IF(Base_de_donnée_clients!F109="","",Base_de_donnée_clients!F109)</f>
        <v/>
      </c>
      <c r="G109" s="22" t="str">
        <f>IF(Base_de_donnée_clients!G109="","",Base_de_donnée_clients!G109)</f>
        <v/>
      </c>
      <c r="H109" s="22" t="str">
        <f>IF(Base_de_donnée_clients!H109="","",Base_de_donnée_clients!H109)</f>
        <v/>
      </c>
      <c r="I109" s="23" t="str">
        <f>IF(Base_de_donnée_clients!I109="","",Base_de_donnée_clients!I109)</f>
        <v/>
      </c>
    </row>
    <row r="110" spans="1:9" s="14" customFormat="1" ht="30" customHeight="1" thickBot="1" x14ac:dyDescent="0.5">
      <c r="A110" s="21"/>
      <c r="B110" s="22" t="str">
        <f>IF(Base_de_donnée_clients!B110="","",Base_de_donnée_clients!B110)</f>
        <v/>
      </c>
      <c r="C110" s="22" t="str">
        <f>IF(Base_de_donnée_clients!C110="","",Base_de_donnée_clients!C110)</f>
        <v/>
      </c>
      <c r="D110" s="22" t="str">
        <f>IF(Base_de_donnée_clients!D110="","",Base_de_donnée_clients!D110)</f>
        <v/>
      </c>
      <c r="E110" s="22" t="str">
        <f>IF(Base_de_donnée_clients!E110="","",Base_de_donnée_clients!E110)</f>
        <v/>
      </c>
      <c r="F110" s="22" t="str">
        <f>IF(Base_de_donnée_clients!F110="","",Base_de_donnée_clients!F110)</f>
        <v/>
      </c>
      <c r="G110" s="22" t="str">
        <f>IF(Base_de_donnée_clients!G110="","",Base_de_donnée_clients!G110)</f>
        <v/>
      </c>
      <c r="H110" s="22" t="str">
        <f>IF(Base_de_donnée_clients!H110="","",Base_de_donnée_clients!H110)</f>
        <v/>
      </c>
      <c r="I110" s="23" t="str">
        <f>IF(Base_de_donnée_clients!I110="","",Base_de_donnée_clients!I110)</f>
        <v/>
      </c>
    </row>
    <row r="111" spans="1:9" s="14" customFormat="1" ht="30" customHeight="1" thickBot="1" x14ac:dyDescent="0.5">
      <c r="A111" s="21"/>
      <c r="B111" s="22" t="str">
        <f>IF(Base_de_donnée_clients!B111="","",Base_de_donnée_clients!B111)</f>
        <v/>
      </c>
      <c r="C111" s="22" t="str">
        <f>IF(Base_de_donnée_clients!C111="","",Base_de_donnée_clients!C111)</f>
        <v/>
      </c>
      <c r="D111" s="22" t="str">
        <f>IF(Base_de_donnée_clients!D111="","",Base_de_donnée_clients!D111)</f>
        <v/>
      </c>
      <c r="E111" s="22" t="str">
        <f>IF(Base_de_donnée_clients!E111="","",Base_de_donnée_clients!E111)</f>
        <v/>
      </c>
      <c r="F111" s="22" t="str">
        <f>IF(Base_de_donnée_clients!F111="","",Base_de_donnée_clients!F111)</f>
        <v/>
      </c>
      <c r="G111" s="22" t="str">
        <f>IF(Base_de_donnée_clients!G111="","",Base_de_donnée_clients!G111)</f>
        <v/>
      </c>
      <c r="H111" s="22" t="str">
        <f>IF(Base_de_donnée_clients!H111="","",Base_de_donnée_clients!H111)</f>
        <v/>
      </c>
      <c r="I111" s="23" t="str">
        <f>IF(Base_de_donnée_clients!I111="","",Base_de_donnée_clients!I111)</f>
        <v/>
      </c>
    </row>
    <row r="112" spans="1:9" s="14" customFormat="1" ht="30" customHeight="1" thickBot="1" x14ac:dyDescent="0.5">
      <c r="A112" s="21"/>
      <c r="B112" s="22" t="str">
        <f>IF(Base_de_donnée_clients!B112="","",Base_de_donnée_clients!B112)</f>
        <v/>
      </c>
      <c r="C112" s="22" t="str">
        <f>IF(Base_de_donnée_clients!C112="","",Base_de_donnée_clients!C112)</f>
        <v/>
      </c>
      <c r="D112" s="22" t="str">
        <f>IF(Base_de_donnée_clients!D112="","",Base_de_donnée_clients!D112)</f>
        <v/>
      </c>
      <c r="E112" s="22" t="str">
        <f>IF(Base_de_donnée_clients!E112="","",Base_de_donnée_clients!E112)</f>
        <v/>
      </c>
      <c r="F112" s="22" t="str">
        <f>IF(Base_de_donnée_clients!F112="","",Base_de_donnée_clients!F112)</f>
        <v/>
      </c>
      <c r="G112" s="22" t="str">
        <f>IF(Base_de_donnée_clients!G112="","",Base_de_donnée_clients!G112)</f>
        <v/>
      </c>
      <c r="H112" s="22" t="str">
        <f>IF(Base_de_donnée_clients!H112="","",Base_de_donnée_clients!H112)</f>
        <v/>
      </c>
      <c r="I112" s="23" t="str">
        <f>IF(Base_de_donnée_clients!I112="","",Base_de_donnée_clients!I112)</f>
        <v/>
      </c>
    </row>
    <row r="113" spans="1:9" s="14" customFormat="1" ht="30" customHeight="1" thickBot="1" x14ac:dyDescent="0.5">
      <c r="A113" s="21"/>
      <c r="B113" s="22" t="str">
        <f>IF(Base_de_donnée_clients!B113="","",Base_de_donnée_clients!B113)</f>
        <v/>
      </c>
      <c r="C113" s="22" t="str">
        <f>IF(Base_de_donnée_clients!C113="","",Base_de_donnée_clients!C113)</f>
        <v/>
      </c>
      <c r="D113" s="22" t="str">
        <f>IF(Base_de_donnée_clients!D113="","",Base_de_donnée_clients!D113)</f>
        <v/>
      </c>
      <c r="E113" s="22" t="str">
        <f>IF(Base_de_donnée_clients!E113="","",Base_de_donnée_clients!E113)</f>
        <v/>
      </c>
      <c r="F113" s="22" t="str">
        <f>IF(Base_de_donnée_clients!F113="","",Base_de_donnée_clients!F113)</f>
        <v/>
      </c>
      <c r="G113" s="22" t="str">
        <f>IF(Base_de_donnée_clients!G113="","",Base_de_donnée_clients!G113)</f>
        <v/>
      </c>
      <c r="H113" s="22" t="str">
        <f>IF(Base_de_donnée_clients!H113="","",Base_de_donnée_clients!H113)</f>
        <v/>
      </c>
      <c r="I113" s="23" t="str">
        <f>IF(Base_de_donnée_clients!I113="","",Base_de_donnée_clients!I113)</f>
        <v/>
      </c>
    </row>
    <row r="114" spans="1:9" s="14" customFormat="1" ht="30" customHeight="1" thickBot="1" x14ac:dyDescent="0.5">
      <c r="A114" s="21"/>
      <c r="B114" s="22" t="str">
        <f>IF(Base_de_donnée_clients!B114="","",Base_de_donnée_clients!B114)</f>
        <v/>
      </c>
      <c r="C114" s="22" t="str">
        <f>IF(Base_de_donnée_clients!C114="","",Base_de_donnée_clients!C114)</f>
        <v/>
      </c>
      <c r="D114" s="22" t="str">
        <f>IF(Base_de_donnée_clients!D114="","",Base_de_donnée_clients!D114)</f>
        <v/>
      </c>
      <c r="E114" s="22" t="str">
        <f>IF(Base_de_donnée_clients!E114="","",Base_de_donnée_clients!E114)</f>
        <v/>
      </c>
      <c r="F114" s="22" t="str">
        <f>IF(Base_de_donnée_clients!F114="","",Base_de_donnée_clients!F114)</f>
        <v/>
      </c>
      <c r="G114" s="22" t="str">
        <f>IF(Base_de_donnée_clients!G114="","",Base_de_donnée_clients!G114)</f>
        <v/>
      </c>
      <c r="H114" s="22" t="str">
        <f>IF(Base_de_donnée_clients!H114="","",Base_de_donnée_clients!H114)</f>
        <v/>
      </c>
      <c r="I114" s="23" t="str">
        <f>IF(Base_de_donnée_clients!I114="","",Base_de_donnée_clients!I114)</f>
        <v/>
      </c>
    </row>
    <row r="115" spans="1:9" s="14" customFormat="1" ht="30" customHeight="1" thickBot="1" x14ac:dyDescent="0.5">
      <c r="A115" s="21"/>
      <c r="B115" s="22" t="str">
        <f>IF(Base_de_donnée_clients!B115="","",Base_de_donnée_clients!B115)</f>
        <v/>
      </c>
      <c r="C115" s="22" t="str">
        <f>IF(Base_de_donnée_clients!C115="","",Base_de_donnée_clients!C115)</f>
        <v/>
      </c>
      <c r="D115" s="22" t="str">
        <f>IF(Base_de_donnée_clients!D115="","",Base_de_donnée_clients!D115)</f>
        <v/>
      </c>
      <c r="E115" s="22" t="str">
        <f>IF(Base_de_donnée_clients!E115="","",Base_de_donnée_clients!E115)</f>
        <v/>
      </c>
      <c r="F115" s="22" t="str">
        <f>IF(Base_de_donnée_clients!F115="","",Base_de_donnée_clients!F115)</f>
        <v/>
      </c>
      <c r="G115" s="22" t="str">
        <f>IF(Base_de_donnée_clients!G115="","",Base_de_donnée_clients!G115)</f>
        <v/>
      </c>
      <c r="H115" s="22" t="str">
        <f>IF(Base_de_donnée_clients!H115="","",Base_de_donnée_clients!H115)</f>
        <v/>
      </c>
      <c r="I115" s="23" t="str">
        <f>IF(Base_de_donnée_clients!I115="","",Base_de_donnée_clients!I115)</f>
        <v/>
      </c>
    </row>
    <row r="116" spans="1:9" s="14" customFormat="1" ht="30" customHeight="1" thickBot="1" x14ac:dyDescent="0.5">
      <c r="A116" s="21"/>
      <c r="B116" s="22" t="str">
        <f>IF(Base_de_donnée_clients!B116="","",Base_de_donnée_clients!B116)</f>
        <v/>
      </c>
      <c r="C116" s="22" t="str">
        <f>IF(Base_de_donnée_clients!C116="","",Base_de_donnée_clients!C116)</f>
        <v/>
      </c>
      <c r="D116" s="22" t="str">
        <f>IF(Base_de_donnée_clients!D116="","",Base_de_donnée_clients!D116)</f>
        <v/>
      </c>
      <c r="E116" s="22" t="str">
        <f>IF(Base_de_donnée_clients!E116="","",Base_de_donnée_clients!E116)</f>
        <v/>
      </c>
      <c r="F116" s="22" t="str">
        <f>IF(Base_de_donnée_clients!F116="","",Base_de_donnée_clients!F116)</f>
        <v/>
      </c>
      <c r="G116" s="22" t="str">
        <f>IF(Base_de_donnée_clients!G116="","",Base_de_donnée_clients!G116)</f>
        <v/>
      </c>
      <c r="H116" s="22" t="str">
        <f>IF(Base_de_donnée_clients!H116="","",Base_de_donnée_clients!H116)</f>
        <v/>
      </c>
      <c r="I116" s="23" t="str">
        <f>IF(Base_de_donnée_clients!I116="","",Base_de_donnée_clients!I116)</f>
        <v/>
      </c>
    </row>
    <row r="117" spans="1:9" s="14" customFormat="1" ht="30" customHeight="1" thickBot="1" x14ac:dyDescent="0.5">
      <c r="A117" s="21"/>
      <c r="B117" s="22" t="str">
        <f>IF(Base_de_donnée_clients!B117="","",Base_de_donnée_clients!B117)</f>
        <v/>
      </c>
      <c r="C117" s="22" t="str">
        <f>IF(Base_de_donnée_clients!C117="","",Base_de_donnée_clients!C117)</f>
        <v/>
      </c>
      <c r="D117" s="22" t="str">
        <f>IF(Base_de_donnée_clients!D117="","",Base_de_donnée_clients!D117)</f>
        <v/>
      </c>
      <c r="E117" s="22" t="str">
        <f>IF(Base_de_donnée_clients!E117="","",Base_de_donnée_clients!E117)</f>
        <v/>
      </c>
      <c r="F117" s="22" t="str">
        <f>IF(Base_de_donnée_clients!F117="","",Base_de_donnée_clients!F117)</f>
        <v/>
      </c>
      <c r="G117" s="22" t="str">
        <f>IF(Base_de_donnée_clients!G117="","",Base_de_donnée_clients!G117)</f>
        <v/>
      </c>
      <c r="H117" s="22" t="str">
        <f>IF(Base_de_donnée_clients!H117="","",Base_de_donnée_clients!H117)</f>
        <v/>
      </c>
      <c r="I117" s="23" t="str">
        <f>IF(Base_de_donnée_clients!I117="","",Base_de_donnée_clients!I117)</f>
        <v/>
      </c>
    </row>
    <row r="118" spans="1:9" s="14" customFormat="1" ht="30" customHeight="1" thickBot="1" x14ac:dyDescent="0.5">
      <c r="A118" s="21"/>
      <c r="B118" s="22" t="str">
        <f>IF(Base_de_donnée_clients!B118="","",Base_de_donnée_clients!B118)</f>
        <v/>
      </c>
      <c r="C118" s="22" t="str">
        <f>IF(Base_de_donnée_clients!C118="","",Base_de_donnée_clients!C118)</f>
        <v/>
      </c>
      <c r="D118" s="22" t="str">
        <f>IF(Base_de_donnée_clients!D118="","",Base_de_donnée_clients!D118)</f>
        <v/>
      </c>
      <c r="E118" s="22" t="str">
        <f>IF(Base_de_donnée_clients!E118="","",Base_de_donnée_clients!E118)</f>
        <v/>
      </c>
      <c r="F118" s="22" t="str">
        <f>IF(Base_de_donnée_clients!F118="","",Base_de_donnée_clients!F118)</f>
        <v/>
      </c>
      <c r="G118" s="22" t="str">
        <f>IF(Base_de_donnée_clients!G118="","",Base_de_donnée_clients!G118)</f>
        <v/>
      </c>
      <c r="H118" s="22" t="str">
        <f>IF(Base_de_donnée_clients!H118="","",Base_de_donnée_clients!H118)</f>
        <v/>
      </c>
      <c r="I118" s="23" t="str">
        <f>IF(Base_de_donnée_clients!I118="","",Base_de_donnée_clients!I118)</f>
        <v/>
      </c>
    </row>
    <row r="119" spans="1:9" s="14" customFormat="1" ht="30" customHeight="1" thickBot="1" x14ac:dyDescent="0.5">
      <c r="A119" s="21"/>
      <c r="B119" s="22" t="str">
        <f>IF(Base_de_donnée_clients!B119="","",Base_de_donnée_clients!B119)</f>
        <v/>
      </c>
      <c r="C119" s="22" t="str">
        <f>IF(Base_de_donnée_clients!C119="","",Base_de_donnée_clients!C119)</f>
        <v/>
      </c>
      <c r="D119" s="22" t="str">
        <f>IF(Base_de_donnée_clients!D119="","",Base_de_donnée_clients!D119)</f>
        <v/>
      </c>
      <c r="E119" s="22" t="str">
        <f>IF(Base_de_donnée_clients!E119="","",Base_de_donnée_clients!E119)</f>
        <v/>
      </c>
      <c r="F119" s="22" t="str">
        <f>IF(Base_de_donnée_clients!F119="","",Base_de_donnée_clients!F119)</f>
        <v/>
      </c>
      <c r="G119" s="22" t="str">
        <f>IF(Base_de_donnée_clients!G119="","",Base_de_donnée_clients!G119)</f>
        <v/>
      </c>
      <c r="H119" s="22" t="str">
        <f>IF(Base_de_donnée_clients!H119="","",Base_de_donnée_clients!H119)</f>
        <v/>
      </c>
      <c r="I119" s="23" t="str">
        <f>IF(Base_de_donnée_clients!I119="","",Base_de_donnée_clients!I119)</f>
        <v/>
      </c>
    </row>
    <row r="120" spans="1:9" s="14" customFormat="1" ht="30" customHeight="1" thickBot="1" x14ac:dyDescent="0.5">
      <c r="A120" s="21"/>
      <c r="B120" s="22" t="str">
        <f>IF(Base_de_donnée_clients!B120="","",Base_de_donnée_clients!B120)</f>
        <v/>
      </c>
      <c r="C120" s="22" t="str">
        <f>IF(Base_de_donnée_clients!C120="","",Base_de_donnée_clients!C120)</f>
        <v/>
      </c>
      <c r="D120" s="22" t="str">
        <f>IF(Base_de_donnée_clients!D120="","",Base_de_donnée_clients!D120)</f>
        <v/>
      </c>
      <c r="E120" s="22" t="str">
        <f>IF(Base_de_donnée_clients!E120="","",Base_de_donnée_clients!E120)</f>
        <v/>
      </c>
      <c r="F120" s="22" t="str">
        <f>IF(Base_de_donnée_clients!F120="","",Base_de_donnée_clients!F120)</f>
        <v/>
      </c>
      <c r="G120" s="22" t="str">
        <f>IF(Base_de_donnée_clients!G120="","",Base_de_donnée_clients!G120)</f>
        <v/>
      </c>
      <c r="H120" s="22" t="str">
        <f>IF(Base_de_donnée_clients!H120="","",Base_de_donnée_clients!H120)</f>
        <v/>
      </c>
      <c r="I120" s="23" t="str">
        <f>IF(Base_de_donnée_clients!I120="","",Base_de_donnée_clients!I120)</f>
        <v/>
      </c>
    </row>
    <row r="121" spans="1:9" s="14" customFormat="1" ht="30" customHeight="1" thickBot="1" x14ac:dyDescent="0.5">
      <c r="A121" s="21"/>
      <c r="B121" s="22" t="str">
        <f>IF(Base_de_donnée_clients!B121="","",Base_de_donnée_clients!B121)</f>
        <v/>
      </c>
      <c r="C121" s="22" t="str">
        <f>IF(Base_de_donnée_clients!C121="","",Base_de_donnée_clients!C121)</f>
        <v/>
      </c>
      <c r="D121" s="22" t="str">
        <f>IF(Base_de_donnée_clients!D121="","",Base_de_donnée_clients!D121)</f>
        <v/>
      </c>
      <c r="E121" s="22" t="str">
        <f>IF(Base_de_donnée_clients!E121="","",Base_de_donnée_clients!E121)</f>
        <v/>
      </c>
      <c r="F121" s="22" t="str">
        <f>IF(Base_de_donnée_clients!F121="","",Base_de_donnée_clients!F121)</f>
        <v/>
      </c>
      <c r="G121" s="22" t="str">
        <f>IF(Base_de_donnée_clients!G121="","",Base_de_donnée_clients!G121)</f>
        <v/>
      </c>
      <c r="H121" s="22" t="str">
        <f>IF(Base_de_donnée_clients!H121="","",Base_de_donnée_clients!H121)</f>
        <v/>
      </c>
      <c r="I121" s="23" t="str">
        <f>IF(Base_de_donnée_clients!I121="","",Base_de_donnée_clients!I121)</f>
        <v/>
      </c>
    </row>
    <row r="122" spans="1:9" s="14" customFormat="1" ht="30" customHeight="1" thickBot="1" x14ac:dyDescent="0.5">
      <c r="A122" s="21"/>
      <c r="B122" s="22" t="str">
        <f>IF(Base_de_donnée_clients!B122="","",Base_de_donnée_clients!B122)</f>
        <v/>
      </c>
      <c r="C122" s="22" t="str">
        <f>IF(Base_de_donnée_clients!C122="","",Base_de_donnée_clients!C122)</f>
        <v/>
      </c>
      <c r="D122" s="22" t="str">
        <f>IF(Base_de_donnée_clients!D122="","",Base_de_donnée_clients!D122)</f>
        <v/>
      </c>
      <c r="E122" s="22" t="str">
        <f>IF(Base_de_donnée_clients!E122="","",Base_de_donnée_clients!E122)</f>
        <v/>
      </c>
      <c r="F122" s="22" t="str">
        <f>IF(Base_de_donnée_clients!F122="","",Base_de_donnée_clients!F122)</f>
        <v/>
      </c>
      <c r="G122" s="22" t="str">
        <f>IF(Base_de_donnée_clients!G122="","",Base_de_donnée_clients!G122)</f>
        <v/>
      </c>
      <c r="H122" s="22" t="str">
        <f>IF(Base_de_donnée_clients!H122="","",Base_de_donnée_clients!H122)</f>
        <v/>
      </c>
      <c r="I122" s="23" t="str">
        <f>IF(Base_de_donnée_clients!I122="","",Base_de_donnée_clients!I122)</f>
        <v/>
      </c>
    </row>
    <row r="123" spans="1:9" s="14" customFormat="1" ht="30" customHeight="1" thickBot="1" x14ac:dyDescent="0.5">
      <c r="A123" s="21"/>
      <c r="B123" s="22" t="str">
        <f>IF(Base_de_donnée_clients!B123="","",Base_de_donnée_clients!B123)</f>
        <v/>
      </c>
      <c r="C123" s="22" t="str">
        <f>IF(Base_de_donnée_clients!C123="","",Base_de_donnée_clients!C123)</f>
        <v/>
      </c>
      <c r="D123" s="22" t="str">
        <f>IF(Base_de_donnée_clients!D123="","",Base_de_donnée_clients!D123)</f>
        <v/>
      </c>
      <c r="E123" s="22" t="str">
        <f>IF(Base_de_donnée_clients!E123="","",Base_de_donnée_clients!E123)</f>
        <v/>
      </c>
      <c r="F123" s="22" t="str">
        <f>IF(Base_de_donnée_clients!F123="","",Base_de_donnée_clients!F123)</f>
        <v/>
      </c>
      <c r="G123" s="22" t="str">
        <f>IF(Base_de_donnée_clients!G123="","",Base_de_donnée_clients!G123)</f>
        <v/>
      </c>
      <c r="H123" s="22" t="str">
        <f>IF(Base_de_donnée_clients!H123="","",Base_de_donnée_clients!H123)</f>
        <v/>
      </c>
      <c r="I123" s="23" t="str">
        <f>IF(Base_de_donnée_clients!I123="","",Base_de_donnée_clients!I123)</f>
        <v/>
      </c>
    </row>
    <row r="124" spans="1:9" s="14" customFormat="1" ht="30" customHeight="1" thickBot="1" x14ac:dyDescent="0.5">
      <c r="A124" s="21"/>
      <c r="B124" s="22" t="str">
        <f>IF(Base_de_donnée_clients!B124="","",Base_de_donnée_clients!B124)</f>
        <v/>
      </c>
      <c r="C124" s="22" t="str">
        <f>IF(Base_de_donnée_clients!C124="","",Base_de_donnée_clients!C124)</f>
        <v/>
      </c>
      <c r="D124" s="22" t="str">
        <f>IF(Base_de_donnée_clients!D124="","",Base_de_donnée_clients!D124)</f>
        <v/>
      </c>
      <c r="E124" s="22" t="str">
        <f>IF(Base_de_donnée_clients!E124="","",Base_de_donnée_clients!E124)</f>
        <v/>
      </c>
      <c r="F124" s="22" t="str">
        <f>IF(Base_de_donnée_clients!F124="","",Base_de_donnée_clients!F124)</f>
        <v/>
      </c>
      <c r="G124" s="22" t="str">
        <f>IF(Base_de_donnée_clients!G124="","",Base_de_donnée_clients!G124)</f>
        <v/>
      </c>
      <c r="H124" s="22" t="str">
        <f>IF(Base_de_donnée_clients!H124="","",Base_de_donnée_clients!H124)</f>
        <v/>
      </c>
      <c r="I124" s="23" t="str">
        <f>IF(Base_de_donnée_clients!I124="","",Base_de_donnée_clients!I124)</f>
        <v/>
      </c>
    </row>
    <row r="125" spans="1:9" s="14" customFormat="1" ht="30" customHeight="1" thickBot="1" x14ac:dyDescent="0.5">
      <c r="A125" s="21"/>
      <c r="B125" s="22" t="str">
        <f>IF(Base_de_donnée_clients!B125="","",Base_de_donnée_clients!B125)</f>
        <v/>
      </c>
      <c r="C125" s="22" t="str">
        <f>IF(Base_de_donnée_clients!C125="","",Base_de_donnée_clients!C125)</f>
        <v/>
      </c>
      <c r="D125" s="22" t="str">
        <f>IF(Base_de_donnée_clients!D125="","",Base_de_donnée_clients!D125)</f>
        <v/>
      </c>
      <c r="E125" s="22" t="str">
        <f>IF(Base_de_donnée_clients!E125="","",Base_de_donnée_clients!E125)</f>
        <v/>
      </c>
      <c r="F125" s="22" t="str">
        <f>IF(Base_de_donnée_clients!F125="","",Base_de_donnée_clients!F125)</f>
        <v/>
      </c>
      <c r="G125" s="22" t="str">
        <f>IF(Base_de_donnée_clients!G125="","",Base_de_donnée_clients!G125)</f>
        <v/>
      </c>
      <c r="H125" s="22" t="str">
        <f>IF(Base_de_donnée_clients!H125="","",Base_de_donnée_clients!H125)</f>
        <v/>
      </c>
      <c r="I125" s="23" t="str">
        <f>IF(Base_de_donnée_clients!I125="","",Base_de_donnée_clients!I125)</f>
        <v/>
      </c>
    </row>
    <row r="126" spans="1:9" s="14" customFormat="1" ht="30" customHeight="1" thickBot="1" x14ac:dyDescent="0.5">
      <c r="A126" s="21"/>
      <c r="B126" s="22" t="str">
        <f>IF(Base_de_donnée_clients!B126="","",Base_de_donnée_clients!B126)</f>
        <v/>
      </c>
      <c r="C126" s="22" t="str">
        <f>IF(Base_de_donnée_clients!C126="","",Base_de_donnée_clients!C126)</f>
        <v/>
      </c>
      <c r="D126" s="22" t="str">
        <f>IF(Base_de_donnée_clients!D126="","",Base_de_donnée_clients!D126)</f>
        <v/>
      </c>
      <c r="E126" s="22" t="str">
        <f>IF(Base_de_donnée_clients!E126="","",Base_de_donnée_clients!E126)</f>
        <v/>
      </c>
      <c r="F126" s="22" t="str">
        <f>IF(Base_de_donnée_clients!F126="","",Base_de_donnée_clients!F126)</f>
        <v/>
      </c>
      <c r="G126" s="22" t="str">
        <f>IF(Base_de_donnée_clients!G126="","",Base_de_donnée_clients!G126)</f>
        <v/>
      </c>
      <c r="H126" s="22" t="str">
        <f>IF(Base_de_donnée_clients!H126="","",Base_de_donnée_clients!H126)</f>
        <v/>
      </c>
      <c r="I126" s="23" t="str">
        <f>IF(Base_de_donnée_clients!I126="","",Base_de_donnée_clients!I126)</f>
        <v/>
      </c>
    </row>
    <row r="127" spans="1:9" s="14" customFormat="1" ht="30" customHeight="1" thickBot="1" x14ac:dyDescent="0.5">
      <c r="A127" s="21"/>
      <c r="B127" s="22" t="str">
        <f>IF(Base_de_donnée_clients!B127="","",Base_de_donnée_clients!B127)</f>
        <v/>
      </c>
      <c r="C127" s="22" t="str">
        <f>IF(Base_de_donnée_clients!C127="","",Base_de_donnée_clients!C127)</f>
        <v/>
      </c>
      <c r="D127" s="22" t="str">
        <f>IF(Base_de_donnée_clients!D127="","",Base_de_donnée_clients!D127)</f>
        <v/>
      </c>
      <c r="E127" s="22" t="str">
        <f>IF(Base_de_donnée_clients!E127="","",Base_de_donnée_clients!E127)</f>
        <v/>
      </c>
      <c r="F127" s="22" t="str">
        <f>IF(Base_de_donnée_clients!F127="","",Base_de_donnée_clients!F127)</f>
        <v/>
      </c>
      <c r="G127" s="22" t="str">
        <f>IF(Base_de_donnée_clients!G127="","",Base_de_donnée_clients!G127)</f>
        <v/>
      </c>
      <c r="H127" s="22" t="str">
        <f>IF(Base_de_donnée_clients!H127="","",Base_de_donnée_clients!H127)</f>
        <v/>
      </c>
      <c r="I127" s="23" t="str">
        <f>IF(Base_de_donnée_clients!I127="","",Base_de_donnée_clients!I127)</f>
        <v/>
      </c>
    </row>
    <row r="128" spans="1:9" s="14" customFormat="1" ht="30" customHeight="1" thickBot="1" x14ac:dyDescent="0.5">
      <c r="A128" s="21"/>
      <c r="B128" s="22" t="str">
        <f>IF(Base_de_donnée_clients!B128="","",Base_de_donnée_clients!B128)</f>
        <v/>
      </c>
      <c r="C128" s="22" t="str">
        <f>IF(Base_de_donnée_clients!C128="","",Base_de_donnée_clients!C128)</f>
        <v/>
      </c>
      <c r="D128" s="22" t="str">
        <f>IF(Base_de_donnée_clients!D128="","",Base_de_donnée_clients!D128)</f>
        <v/>
      </c>
      <c r="E128" s="22" t="str">
        <f>IF(Base_de_donnée_clients!E128="","",Base_de_donnée_clients!E128)</f>
        <v/>
      </c>
      <c r="F128" s="22" t="str">
        <f>IF(Base_de_donnée_clients!F128="","",Base_de_donnée_clients!F128)</f>
        <v/>
      </c>
      <c r="G128" s="22" t="str">
        <f>IF(Base_de_donnée_clients!G128="","",Base_de_donnée_clients!G128)</f>
        <v/>
      </c>
      <c r="H128" s="22" t="str">
        <f>IF(Base_de_donnée_clients!H128="","",Base_de_donnée_clients!H128)</f>
        <v/>
      </c>
      <c r="I128" s="23" t="str">
        <f>IF(Base_de_donnée_clients!I128="","",Base_de_donnée_clients!I128)</f>
        <v/>
      </c>
    </row>
    <row r="129" spans="1:9" s="14" customFormat="1" ht="30" customHeight="1" thickBot="1" x14ac:dyDescent="0.5">
      <c r="A129" s="21"/>
      <c r="B129" s="22" t="str">
        <f>IF(Base_de_donnée_clients!B129="","",Base_de_donnée_clients!B129)</f>
        <v/>
      </c>
      <c r="C129" s="22" t="str">
        <f>IF(Base_de_donnée_clients!C129="","",Base_de_donnée_clients!C129)</f>
        <v/>
      </c>
      <c r="D129" s="22" t="str">
        <f>IF(Base_de_donnée_clients!D129="","",Base_de_donnée_clients!D129)</f>
        <v/>
      </c>
      <c r="E129" s="22" t="str">
        <f>IF(Base_de_donnée_clients!E129="","",Base_de_donnée_clients!E129)</f>
        <v/>
      </c>
      <c r="F129" s="22" t="str">
        <f>IF(Base_de_donnée_clients!F129="","",Base_de_donnée_clients!F129)</f>
        <v/>
      </c>
      <c r="G129" s="22" t="str">
        <f>IF(Base_de_donnée_clients!G129="","",Base_de_donnée_clients!G129)</f>
        <v/>
      </c>
      <c r="H129" s="22" t="str">
        <f>IF(Base_de_donnée_clients!H129="","",Base_de_donnée_clients!H129)</f>
        <v/>
      </c>
      <c r="I129" s="23" t="str">
        <f>IF(Base_de_donnée_clients!I129="","",Base_de_donnée_clients!I129)</f>
        <v/>
      </c>
    </row>
    <row r="130" spans="1:9" s="14" customFormat="1" ht="30" customHeight="1" thickBot="1" x14ac:dyDescent="0.5">
      <c r="A130" s="21"/>
      <c r="B130" s="22" t="str">
        <f>IF(Base_de_donnée_clients!B130="","",Base_de_donnée_clients!B130)</f>
        <v/>
      </c>
      <c r="C130" s="22" t="str">
        <f>IF(Base_de_donnée_clients!C130="","",Base_de_donnée_clients!C130)</f>
        <v/>
      </c>
      <c r="D130" s="22" t="str">
        <f>IF(Base_de_donnée_clients!D130="","",Base_de_donnée_clients!D130)</f>
        <v/>
      </c>
      <c r="E130" s="22" t="str">
        <f>IF(Base_de_donnée_clients!E130="","",Base_de_donnée_clients!E130)</f>
        <v/>
      </c>
      <c r="F130" s="22" t="str">
        <f>IF(Base_de_donnée_clients!F130="","",Base_de_donnée_clients!F130)</f>
        <v/>
      </c>
      <c r="G130" s="22" t="str">
        <f>IF(Base_de_donnée_clients!G130="","",Base_de_donnée_clients!G130)</f>
        <v/>
      </c>
      <c r="H130" s="22" t="str">
        <f>IF(Base_de_donnée_clients!H130="","",Base_de_donnée_clients!H130)</f>
        <v/>
      </c>
      <c r="I130" s="23" t="str">
        <f>IF(Base_de_donnée_clients!I130="","",Base_de_donnée_clients!I130)</f>
        <v/>
      </c>
    </row>
    <row r="131" spans="1:9" s="14" customFormat="1" ht="30" customHeight="1" thickBot="1" x14ac:dyDescent="0.5">
      <c r="A131" s="21"/>
      <c r="B131" s="22" t="str">
        <f>IF(Base_de_donnée_clients!B131="","",Base_de_donnée_clients!B131)</f>
        <v/>
      </c>
      <c r="C131" s="22" t="str">
        <f>IF(Base_de_donnée_clients!C131="","",Base_de_donnée_clients!C131)</f>
        <v/>
      </c>
      <c r="D131" s="22" t="str">
        <f>IF(Base_de_donnée_clients!D131="","",Base_de_donnée_clients!D131)</f>
        <v/>
      </c>
      <c r="E131" s="22" t="str">
        <f>IF(Base_de_donnée_clients!E131="","",Base_de_donnée_clients!E131)</f>
        <v/>
      </c>
      <c r="F131" s="22" t="str">
        <f>IF(Base_de_donnée_clients!F131="","",Base_de_donnée_clients!F131)</f>
        <v/>
      </c>
      <c r="G131" s="22" t="str">
        <f>IF(Base_de_donnée_clients!G131="","",Base_de_donnée_clients!G131)</f>
        <v/>
      </c>
      <c r="H131" s="22" t="str">
        <f>IF(Base_de_donnée_clients!H131="","",Base_de_donnée_clients!H131)</f>
        <v/>
      </c>
      <c r="I131" s="23" t="str">
        <f>IF(Base_de_donnée_clients!I131="","",Base_de_donnée_clients!I131)</f>
        <v/>
      </c>
    </row>
    <row r="132" spans="1:9" s="14" customFormat="1" ht="30" customHeight="1" thickBot="1" x14ac:dyDescent="0.5">
      <c r="A132" s="21"/>
      <c r="B132" s="22" t="str">
        <f>IF(Base_de_donnée_clients!B132="","",Base_de_donnée_clients!B132)</f>
        <v/>
      </c>
      <c r="C132" s="22" t="str">
        <f>IF(Base_de_donnée_clients!C132="","",Base_de_donnée_clients!C132)</f>
        <v/>
      </c>
      <c r="D132" s="22" t="str">
        <f>IF(Base_de_donnée_clients!D132="","",Base_de_donnée_clients!D132)</f>
        <v/>
      </c>
      <c r="E132" s="22" t="str">
        <f>IF(Base_de_donnée_clients!E132="","",Base_de_donnée_clients!E132)</f>
        <v/>
      </c>
      <c r="F132" s="22" t="str">
        <f>IF(Base_de_donnée_clients!F132="","",Base_de_donnée_clients!F132)</f>
        <v/>
      </c>
      <c r="G132" s="22" t="str">
        <f>IF(Base_de_donnée_clients!G132="","",Base_de_donnée_clients!G132)</f>
        <v/>
      </c>
      <c r="H132" s="22" t="str">
        <f>IF(Base_de_donnée_clients!H132="","",Base_de_donnée_clients!H132)</f>
        <v/>
      </c>
      <c r="I132" s="23" t="str">
        <f>IF(Base_de_donnée_clients!I132="","",Base_de_donnée_clients!I132)</f>
        <v/>
      </c>
    </row>
    <row r="133" spans="1:9" s="14" customFormat="1" ht="30" customHeight="1" thickBot="1" x14ac:dyDescent="0.5">
      <c r="A133" s="21"/>
      <c r="B133" s="22" t="str">
        <f>IF(Base_de_donnée_clients!B133="","",Base_de_donnée_clients!B133)</f>
        <v/>
      </c>
      <c r="C133" s="22" t="str">
        <f>IF(Base_de_donnée_clients!C133="","",Base_de_donnée_clients!C133)</f>
        <v/>
      </c>
      <c r="D133" s="22" t="str">
        <f>IF(Base_de_donnée_clients!D133="","",Base_de_donnée_clients!D133)</f>
        <v/>
      </c>
      <c r="E133" s="22" t="str">
        <f>IF(Base_de_donnée_clients!E133="","",Base_de_donnée_clients!E133)</f>
        <v/>
      </c>
      <c r="F133" s="22" t="str">
        <f>IF(Base_de_donnée_clients!F133="","",Base_de_donnée_clients!F133)</f>
        <v/>
      </c>
      <c r="G133" s="22" t="str">
        <f>IF(Base_de_donnée_clients!G133="","",Base_de_donnée_clients!G133)</f>
        <v/>
      </c>
      <c r="H133" s="22" t="str">
        <f>IF(Base_de_donnée_clients!H133="","",Base_de_donnée_clients!H133)</f>
        <v/>
      </c>
      <c r="I133" s="23" t="str">
        <f>IF(Base_de_donnée_clients!I133="","",Base_de_donnée_clients!I133)</f>
        <v/>
      </c>
    </row>
    <row r="134" spans="1:9" s="14" customFormat="1" ht="30" customHeight="1" thickBot="1" x14ac:dyDescent="0.5">
      <c r="A134" s="21"/>
      <c r="B134" s="22" t="str">
        <f>IF(Base_de_donnée_clients!B134="","",Base_de_donnée_clients!B134)</f>
        <v/>
      </c>
      <c r="C134" s="22" t="str">
        <f>IF(Base_de_donnée_clients!C134="","",Base_de_donnée_clients!C134)</f>
        <v/>
      </c>
      <c r="D134" s="22" t="str">
        <f>IF(Base_de_donnée_clients!D134="","",Base_de_donnée_clients!D134)</f>
        <v/>
      </c>
      <c r="E134" s="22" t="str">
        <f>IF(Base_de_donnée_clients!E134="","",Base_de_donnée_clients!E134)</f>
        <v/>
      </c>
      <c r="F134" s="22" t="str">
        <f>IF(Base_de_donnée_clients!F134="","",Base_de_donnée_clients!F134)</f>
        <v/>
      </c>
      <c r="G134" s="22" t="str">
        <f>IF(Base_de_donnée_clients!G134="","",Base_de_donnée_clients!G134)</f>
        <v/>
      </c>
      <c r="H134" s="22" t="str">
        <f>IF(Base_de_donnée_clients!H134="","",Base_de_donnée_clients!H134)</f>
        <v/>
      </c>
      <c r="I134" s="23" t="str">
        <f>IF(Base_de_donnée_clients!I134="","",Base_de_donnée_clients!I134)</f>
        <v/>
      </c>
    </row>
    <row r="135" spans="1:9" s="14" customFormat="1" ht="30" customHeight="1" thickBot="1" x14ac:dyDescent="0.5">
      <c r="A135" s="21"/>
      <c r="B135" s="22" t="str">
        <f>IF(Base_de_donnée_clients!B135="","",Base_de_donnée_clients!B135)</f>
        <v/>
      </c>
      <c r="C135" s="22" t="str">
        <f>IF(Base_de_donnée_clients!C135="","",Base_de_donnée_clients!C135)</f>
        <v/>
      </c>
      <c r="D135" s="22" t="str">
        <f>IF(Base_de_donnée_clients!D135="","",Base_de_donnée_clients!D135)</f>
        <v/>
      </c>
      <c r="E135" s="22" t="str">
        <f>IF(Base_de_donnée_clients!E135="","",Base_de_donnée_clients!E135)</f>
        <v/>
      </c>
      <c r="F135" s="22" t="str">
        <f>IF(Base_de_donnée_clients!F135="","",Base_de_donnée_clients!F135)</f>
        <v/>
      </c>
      <c r="G135" s="22" t="str">
        <f>IF(Base_de_donnée_clients!G135="","",Base_de_donnée_clients!G135)</f>
        <v/>
      </c>
      <c r="H135" s="22" t="str">
        <f>IF(Base_de_donnée_clients!H135="","",Base_de_donnée_clients!H135)</f>
        <v/>
      </c>
      <c r="I135" s="23" t="str">
        <f>IF(Base_de_donnée_clients!I135="","",Base_de_donnée_clients!I135)</f>
        <v/>
      </c>
    </row>
    <row r="136" spans="1:9" s="14" customFormat="1" ht="30" customHeight="1" thickBot="1" x14ac:dyDescent="0.5">
      <c r="A136" s="21"/>
      <c r="B136" s="22" t="str">
        <f>IF(Base_de_donnée_clients!B136="","",Base_de_donnée_clients!B136)</f>
        <v/>
      </c>
      <c r="C136" s="22" t="str">
        <f>IF(Base_de_donnée_clients!C136="","",Base_de_donnée_clients!C136)</f>
        <v/>
      </c>
      <c r="D136" s="22" t="str">
        <f>IF(Base_de_donnée_clients!D136="","",Base_de_donnée_clients!D136)</f>
        <v/>
      </c>
      <c r="E136" s="22" t="str">
        <f>IF(Base_de_donnée_clients!E136="","",Base_de_donnée_clients!E136)</f>
        <v/>
      </c>
      <c r="F136" s="22" t="str">
        <f>IF(Base_de_donnée_clients!F136="","",Base_de_donnée_clients!F136)</f>
        <v/>
      </c>
      <c r="G136" s="22" t="str">
        <f>IF(Base_de_donnée_clients!G136="","",Base_de_donnée_clients!G136)</f>
        <v/>
      </c>
      <c r="H136" s="22" t="str">
        <f>IF(Base_de_donnée_clients!H136="","",Base_de_donnée_clients!H136)</f>
        <v/>
      </c>
      <c r="I136" s="23" t="str">
        <f>IF(Base_de_donnée_clients!I136="","",Base_de_donnée_clients!I136)</f>
        <v/>
      </c>
    </row>
    <row r="137" spans="1:9" s="14" customFormat="1" ht="30" customHeight="1" thickBot="1" x14ac:dyDescent="0.5">
      <c r="A137" s="21"/>
      <c r="B137" s="22" t="str">
        <f>IF(Base_de_donnée_clients!B137="","",Base_de_donnée_clients!B137)</f>
        <v/>
      </c>
      <c r="C137" s="22" t="str">
        <f>IF(Base_de_donnée_clients!C137="","",Base_de_donnée_clients!C137)</f>
        <v/>
      </c>
      <c r="D137" s="22" t="str">
        <f>IF(Base_de_donnée_clients!D137="","",Base_de_donnée_clients!D137)</f>
        <v/>
      </c>
      <c r="E137" s="22" t="str">
        <f>IF(Base_de_donnée_clients!E137="","",Base_de_donnée_clients!E137)</f>
        <v/>
      </c>
      <c r="F137" s="22" t="str">
        <f>IF(Base_de_donnée_clients!F137="","",Base_de_donnée_clients!F137)</f>
        <v/>
      </c>
      <c r="G137" s="22" t="str">
        <f>IF(Base_de_donnée_clients!G137="","",Base_de_donnée_clients!G137)</f>
        <v/>
      </c>
      <c r="H137" s="22" t="str">
        <f>IF(Base_de_donnée_clients!H137="","",Base_de_donnée_clients!H137)</f>
        <v/>
      </c>
      <c r="I137" s="23" t="str">
        <f>IF(Base_de_donnée_clients!I137="","",Base_de_donnée_clients!I137)</f>
        <v/>
      </c>
    </row>
    <row r="138" spans="1:9" s="14" customFormat="1" ht="30" customHeight="1" thickBot="1" x14ac:dyDescent="0.5">
      <c r="A138" s="21"/>
      <c r="B138" s="22" t="str">
        <f>IF(Base_de_donnée_clients!B138="","",Base_de_donnée_clients!B138)</f>
        <v/>
      </c>
      <c r="C138" s="22" t="str">
        <f>IF(Base_de_donnée_clients!C138="","",Base_de_donnée_clients!C138)</f>
        <v/>
      </c>
      <c r="D138" s="22" t="str">
        <f>IF(Base_de_donnée_clients!D138="","",Base_de_donnée_clients!D138)</f>
        <v/>
      </c>
      <c r="E138" s="22" t="str">
        <f>IF(Base_de_donnée_clients!E138="","",Base_de_donnée_clients!E138)</f>
        <v/>
      </c>
      <c r="F138" s="22" t="str">
        <f>IF(Base_de_donnée_clients!F138="","",Base_de_donnée_clients!F138)</f>
        <v/>
      </c>
      <c r="G138" s="22" t="str">
        <f>IF(Base_de_donnée_clients!G138="","",Base_de_donnée_clients!G138)</f>
        <v/>
      </c>
      <c r="H138" s="22" t="str">
        <f>IF(Base_de_donnée_clients!H138="","",Base_de_donnée_clients!H138)</f>
        <v/>
      </c>
      <c r="I138" s="23" t="str">
        <f>IF(Base_de_donnée_clients!I138="","",Base_de_donnée_clients!I138)</f>
        <v/>
      </c>
    </row>
    <row r="139" spans="1:9" s="14" customFormat="1" ht="30" customHeight="1" thickBot="1" x14ac:dyDescent="0.5">
      <c r="A139" s="21"/>
      <c r="B139" s="22" t="str">
        <f>IF(Base_de_donnée_clients!B139="","",Base_de_donnée_clients!B139)</f>
        <v/>
      </c>
      <c r="C139" s="22" t="str">
        <f>IF(Base_de_donnée_clients!C139="","",Base_de_donnée_clients!C139)</f>
        <v/>
      </c>
      <c r="D139" s="22" t="str">
        <f>IF(Base_de_donnée_clients!D139="","",Base_de_donnée_clients!D139)</f>
        <v/>
      </c>
      <c r="E139" s="22" t="str">
        <f>IF(Base_de_donnée_clients!E139="","",Base_de_donnée_clients!E139)</f>
        <v/>
      </c>
      <c r="F139" s="22" t="str">
        <f>IF(Base_de_donnée_clients!F139="","",Base_de_donnée_clients!F139)</f>
        <v/>
      </c>
      <c r="G139" s="22" t="str">
        <f>IF(Base_de_donnée_clients!G139="","",Base_de_donnée_clients!G139)</f>
        <v/>
      </c>
      <c r="H139" s="22" t="str">
        <f>IF(Base_de_donnée_clients!H139="","",Base_de_donnée_clients!H139)</f>
        <v/>
      </c>
      <c r="I139" s="23" t="str">
        <f>IF(Base_de_donnée_clients!I139="","",Base_de_donnée_clients!I139)</f>
        <v/>
      </c>
    </row>
    <row r="140" spans="1:9" s="14" customFormat="1" ht="30" customHeight="1" thickBot="1" x14ac:dyDescent="0.5">
      <c r="A140" s="21"/>
      <c r="B140" s="22" t="str">
        <f>IF(Base_de_donnée_clients!B140="","",Base_de_donnée_clients!B140)</f>
        <v/>
      </c>
      <c r="C140" s="22" t="str">
        <f>IF(Base_de_donnée_clients!C140="","",Base_de_donnée_clients!C140)</f>
        <v/>
      </c>
      <c r="D140" s="22" t="str">
        <f>IF(Base_de_donnée_clients!D140="","",Base_de_donnée_clients!D140)</f>
        <v/>
      </c>
      <c r="E140" s="22" t="str">
        <f>IF(Base_de_donnée_clients!E140="","",Base_de_donnée_clients!E140)</f>
        <v/>
      </c>
      <c r="F140" s="22" t="str">
        <f>IF(Base_de_donnée_clients!F140="","",Base_de_donnée_clients!F140)</f>
        <v/>
      </c>
      <c r="G140" s="22" t="str">
        <f>IF(Base_de_donnée_clients!G140="","",Base_de_donnée_clients!G140)</f>
        <v/>
      </c>
      <c r="H140" s="22" t="str">
        <f>IF(Base_de_donnée_clients!H140="","",Base_de_donnée_clients!H140)</f>
        <v/>
      </c>
      <c r="I140" s="23" t="str">
        <f>IF(Base_de_donnée_clients!I140="","",Base_de_donnée_clients!I140)</f>
        <v/>
      </c>
    </row>
    <row r="141" spans="1:9" s="14" customFormat="1" ht="30" customHeight="1" thickBot="1" x14ac:dyDescent="0.5">
      <c r="A141" s="21"/>
      <c r="B141" s="22" t="str">
        <f>IF(Base_de_donnée_clients!B141="","",Base_de_donnée_clients!B141)</f>
        <v/>
      </c>
      <c r="C141" s="22" t="str">
        <f>IF(Base_de_donnée_clients!C141="","",Base_de_donnée_clients!C141)</f>
        <v/>
      </c>
      <c r="D141" s="22" t="str">
        <f>IF(Base_de_donnée_clients!D141="","",Base_de_donnée_clients!D141)</f>
        <v/>
      </c>
      <c r="E141" s="22" t="str">
        <f>IF(Base_de_donnée_clients!E141="","",Base_de_donnée_clients!E141)</f>
        <v/>
      </c>
      <c r="F141" s="22" t="str">
        <f>IF(Base_de_donnée_clients!F141="","",Base_de_donnée_clients!F141)</f>
        <v/>
      </c>
      <c r="G141" s="22" t="str">
        <f>IF(Base_de_donnée_clients!G141="","",Base_de_donnée_clients!G141)</f>
        <v/>
      </c>
      <c r="H141" s="22" t="str">
        <f>IF(Base_de_donnée_clients!H141="","",Base_de_donnée_clients!H141)</f>
        <v/>
      </c>
      <c r="I141" s="23" t="str">
        <f>IF(Base_de_donnée_clients!I141="","",Base_de_donnée_clients!I141)</f>
        <v/>
      </c>
    </row>
    <row r="142" spans="1:9" s="14" customFormat="1" ht="30" customHeight="1" thickBot="1" x14ac:dyDescent="0.5">
      <c r="A142" s="21"/>
      <c r="B142" s="22" t="str">
        <f>IF(Base_de_donnée_clients!B142="","",Base_de_donnée_clients!B142)</f>
        <v/>
      </c>
      <c r="C142" s="22" t="str">
        <f>IF(Base_de_donnée_clients!C142="","",Base_de_donnée_clients!C142)</f>
        <v/>
      </c>
      <c r="D142" s="22" t="str">
        <f>IF(Base_de_donnée_clients!D142="","",Base_de_donnée_clients!D142)</f>
        <v/>
      </c>
      <c r="E142" s="22" t="str">
        <f>IF(Base_de_donnée_clients!E142="","",Base_de_donnée_clients!E142)</f>
        <v/>
      </c>
      <c r="F142" s="22" t="str">
        <f>IF(Base_de_donnée_clients!F142="","",Base_de_donnée_clients!F142)</f>
        <v/>
      </c>
      <c r="G142" s="22" t="str">
        <f>IF(Base_de_donnée_clients!G142="","",Base_de_donnée_clients!G142)</f>
        <v/>
      </c>
      <c r="H142" s="22" t="str">
        <f>IF(Base_de_donnée_clients!H142="","",Base_de_donnée_clients!H142)</f>
        <v/>
      </c>
      <c r="I142" s="23" t="str">
        <f>IF(Base_de_donnée_clients!I142="","",Base_de_donnée_clients!I142)</f>
        <v/>
      </c>
    </row>
    <row r="143" spans="1:9" s="14" customFormat="1" ht="30" customHeight="1" thickBot="1" x14ac:dyDescent="0.5">
      <c r="A143" s="21"/>
      <c r="B143" s="22" t="str">
        <f>IF(Base_de_donnée_clients!B143="","",Base_de_donnée_clients!B143)</f>
        <v/>
      </c>
      <c r="C143" s="22" t="str">
        <f>IF(Base_de_donnée_clients!C143="","",Base_de_donnée_clients!C143)</f>
        <v/>
      </c>
      <c r="D143" s="22" t="str">
        <f>IF(Base_de_donnée_clients!D143="","",Base_de_donnée_clients!D143)</f>
        <v/>
      </c>
      <c r="E143" s="22" t="str">
        <f>IF(Base_de_donnée_clients!E143="","",Base_de_donnée_clients!E143)</f>
        <v/>
      </c>
      <c r="F143" s="22" t="str">
        <f>IF(Base_de_donnée_clients!F143="","",Base_de_donnée_clients!F143)</f>
        <v/>
      </c>
      <c r="G143" s="22" t="str">
        <f>IF(Base_de_donnée_clients!G143="","",Base_de_donnée_clients!G143)</f>
        <v/>
      </c>
      <c r="H143" s="22" t="str">
        <f>IF(Base_de_donnée_clients!H143="","",Base_de_donnée_clients!H143)</f>
        <v/>
      </c>
      <c r="I143" s="23" t="str">
        <f>IF(Base_de_donnée_clients!I143="","",Base_de_donnée_clients!I143)</f>
        <v/>
      </c>
    </row>
    <row r="144" spans="1:9" s="14" customFormat="1" ht="30" customHeight="1" thickBot="1" x14ac:dyDescent="0.5">
      <c r="A144" s="21"/>
      <c r="B144" s="22" t="str">
        <f>IF(Base_de_donnée_clients!B144="","",Base_de_donnée_clients!B144)</f>
        <v/>
      </c>
      <c r="C144" s="22" t="str">
        <f>IF(Base_de_donnée_clients!C144="","",Base_de_donnée_clients!C144)</f>
        <v/>
      </c>
      <c r="D144" s="22" t="str">
        <f>IF(Base_de_donnée_clients!D144="","",Base_de_donnée_clients!D144)</f>
        <v/>
      </c>
      <c r="E144" s="22" t="str">
        <f>IF(Base_de_donnée_clients!E144="","",Base_de_donnée_clients!E144)</f>
        <v/>
      </c>
      <c r="F144" s="22" t="str">
        <f>IF(Base_de_donnée_clients!F144="","",Base_de_donnée_clients!F144)</f>
        <v/>
      </c>
      <c r="G144" s="22" t="str">
        <f>IF(Base_de_donnée_clients!G144="","",Base_de_donnée_clients!G144)</f>
        <v/>
      </c>
      <c r="H144" s="22" t="str">
        <f>IF(Base_de_donnée_clients!H144="","",Base_de_donnée_clients!H144)</f>
        <v/>
      </c>
      <c r="I144" s="23" t="str">
        <f>IF(Base_de_donnée_clients!I144="","",Base_de_donnée_clients!I144)</f>
        <v/>
      </c>
    </row>
    <row r="145" spans="1:9" s="14" customFormat="1" ht="30" customHeight="1" thickBot="1" x14ac:dyDescent="0.5">
      <c r="A145" s="21"/>
      <c r="B145" s="22" t="str">
        <f>IF(Base_de_donnée_clients!B145="","",Base_de_donnée_clients!B145)</f>
        <v/>
      </c>
      <c r="C145" s="22" t="str">
        <f>IF(Base_de_donnée_clients!C145="","",Base_de_donnée_clients!C145)</f>
        <v/>
      </c>
      <c r="D145" s="22" t="str">
        <f>IF(Base_de_donnée_clients!D145="","",Base_de_donnée_clients!D145)</f>
        <v/>
      </c>
      <c r="E145" s="22" t="str">
        <f>IF(Base_de_donnée_clients!E145="","",Base_de_donnée_clients!E145)</f>
        <v/>
      </c>
      <c r="F145" s="22" t="str">
        <f>IF(Base_de_donnée_clients!F145="","",Base_de_donnée_clients!F145)</f>
        <v/>
      </c>
      <c r="G145" s="22" t="str">
        <f>IF(Base_de_donnée_clients!G145="","",Base_de_donnée_clients!G145)</f>
        <v/>
      </c>
      <c r="H145" s="22" t="str">
        <f>IF(Base_de_donnée_clients!H145="","",Base_de_donnée_clients!H145)</f>
        <v/>
      </c>
      <c r="I145" s="23" t="str">
        <f>IF(Base_de_donnée_clients!I145="","",Base_de_donnée_clients!I145)</f>
        <v/>
      </c>
    </row>
    <row r="146" spans="1:9" s="14" customFormat="1" ht="30" customHeight="1" thickBot="1" x14ac:dyDescent="0.5">
      <c r="A146" s="21"/>
      <c r="B146" s="22" t="str">
        <f>IF(Base_de_donnée_clients!B146="","",Base_de_donnée_clients!B146)</f>
        <v/>
      </c>
      <c r="C146" s="22" t="str">
        <f>IF(Base_de_donnée_clients!C146="","",Base_de_donnée_clients!C146)</f>
        <v/>
      </c>
      <c r="D146" s="22" t="str">
        <f>IF(Base_de_donnée_clients!D146="","",Base_de_donnée_clients!D146)</f>
        <v/>
      </c>
      <c r="E146" s="22" t="str">
        <f>IF(Base_de_donnée_clients!E146="","",Base_de_donnée_clients!E146)</f>
        <v/>
      </c>
      <c r="F146" s="22" t="str">
        <f>IF(Base_de_donnée_clients!F146="","",Base_de_donnée_clients!F146)</f>
        <v/>
      </c>
      <c r="G146" s="22" t="str">
        <f>IF(Base_de_donnée_clients!G146="","",Base_de_donnée_clients!G146)</f>
        <v/>
      </c>
      <c r="H146" s="22" t="str">
        <f>IF(Base_de_donnée_clients!H146="","",Base_de_donnée_clients!H146)</f>
        <v/>
      </c>
      <c r="I146" s="23" t="str">
        <f>IF(Base_de_donnée_clients!I146="","",Base_de_donnée_clients!I146)</f>
        <v/>
      </c>
    </row>
    <row r="147" spans="1:9" s="14" customFormat="1" ht="30" customHeight="1" thickBot="1" x14ac:dyDescent="0.5">
      <c r="A147" s="21"/>
      <c r="B147" s="22" t="str">
        <f>IF(Base_de_donnée_clients!B147="","",Base_de_donnée_clients!B147)</f>
        <v/>
      </c>
      <c r="C147" s="22" t="str">
        <f>IF(Base_de_donnée_clients!C147="","",Base_de_donnée_clients!C147)</f>
        <v/>
      </c>
      <c r="D147" s="22" t="str">
        <f>IF(Base_de_donnée_clients!D147="","",Base_de_donnée_clients!D147)</f>
        <v/>
      </c>
      <c r="E147" s="22" t="str">
        <f>IF(Base_de_donnée_clients!E147="","",Base_de_donnée_clients!E147)</f>
        <v/>
      </c>
      <c r="F147" s="22" t="str">
        <f>IF(Base_de_donnée_clients!F147="","",Base_de_donnée_clients!F147)</f>
        <v/>
      </c>
      <c r="G147" s="22" t="str">
        <f>IF(Base_de_donnée_clients!G147="","",Base_de_donnée_clients!G147)</f>
        <v/>
      </c>
      <c r="H147" s="22" t="str">
        <f>IF(Base_de_donnée_clients!H147="","",Base_de_donnée_clients!H147)</f>
        <v/>
      </c>
      <c r="I147" s="23" t="str">
        <f>IF(Base_de_donnée_clients!I147="","",Base_de_donnée_clients!I147)</f>
        <v/>
      </c>
    </row>
    <row r="148" spans="1:9" s="14" customFormat="1" ht="30" customHeight="1" thickBot="1" x14ac:dyDescent="0.5">
      <c r="A148" s="21"/>
      <c r="B148" s="22" t="str">
        <f>IF(Base_de_donnée_clients!B148="","",Base_de_donnée_clients!B148)</f>
        <v/>
      </c>
      <c r="C148" s="22" t="str">
        <f>IF(Base_de_donnée_clients!C148="","",Base_de_donnée_clients!C148)</f>
        <v/>
      </c>
      <c r="D148" s="22" t="str">
        <f>IF(Base_de_donnée_clients!D148="","",Base_de_donnée_clients!D148)</f>
        <v/>
      </c>
      <c r="E148" s="22" t="str">
        <f>IF(Base_de_donnée_clients!E148="","",Base_de_donnée_clients!E148)</f>
        <v/>
      </c>
      <c r="F148" s="22" t="str">
        <f>IF(Base_de_donnée_clients!F148="","",Base_de_donnée_clients!F148)</f>
        <v/>
      </c>
      <c r="G148" s="22" t="str">
        <f>IF(Base_de_donnée_clients!G148="","",Base_de_donnée_clients!G148)</f>
        <v/>
      </c>
      <c r="H148" s="22" t="str">
        <f>IF(Base_de_donnée_clients!H148="","",Base_de_donnée_clients!H148)</f>
        <v/>
      </c>
      <c r="I148" s="23" t="str">
        <f>IF(Base_de_donnée_clients!I148="","",Base_de_donnée_clients!I148)</f>
        <v/>
      </c>
    </row>
    <row r="149" spans="1:9" s="14" customFormat="1" ht="30" customHeight="1" thickBot="1" x14ac:dyDescent="0.5">
      <c r="A149" s="21"/>
      <c r="B149" s="22" t="str">
        <f>IF(Base_de_donnée_clients!B149="","",Base_de_donnée_clients!B149)</f>
        <v/>
      </c>
      <c r="C149" s="22" t="str">
        <f>IF(Base_de_donnée_clients!C149="","",Base_de_donnée_clients!C149)</f>
        <v/>
      </c>
      <c r="D149" s="22" t="str">
        <f>IF(Base_de_donnée_clients!D149="","",Base_de_donnée_clients!D149)</f>
        <v/>
      </c>
      <c r="E149" s="22" t="str">
        <f>IF(Base_de_donnée_clients!E149="","",Base_de_donnée_clients!E149)</f>
        <v/>
      </c>
      <c r="F149" s="22" t="str">
        <f>IF(Base_de_donnée_clients!F149="","",Base_de_donnée_clients!F149)</f>
        <v/>
      </c>
      <c r="G149" s="22" t="str">
        <f>IF(Base_de_donnée_clients!G149="","",Base_de_donnée_clients!G149)</f>
        <v/>
      </c>
      <c r="H149" s="22" t="str">
        <f>IF(Base_de_donnée_clients!H149="","",Base_de_donnée_clients!H149)</f>
        <v/>
      </c>
      <c r="I149" s="23" t="str">
        <f>IF(Base_de_donnée_clients!I149="","",Base_de_donnée_clients!I149)</f>
        <v/>
      </c>
    </row>
    <row r="150" spans="1:9" s="14" customFormat="1" ht="30" customHeight="1" thickBot="1" x14ac:dyDescent="0.5">
      <c r="A150" s="21"/>
      <c r="B150" s="22" t="str">
        <f>IF(Base_de_donnée_clients!B150="","",Base_de_donnée_clients!B150)</f>
        <v/>
      </c>
      <c r="C150" s="22" t="str">
        <f>IF(Base_de_donnée_clients!C150="","",Base_de_donnée_clients!C150)</f>
        <v/>
      </c>
      <c r="D150" s="22" t="str">
        <f>IF(Base_de_donnée_clients!D150="","",Base_de_donnée_clients!D150)</f>
        <v/>
      </c>
      <c r="E150" s="22" t="str">
        <f>IF(Base_de_donnée_clients!E150="","",Base_de_donnée_clients!E150)</f>
        <v/>
      </c>
      <c r="F150" s="22" t="str">
        <f>IF(Base_de_donnée_clients!F150="","",Base_de_donnée_clients!F150)</f>
        <v/>
      </c>
      <c r="G150" s="22" t="str">
        <f>IF(Base_de_donnée_clients!G150="","",Base_de_donnée_clients!G150)</f>
        <v/>
      </c>
      <c r="H150" s="22" t="str">
        <f>IF(Base_de_donnée_clients!H150="","",Base_de_donnée_clients!H150)</f>
        <v/>
      </c>
      <c r="I150" s="23" t="str">
        <f>IF(Base_de_donnée_clients!I150="","",Base_de_donnée_clients!I150)</f>
        <v/>
      </c>
    </row>
    <row r="151" spans="1:9" s="14" customFormat="1" ht="30" customHeight="1" thickBot="1" x14ac:dyDescent="0.5">
      <c r="A151" s="21"/>
      <c r="B151" s="22" t="str">
        <f>IF(Base_de_donnée_clients!B151="","",Base_de_donnée_clients!B151)</f>
        <v/>
      </c>
      <c r="C151" s="22" t="str">
        <f>IF(Base_de_donnée_clients!C151="","",Base_de_donnée_clients!C151)</f>
        <v/>
      </c>
      <c r="D151" s="22" t="str">
        <f>IF(Base_de_donnée_clients!D151="","",Base_de_donnée_clients!D151)</f>
        <v/>
      </c>
      <c r="E151" s="22" t="str">
        <f>IF(Base_de_donnée_clients!E151="","",Base_de_donnée_clients!E151)</f>
        <v/>
      </c>
      <c r="F151" s="22" t="str">
        <f>IF(Base_de_donnée_clients!F151="","",Base_de_donnée_clients!F151)</f>
        <v/>
      </c>
      <c r="G151" s="22" t="str">
        <f>IF(Base_de_donnée_clients!G151="","",Base_de_donnée_clients!G151)</f>
        <v/>
      </c>
      <c r="H151" s="22" t="str">
        <f>IF(Base_de_donnée_clients!H151="","",Base_de_donnée_clients!H151)</f>
        <v/>
      </c>
      <c r="I151" s="23" t="str">
        <f>IF(Base_de_donnée_clients!I151="","",Base_de_donnée_clients!I151)</f>
        <v/>
      </c>
    </row>
    <row r="152" spans="1:9" s="14" customFormat="1" ht="30" customHeight="1" thickBot="1" x14ac:dyDescent="0.5">
      <c r="A152" s="21"/>
      <c r="B152" s="22" t="str">
        <f>IF(Base_de_donnée_clients!B152="","",Base_de_donnée_clients!B152)</f>
        <v/>
      </c>
      <c r="C152" s="22" t="str">
        <f>IF(Base_de_donnée_clients!C152="","",Base_de_donnée_clients!C152)</f>
        <v/>
      </c>
      <c r="D152" s="22" t="str">
        <f>IF(Base_de_donnée_clients!D152="","",Base_de_donnée_clients!D152)</f>
        <v/>
      </c>
      <c r="E152" s="22" t="str">
        <f>IF(Base_de_donnée_clients!E152="","",Base_de_donnée_clients!E152)</f>
        <v/>
      </c>
      <c r="F152" s="22" t="str">
        <f>IF(Base_de_donnée_clients!F152="","",Base_de_donnée_clients!F152)</f>
        <v/>
      </c>
      <c r="G152" s="22" t="str">
        <f>IF(Base_de_donnée_clients!G152="","",Base_de_donnée_clients!G152)</f>
        <v/>
      </c>
      <c r="H152" s="22" t="str">
        <f>IF(Base_de_donnée_clients!H152="","",Base_de_donnée_clients!H152)</f>
        <v/>
      </c>
      <c r="I152" s="23" t="str">
        <f>IF(Base_de_donnée_clients!I152="","",Base_de_donnée_clients!I152)</f>
        <v/>
      </c>
    </row>
    <row r="153" spans="1:9" s="14" customFormat="1" ht="30" customHeight="1" thickBot="1" x14ac:dyDescent="0.5">
      <c r="A153" s="21"/>
      <c r="B153" s="22" t="str">
        <f>IF(Base_de_donnée_clients!B153="","",Base_de_donnée_clients!B153)</f>
        <v/>
      </c>
      <c r="C153" s="22" t="str">
        <f>IF(Base_de_donnée_clients!C153="","",Base_de_donnée_clients!C153)</f>
        <v/>
      </c>
      <c r="D153" s="22" t="str">
        <f>IF(Base_de_donnée_clients!D153="","",Base_de_donnée_clients!D153)</f>
        <v/>
      </c>
      <c r="E153" s="22" t="str">
        <f>IF(Base_de_donnée_clients!E153="","",Base_de_donnée_clients!E153)</f>
        <v/>
      </c>
      <c r="F153" s="22" t="str">
        <f>IF(Base_de_donnée_clients!F153="","",Base_de_donnée_clients!F153)</f>
        <v/>
      </c>
      <c r="G153" s="22" t="str">
        <f>IF(Base_de_donnée_clients!G153="","",Base_de_donnée_clients!G153)</f>
        <v/>
      </c>
      <c r="H153" s="22" t="str">
        <f>IF(Base_de_donnée_clients!H153="","",Base_de_donnée_clients!H153)</f>
        <v/>
      </c>
      <c r="I153" s="23" t="str">
        <f>IF(Base_de_donnée_clients!I153="","",Base_de_donnée_clients!I153)</f>
        <v/>
      </c>
    </row>
    <row r="154" spans="1:9" s="14" customFormat="1" ht="30" customHeight="1" thickBot="1" x14ac:dyDescent="0.5">
      <c r="A154" s="21"/>
      <c r="B154" s="22" t="str">
        <f>IF(Base_de_donnée_clients!B154="","",Base_de_donnée_clients!B154)</f>
        <v/>
      </c>
      <c r="C154" s="22" t="str">
        <f>IF(Base_de_donnée_clients!C154="","",Base_de_donnée_clients!C154)</f>
        <v/>
      </c>
      <c r="D154" s="22" t="str">
        <f>IF(Base_de_donnée_clients!D154="","",Base_de_donnée_clients!D154)</f>
        <v/>
      </c>
      <c r="E154" s="22" t="str">
        <f>IF(Base_de_donnée_clients!E154="","",Base_de_donnée_clients!E154)</f>
        <v/>
      </c>
      <c r="F154" s="22" t="str">
        <f>IF(Base_de_donnée_clients!F154="","",Base_de_donnée_clients!F154)</f>
        <v/>
      </c>
      <c r="G154" s="22" t="str">
        <f>IF(Base_de_donnée_clients!G154="","",Base_de_donnée_clients!G154)</f>
        <v/>
      </c>
      <c r="H154" s="22" t="str">
        <f>IF(Base_de_donnée_clients!H154="","",Base_de_donnée_clients!H154)</f>
        <v/>
      </c>
      <c r="I154" s="23" t="str">
        <f>IF(Base_de_donnée_clients!I154="","",Base_de_donnée_clients!I154)</f>
        <v/>
      </c>
    </row>
    <row r="155" spans="1:9" s="14" customFormat="1" ht="30" customHeight="1" thickBot="1" x14ac:dyDescent="0.5">
      <c r="A155" s="21"/>
      <c r="B155" s="22" t="str">
        <f>IF(Base_de_donnée_clients!B155="","",Base_de_donnée_clients!B155)</f>
        <v/>
      </c>
      <c r="C155" s="22" t="str">
        <f>IF(Base_de_donnée_clients!C155="","",Base_de_donnée_clients!C155)</f>
        <v/>
      </c>
      <c r="D155" s="22" t="str">
        <f>IF(Base_de_donnée_clients!D155="","",Base_de_donnée_clients!D155)</f>
        <v/>
      </c>
      <c r="E155" s="22" t="str">
        <f>IF(Base_de_donnée_clients!E155="","",Base_de_donnée_clients!E155)</f>
        <v/>
      </c>
      <c r="F155" s="22" t="str">
        <f>IF(Base_de_donnée_clients!F155="","",Base_de_donnée_clients!F155)</f>
        <v/>
      </c>
      <c r="G155" s="22" t="str">
        <f>IF(Base_de_donnée_clients!G155="","",Base_de_donnée_clients!G155)</f>
        <v/>
      </c>
      <c r="H155" s="22" t="str">
        <f>IF(Base_de_donnée_clients!H155="","",Base_de_donnée_clients!H155)</f>
        <v/>
      </c>
      <c r="I155" s="23" t="str">
        <f>IF(Base_de_donnée_clients!I155="","",Base_de_donnée_clients!I155)</f>
        <v/>
      </c>
    </row>
    <row r="156" spans="1:9" s="14" customFormat="1" ht="30" customHeight="1" thickBot="1" x14ac:dyDescent="0.5">
      <c r="A156" s="21"/>
      <c r="B156" s="22" t="str">
        <f>IF(Base_de_donnée_clients!B156="","",Base_de_donnée_clients!B156)</f>
        <v/>
      </c>
      <c r="C156" s="22" t="str">
        <f>IF(Base_de_donnée_clients!C156="","",Base_de_donnée_clients!C156)</f>
        <v/>
      </c>
      <c r="D156" s="22" t="str">
        <f>IF(Base_de_donnée_clients!D156="","",Base_de_donnée_clients!D156)</f>
        <v/>
      </c>
      <c r="E156" s="22" t="str">
        <f>IF(Base_de_donnée_clients!E156="","",Base_de_donnée_clients!E156)</f>
        <v/>
      </c>
      <c r="F156" s="22" t="str">
        <f>IF(Base_de_donnée_clients!F156="","",Base_de_donnée_clients!F156)</f>
        <v/>
      </c>
      <c r="G156" s="22" t="str">
        <f>IF(Base_de_donnée_clients!G156="","",Base_de_donnée_clients!G156)</f>
        <v/>
      </c>
      <c r="H156" s="22" t="str">
        <f>IF(Base_de_donnée_clients!H156="","",Base_de_donnée_clients!H156)</f>
        <v/>
      </c>
      <c r="I156" s="23" t="str">
        <f>IF(Base_de_donnée_clients!I156="","",Base_de_donnée_clients!I156)</f>
        <v/>
      </c>
    </row>
    <row r="157" spans="1:9" s="14" customFormat="1" ht="30" customHeight="1" thickBot="1" x14ac:dyDescent="0.5">
      <c r="A157" s="21"/>
      <c r="B157" s="22" t="str">
        <f>IF(Base_de_donnée_clients!B157="","",Base_de_donnée_clients!B157)</f>
        <v/>
      </c>
      <c r="C157" s="22" t="str">
        <f>IF(Base_de_donnée_clients!C157="","",Base_de_donnée_clients!C157)</f>
        <v/>
      </c>
      <c r="D157" s="22" t="str">
        <f>IF(Base_de_donnée_clients!D157="","",Base_de_donnée_clients!D157)</f>
        <v/>
      </c>
      <c r="E157" s="22" t="str">
        <f>IF(Base_de_donnée_clients!E157="","",Base_de_donnée_clients!E157)</f>
        <v/>
      </c>
      <c r="F157" s="22" t="str">
        <f>IF(Base_de_donnée_clients!F157="","",Base_de_donnée_clients!F157)</f>
        <v/>
      </c>
      <c r="G157" s="22" t="str">
        <f>IF(Base_de_donnée_clients!G157="","",Base_de_donnée_clients!G157)</f>
        <v/>
      </c>
      <c r="H157" s="22" t="str">
        <f>IF(Base_de_donnée_clients!H157="","",Base_de_donnée_clients!H157)</f>
        <v/>
      </c>
      <c r="I157" s="23" t="str">
        <f>IF(Base_de_donnée_clients!I157="","",Base_de_donnée_clients!I157)</f>
        <v/>
      </c>
    </row>
    <row r="158" spans="1:9" s="14" customFormat="1" ht="30" customHeight="1" thickBot="1" x14ac:dyDescent="0.5">
      <c r="A158" s="21"/>
      <c r="B158" s="22" t="str">
        <f>IF(Base_de_donnée_clients!B158="","",Base_de_donnée_clients!B158)</f>
        <v/>
      </c>
      <c r="C158" s="22" t="str">
        <f>IF(Base_de_donnée_clients!C158="","",Base_de_donnée_clients!C158)</f>
        <v/>
      </c>
      <c r="D158" s="22" t="str">
        <f>IF(Base_de_donnée_clients!D158="","",Base_de_donnée_clients!D158)</f>
        <v/>
      </c>
      <c r="E158" s="22" t="str">
        <f>IF(Base_de_donnée_clients!E158="","",Base_de_donnée_clients!E158)</f>
        <v/>
      </c>
      <c r="F158" s="22" t="str">
        <f>IF(Base_de_donnée_clients!F158="","",Base_de_donnée_clients!F158)</f>
        <v/>
      </c>
      <c r="G158" s="22" t="str">
        <f>IF(Base_de_donnée_clients!G158="","",Base_de_donnée_clients!G158)</f>
        <v/>
      </c>
      <c r="H158" s="22" t="str">
        <f>IF(Base_de_donnée_clients!H158="","",Base_de_donnée_clients!H158)</f>
        <v/>
      </c>
      <c r="I158" s="23" t="str">
        <f>IF(Base_de_donnée_clients!I158="","",Base_de_donnée_clients!I158)</f>
        <v/>
      </c>
    </row>
    <row r="159" spans="1:9" s="14" customFormat="1" ht="30" customHeight="1" thickBot="1" x14ac:dyDescent="0.5">
      <c r="A159" s="21"/>
      <c r="B159" s="22" t="str">
        <f>IF(Base_de_donnée_clients!B159="","",Base_de_donnée_clients!B159)</f>
        <v/>
      </c>
      <c r="C159" s="22" t="str">
        <f>IF(Base_de_donnée_clients!C159="","",Base_de_donnée_clients!C159)</f>
        <v/>
      </c>
      <c r="D159" s="22" t="str">
        <f>IF(Base_de_donnée_clients!D159="","",Base_de_donnée_clients!D159)</f>
        <v/>
      </c>
      <c r="E159" s="22" t="str">
        <f>IF(Base_de_donnée_clients!E159="","",Base_de_donnée_clients!E159)</f>
        <v/>
      </c>
      <c r="F159" s="22" t="str">
        <f>IF(Base_de_donnée_clients!F159="","",Base_de_donnée_clients!F159)</f>
        <v/>
      </c>
      <c r="G159" s="22" t="str">
        <f>IF(Base_de_donnée_clients!G159="","",Base_de_donnée_clients!G159)</f>
        <v/>
      </c>
      <c r="H159" s="22" t="str">
        <f>IF(Base_de_donnée_clients!H159="","",Base_de_donnée_clients!H159)</f>
        <v/>
      </c>
      <c r="I159" s="23" t="str">
        <f>IF(Base_de_donnée_clients!I159="","",Base_de_donnée_clients!I159)</f>
        <v/>
      </c>
    </row>
    <row r="160" spans="1:9" s="14" customFormat="1" ht="30" customHeight="1" thickBot="1" x14ac:dyDescent="0.5">
      <c r="A160" s="21"/>
      <c r="B160" s="22" t="str">
        <f>IF(Base_de_donnée_clients!B160="","",Base_de_donnée_clients!B160)</f>
        <v/>
      </c>
      <c r="C160" s="22" t="str">
        <f>IF(Base_de_donnée_clients!C160="","",Base_de_donnée_clients!C160)</f>
        <v/>
      </c>
      <c r="D160" s="22" t="str">
        <f>IF(Base_de_donnée_clients!D160="","",Base_de_donnée_clients!D160)</f>
        <v/>
      </c>
      <c r="E160" s="22" t="str">
        <f>IF(Base_de_donnée_clients!E160="","",Base_de_donnée_clients!E160)</f>
        <v/>
      </c>
      <c r="F160" s="22" t="str">
        <f>IF(Base_de_donnée_clients!F160="","",Base_de_donnée_clients!F160)</f>
        <v/>
      </c>
      <c r="G160" s="22" t="str">
        <f>IF(Base_de_donnée_clients!G160="","",Base_de_donnée_clients!G160)</f>
        <v/>
      </c>
      <c r="H160" s="22" t="str">
        <f>IF(Base_de_donnée_clients!H160="","",Base_de_donnée_clients!H160)</f>
        <v/>
      </c>
      <c r="I160" s="23" t="str">
        <f>IF(Base_de_donnée_clients!I160="","",Base_de_donnée_clients!I160)</f>
        <v/>
      </c>
    </row>
    <row r="161" spans="1:9" s="14" customFormat="1" ht="30" customHeight="1" thickBot="1" x14ac:dyDescent="0.5">
      <c r="A161" s="21"/>
      <c r="B161" s="22" t="str">
        <f>IF(Base_de_donnée_clients!B161="","",Base_de_donnée_clients!B161)</f>
        <v/>
      </c>
      <c r="C161" s="22" t="str">
        <f>IF(Base_de_donnée_clients!C161="","",Base_de_donnée_clients!C161)</f>
        <v/>
      </c>
      <c r="D161" s="22" t="str">
        <f>IF(Base_de_donnée_clients!D161="","",Base_de_donnée_clients!D161)</f>
        <v/>
      </c>
      <c r="E161" s="22" t="str">
        <f>IF(Base_de_donnée_clients!E161="","",Base_de_donnée_clients!E161)</f>
        <v/>
      </c>
      <c r="F161" s="22" t="str">
        <f>IF(Base_de_donnée_clients!F161="","",Base_de_donnée_clients!F161)</f>
        <v/>
      </c>
      <c r="G161" s="22" t="str">
        <f>IF(Base_de_donnée_clients!G161="","",Base_de_donnée_clients!G161)</f>
        <v/>
      </c>
      <c r="H161" s="22" t="str">
        <f>IF(Base_de_donnée_clients!H161="","",Base_de_donnée_clients!H161)</f>
        <v/>
      </c>
      <c r="I161" s="23" t="str">
        <f>IF(Base_de_donnée_clients!I161="","",Base_de_donnée_clients!I161)</f>
        <v/>
      </c>
    </row>
    <row r="162" spans="1:9" s="14" customFormat="1" ht="30" customHeight="1" thickBot="1" x14ac:dyDescent="0.5">
      <c r="A162" s="21"/>
      <c r="B162" s="22" t="str">
        <f>IF(Base_de_donnée_clients!B162="","",Base_de_donnée_clients!B162)</f>
        <v/>
      </c>
      <c r="C162" s="22" t="str">
        <f>IF(Base_de_donnée_clients!C162="","",Base_de_donnée_clients!C162)</f>
        <v/>
      </c>
      <c r="D162" s="22" t="str">
        <f>IF(Base_de_donnée_clients!D162="","",Base_de_donnée_clients!D162)</f>
        <v/>
      </c>
      <c r="E162" s="22" t="str">
        <f>IF(Base_de_donnée_clients!E162="","",Base_de_donnée_clients!E162)</f>
        <v/>
      </c>
      <c r="F162" s="22" t="str">
        <f>IF(Base_de_donnée_clients!F162="","",Base_de_donnée_clients!F162)</f>
        <v/>
      </c>
      <c r="G162" s="22" t="str">
        <f>IF(Base_de_donnée_clients!G162="","",Base_de_donnée_clients!G162)</f>
        <v/>
      </c>
      <c r="H162" s="22" t="str">
        <f>IF(Base_de_donnée_clients!H162="","",Base_de_donnée_clients!H162)</f>
        <v/>
      </c>
      <c r="I162" s="23" t="str">
        <f>IF(Base_de_donnée_clients!I162="","",Base_de_donnée_clients!I162)</f>
        <v/>
      </c>
    </row>
    <row r="163" spans="1:9" s="14" customFormat="1" ht="30" customHeight="1" thickBot="1" x14ac:dyDescent="0.5">
      <c r="A163" s="21"/>
      <c r="B163" s="22" t="str">
        <f>IF(Base_de_donnée_clients!B163="","",Base_de_donnée_clients!B163)</f>
        <v/>
      </c>
      <c r="C163" s="22" t="str">
        <f>IF(Base_de_donnée_clients!C163="","",Base_de_donnée_clients!C163)</f>
        <v/>
      </c>
      <c r="D163" s="22" t="str">
        <f>IF(Base_de_donnée_clients!D163="","",Base_de_donnée_clients!D163)</f>
        <v/>
      </c>
      <c r="E163" s="22" t="str">
        <f>IF(Base_de_donnée_clients!E163="","",Base_de_donnée_clients!E163)</f>
        <v/>
      </c>
      <c r="F163" s="22" t="str">
        <f>IF(Base_de_donnée_clients!F163="","",Base_de_donnée_clients!F163)</f>
        <v/>
      </c>
      <c r="G163" s="22" t="str">
        <f>IF(Base_de_donnée_clients!G163="","",Base_de_donnée_clients!G163)</f>
        <v/>
      </c>
      <c r="H163" s="22" t="str">
        <f>IF(Base_de_donnée_clients!H163="","",Base_de_donnée_clients!H163)</f>
        <v/>
      </c>
      <c r="I163" s="23" t="str">
        <f>IF(Base_de_donnée_clients!I163="","",Base_de_donnée_clients!I163)</f>
        <v/>
      </c>
    </row>
    <row r="164" spans="1:9" s="14" customFormat="1" ht="30" customHeight="1" thickBot="1" x14ac:dyDescent="0.5">
      <c r="A164" s="21"/>
      <c r="B164" s="22" t="str">
        <f>IF(Base_de_donnée_clients!B164="","",Base_de_donnée_clients!B164)</f>
        <v/>
      </c>
      <c r="C164" s="22" t="str">
        <f>IF(Base_de_donnée_clients!C164="","",Base_de_donnée_clients!C164)</f>
        <v/>
      </c>
      <c r="D164" s="22" t="str">
        <f>IF(Base_de_donnée_clients!D164="","",Base_de_donnée_clients!D164)</f>
        <v/>
      </c>
      <c r="E164" s="22" t="str">
        <f>IF(Base_de_donnée_clients!E164="","",Base_de_donnée_clients!E164)</f>
        <v/>
      </c>
      <c r="F164" s="22" t="str">
        <f>IF(Base_de_donnée_clients!F164="","",Base_de_donnée_clients!F164)</f>
        <v/>
      </c>
      <c r="G164" s="22" t="str">
        <f>IF(Base_de_donnée_clients!G164="","",Base_de_donnée_clients!G164)</f>
        <v/>
      </c>
      <c r="H164" s="22" t="str">
        <f>IF(Base_de_donnée_clients!H164="","",Base_de_donnée_clients!H164)</f>
        <v/>
      </c>
      <c r="I164" s="23" t="str">
        <f>IF(Base_de_donnée_clients!I164="","",Base_de_donnée_clients!I164)</f>
        <v/>
      </c>
    </row>
    <row r="165" spans="1:9" s="14" customFormat="1" ht="30" customHeight="1" thickBot="1" x14ac:dyDescent="0.5">
      <c r="A165" s="21"/>
      <c r="B165" s="22" t="str">
        <f>IF(Base_de_donnée_clients!B165="","",Base_de_donnée_clients!B165)</f>
        <v/>
      </c>
      <c r="C165" s="22" t="str">
        <f>IF(Base_de_donnée_clients!C165="","",Base_de_donnée_clients!C165)</f>
        <v/>
      </c>
      <c r="D165" s="22" t="str">
        <f>IF(Base_de_donnée_clients!D165="","",Base_de_donnée_clients!D165)</f>
        <v/>
      </c>
      <c r="E165" s="22" t="str">
        <f>IF(Base_de_donnée_clients!E165="","",Base_de_donnée_clients!E165)</f>
        <v/>
      </c>
      <c r="F165" s="22" t="str">
        <f>IF(Base_de_donnée_clients!F165="","",Base_de_donnée_clients!F165)</f>
        <v/>
      </c>
      <c r="G165" s="22" t="str">
        <f>IF(Base_de_donnée_clients!G165="","",Base_de_donnée_clients!G165)</f>
        <v/>
      </c>
      <c r="H165" s="22" t="str">
        <f>IF(Base_de_donnée_clients!H165="","",Base_de_donnée_clients!H165)</f>
        <v/>
      </c>
      <c r="I165" s="23" t="str">
        <f>IF(Base_de_donnée_clients!I165="","",Base_de_donnée_clients!I165)</f>
        <v/>
      </c>
    </row>
    <row r="166" spans="1:9" s="14" customFormat="1" ht="30" customHeight="1" thickBot="1" x14ac:dyDescent="0.5">
      <c r="A166" s="21"/>
      <c r="B166" s="22" t="str">
        <f>IF(Base_de_donnée_clients!B166="","",Base_de_donnée_clients!B166)</f>
        <v/>
      </c>
      <c r="C166" s="22" t="str">
        <f>IF(Base_de_donnée_clients!C166="","",Base_de_donnée_clients!C166)</f>
        <v/>
      </c>
      <c r="D166" s="22" t="str">
        <f>IF(Base_de_donnée_clients!D166="","",Base_de_donnée_clients!D166)</f>
        <v/>
      </c>
      <c r="E166" s="22" t="str">
        <f>IF(Base_de_donnée_clients!E166="","",Base_de_donnée_clients!E166)</f>
        <v/>
      </c>
      <c r="F166" s="22" t="str">
        <f>IF(Base_de_donnée_clients!F166="","",Base_de_donnée_clients!F166)</f>
        <v/>
      </c>
      <c r="G166" s="22" t="str">
        <f>IF(Base_de_donnée_clients!G166="","",Base_de_donnée_clients!G166)</f>
        <v/>
      </c>
      <c r="H166" s="22" t="str">
        <f>IF(Base_de_donnée_clients!H166="","",Base_de_donnée_clients!H166)</f>
        <v/>
      </c>
      <c r="I166" s="23" t="str">
        <f>IF(Base_de_donnée_clients!I166="","",Base_de_donnée_clients!I166)</f>
        <v/>
      </c>
    </row>
    <row r="167" spans="1:9" s="14" customFormat="1" ht="30" customHeight="1" thickBot="1" x14ac:dyDescent="0.5">
      <c r="A167" s="21"/>
      <c r="B167" s="22" t="str">
        <f>IF(Base_de_donnée_clients!B167="","",Base_de_donnée_clients!B167)</f>
        <v/>
      </c>
      <c r="C167" s="22" t="str">
        <f>IF(Base_de_donnée_clients!C167="","",Base_de_donnée_clients!C167)</f>
        <v/>
      </c>
      <c r="D167" s="22" t="str">
        <f>IF(Base_de_donnée_clients!D167="","",Base_de_donnée_clients!D167)</f>
        <v/>
      </c>
      <c r="E167" s="22" t="str">
        <f>IF(Base_de_donnée_clients!E167="","",Base_de_donnée_clients!E167)</f>
        <v/>
      </c>
      <c r="F167" s="22" t="str">
        <f>IF(Base_de_donnée_clients!F167="","",Base_de_donnée_clients!F167)</f>
        <v/>
      </c>
      <c r="G167" s="22" t="str">
        <f>IF(Base_de_donnée_clients!G167="","",Base_de_donnée_clients!G167)</f>
        <v/>
      </c>
      <c r="H167" s="22" t="str">
        <f>IF(Base_de_donnée_clients!H167="","",Base_de_donnée_clients!H167)</f>
        <v/>
      </c>
      <c r="I167" s="23" t="str">
        <f>IF(Base_de_donnée_clients!I167="","",Base_de_donnée_clients!I167)</f>
        <v/>
      </c>
    </row>
    <row r="168" spans="1:9" s="14" customFormat="1" ht="30" customHeight="1" thickBot="1" x14ac:dyDescent="0.5">
      <c r="A168" s="21"/>
      <c r="B168" s="22" t="str">
        <f>IF(Base_de_donnée_clients!B168="","",Base_de_donnée_clients!B168)</f>
        <v/>
      </c>
      <c r="C168" s="22" t="str">
        <f>IF(Base_de_donnée_clients!C168="","",Base_de_donnée_clients!C168)</f>
        <v/>
      </c>
      <c r="D168" s="22" t="str">
        <f>IF(Base_de_donnée_clients!D168="","",Base_de_donnée_clients!D168)</f>
        <v/>
      </c>
      <c r="E168" s="22" t="str">
        <f>IF(Base_de_donnée_clients!E168="","",Base_de_donnée_clients!E168)</f>
        <v/>
      </c>
      <c r="F168" s="22" t="str">
        <f>IF(Base_de_donnée_clients!F168="","",Base_de_donnée_clients!F168)</f>
        <v/>
      </c>
      <c r="G168" s="22" t="str">
        <f>IF(Base_de_donnée_clients!G168="","",Base_de_donnée_clients!G168)</f>
        <v/>
      </c>
      <c r="H168" s="22" t="str">
        <f>IF(Base_de_donnée_clients!H168="","",Base_de_donnée_clients!H168)</f>
        <v/>
      </c>
      <c r="I168" s="23" t="str">
        <f>IF(Base_de_donnée_clients!I168="","",Base_de_donnée_clients!I168)</f>
        <v/>
      </c>
    </row>
    <row r="169" spans="1:9" s="14" customFormat="1" ht="30" customHeight="1" thickBot="1" x14ac:dyDescent="0.5">
      <c r="A169" s="21"/>
      <c r="B169" s="22" t="str">
        <f>IF(Base_de_donnée_clients!B169="","",Base_de_donnée_clients!B169)</f>
        <v/>
      </c>
      <c r="C169" s="22" t="str">
        <f>IF(Base_de_donnée_clients!C169="","",Base_de_donnée_clients!C169)</f>
        <v/>
      </c>
      <c r="D169" s="22" t="str">
        <f>IF(Base_de_donnée_clients!D169="","",Base_de_donnée_clients!D169)</f>
        <v/>
      </c>
      <c r="E169" s="22" t="str">
        <f>IF(Base_de_donnée_clients!E169="","",Base_de_donnée_clients!E169)</f>
        <v/>
      </c>
      <c r="F169" s="22" t="str">
        <f>IF(Base_de_donnée_clients!F169="","",Base_de_donnée_clients!F169)</f>
        <v/>
      </c>
      <c r="G169" s="22" t="str">
        <f>IF(Base_de_donnée_clients!G169="","",Base_de_donnée_clients!G169)</f>
        <v/>
      </c>
      <c r="H169" s="22" t="str">
        <f>IF(Base_de_donnée_clients!H169="","",Base_de_donnée_clients!H169)</f>
        <v/>
      </c>
      <c r="I169" s="23" t="str">
        <f>IF(Base_de_donnée_clients!I169="","",Base_de_donnée_clients!I169)</f>
        <v/>
      </c>
    </row>
    <row r="170" spans="1:9" s="14" customFormat="1" ht="30" customHeight="1" thickBot="1" x14ac:dyDescent="0.5">
      <c r="A170" s="21"/>
      <c r="B170" s="22" t="str">
        <f>IF(Base_de_donnée_clients!B170="","",Base_de_donnée_clients!B170)</f>
        <v/>
      </c>
      <c r="C170" s="22" t="str">
        <f>IF(Base_de_donnée_clients!C170="","",Base_de_donnée_clients!C170)</f>
        <v/>
      </c>
      <c r="D170" s="22" t="str">
        <f>IF(Base_de_donnée_clients!D170="","",Base_de_donnée_clients!D170)</f>
        <v/>
      </c>
      <c r="E170" s="22" t="str">
        <f>IF(Base_de_donnée_clients!E170="","",Base_de_donnée_clients!E170)</f>
        <v/>
      </c>
      <c r="F170" s="22" t="str">
        <f>IF(Base_de_donnée_clients!F170="","",Base_de_donnée_clients!F170)</f>
        <v/>
      </c>
      <c r="G170" s="22" t="str">
        <f>IF(Base_de_donnée_clients!G170="","",Base_de_donnée_clients!G170)</f>
        <v/>
      </c>
      <c r="H170" s="22" t="str">
        <f>IF(Base_de_donnée_clients!H170="","",Base_de_donnée_clients!H170)</f>
        <v/>
      </c>
      <c r="I170" s="23" t="str">
        <f>IF(Base_de_donnée_clients!I170="","",Base_de_donnée_clients!I170)</f>
        <v/>
      </c>
    </row>
    <row r="171" spans="1:9" s="14" customFormat="1" ht="30" customHeight="1" thickBot="1" x14ac:dyDescent="0.5">
      <c r="A171" s="21"/>
      <c r="B171" s="22" t="str">
        <f>IF(Base_de_donnée_clients!B171="","",Base_de_donnée_clients!B171)</f>
        <v/>
      </c>
      <c r="C171" s="22" t="str">
        <f>IF(Base_de_donnée_clients!C171="","",Base_de_donnée_clients!C171)</f>
        <v/>
      </c>
      <c r="D171" s="22" t="str">
        <f>IF(Base_de_donnée_clients!D171="","",Base_de_donnée_clients!D171)</f>
        <v/>
      </c>
      <c r="E171" s="22" t="str">
        <f>IF(Base_de_donnée_clients!E171="","",Base_de_donnée_clients!E171)</f>
        <v/>
      </c>
      <c r="F171" s="22" t="str">
        <f>IF(Base_de_donnée_clients!F171="","",Base_de_donnée_clients!F171)</f>
        <v/>
      </c>
      <c r="G171" s="22" t="str">
        <f>IF(Base_de_donnée_clients!G171="","",Base_de_donnée_clients!G171)</f>
        <v/>
      </c>
      <c r="H171" s="22" t="str">
        <f>IF(Base_de_donnée_clients!H171="","",Base_de_donnée_clients!H171)</f>
        <v/>
      </c>
      <c r="I171" s="23" t="str">
        <f>IF(Base_de_donnée_clients!I171="","",Base_de_donnée_clients!I171)</f>
        <v/>
      </c>
    </row>
    <row r="172" spans="1:9" s="14" customFormat="1" ht="30" customHeight="1" thickBot="1" x14ac:dyDescent="0.5">
      <c r="A172" s="21"/>
      <c r="B172" s="22" t="str">
        <f>IF(Base_de_donnée_clients!B172="","",Base_de_donnée_clients!B172)</f>
        <v/>
      </c>
      <c r="C172" s="22" t="str">
        <f>IF(Base_de_donnée_clients!C172="","",Base_de_donnée_clients!C172)</f>
        <v/>
      </c>
      <c r="D172" s="22" t="str">
        <f>IF(Base_de_donnée_clients!D172="","",Base_de_donnée_clients!D172)</f>
        <v/>
      </c>
      <c r="E172" s="22" t="str">
        <f>IF(Base_de_donnée_clients!E172="","",Base_de_donnée_clients!E172)</f>
        <v/>
      </c>
      <c r="F172" s="22" t="str">
        <f>IF(Base_de_donnée_clients!F172="","",Base_de_donnée_clients!F172)</f>
        <v/>
      </c>
      <c r="G172" s="22" t="str">
        <f>IF(Base_de_donnée_clients!G172="","",Base_de_donnée_clients!G172)</f>
        <v/>
      </c>
      <c r="H172" s="22" t="str">
        <f>IF(Base_de_donnée_clients!H172="","",Base_de_donnée_clients!H172)</f>
        <v/>
      </c>
      <c r="I172" s="23" t="str">
        <f>IF(Base_de_donnée_clients!I172="","",Base_de_donnée_clients!I172)</f>
        <v/>
      </c>
    </row>
    <row r="173" spans="1:9" s="14" customFormat="1" ht="30" customHeight="1" thickBot="1" x14ac:dyDescent="0.5">
      <c r="A173" s="21"/>
      <c r="B173" s="22" t="str">
        <f>IF(Base_de_donnée_clients!B173="","",Base_de_donnée_clients!B173)</f>
        <v/>
      </c>
      <c r="C173" s="22" t="str">
        <f>IF(Base_de_donnée_clients!C173="","",Base_de_donnée_clients!C173)</f>
        <v/>
      </c>
      <c r="D173" s="22" t="str">
        <f>IF(Base_de_donnée_clients!D173="","",Base_de_donnée_clients!D173)</f>
        <v/>
      </c>
      <c r="E173" s="22" t="str">
        <f>IF(Base_de_donnée_clients!E173="","",Base_de_donnée_clients!E173)</f>
        <v/>
      </c>
      <c r="F173" s="22" t="str">
        <f>IF(Base_de_donnée_clients!F173="","",Base_de_donnée_clients!F173)</f>
        <v/>
      </c>
      <c r="G173" s="22" t="str">
        <f>IF(Base_de_donnée_clients!G173="","",Base_de_donnée_clients!G173)</f>
        <v/>
      </c>
      <c r="H173" s="22" t="str">
        <f>IF(Base_de_donnée_clients!H173="","",Base_de_donnée_clients!H173)</f>
        <v/>
      </c>
      <c r="I173" s="23" t="str">
        <f>IF(Base_de_donnée_clients!I173="","",Base_de_donnée_clients!I173)</f>
        <v/>
      </c>
    </row>
    <row r="174" spans="1:9" s="14" customFormat="1" ht="30" customHeight="1" thickBot="1" x14ac:dyDescent="0.5">
      <c r="A174" s="21"/>
      <c r="B174" s="22" t="str">
        <f>IF(Base_de_donnée_clients!B174="","",Base_de_donnée_clients!B174)</f>
        <v/>
      </c>
      <c r="C174" s="22" t="str">
        <f>IF(Base_de_donnée_clients!C174="","",Base_de_donnée_clients!C174)</f>
        <v/>
      </c>
      <c r="D174" s="22" t="str">
        <f>IF(Base_de_donnée_clients!D174="","",Base_de_donnée_clients!D174)</f>
        <v/>
      </c>
      <c r="E174" s="22" t="str">
        <f>IF(Base_de_donnée_clients!E174="","",Base_de_donnée_clients!E174)</f>
        <v/>
      </c>
      <c r="F174" s="22" t="str">
        <f>IF(Base_de_donnée_clients!F174="","",Base_de_donnée_clients!F174)</f>
        <v/>
      </c>
      <c r="G174" s="22" t="str">
        <f>IF(Base_de_donnée_clients!G174="","",Base_de_donnée_clients!G174)</f>
        <v/>
      </c>
      <c r="H174" s="22" t="str">
        <f>IF(Base_de_donnée_clients!H174="","",Base_de_donnée_clients!H174)</f>
        <v/>
      </c>
      <c r="I174" s="23" t="str">
        <f>IF(Base_de_donnée_clients!I174="","",Base_de_donnée_clients!I174)</f>
        <v/>
      </c>
    </row>
    <row r="175" spans="1:9" s="14" customFormat="1" ht="30" customHeight="1" thickBot="1" x14ac:dyDescent="0.5">
      <c r="A175" s="21"/>
      <c r="B175" s="22" t="str">
        <f>IF(Base_de_donnée_clients!B175="","",Base_de_donnée_clients!B175)</f>
        <v/>
      </c>
      <c r="C175" s="22" t="str">
        <f>IF(Base_de_donnée_clients!C175="","",Base_de_donnée_clients!C175)</f>
        <v/>
      </c>
      <c r="D175" s="22" t="str">
        <f>IF(Base_de_donnée_clients!D175="","",Base_de_donnée_clients!D175)</f>
        <v/>
      </c>
      <c r="E175" s="22" t="str">
        <f>IF(Base_de_donnée_clients!E175="","",Base_de_donnée_clients!E175)</f>
        <v/>
      </c>
      <c r="F175" s="22" t="str">
        <f>IF(Base_de_donnée_clients!F175="","",Base_de_donnée_clients!F175)</f>
        <v/>
      </c>
      <c r="G175" s="22" t="str">
        <f>IF(Base_de_donnée_clients!G175="","",Base_de_donnée_clients!G175)</f>
        <v/>
      </c>
      <c r="H175" s="22" t="str">
        <f>IF(Base_de_donnée_clients!H175="","",Base_de_donnée_clients!H175)</f>
        <v/>
      </c>
      <c r="I175" s="23" t="str">
        <f>IF(Base_de_donnée_clients!I175="","",Base_de_donnée_clients!I175)</f>
        <v/>
      </c>
    </row>
    <row r="176" spans="1:9" s="14" customFormat="1" ht="30" customHeight="1" thickBot="1" x14ac:dyDescent="0.5">
      <c r="A176" s="21"/>
      <c r="B176" s="22" t="str">
        <f>IF(Base_de_donnée_clients!B176="","",Base_de_donnée_clients!B176)</f>
        <v/>
      </c>
      <c r="C176" s="22" t="str">
        <f>IF(Base_de_donnée_clients!C176="","",Base_de_donnée_clients!C176)</f>
        <v/>
      </c>
      <c r="D176" s="22" t="str">
        <f>IF(Base_de_donnée_clients!D176="","",Base_de_donnée_clients!D176)</f>
        <v/>
      </c>
      <c r="E176" s="22" t="str">
        <f>IF(Base_de_donnée_clients!E176="","",Base_de_donnée_clients!E176)</f>
        <v/>
      </c>
      <c r="F176" s="22" t="str">
        <f>IF(Base_de_donnée_clients!F176="","",Base_de_donnée_clients!F176)</f>
        <v/>
      </c>
      <c r="G176" s="22" t="str">
        <f>IF(Base_de_donnée_clients!G176="","",Base_de_donnée_clients!G176)</f>
        <v/>
      </c>
      <c r="H176" s="22" t="str">
        <f>IF(Base_de_donnée_clients!H176="","",Base_de_donnée_clients!H176)</f>
        <v/>
      </c>
      <c r="I176" s="23" t="str">
        <f>IF(Base_de_donnée_clients!I176="","",Base_de_donnée_clients!I176)</f>
        <v/>
      </c>
    </row>
    <row r="177" spans="1:9" s="14" customFormat="1" ht="30" customHeight="1" thickBot="1" x14ac:dyDescent="0.5">
      <c r="A177" s="21"/>
      <c r="B177" s="22" t="str">
        <f>IF(Base_de_donnée_clients!B177="","",Base_de_donnée_clients!B177)</f>
        <v/>
      </c>
      <c r="C177" s="22" t="str">
        <f>IF(Base_de_donnée_clients!C177="","",Base_de_donnée_clients!C177)</f>
        <v/>
      </c>
      <c r="D177" s="22" t="str">
        <f>IF(Base_de_donnée_clients!D177="","",Base_de_donnée_clients!D177)</f>
        <v/>
      </c>
      <c r="E177" s="22" t="str">
        <f>IF(Base_de_donnée_clients!E177="","",Base_de_donnée_clients!E177)</f>
        <v/>
      </c>
      <c r="F177" s="22" t="str">
        <f>IF(Base_de_donnée_clients!F177="","",Base_de_donnée_clients!F177)</f>
        <v/>
      </c>
      <c r="G177" s="22" t="str">
        <f>IF(Base_de_donnée_clients!G177="","",Base_de_donnée_clients!G177)</f>
        <v/>
      </c>
      <c r="H177" s="22" t="str">
        <f>IF(Base_de_donnée_clients!H177="","",Base_de_donnée_clients!H177)</f>
        <v/>
      </c>
      <c r="I177" s="23" t="str">
        <f>IF(Base_de_donnée_clients!I177="","",Base_de_donnée_clients!I177)</f>
        <v/>
      </c>
    </row>
    <row r="178" spans="1:9" s="14" customFormat="1" ht="30" customHeight="1" thickBot="1" x14ac:dyDescent="0.5">
      <c r="A178" s="21"/>
      <c r="B178" s="22" t="str">
        <f>IF(Base_de_donnée_clients!B178="","",Base_de_donnée_clients!B178)</f>
        <v/>
      </c>
      <c r="C178" s="22" t="str">
        <f>IF(Base_de_donnée_clients!C178="","",Base_de_donnée_clients!C178)</f>
        <v/>
      </c>
      <c r="D178" s="22" t="str">
        <f>IF(Base_de_donnée_clients!D178="","",Base_de_donnée_clients!D178)</f>
        <v/>
      </c>
      <c r="E178" s="22" t="str">
        <f>IF(Base_de_donnée_clients!E178="","",Base_de_donnée_clients!E178)</f>
        <v/>
      </c>
      <c r="F178" s="22" t="str">
        <f>IF(Base_de_donnée_clients!F178="","",Base_de_donnée_clients!F178)</f>
        <v/>
      </c>
      <c r="G178" s="22" t="str">
        <f>IF(Base_de_donnée_clients!G178="","",Base_de_donnée_clients!G178)</f>
        <v/>
      </c>
      <c r="H178" s="22" t="str">
        <f>IF(Base_de_donnée_clients!H178="","",Base_de_donnée_clients!H178)</f>
        <v/>
      </c>
      <c r="I178" s="23" t="str">
        <f>IF(Base_de_donnée_clients!I178="","",Base_de_donnée_clients!I178)</f>
        <v/>
      </c>
    </row>
    <row r="179" spans="1:9" s="14" customFormat="1" ht="30" customHeight="1" thickBot="1" x14ac:dyDescent="0.5">
      <c r="A179" s="21"/>
      <c r="B179" s="22" t="str">
        <f>IF(Base_de_donnée_clients!B179="","",Base_de_donnée_clients!B179)</f>
        <v/>
      </c>
      <c r="C179" s="22" t="str">
        <f>IF(Base_de_donnée_clients!C179="","",Base_de_donnée_clients!C179)</f>
        <v/>
      </c>
      <c r="D179" s="22" t="str">
        <f>IF(Base_de_donnée_clients!D179="","",Base_de_donnée_clients!D179)</f>
        <v/>
      </c>
      <c r="E179" s="22" t="str">
        <f>IF(Base_de_donnée_clients!E179="","",Base_de_donnée_clients!E179)</f>
        <v/>
      </c>
      <c r="F179" s="22" t="str">
        <f>IF(Base_de_donnée_clients!F179="","",Base_de_donnée_clients!F179)</f>
        <v/>
      </c>
      <c r="G179" s="22" t="str">
        <f>IF(Base_de_donnée_clients!G179="","",Base_de_donnée_clients!G179)</f>
        <v/>
      </c>
      <c r="H179" s="22" t="str">
        <f>IF(Base_de_donnée_clients!H179="","",Base_de_donnée_clients!H179)</f>
        <v/>
      </c>
      <c r="I179" s="23" t="str">
        <f>IF(Base_de_donnée_clients!I179="","",Base_de_donnée_clients!I179)</f>
        <v/>
      </c>
    </row>
    <row r="180" spans="1:9" s="14" customFormat="1" ht="30" customHeight="1" thickBot="1" x14ac:dyDescent="0.5">
      <c r="A180" s="21"/>
      <c r="B180" s="22" t="str">
        <f>IF(Base_de_donnée_clients!B180="","",Base_de_donnée_clients!B180)</f>
        <v/>
      </c>
      <c r="C180" s="22" t="str">
        <f>IF(Base_de_donnée_clients!C180="","",Base_de_donnée_clients!C180)</f>
        <v/>
      </c>
      <c r="D180" s="22" t="str">
        <f>IF(Base_de_donnée_clients!D180="","",Base_de_donnée_clients!D180)</f>
        <v/>
      </c>
      <c r="E180" s="22" t="str">
        <f>IF(Base_de_donnée_clients!E180="","",Base_de_donnée_clients!E180)</f>
        <v/>
      </c>
      <c r="F180" s="22" t="str">
        <f>IF(Base_de_donnée_clients!F180="","",Base_de_donnée_clients!F180)</f>
        <v/>
      </c>
      <c r="G180" s="22" t="str">
        <f>IF(Base_de_donnée_clients!G180="","",Base_de_donnée_clients!G180)</f>
        <v/>
      </c>
      <c r="H180" s="22" t="str">
        <f>IF(Base_de_donnée_clients!H180="","",Base_de_donnée_clients!H180)</f>
        <v/>
      </c>
      <c r="I180" s="23" t="str">
        <f>IF(Base_de_donnée_clients!I180="","",Base_de_donnée_clients!I180)</f>
        <v/>
      </c>
    </row>
    <row r="181" spans="1:9" s="14" customFormat="1" ht="30" customHeight="1" thickBot="1" x14ac:dyDescent="0.5">
      <c r="A181" s="21"/>
      <c r="B181" s="22" t="str">
        <f>IF(Base_de_donnée_clients!B181="","",Base_de_donnée_clients!B181)</f>
        <v/>
      </c>
      <c r="C181" s="22" t="str">
        <f>IF(Base_de_donnée_clients!C181="","",Base_de_donnée_clients!C181)</f>
        <v/>
      </c>
      <c r="D181" s="22" t="str">
        <f>IF(Base_de_donnée_clients!D181="","",Base_de_donnée_clients!D181)</f>
        <v/>
      </c>
      <c r="E181" s="22" t="str">
        <f>IF(Base_de_donnée_clients!E181="","",Base_de_donnée_clients!E181)</f>
        <v/>
      </c>
      <c r="F181" s="22" t="str">
        <f>IF(Base_de_donnée_clients!F181="","",Base_de_donnée_clients!F181)</f>
        <v/>
      </c>
      <c r="G181" s="22" t="str">
        <f>IF(Base_de_donnée_clients!G181="","",Base_de_donnée_clients!G181)</f>
        <v/>
      </c>
      <c r="H181" s="22" t="str">
        <f>IF(Base_de_donnée_clients!H181="","",Base_de_donnée_clients!H181)</f>
        <v/>
      </c>
      <c r="I181" s="23" t="str">
        <f>IF(Base_de_donnée_clients!I181="","",Base_de_donnée_clients!I181)</f>
        <v/>
      </c>
    </row>
    <row r="182" spans="1:9" s="14" customFormat="1" ht="30" customHeight="1" thickBot="1" x14ac:dyDescent="0.5">
      <c r="A182" s="21"/>
      <c r="B182" s="22" t="str">
        <f>IF(Base_de_donnée_clients!B182="","",Base_de_donnée_clients!B182)</f>
        <v/>
      </c>
      <c r="C182" s="22" t="str">
        <f>IF(Base_de_donnée_clients!C182="","",Base_de_donnée_clients!C182)</f>
        <v/>
      </c>
      <c r="D182" s="22" t="str">
        <f>IF(Base_de_donnée_clients!D182="","",Base_de_donnée_clients!D182)</f>
        <v/>
      </c>
      <c r="E182" s="22" t="str">
        <f>IF(Base_de_donnée_clients!E182="","",Base_de_donnée_clients!E182)</f>
        <v/>
      </c>
      <c r="F182" s="22" t="str">
        <f>IF(Base_de_donnée_clients!F182="","",Base_de_donnée_clients!F182)</f>
        <v/>
      </c>
      <c r="G182" s="22" t="str">
        <f>IF(Base_de_donnée_clients!G182="","",Base_de_donnée_clients!G182)</f>
        <v/>
      </c>
      <c r="H182" s="22" t="str">
        <f>IF(Base_de_donnée_clients!H182="","",Base_de_donnée_clients!H182)</f>
        <v/>
      </c>
      <c r="I182" s="23" t="str">
        <f>IF(Base_de_donnée_clients!I182="","",Base_de_donnée_clients!I182)</f>
        <v/>
      </c>
    </row>
    <row r="183" spans="1:9" s="14" customFormat="1" ht="30" customHeight="1" thickBot="1" x14ac:dyDescent="0.5">
      <c r="A183" s="21"/>
      <c r="B183" s="22" t="str">
        <f>IF(Base_de_donnée_clients!B183="","",Base_de_donnée_clients!B183)</f>
        <v/>
      </c>
      <c r="C183" s="22" t="str">
        <f>IF(Base_de_donnée_clients!C183="","",Base_de_donnée_clients!C183)</f>
        <v/>
      </c>
      <c r="D183" s="22" t="str">
        <f>IF(Base_de_donnée_clients!D183="","",Base_de_donnée_clients!D183)</f>
        <v/>
      </c>
      <c r="E183" s="22" t="str">
        <f>IF(Base_de_donnée_clients!E183="","",Base_de_donnée_clients!E183)</f>
        <v/>
      </c>
      <c r="F183" s="22" t="str">
        <f>IF(Base_de_donnée_clients!F183="","",Base_de_donnée_clients!F183)</f>
        <v/>
      </c>
      <c r="G183" s="22" t="str">
        <f>IF(Base_de_donnée_clients!G183="","",Base_de_donnée_clients!G183)</f>
        <v/>
      </c>
      <c r="H183" s="22" t="str">
        <f>IF(Base_de_donnée_clients!H183="","",Base_de_donnée_clients!H183)</f>
        <v/>
      </c>
      <c r="I183" s="23" t="str">
        <f>IF(Base_de_donnée_clients!I183="","",Base_de_donnée_clients!I183)</f>
        <v/>
      </c>
    </row>
    <row r="184" spans="1:9" s="14" customFormat="1" ht="30" customHeight="1" thickBot="1" x14ac:dyDescent="0.5">
      <c r="A184" s="21"/>
      <c r="B184" s="22" t="str">
        <f>IF(Base_de_donnée_clients!B184="","",Base_de_donnée_clients!B184)</f>
        <v/>
      </c>
      <c r="C184" s="22" t="str">
        <f>IF(Base_de_donnée_clients!C184="","",Base_de_donnée_clients!C184)</f>
        <v/>
      </c>
      <c r="D184" s="22" t="str">
        <f>IF(Base_de_donnée_clients!D184="","",Base_de_donnée_clients!D184)</f>
        <v/>
      </c>
      <c r="E184" s="22" t="str">
        <f>IF(Base_de_donnée_clients!E184="","",Base_de_donnée_clients!E184)</f>
        <v/>
      </c>
      <c r="F184" s="22" t="str">
        <f>IF(Base_de_donnée_clients!F184="","",Base_de_donnée_clients!F184)</f>
        <v/>
      </c>
      <c r="G184" s="22" t="str">
        <f>IF(Base_de_donnée_clients!G184="","",Base_de_donnée_clients!G184)</f>
        <v/>
      </c>
      <c r="H184" s="22" t="str">
        <f>IF(Base_de_donnée_clients!H184="","",Base_de_donnée_clients!H184)</f>
        <v/>
      </c>
      <c r="I184" s="23" t="str">
        <f>IF(Base_de_donnée_clients!I184="","",Base_de_donnée_clients!I184)</f>
        <v/>
      </c>
    </row>
    <row r="185" spans="1:9" s="14" customFormat="1" ht="30" customHeight="1" thickBot="1" x14ac:dyDescent="0.5">
      <c r="A185" s="21"/>
      <c r="B185" s="22" t="str">
        <f>IF(Base_de_donnée_clients!B185="","",Base_de_donnée_clients!B185)</f>
        <v/>
      </c>
      <c r="C185" s="22" t="str">
        <f>IF(Base_de_donnée_clients!C185="","",Base_de_donnée_clients!C185)</f>
        <v/>
      </c>
      <c r="D185" s="22" t="str">
        <f>IF(Base_de_donnée_clients!D185="","",Base_de_donnée_clients!D185)</f>
        <v/>
      </c>
      <c r="E185" s="22" t="str">
        <f>IF(Base_de_donnée_clients!E185="","",Base_de_donnée_clients!E185)</f>
        <v/>
      </c>
      <c r="F185" s="22" t="str">
        <f>IF(Base_de_donnée_clients!F185="","",Base_de_donnée_clients!F185)</f>
        <v/>
      </c>
      <c r="G185" s="22" t="str">
        <f>IF(Base_de_donnée_clients!G185="","",Base_de_donnée_clients!G185)</f>
        <v/>
      </c>
      <c r="H185" s="22" t="str">
        <f>IF(Base_de_donnée_clients!H185="","",Base_de_donnée_clients!H185)</f>
        <v/>
      </c>
      <c r="I185" s="23" t="str">
        <f>IF(Base_de_donnée_clients!I185="","",Base_de_donnée_clients!I185)</f>
        <v/>
      </c>
    </row>
    <row r="186" spans="1:9" s="14" customFormat="1" ht="30" customHeight="1" thickBot="1" x14ac:dyDescent="0.5">
      <c r="A186" s="21"/>
      <c r="B186" s="22" t="str">
        <f>IF(Base_de_donnée_clients!B186="","",Base_de_donnée_clients!B186)</f>
        <v/>
      </c>
      <c r="C186" s="22" t="str">
        <f>IF(Base_de_donnée_clients!C186="","",Base_de_donnée_clients!C186)</f>
        <v/>
      </c>
      <c r="D186" s="22" t="str">
        <f>IF(Base_de_donnée_clients!D186="","",Base_de_donnée_clients!D186)</f>
        <v/>
      </c>
      <c r="E186" s="22" t="str">
        <f>IF(Base_de_donnée_clients!E186="","",Base_de_donnée_clients!E186)</f>
        <v/>
      </c>
      <c r="F186" s="22" t="str">
        <f>IF(Base_de_donnée_clients!F186="","",Base_de_donnée_clients!F186)</f>
        <v/>
      </c>
      <c r="G186" s="22" t="str">
        <f>IF(Base_de_donnée_clients!G186="","",Base_de_donnée_clients!G186)</f>
        <v/>
      </c>
      <c r="H186" s="22" t="str">
        <f>IF(Base_de_donnée_clients!H186="","",Base_de_donnée_clients!H186)</f>
        <v/>
      </c>
      <c r="I186" s="23" t="str">
        <f>IF(Base_de_donnée_clients!I186="","",Base_de_donnée_clients!I186)</f>
        <v/>
      </c>
    </row>
    <row r="187" spans="1:9" s="14" customFormat="1" ht="30" customHeight="1" thickBot="1" x14ac:dyDescent="0.5">
      <c r="A187" s="21"/>
      <c r="B187" s="22" t="str">
        <f>IF(Base_de_donnée_clients!B187="","",Base_de_donnée_clients!B187)</f>
        <v/>
      </c>
      <c r="C187" s="22" t="str">
        <f>IF(Base_de_donnée_clients!C187="","",Base_de_donnée_clients!C187)</f>
        <v/>
      </c>
      <c r="D187" s="22" t="str">
        <f>IF(Base_de_donnée_clients!D187="","",Base_de_donnée_clients!D187)</f>
        <v/>
      </c>
      <c r="E187" s="22" t="str">
        <f>IF(Base_de_donnée_clients!E187="","",Base_de_donnée_clients!E187)</f>
        <v/>
      </c>
      <c r="F187" s="22" t="str">
        <f>IF(Base_de_donnée_clients!F187="","",Base_de_donnée_clients!F187)</f>
        <v/>
      </c>
      <c r="G187" s="22" t="str">
        <f>IF(Base_de_donnée_clients!G187="","",Base_de_donnée_clients!G187)</f>
        <v/>
      </c>
      <c r="H187" s="22" t="str">
        <f>IF(Base_de_donnée_clients!H187="","",Base_de_donnée_clients!H187)</f>
        <v/>
      </c>
      <c r="I187" s="23" t="str">
        <f>IF(Base_de_donnée_clients!I187="","",Base_de_donnée_clients!I187)</f>
        <v/>
      </c>
    </row>
    <row r="188" spans="1:9" s="14" customFormat="1" ht="30" customHeight="1" thickBot="1" x14ac:dyDescent="0.5">
      <c r="A188" s="21"/>
      <c r="B188" s="22" t="str">
        <f>IF(Base_de_donnée_clients!B188="","",Base_de_donnée_clients!B188)</f>
        <v/>
      </c>
      <c r="C188" s="22" t="str">
        <f>IF(Base_de_donnée_clients!C188="","",Base_de_donnée_clients!C188)</f>
        <v/>
      </c>
      <c r="D188" s="22" t="str">
        <f>IF(Base_de_donnée_clients!D188="","",Base_de_donnée_clients!D188)</f>
        <v/>
      </c>
      <c r="E188" s="22" t="str">
        <f>IF(Base_de_donnée_clients!E188="","",Base_de_donnée_clients!E188)</f>
        <v/>
      </c>
      <c r="F188" s="22" t="str">
        <f>IF(Base_de_donnée_clients!F188="","",Base_de_donnée_clients!F188)</f>
        <v/>
      </c>
      <c r="G188" s="22" t="str">
        <f>IF(Base_de_donnée_clients!G188="","",Base_de_donnée_clients!G188)</f>
        <v/>
      </c>
      <c r="H188" s="22" t="str">
        <f>IF(Base_de_donnée_clients!H188="","",Base_de_donnée_clients!H188)</f>
        <v/>
      </c>
      <c r="I188" s="23" t="str">
        <f>IF(Base_de_donnée_clients!I188="","",Base_de_donnée_clients!I188)</f>
        <v/>
      </c>
    </row>
    <row r="189" spans="1:9" s="14" customFormat="1" ht="30" customHeight="1" thickBot="1" x14ac:dyDescent="0.5">
      <c r="A189" s="21"/>
      <c r="B189" s="22" t="str">
        <f>IF(Base_de_donnée_clients!B189="","",Base_de_donnée_clients!B189)</f>
        <v/>
      </c>
      <c r="C189" s="22" t="str">
        <f>IF(Base_de_donnée_clients!C189="","",Base_de_donnée_clients!C189)</f>
        <v/>
      </c>
      <c r="D189" s="22" t="str">
        <f>IF(Base_de_donnée_clients!D189="","",Base_de_donnée_clients!D189)</f>
        <v/>
      </c>
      <c r="E189" s="22" t="str">
        <f>IF(Base_de_donnée_clients!E189="","",Base_de_donnée_clients!E189)</f>
        <v/>
      </c>
      <c r="F189" s="22" t="str">
        <f>IF(Base_de_donnée_clients!F189="","",Base_de_donnée_clients!F189)</f>
        <v/>
      </c>
      <c r="G189" s="22" t="str">
        <f>IF(Base_de_donnée_clients!G189="","",Base_de_donnée_clients!G189)</f>
        <v/>
      </c>
      <c r="H189" s="22" t="str">
        <f>IF(Base_de_donnée_clients!H189="","",Base_de_donnée_clients!H189)</f>
        <v/>
      </c>
      <c r="I189" s="23" t="str">
        <f>IF(Base_de_donnée_clients!I189="","",Base_de_donnée_clients!I189)</f>
        <v/>
      </c>
    </row>
    <row r="190" spans="1:9" s="14" customFormat="1" ht="30" customHeight="1" thickBot="1" x14ac:dyDescent="0.5">
      <c r="A190" s="21"/>
      <c r="B190" s="22" t="str">
        <f>IF(Base_de_donnée_clients!B190="","",Base_de_donnée_clients!B190)</f>
        <v/>
      </c>
      <c r="C190" s="22" t="str">
        <f>IF(Base_de_donnée_clients!C190="","",Base_de_donnée_clients!C190)</f>
        <v/>
      </c>
      <c r="D190" s="22" t="str">
        <f>IF(Base_de_donnée_clients!D190="","",Base_de_donnée_clients!D190)</f>
        <v/>
      </c>
      <c r="E190" s="22" t="str">
        <f>IF(Base_de_donnée_clients!E190="","",Base_de_donnée_clients!E190)</f>
        <v/>
      </c>
      <c r="F190" s="22" t="str">
        <f>IF(Base_de_donnée_clients!F190="","",Base_de_donnée_clients!F190)</f>
        <v/>
      </c>
      <c r="G190" s="22" t="str">
        <f>IF(Base_de_donnée_clients!G190="","",Base_de_donnée_clients!G190)</f>
        <v/>
      </c>
      <c r="H190" s="22" t="str">
        <f>IF(Base_de_donnée_clients!H190="","",Base_de_donnée_clients!H190)</f>
        <v/>
      </c>
      <c r="I190" s="23" t="str">
        <f>IF(Base_de_donnée_clients!I190="","",Base_de_donnée_clients!I190)</f>
        <v/>
      </c>
    </row>
    <row r="191" spans="1:9" s="14" customFormat="1" ht="30" customHeight="1" thickBot="1" x14ac:dyDescent="0.5">
      <c r="A191" s="21"/>
      <c r="B191" s="22" t="str">
        <f>IF(Base_de_donnée_clients!B191="","",Base_de_donnée_clients!B191)</f>
        <v/>
      </c>
      <c r="C191" s="22" t="str">
        <f>IF(Base_de_donnée_clients!C191="","",Base_de_donnée_clients!C191)</f>
        <v/>
      </c>
      <c r="D191" s="22" t="str">
        <f>IF(Base_de_donnée_clients!D191="","",Base_de_donnée_clients!D191)</f>
        <v/>
      </c>
      <c r="E191" s="22" t="str">
        <f>IF(Base_de_donnée_clients!E191="","",Base_de_donnée_clients!E191)</f>
        <v/>
      </c>
      <c r="F191" s="22" t="str">
        <f>IF(Base_de_donnée_clients!F191="","",Base_de_donnée_clients!F191)</f>
        <v/>
      </c>
      <c r="G191" s="22" t="str">
        <f>IF(Base_de_donnée_clients!G191="","",Base_de_donnée_clients!G191)</f>
        <v/>
      </c>
      <c r="H191" s="22" t="str">
        <f>IF(Base_de_donnée_clients!H191="","",Base_de_donnée_clients!H191)</f>
        <v/>
      </c>
      <c r="I191" s="23" t="str">
        <f>IF(Base_de_donnée_clients!I191="","",Base_de_donnée_clients!I191)</f>
        <v/>
      </c>
    </row>
    <row r="192" spans="1:9" s="14" customFormat="1" ht="30" customHeight="1" thickBot="1" x14ac:dyDescent="0.5">
      <c r="A192" s="21"/>
      <c r="B192" s="22" t="str">
        <f>IF(Base_de_donnée_clients!B192="","",Base_de_donnée_clients!B192)</f>
        <v/>
      </c>
      <c r="C192" s="22" t="str">
        <f>IF(Base_de_donnée_clients!C192="","",Base_de_donnée_clients!C192)</f>
        <v/>
      </c>
      <c r="D192" s="22" t="str">
        <f>IF(Base_de_donnée_clients!D192="","",Base_de_donnée_clients!D192)</f>
        <v/>
      </c>
      <c r="E192" s="22" t="str">
        <f>IF(Base_de_donnée_clients!E192="","",Base_de_donnée_clients!E192)</f>
        <v/>
      </c>
      <c r="F192" s="22" t="str">
        <f>IF(Base_de_donnée_clients!F192="","",Base_de_donnée_clients!F192)</f>
        <v/>
      </c>
      <c r="G192" s="22" t="str">
        <f>IF(Base_de_donnée_clients!G192="","",Base_de_donnée_clients!G192)</f>
        <v/>
      </c>
      <c r="H192" s="22" t="str">
        <f>IF(Base_de_donnée_clients!H192="","",Base_de_donnée_clients!H192)</f>
        <v/>
      </c>
      <c r="I192" s="23" t="str">
        <f>IF(Base_de_donnée_clients!I192="","",Base_de_donnée_clients!I192)</f>
        <v/>
      </c>
    </row>
    <row r="193" spans="1:9" s="14" customFormat="1" ht="30" customHeight="1" thickBot="1" x14ac:dyDescent="0.5">
      <c r="A193" s="21"/>
      <c r="B193" s="22" t="str">
        <f>IF(Base_de_donnée_clients!B193="","",Base_de_donnée_clients!B193)</f>
        <v/>
      </c>
      <c r="C193" s="22" t="str">
        <f>IF(Base_de_donnée_clients!C193="","",Base_de_donnée_clients!C193)</f>
        <v/>
      </c>
      <c r="D193" s="22" t="str">
        <f>IF(Base_de_donnée_clients!D193="","",Base_de_donnée_clients!D193)</f>
        <v/>
      </c>
      <c r="E193" s="22" t="str">
        <f>IF(Base_de_donnée_clients!E193="","",Base_de_donnée_clients!E193)</f>
        <v/>
      </c>
      <c r="F193" s="22" t="str">
        <f>IF(Base_de_donnée_clients!F193="","",Base_de_donnée_clients!F193)</f>
        <v/>
      </c>
      <c r="G193" s="22" t="str">
        <f>IF(Base_de_donnée_clients!G193="","",Base_de_donnée_clients!G193)</f>
        <v/>
      </c>
      <c r="H193" s="22" t="str">
        <f>IF(Base_de_donnée_clients!H193="","",Base_de_donnée_clients!H193)</f>
        <v/>
      </c>
      <c r="I193" s="23" t="str">
        <f>IF(Base_de_donnée_clients!I193="","",Base_de_donnée_clients!I193)</f>
        <v/>
      </c>
    </row>
    <row r="194" spans="1:9" s="14" customFormat="1" ht="30" customHeight="1" thickBot="1" x14ac:dyDescent="0.5">
      <c r="A194" s="21"/>
      <c r="B194" s="22" t="str">
        <f>IF(Base_de_donnée_clients!B194="","",Base_de_donnée_clients!B194)</f>
        <v/>
      </c>
      <c r="C194" s="22" t="str">
        <f>IF(Base_de_donnée_clients!C194="","",Base_de_donnée_clients!C194)</f>
        <v/>
      </c>
      <c r="D194" s="22" t="str">
        <f>IF(Base_de_donnée_clients!D194="","",Base_de_donnée_clients!D194)</f>
        <v/>
      </c>
      <c r="E194" s="22" t="str">
        <f>IF(Base_de_donnée_clients!E194="","",Base_de_donnée_clients!E194)</f>
        <v/>
      </c>
      <c r="F194" s="22" t="str">
        <f>IF(Base_de_donnée_clients!F194="","",Base_de_donnée_clients!F194)</f>
        <v/>
      </c>
      <c r="G194" s="22" t="str">
        <f>IF(Base_de_donnée_clients!G194="","",Base_de_donnée_clients!G194)</f>
        <v/>
      </c>
      <c r="H194" s="22" t="str">
        <f>IF(Base_de_donnée_clients!H194="","",Base_de_donnée_clients!H194)</f>
        <v/>
      </c>
      <c r="I194" s="23" t="str">
        <f>IF(Base_de_donnée_clients!I194="","",Base_de_donnée_clients!I194)</f>
        <v/>
      </c>
    </row>
    <row r="195" spans="1:9" s="14" customFormat="1" ht="30" customHeight="1" thickBot="1" x14ac:dyDescent="0.5">
      <c r="A195" s="21"/>
      <c r="B195" s="22" t="str">
        <f>IF(Base_de_donnée_clients!B195="","",Base_de_donnée_clients!B195)</f>
        <v/>
      </c>
      <c r="C195" s="22" t="str">
        <f>IF(Base_de_donnée_clients!C195="","",Base_de_donnée_clients!C195)</f>
        <v/>
      </c>
      <c r="D195" s="22" t="str">
        <f>IF(Base_de_donnée_clients!D195="","",Base_de_donnée_clients!D195)</f>
        <v/>
      </c>
      <c r="E195" s="22" t="str">
        <f>IF(Base_de_donnée_clients!E195="","",Base_de_donnée_clients!E195)</f>
        <v/>
      </c>
      <c r="F195" s="22" t="str">
        <f>IF(Base_de_donnée_clients!F195="","",Base_de_donnée_clients!F195)</f>
        <v/>
      </c>
      <c r="G195" s="22" t="str">
        <f>IF(Base_de_donnée_clients!G195="","",Base_de_donnée_clients!G195)</f>
        <v/>
      </c>
      <c r="H195" s="22" t="str">
        <f>IF(Base_de_donnée_clients!H195="","",Base_de_donnée_clients!H195)</f>
        <v/>
      </c>
      <c r="I195" s="23" t="str">
        <f>IF(Base_de_donnée_clients!I195="","",Base_de_donnée_clients!I195)</f>
        <v/>
      </c>
    </row>
    <row r="196" spans="1:9" s="14" customFormat="1" ht="30" customHeight="1" thickBot="1" x14ac:dyDescent="0.5">
      <c r="A196" s="21"/>
      <c r="B196" s="22" t="str">
        <f>IF(Base_de_donnée_clients!B196="","",Base_de_donnée_clients!B196)</f>
        <v/>
      </c>
      <c r="C196" s="22" t="str">
        <f>IF(Base_de_donnée_clients!C196="","",Base_de_donnée_clients!C196)</f>
        <v/>
      </c>
      <c r="D196" s="22" t="str">
        <f>IF(Base_de_donnée_clients!D196="","",Base_de_donnée_clients!D196)</f>
        <v/>
      </c>
      <c r="E196" s="22" t="str">
        <f>IF(Base_de_donnée_clients!E196="","",Base_de_donnée_clients!E196)</f>
        <v/>
      </c>
      <c r="F196" s="22" t="str">
        <f>IF(Base_de_donnée_clients!F196="","",Base_de_donnée_clients!F196)</f>
        <v/>
      </c>
      <c r="G196" s="22" t="str">
        <f>IF(Base_de_donnée_clients!G196="","",Base_de_donnée_clients!G196)</f>
        <v/>
      </c>
      <c r="H196" s="22" t="str">
        <f>IF(Base_de_donnée_clients!H196="","",Base_de_donnée_clients!H196)</f>
        <v/>
      </c>
      <c r="I196" s="23" t="str">
        <f>IF(Base_de_donnée_clients!I196="","",Base_de_donnée_clients!I196)</f>
        <v/>
      </c>
    </row>
    <row r="197" spans="1:9" s="14" customFormat="1" ht="30" customHeight="1" thickBot="1" x14ac:dyDescent="0.5">
      <c r="A197" s="21"/>
      <c r="B197" s="22" t="str">
        <f>IF(Base_de_donnée_clients!B197="","",Base_de_donnée_clients!B197)</f>
        <v/>
      </c>
      <c r="C197" s="22" t="str">
        <f>IF(Base_de_donnée_clients!C197="","",Base_de_donnée_clients!C197)</f>
        <v/>
      </c>
      <c r="D197" s="22" t="str">
        <f>IF(Base_de_donnée_clients!D197="","",Base_de_donnée_clients!D197)</f>
        <v/>
      </c>
      <c r="E197" s="22" t="str">
        <f>IF(Base_de_donnée_clients!E197="","",Base_de_donnée_clients!E197)</f>
        <v/>
      </c>
      <c r="F197" s="22" t="str">
        <f>IF(Base_de_donnée_clients!F197="","",Base_de_donnée_clients!F197)</f>
        <v/>
      </c>
      <c r="G197" s="22" t="str">
        <f>IF(Base_de_donnée_clients!G197="","",Base_de_donnée_clients!G197)</f>
        <v/>
      </c>
      <c r="H197" s="22" t="str">
        <f>IF(Base_de_donnée_clients!H197="","",Base_de_donnée_clients!H197)</f>
        <v/>
      </c>
      <c r="I197" s="23" t="str">
        <f>IF(Base_de_donnée_clients!I197="","",Base_de_donnée_clients!I197)</f>
        <v/>
      </c>
    </row>
    <row r="198" spans="1:9" s="14" customFormat="1" ht="30" customHeight="1" thickBot="1" x14ac:dyDescent="0.5">
      <c r="A198" s="21"/>
      <c r="B198" s="22" t="str">
        <f>IF(Base_de_donnée_clients!B198="","",Base_de_donnée_clients!B198)</f>
        <v/>
      </c>
      <c r="C198" s="22" t="str">
        <f>IF(Base_de_donnée_clients!C198="","",Base_de_donnée_clients!C198)</f>
        <v/>
      </c>
      <c r="D198" s="22" t="str">
        <f>IF(Base_de_donnée_clients!D198="","",Base_de_donnée_clients!D198)</f>
        <v/>
      </c>
      <c r="E198" s="22" t="str">
        <f>IF(Base_de_donnée_clients!E198="","",Base_de_donnée_clients!E198)</f>
        <v/>
      </c>
      <c r="F198" s="22" t="str">
        <f>IF(Base_de_donnée_clients!F198="","",Base_de_donnée_clients!F198)</f>
        <v/>
      </c>
      <c r="G198" s="22" t="str">
        <f>IF(Base_de_donnée_clients!G198="","",Base_de_donnée_clients!G198)</f>
        <v/>
      </c>
      <c r="H198" s="22" t="str">
        <f>IF(Base_de_donnée_clients!H198="","",Base_de_donnée_clients!H198)</f>
        <v/>
      </c>
      <c r="I198" s="23" t="str">
        <f>IF(Base_de_donnée_clients!I198="","",Base_de_donnée_clients!I198)</f>
        <v/>
      </c>
    </row>
    <row r="199" spans="1:9" s="14" customFormat="1" ht="30" customHeight="1" thickBot="1" x14ac:dyDescent="0.5">
      <c r="A199" s="21"/>
      <c r="B199" s="22" t="str">
        <f>IF(Base_de_donnée_clients!B199="","",Base_de_donnée_clients!B199)</f>
        <v/>
      </c>
      <c r="C199" s="22" t="str">
        <f>IF(Base_de_donnée_clients!C199="","",Base_de_donnée_clients!C199)</f>
        <v/>
      </c>
      <c r="D199" s="22" t="str">
        <f>IF(Base_de_donnée_clients!D199="","",Base_de_donnée_clients!D199)</f>
        <v/>
      </c>
      <c r="E199" s="22" t="str">
        <f>IF(Base_de_donnée_clients!E199="","",Base_de_donnée_clients!E199)</f>
        <v/>
      </c>
      <c r="F199" s="22" t="str">
        <f>IF(Base_de_donnée_clients!F199="","",Base_de_donnée_clients!F199)</f>
        <v/>
      </c>
      <c r="G199" s="22" t="str">
        <f>IF(Base_de_donnée_clients!G199="","",Base_de_donnée_clients!G199)</f>
        <v/>
      </c>
      <c r="H199" s="22" t="str">
        <f>IF(Base_de_donnée_clients!H199="","",Base_de_donnée_clients!H199)</f>
        <v/>
      </c>
      <c r="I199" s="23" t="str">
        <f>IF(Base_de_donnée_clients!I199="","",Base_de_donnée_clients!I199)</f>
        <v/>
      </c>
    </row>
    <row r="200" spans="1:9" s="14" customFormat="1" ht="30" customHeight="1" thickBot="1" x14ac:dyDescent="0.5">
      <c r="A200" s="21"/>
      <c r="B200" s="22" t="str">
        <f>IF(Base_de_donnée_clients!B200="","",Base_de_donnée_clients!B200)</f>
        <v/>
      </c>
      <c r="C200" s="22" t="str">
        <f>IF(Base_de_donnée_clients!C200="","",Base_de_donnée_clients!C200)</f>
        <v/>
      </c>
      <c r="D200" s="22" t="str">
        <f>IF(Base_de_donnée_clients!D200="","",Base_de_donnée_clients!D200)</f>
        <v/>
      </c>
      <c r="E200" s="22" t="str">
        <f>IF(Base_de_donnée_clients!E200="","",Base_de_donnée_clients!E200)</f>
        <v/>
      </c>
      <c r="F200" s="22" t="str">
        <f>IF(Base_de_donnée_clients!F200="","",Base_de_donnée_clients!F200)</f>
        <v/>
      </c>
      <c r="G200" s="22" t="str">
        <f>IF(Base_de_donnée_clients!G200="","",Base_de_donnée_clients!G200)</f>
        <v/>
      </c>
      <c r="H200" s="22" t="str">
        <f>IF(Base_de_donnée_clients!H200="","",Base_de_donnée_clients!H200)</f>
        <v/>
      </c>
      <c r="I200" s="23" t="str">
        <f>IF(Base_de_donnée_clients!I200="","",Base_de_donnée_clients!I200)</f>
        <v/>
      </c>
    </row>
    <row r="201" spans="1:9" s="14" customFormat="1" ht="30" customHeight="1" thickBot="1" x14ac:dyDescent="0.5">
      <c r="A201" s="21"/>
      <c r="B201" s="22" t="str">
        <f>IF(Base_de_donnée_clients!B201="","",Base_de_donnée_clients!B201)</f>
        <v/>
      </c>
      <c r="C201" s="22" t="str">
        <f>IF(Base_de_donnée_clients!C201="","",Base_de_donnée_clients!C201)</f>
        <v/>
      </c>
      <c r="D201" s="22" t="str">
        <f>IF(Base_de_donnée_clients!D201="","",Base_de_donnée_clients!D201)</f>
        <v/>
      </c>
      <c r="E201" s="22" t="str">
        <f>IF(Base_de_donnée_clients!E201="","",Base_de_donnée_clients!E201)</f>
        <v/>
      </c>
      <c r="F201" s="22" t="str">
        <f>IF(Base_de_donnée_clients!F201="","",Base_de_donnée_clients!F201)</f>
        <v/>
      </c>
      <c r="G201" s="22" t="str">
        <f>IF(Base_de_donnée_clients!G201="","",Base_de_donnée_clients!G201)</f>
        <v/>
      </c>
      <c r="H201" s="22" t="str">
        <f>IF(Base_de_donnée_clients!H201="","",Base_de_donnée_clients!H201)</f>
        <v/>
      </c>
      <c r="I201" s="23" t="str">
        <f>IF(Base_de_donnée_clients!I201="","",Base_de_donnée_clients!I201)</f>
        <v/>
      </c>
    </row>
    <row r="202" spans="1:9" s="14" customFormat="1" ht="30" customHeight="1" thickBot="1" x14ac:dyDescent="0.5">
      <c r="A202" s="21"/>
      <c r="B202" s="22" t="str">
        <f>IF(Base_de_donnée_clients!B202="","",Base_de_donnée_clients!B202)</f>
        <v/>
      </c>
      <c r="C202" s="22" t="str">
        <f>IF(Base_de_donnée_clients!C202="","",Base_de_donnée_clients!C202)</f>
        <v/>
      </c>
      <c r="D202" s="22" t="str">
        <f>IF(Base_de_donnée_clients!D202="","",Base_de_donnée_clients!D202)</f>
        <v/>
      </c>
      <c r="E202" s="22" t="str">
        <f>IF(Base_de_donnée_clients!E202="","",Base_de_donnée_clients!E202)</f>
        <v/>
      </c>
      <c r="F202" s="22" t="str">
        <f>IF(Base_de_donnée_clients!F202="","",Base_de_donnée_clients!F202)</f>
        <v/>
      </c>
      <c r="G202" s="22" t="str">
        <f>IF(Base_de_donnée_clients!G202="","",Base_de_donnée_clients!G202)</f>
        <v/>
      </c>
      <c r="H202" s="22" t="str">
        <f>IF(Base_de_donnée_clients!H202="","",Base_de_donnée_clients!H202)</f>
        <v/>
      </c>
      <c r="I202" s="23" t="str">
        <f>IF(Base_de_donnée_clients!I202="","",Base_de_donnée_clients!I202)</f>
        <v/>
      </c>
    </row>
    <row r="203" spans="1:9" s="14" customFormat="1" ht="30" customHeight="1" thickBot="1" x14ac:dyDescent="0.5">
      <c r="A203" s="21"/>
      <c r="B203" s="22" t="str">
        <f>IF(Base_de_donnée_clients!B203="","",Base_de_donnée_clients!B203)</f>
        <v/>
      </c>
      <c r="C203" s="22" t="str">
        <f>IF(Base_de_donnée_clients!C203="","",Base_de_donnée_clients!C203)</f>
        <v/>
      </c>
      <c r="D203" s="22" t="str">
        <f>IF(Base_de_donnée_clients!D203="","",Base_de_donnée_clients!D203)</f>
        <v/>
      </c>
      <c r="E203" s="22" t="str">
        <f>IF(Base_de_donnée_clients!E203="","",Base_de_donnée_clients!E203)</f>
        <v/>
      </c>
      <c r="F203" s="22" t="str">
        <f>IF(Base_de_donnée_clients!F203="","",Base_de_donnée_clients!F203)</f>
        <v/>
      </c>
      <c r="G203" s="22" t="str">
        <f>IF(Base_de_donnée_clients!G203="","",Base_de_donnée_clients!G203)</f>
        <v/>
      </c>
      <c r="H203" s="22" t="str">
        <f>IF(Base_de_donnée_clients!H203="","",Base_de_donnée_clients!H203)</f>
        <v/>
      </c>
      <c r="I203" s="23" t="str">
        <f>IF(Base_de_donnée_clients!I203="","",Base_de_donnée_clients!I203)</f>
        <v/>
      </c>
    </row>
    <row r="204" spans="1:9" s="14" customFormat="1" ht="30" customHeight="1" thickBot="1" x14ac:dyDescent="0.5">
      <c r="A204" s="21"/>
      <c r="B204" s="22" t="str">
        <f>IF(Base_de_donnée_clients!B204="","",Base_de_donnée_clients!B204)</f>
        <v/>
      </c>
      <c r="C204" s="22" t="str">
        <f>IF(Base_de_donnée_clients!C204="","",Base_de_donnée_clients!C204)</f>
        <v/>
      </c>
      <c r="D204" s="22" t="str">
        <f>IF(Base_de_donnée_clients!D204="","",Base_de_donnée_clients!D204)</f>
        <v/>
      </c>
      <c r="E204" s="22" t="str">
        <f>IF(Base_de_donnée_clients!E204="","",Base_de_donnée_clients!E204)</f>
        <v/>
      </c>
      <c r="F204" s="22" t="str">
        <f>IF(Base_de_donnée_clients!F204="","",Base_de_donnée_clients!F204)</f>
        <v/>
      </c>
      <c r="G204" s="22" t="str">
        <f>IF(Base_de_donnée_clients!G204="","",Base_de_donnée_clients!G204)</f>
        <v/>
      </c>
      <c r="H204" s="22" t="str">
        <f>IF(Base_de_donnée_clients!H204="","",Base_de_donnée_clients!H204)</f>
        <v/>
      </c>
      <c r="I204" s="23" t="str">
        <f>IF(Base_de_donnée_clients!I204="","",Base_de_donnée_clients!I204)</f>
        <v/>
      </c>
    </row>
    <row r="205" spans="1:9" s="14" customFormat="1" ht="30" customHeight="1" thickBot="1" x14ac:dyDescent="0.5">
      <c r="A205" s="21"/>
      <c r="B205" s="22" t="str">
        <f>IF(Base_de_donnée_clients!B205="","",Base_de_donnée_clients!B205)</f>
        <v/>
      </c>
      <c r="C205" s="22" t="str">
        <f>IF(Base_de_donnée_clients!C205="","",Base_de_donnée_clients!C205)</f>
        <v/>
      </c>
      <c r="D205" s="22" t="str">
        <f>IF(Base_de_donnée_clients!D205="","",Base_de_donnée_clients!D205)</f>
        <v/>
      </c>
      <c r="E205" s="22" t="str">
        <f>IF(Base_de_donnée_clients!E205="","",Base_de_donnée_clients!E205)</f>
        <v/>
      </c>
      <c r="F205" s="22" t="str">
        <f>IF(Base_de_donnée_clients!F205="","",Base_de_donnée_clients!F205)</f>
        <v/>
      </c>
      <c r="G205" s="22" t="str">
        <f>IF(Base_de_donnée_clients!G205="","",Base_de_donnée_clients!G205)</f>
        <v/>
      </c>
      <c r="H205" s="22" t="str">
        <f>IF(Base_de_donnée_clients!H205="","",Base_de_donnée_clients!H205)</f>
        <v/>
      </c>
      <c r="I205" s="23" t="str">
        <f>IF(Base_de_donnée_clients!I205="","",Base_de_donnée_clients!I205)</f>
        <v/>
      </c>
    </row>
    <row r="206" spans="1:9" s="14" customFormat="1" ht="30" customHeight="1" thickBot="1" x14ac:dyDescent="0.5">
      <c r="A206" s="21"/>
      <c r="B206" s="22" t="str">
        <f>IF(Base_de_donnée_clients!B206="","",Base_de_donnée_clients!B206)</f>
        <v/>
      </c>
      <c r="C206" s="22" t="str">
        <f>IF(Base_de_donnée_clients!C206="","",Base_de_donnée_clients!C206)</f>
        <v/>
      </c>
      <c r="D206" s="22" t="str">
        <f>IF(Base_de_donnée_clients!D206="","",Base_de_donnée_clients!D206)</f>
        <v/>
      </c>
      <c r="E206" s="22" t="str">
        <f>IF(Base_de_donnée_clients!E206="","",Base_de_donnée_clients!E206)</f>
        <v/>
      </c>
      <c r="F206" s="22" t="str">
        <f>IF(Base_de_donnée_clients!F206="","",Base_de_donnée_clients!F206)</f>
        <v/>
      </c>
      <c r="G206" s="22" t="str">
        <f>IF(Base_de_donnée_clients!G206="","",Base_de_donnée_clients!G206)</f>
        <v/>
      </c>
      <c r="H206" s="22" t="str">
        <f>IF(Base_de_donnée_clients!H206="","",Base_de_donnée_clients!H206)</f>
        <v/>
      </c>
      <c r="I206" s="23" t="str">
        <f>IF(Base_de_donnée_clients!I206="","",Base_de_donnée_clients!I206)</f>
        <v/>
      </c>
    </row>
    <row r="207" spans="1:9" s="14" customFormat="1" ht="30" customHeight="1" thickBot="1" x14ac:dyDescent="0.5">
      <c r="A207" s="21"/>
      <c r="B207" s="22" t="str">
        <f>IF(Base_de_donnée_clients!B207="","",Base_de_donnée_clients!B207)</f>
        <v/>
      </c>
      <c r="C207" s="22" t="str">
        <f>IF(Base_de_donnée_clients!C207="","",Base_de_donnée_clients!C207)</f>
        <v/>
      </c>
      <c r="D207" s="22" t="str">
        <f>IF(Base_de_donnée_clients!D207="","",Base_de_donnée_clients!D207)</f>
        <v/>
      </c>
      <c r="E207" s="22" t="str">
        <f>IF(Base_de_donnée_clients!E207="","",Base_de_donnée_clients!E207)</f>
        <v/>
      </c>
      <c r="F207" s="22" t="str">
        <f>IF(Base_de_donnée_clients!F207="","",Base_de_donnée_clients!F207)</f>
        <v/>
      </c>
      <c r="G207" s="22" t="str">
        <f>IF(Base_de_donnée_clients!G207="","",Base_de_donnée_clients!G207)</f>
        <v/>
      </c>
      <c r="H207" s="22" t="str">
        <f>IF(Base_de_donnée_clients!H207="","",Base_de_donnée_clients!H207)</f>
        <v/>
      </c>
      <c r="I207" s="23" t="str">
        <f>IF(Base_de_donnée_clients!I207="","",Base_de_donnée_clients!I207)</f>
        <v/>
      </c>
    </row>
    <row r="208" spans="1:9" s="14" customFormat="1" ht="30" customHeight="1" thickBot="1" x14ac:dyDescent="0.5">
      <c r="A208" s="21"/>
      <c r="B208" s="22" t="str">
        <f>IF(Base_de_donnée_clients!B208="","",Base_de_donnée_clients!B208)</f>
        <v/>
      </c>
      <c r="C208" s="22" t="str">
        <f>IF(Base_de_donnée_clients!C208="","",Base_de_donnée_clients!C208)</f>
        <v/>
      </c>
      <c r="D208" s="22" t="str">
        <f>IF(Base_de_donnée_clients!D208="","",Base_de_donnée_clients!D208)</f>
        <v/>
      </c>
      <c r="E208" s="22" t="str">
        <f>IF(Base_de_donnée_clients!E208="","",Base_de_donnée_clients!E208)</f>
        <v/>
      </c>
      <c r="F208" s="22" t="str">
        <f>IF(Base_de_donnée_clients!F208="","",Base_de_donnée_clients!F208)</f>
        <v/>
      </c>
      <c r="G208" s="22" t="str">
        <f>IF(Base_de_donnée_clients!G208="","",Base_de_donnée_clients!G208)</f>
        <v/>
      </c>
      <c r="H208" s="22" t="str">
        <f>IF(Base_de_donnée_clients!H208="","",Base_de_donnée_clients!H208)</f>
        <v/>
      </c>
      <c r="I208" s="23" t="str">
        <f>IF(Base_de_donnée_clients!I208="","",Base_de_donnée_clients!I208)</f>
        <v/>
      </c>
    </row>
    <row r="209" spans="1:9" s="14" customFormat="1" ht="30" customHeight="1" thickBot="1" x14ac:dyDescent="0.5">
      <c r="A209" s="21"/>
      <c r="B209" s="22" t="str">
        <f>IF(Base_de_donnée_clients!B209="","",Base_de_donnée_clients!B209)</f>
        <v/>
      </c>
      <c r="C209" s="22" t="str">
        <f>IF(Base_de_donnée_clients!C209="","",Base_de_donnée_clients!C209)</f>
        <v/>
      </c>
      <c r="D209" s="22" t="str">
        <f>IF(Base_de_donnée_clients!D209="","",Base_de_donnée_clients!D209)</f>
        <v/>
      </c>
      <c r="E209" s="22" t="str">
        <f>IF(Base_de_donnée_clients!E209="","",Base_de_donnée_clients!E209)</f>
        <v/>
      </c>
      <c r="F209" s="22" t="str">
        <f>IF(Base_de_donnée_clients!F209="","",Base_de_donnée_clients!F209)</f>
        <v/>
      </c>
      <c r="G209" s="22" t="str">
        <f>IF(Base_de_donnée_clients!G209="","",Base_de_donnée_clients!G209)</f>
        <v/>
      </c>
      <c r="H209" s="22" t="str">
        <f>IF(Base_de_donnée_clients!H209="","",Base_de_donnée_clients!H209)</f>
        <v/>
      </c>
      <c r="I209" s="23" t="str">
        <f>IF(Base_de_donnée_clients!I209="","",Base_de_donnée_clients!I209)</f>
        <v/>
      </c>
    </row>
    <row r="210" spans="1:9" s="14" customFormat="1" ht="30" customHeight="1" thickBot="1" x14ac:dyDescent="0.5">
      <c r="A210" s="21"/>
      <c r="B210" s="22" t="str">
        <f>IF(Base_de_donnée_clients!B210="","",Base_de_donnée_clients!B210)</f>
        <v/>
      </c>
      <c r="C210" s="22" t="str">
        <f>IF(Base_de_donnée_clients!C210="","",Base_de_donnée_clients!C210)</f>
        <v/>
      </c>
      <c r="D210" s="22" t="str">
        <f>IF(Base_de_donnée_clients!D210="","",Base_de_donnée_clients!D210)</f>
        <v/>
      </c>
      <c r="E210" s="22" t="str">
        <f>IF(Base_de_donnée_clients!E210="","",Base_de_donnée_clients!E210)</f>
        <v/>
      </c>
      <c r="F210" s="22" t="str">
        <f>IF(Base_de_donnée_clients!F210="","",Base_de_donnée_clients!F210)</f>
        <v/>
      </c>
      <c r="G210" s="22" t="str">
        <f>IF(Base_de_donnée_clients!G210="","",Base_de_donnée_clients!G210)</f>
        <v/>
      </c>
      <c r="H210" s="22" t="str">
        <f>IF(Base_de_donnée_clients!H210="","",Base_de_donnée_clients!H210)</f>
        <v/>
      </c>
      <c r="I210" s="23" t="str">
        <f>IF(Base_de_donnée_clients!I210="","",Base_de_donnée_clients!I210)</f>
        <v/>
      </c>
    </row>
    <row r="211" spans="1:9" s="14" customFormat="1" ht="30" customHeight="1" thickBot="1" x14ac:dyDescent="0.5">
      <c r="A211" s="21"/>
      <c r="B211" s="22" t="str">
        <f>IF(Base_de_donnée_clients!B211="","",Base_de_donnée_clients!B211)</f>
        <v/>
      </c>
      <c r="C211" s="22" t="str">
        <f>IF(Base_de_donnée_clients!C211="","",Base_de_donnée_clients!C211)</f>
        <v/>
      </c>
      <c r="D211" s="22" t="str">
        <f>IF(Base_de_donnée_clients!D211="","",Base_de_donnée_clients!D211)</f>
        <v/>
      </c>
      <c r="E211" s="22" t="str">
        <f>IF(Base_de_donnée_clients!E211="","",Base_de_donnée_clients!E211)</f>
        <v/>
      </c>
      <c r="F211" s="22" t="str">
        <f>IF(Base_de_donnée_clients!F211="","",Base_de_donnée_clients!F211)</f>
        <v/>
      </c>
      <c r="G211" s="22" t="str">
        <f>IF(Base_de_donnée_clients!G211="","",Base_de_donnée_clients!G211)</f>
        <v/>
      </c>
      <c r="H211" s="22" t="str">
        <f>IF(Base_de_donnée_clients!H211="","",Base_de_donnée_clients!H211)</f>
        <v/>
      </c>
      <c r="I211" s="23" t="str">
        <f>IF(Base_de_donnée_clients!I211="","",Base_de_donnée_clients!I211)</f>
        <v/>
      </c>
    </row>
    <row r="212" spans="1:9" s="14" customFormat="1" ht="30" customHeight="1" thickBot="1" x14ac:dyDescent="0.5">
      <c r="A212" s="21"/>
      <c r="B212" s="22" t="str">
        <f>IF(Base_de_donnée_clients!B212="","",Base_de_donnée_clients!B212)</f>
        <v/>
      </c>
      <c r="C212" s="22" t="str">
        <f>IF(Base_de_donnée_clients!C212="","",Base_de_donnée_clients!C212)</f>
        <v/>
      </c>
      <c r="D212" s="22" t="str">
        <f>IF(Base_de_donnée_clients!D212="","",Base_de_donnée_clients!D212)</f>
        <v/>
      </c>
      <c r="E212" s="22" t="str">
        <f>IF(Base_de_donnée_clients!E212="","",Base_de_donnée_clients!E212)</f>
        <v/>
      </c>
      <c r="F212" s="22" t="str">
        <f>IF(Base_de_donnée_clients!F212="","",Base_de_donnée_clients!F212)</f>
        <v/>
      </c>
      <c r="G212" s="22" t="str">
        <f>IF(Base_de_donnée_clients!G212="","",Base_de_donnée_clients!G212)</f>
        <v/>
      </c>
      <c r="H212" s="22" t="str">
        <f>IF(Base_de_donnée_clients!H212="","",Base_de_donnée_clients!H212)</f>
        <v/>
      </c>
      <c r="I212" s="23" t="str">
        <f>IF(Base_de_donnée_clients!I212="","",Base_de_donnée_clients!I212)</f>
        <v/>
      </c>
    </row>
    <row r="213" spans="1:9" s="14" customFormat="1" ht="30" customHeight="1" thickBot="1" x14ac:dyDescent="0.5">
      <c r="A213" s="21"/>
      <c r="B213" s="22" t="str">
        <f>IF(Base_de_donnée_clients!B213="","",Base_de_donnée_clients!B213)</f>
        <v/>
      </c>
      <c r="C213" s="22" t="str">
        <f>IF(Base_de_donnée_clients!C213="","",Base_de_donnée_clients!C213)</f>
        <v/>
      </c>
      <c r="D213" s="22" t="str">
        <f>IF(Base_de_donnée_clients!D213="","",Base_de_donnée_clients!D213)</f>
        <v/>
      </c>
      <c r="E213" s="22" t="str">
        <f>IF(Base_de_donnée_clients!E213="","",Base_de_donnée_clients!E213)</f>
        <v/>
      </c>
      <c r="F213" s="22" t="str">
        <f>IF(Base_de_donnée_clients!F213="","",Base_de_donnée_clients!F213)</f>
        <v/>
      </c>
      <c r="G213" s="22" t="str">
        <f>IF(Base_de_donnée_clients!G213="","",Base_de_donnée_clients!G213)</f>
        <v/>
      </c>
      <c r="H213" s="22" t="str">
        <f>IF(Base_de_donnée_clients!H213="","",Base_de_donnée_clients!H213)</f>
        <v/>
      </c>
      <c r="I213" s="23" t="str">
        <f>IF(Base_de_donnée_clients!I213="","",Base_de_donnée_clients!I213)</f>
        <v/>
      </c>
    </row>
    <row r="214" spans="1:9" s="14" customFormat="1" ht="30" customHeight="1" thickBot="1" x14ac:dyDescent="0.5">
      <c r="A214" s="21"/>
      <c r="B214" s="22" t="str">
        <f>IF(Base_de_donnée_clients!B214="","",Base_de_donnée_clients!B214)</f>
        <v/>
      </c>
      <c r="C214" s="22" t="str">
        <f>IF(Base_de_donnée_clients!C214="","",Base_de_donnée_clients!C214)</f>
        <v/>
      </c>
      <c r="D214" s="22" t="str">
        <f>IF(Base_de_donnée_clients!D214="","",Base_de_donnée_clients!D214)</f>
        <v/>
      </c>
      <c r="E214" s="22" t="str">
        <f>IF(Base_de_donnée_clients!E214="","",Base_de_donnée_clients!E214)</f>
        <v/>
      </c>
      <c r="F214" s="22" t="str">
        <f>IF(Base_de_donnée_clients!F214="","",Base_de_donnée_clients!F214)</f>
        <v/>
      </c>
      <c r="G214" s="22" t="str">
        <f>IF(Base_de_donnée_clients!G214="","",Base_de_donnée_clients!G214)</f>
        <v/>
      </c>
      <c r="H214" s="22" t="str">
        <f>IF(Base_de_donnée_clients!H214="","",Base_de_donnée_clients!H214)</f>
        <v/>
      </c>
      <c r="I214" s="23" t="str">
        <f>IF(Base_de_donnée_clients!I214="","",Base_de_donnée_clients!I214)</f>
        <v/>
      </c>
    </row>
    <row r="215" spans="1:9" s="14" customFormat="1" ht="30" customHeight="1" thickBot="1" x14ac:dyDescent="0.5">
      <c r="A215" s="21"/>
      <c r="B215" s="22" t="str">
        <f>IF(Base_de_donnée_clients!B215="","",Base_de_donnée_clients!B215)</f>
        <v/>
      </c>
      <c r="C215" s="22" t="str">
        <f>IF(Base_de_donnée_clients!C215="","",Base_de_donnée_clients!C215)</f>
        <v/>
      </c>
      <c r="D215" s="22" t="str">
        <f>IF(Base_de_donnée_clients!D215="","",Base_de_donnée_clients!D215)</f>
        <v/>
      </c>
      <c r="E215" s="22" t="str">
        <f>IF(Base_de_donnée_clients!E215="","",Base_de_donnée_clients!E215)</f>
        <v/>
      </c>
      <c r="F215" s="22" t="str">
        <f>IF(Base_de_donnée_clients!F215="","",Base_de_donnée_clients!F215)</f>
        <v/>
      </c>
      <c r="G215" s="22" t="str">
        <f>IF(Base_de_donnée_clients!G215="","",Base_de_donnée_clients!G215)</f>
        <v/>
      </c>
      <c r="H215" s="22" t="str">
        <f>IF(Base_de_donnée_clients!H215="","",Base_de_donnée_clients!H215)</f>
        <v/>
      </c>
      <c r="I215" s="23" t="str">
        <f>IF(Base_de_donnée_clients!I215="","",Base_de_donnée_clients!I215)</f>
        <v/>
      </c>
    </row>
    <row r="216" spans="1:9" s="14" customFormat="1" ht="30" customHeight="1" thickBot="1" x14ac:dyDescent="0.5">
      <c r="A216" s="21"/>
      <c r="B216" s="22" t="str">
        <f>IF(Base_de_donnée_clients!B216="","",Base_de_donnée_clients!B216)</f>
        <v/>
      </c>
      <c r="C216" s="22" t="str">
        <f>IF(Base_de_donnée_clients!C216="","",Base_de_donnée_clients!C216)</f>
        <v/>
      </c>
      <c r="D216" s="22" t="str">
        <f>IF(Base_de_donnée_clients!D216="","",Base_de_donnée_clients!D216)</f>
        <v/>
      </c>
      <c r="E216" s="22" t="str">
        <f>IF(Base_de_donnée_clients!E216="","",Base_de_donnée_clients!E216)</f>
        <v/>
      </c>
      <c r="F216" s="22" t="str">
        <f>IF(Base_de_donnée_clients!F216="","",Base_de_donnée_clients!F216)</f>
        <v/>
      </c>
      <c r="G216" s="22" t="str">
        <f>IF(Base_de_donnée_clients!G216="","",Base_de_donnée_clients!G216)</f>
        <v/>
      </c>
      <c r="H216" s="22" t="str">
        <f>IF(Base_de_donnée_clients!H216="","",Base_de_donnée_clients!H216)</f>
        <v/>
      </c>
      <c r="I216" s="23" t="str">
        <f>IF(Base_de_donnée_clients!I216="","",Base_de_donnée_clients!I216)</f>
        <v/>
      </c>
    </row>
    <row r="217" spans="1:9" s="14" customFormat="1" ht="30" customHeight="1" thickBot="1" x14ac:dyDescent="0.5">
      <c r="A217" s="21"/>
      <c r="B217" s="22" t="str">
        <f>IF(Base_de_donnée_clients!B217="","",Base_de_donnée_clients!B217)</f>
        <v/>
      </c>
      <c r="C217" s="22" t="str">
        <f>IF(Base_de_donnée_clients!C217="","",Base_de_donnée_clients!C217)</f>
        <v/>
      </c>
      <c r="D217" s="22" t="str">
        <f>IF(Base_de_donnée_clients!D217="","",Base_de_donnée_clients!D217)</f>
        <v/>
      </c>
      <c r="E217" s="22" t="str">
        <f>IF(Base_de_donnée_clients!E217="","",Base_de_donnée_clients!E217)</f>
        <v/>
      </c>
      <c r="F217" s="22" t="str">
        <f>IF(Base_de_donnée_clients!F217="","",Base_de_donnée_clients!F217)</f>
        <v/>
      </c>
      <c r="G217" s="22" t="str">
        <f>IF(Base_de_donnée_clients!G217="","",Base_de_donnée_clients!G217)</f>
        <v/>
      </c>
      <c r="H217" s="22" t="str">
        <f>IF(Base_de_donnée_clients!H217="","",Base_de_donnée_clients!H217)</f>
        <v/>
      </c>
      <c r="I217" s="23" t="str">
        <f>IF(Base_de_donnée_clients!I217="","",Base_de_donnée_clients!I217)</f>
        <v/>
      </c>
    </row>
    <row r="218" spans="1:9" s="14" customFormat="1" ht="30" customHeight="1" thickBot="1" x14ac:dyDescent="0.5">
      <c r="A218" s="21"/>
      <c r="B218" s="22" t="str">
        <f>IF(Base_de_donnée_clients!B218="","",Base_de_donnée_clients!B218)</f>
        <v/>
      </c>
      <c r="C218" s="22" t="str">
        <f>IF(Base_de_donnée_clients!C218="","",Base_de_donnée_clients!C218)</f>
        <v/>
      </c>
      <c r="D218" s="22" t="str">
        <f>IF(Base_de_donnée_clients!D218="","",Base_de_donnée_clients!D218)</f>
        <v/>
      </c>
      <c r="E218" s="22" t="str">
        <f>IF(Base_de_donnée_clients!E218="","",Base_de_donnée_clients!E218)</f>
        <v/>
      </c>
      <c r="F218" s="22" t="str">
        <f>IF(Base_de_donnée_clients!F218="","",Base_de_donnée_clients!F218)</f>
        <v/>
      </c>
      <c r="G218" s="22" t="str">
        <f>IF(Base_de_donnée_clients!G218="","",Base_de_donnée_clients!G218)</f>
        <v/>
      </c>
      <c r="H218" s="22" t="str">
        <f>IF(Base_de_donnée_clients!H218="","",Base_de_donnée_clients!H218)</f>
        <v/>
      </c>
      <c r="I218" s="23" t="str">
        <f>IF(Base_de_donnée_clients!I218="","",Base_de_donnée_clients!I218)</f>
        <v/>
      </c>
    </row>
    <row r="219" spans="1:9" s="14" customFormat="1" ht="30" customHeight="1" thickBot="1" x14ac:dyDescent="0.5">
      <c r="A219" s="21"/>
      <c r="B219" s="22" t="str">
        <f>IF(Base_de_donnée_clients!B219="","",Base_de_donnée_clients!B219)</f>
        <v/>
      </c>
      <c r="C219" s="22" t="str">
        <f>IF(Base_de_donnée_clients!C219="","",Base_de_donnée_clients!C219)</f>
        <v/>
      </c>
      <c r="D219" s="22" t="str">
        <f>IF(Base_de_donnée_clients!D219="","",Base_de_donnée_clients!D219)</f>
        <v/>
      </c>
      <c r="E219" s="22" t="str">
        <f>IF(Base_de_donnée_clients!E219="","",Base_de_donnée_clients!E219)</f>
        <v/>
      </c>
      <c r="F219" s="22" t="str">
        <f>IF(Base_de_donnée_clients!F219="","",Base_de_donnée_clients!F219)</f>
        <v/>
      </c>
      <c r="G219" s="22" t="str">
        <f>IF(Base_de_donnée_clients!G219="","",Base_de_donnée_clients!G219)</f>
        <v/>
      </c>
      <c r="H219" s="22" t="str">
        <f>IF(Base_de_donnée_clients!H219="","",Base_de_donnée_clients!H219)</f>
        <v/>
      </c>
      <c r="I219" s="23" t="str">
        <f>IF(Base_de_donnée_clients!I219="","",Base_de_donnée_clients!I219)</f>
        <v/>
      </c>
    </row>
    <row r="220" spans="1:9" s="14" customFormat="1" ht="30" customHeight="1" thickBot="1" x14ac:dyDescent="0.5">
      <c r="A220" s="21"/>
      <c r="B220" s="22" t="str">
        <f>IF(Base_de_donnée_clients!B220="","",Base_de_donnée_clients!B220)</f>
        <v/>
      </c>
      <c r="C220" s="22" t="str">
        <f>IF(Base_de_donnée_clients!C220="","",Base_de_donnée_clients!C220)</f>
        <v/>
      </c>
      <c r="D220" s="22" t="str">
        <f>IF(Base_de_donnée_clients!D220="","",Base_de_donnée_clients!D220)</f>
        <v/>
      </c>
      <c r="E220" s="22" t="str">
        <f>IF(Base_de_donnée_clients!E220="","",Base_de_donnée_clients!E220)</f>
        <v/>
      </c>
      <c r="F220" s="22" t="str">
        <f>IF(Base_de_donnée_clients!F220="","",Base_de_donnée_clients!F220)</f>
        <v/>
      </c>
      <c r="G220" s="22" t="str">
        <f>IF(Base_de_donnée_clients!G220="","",Base_de_donnée_clients!G220)</f>
        <v/>
      </c>
      <c r="H220" s="22" t="str">
        <f>IF(Base_de_donnée_clients!H220="","",Base_de_donnée_clients!H220)</f>
        <v/>
      </c>
      <c r="I220" s="23" t="str">
        <f>IF(Base_de_donnée_clients!I220="","",Base_de_donnée_clients!I220)</f>
        <v/>
      </c>
    </row>
    <row r="221" spans="1:9" s="14" customFormat="1" ht="30" customHeight="1" thickBot="1" x14ac:dyDescent="0.5">
      <c r="A221" s="21"/>
      <c r="B221" s="22" t="str">
        <f>IF(Base_de_donnée_clients!B221="","",Base_de_donnée_clients!B221)</f>
        <v/>
      </c>
      <c r="C221" s="22" t="str">
        <f>IF(Base_de_donnée_clients!C221="","",Base_de_donnée_clients!C221)</f>
        <v/>
      </c>
      <c r="D221" s="22" t="str">
        <f>IF(Base_de_donnée_clients!D221="","",Base_de_donnée_clients!D221)</f>
        <v/>
      </c>
      <c r="E221" s="22" t="str">
        <f>IF(Base_de_donnée_clients!E221="","",Base_de_donnée_clients!E221)</f>
        <v/>
      </c>
      <c r="F221" s="22" t="str">
        <f>IF(Base_de_donnée_clients!F221="","",Base_de_donnée_clients!F221)</f>
        <v/>
      </c>
      <c r="G221" s="22" t="str">
        <f>IF(Base_de_donnée_clients!G221="","",Base_de_donnée_clients!G221)</f>
        <v/>
      </c>
      <c r="H221" s="22" t="str">
        <f>IF(Base_de_donnée_clients!H221="","",Base_de_donnée_clients!H221)</f>
        <v/>
      </c>
      <c r="I221" s="23" t="str">
        <f>IF(Base_de_donnée_clients!I221="","",Base_de_donnée_clients!I221)</f>
        <v/>
      </c>
    </row>
    <row r="222" spans="1:9" s="14" customFormat="1" ht="30" customHeight="1" thickBot="1" x14ac:dyDescent="0.5">
      <c r="A222" s="21"/>
      <c r="B222" s="22" t="str">
        <f>IF(Base_de_donnée_clients!B222="","",Base_de_donnée_clients!B222)</f>
        <v/>
      </c>
      <c r="C222" s="22" t="str">
        <f>IF(Base_de_donnée_clients!C222="","",Base_de_donnée_clients!C222)</f>
        <v/>
      </c>
      <c r="D222" s="22" t="str">
        <f>IF(Base_de_donnée_clients!D222="","",Base_de_donnée_clients!D222)</f>
        <v/>
      </c>
      <c r="E222" s="22" t="str">
        <f>IF(Base_de_donnée_clients!E222="","",Base_de_donnée_clients!E222)</f>
        <v/>
      </c>
      <c r="F222" s="22" t="str">
        <f>IF(Base_de_donnée_clients!F222="","",Base_de_donnée_clients!F222)</f>
        <v/>
      </c>
      <c r="G222" s="22" t="str">
        <f>IF(Base_de_donnée_clients!G222="","",Base_de_donnée_clients!G222)</f>
        <v/>
      </c>
      <c r="H222" s="22" t="str">
        <f>IF(Base_de_donnée_clients!H222="","",Base_de_donnée_clients!H222)</f>
        <v/>
      </c>
      <c r="I222" s="23" t="str">
        <f>IF(Base_de_donnée_clients!I222="","",Base_de_donnée_clients!I222)</f>
        <v/>
      </c>
    </row>
    <row r="223" spans="1:9" s="14" customFormat="1" ht="30" customHeight="1" thickBot="1" x14ac:dyDescent="0.5">
      <c r="A223" s="21"/>
      <c r="B223" s="22" t="str">
        <f>IF(Base_de_donnée_clients!B223="","",Base_de_donnée_clients!B223)</f>
        <v/>
      </c>
      <c r="C223" s="22" t="str">
        <f>IF(Base_de_donnée_clients!C223="","",Base_de_donnée_clients!C223)</f>
        <v/>
      </c>
      <c r="D223" s="22" t="str">
        <f>IF(Base_de_donnée_clients!D223="","",Base_de_donnée_clients!D223)</f>
        <v/>
      </c>
      <c r="E223" s="22" t="str">
        <f>IF(Base_de_donnée_clients!E223="","",Base_de_donnée_clients!E223)</f>
        <v/>
      </c>
      <c r="F223" s="22" t="str">
        <f>IF(Base_de_donnée_clients!F223="","",Base_de_donnée_clients!F223)</f>
        <v/>
      </c>
      <c r="G223" s="22" t="str">
        <f>IF(Base_de_donnée_clients!G223="","",Base_de_donnée_clients!G223)</f>
        <v/>
      </c>
      <c r="H223" s="22" t="str">
        <f>IF(Base_de_donnée_clients!H223="","",Base_de_donnée_clients!H223)</f>
        <v/>
      </c>
      <c r="I223" s="23" t="str">
        <f>IF(Base_de_donnée_clients!I223="","",Base_de_donnée_clients!I223)</f>
        <v/>
      </c>
    </row>
    <row r="224" spans="1:9" s="14" customFormat="1" ht="30" customHeight="1" thickBot="1" x14ac:dyDescent="0.5">
      <c r="A224" s="21"/>
      <c r="B224" s="22" t="str">
        <f>IF(Base_de_donnée_clients!B224="","",Base_de_donnée_clients!B224)</f>
        <v/>
      </c>
      <c r="C224" s="22" t="str">
        <f>IF(Base_de_donnée_clients!C224="","",Base_de_donnée_clients!C224)</f>
        <v/>
      </c>
      <c r="D224" s="22" t="str">
        <f>IF(Base_de_donnée_clients!D224="","",Base_de_donnée_clients!D224)</f>
        <v/>
      </c>
      <c r="E224" s="22" t="str">
        <f>IF(Base_de_donnée_clients!E224="","",Base_de_donnée_clients!E224)</f>
        <v/>
      </c>
      <c r="F224" s="22" t="str">
        <f>IF(Base_de_donnée_clients!F224="","",Base_de_donnée_clients!F224)</f>
        <v/>
      </c>
      <c r="G224" s="22" t="str">
        <f>IF(Base_de_donnée_clients!G224="","",Base_de_donnée_clients!G224)</f>
        <v/>
      </c>
      <c r="H224" s="22" t="str">
        <f>IF(Base_de_donnée_clients!H224="","",Base_de_donnée_clients!H224)</f>
        <v/>
      </c>
      <c r="I224" s="23" t="str">
        <f>IF(Base_de_donnée_clients!I224="","",Base_de_donnée_clients!I224)</f>
        <v/>
      </c>
    </row>
    <row r="225" spans="1:9" s="14" customFormat="1" ht="30" customHeight="1" thickBot="1" x14ac:dyDescent="0.5">
      <c r="A225" s="21"/>
      <c r="B225" s="22" t="str">
        <f>IF(Base_de_donnée_clients!B225="","",Base_de_donnée_clients!B225)</f>
        <v/>
      </c>
      <c r="C225" s="22" t="str">
        <f>IF(Base_de_donnée_clients!C225="","",Base_de_donnée_clients!C225)</f>
        <v/>
      </c>
      <c r="D225" s="22" t="str">
        <f>IF(Base_de_donnée_clients!D225="","",Base_de_donnée_clients!D225)</f>
        <v/>
      </c>
      <c r="E225" s="22" t="str">
        <f>IF(Base_de_donnée_clients!E225="","",Base_de_donnée_clients!E225)</f>
        <v/>
      </c>
      <c r="F225" s="22" t="str">
        <f>IF(Base_de_donnée_clients!F225="","",Base_de_donnée_clients!F225)</f>
        <v/>
      </c>
      <c r="G225" s="22" t="str">
        <f>IF(Base_de_donnée_clients!G225="","",Base_de_donnée_clients!G225)</f>
        <v/>
      </c>
      <c r="H225" s="22" t="str">
        <f>IF(Base_de_donnée_clients!H225="","",Base_de_donnée_clients!H225)</f>
        <v/>
      </c>
      <c r="I225" s="23" t="str">
        <f>IF(Base_de_donnée_clients!I225="","",Base_de_donnée_clients!I225)</f>
        <v/>
      </c>
    </row>
    <row r="226" spans="1:9" s="14" customFormat="1" ht="30" customHeight="1" thickBot="1" x14ac:dyDescent="0.5">
      <c r="A226" s="21"/>
      <c r="B226" s="22" t="str">
        <f>IF(Base_de_donnée_clients!B226="","",Base_de_donnée_clients!B226)</f>
        <v/>
      </c>
      <c r="C226" s="22" t="str">
        <f>IF(Base_de_donnée_clients!C226="","",Base_de_donnée_clients!C226)</f>
        <v/>
      </c>
      <c r="D226" s="22" t="str">
        <f>IF(Base_de_donnée_clients!D226="","",Base_de_donnée_clients!D226)</f>
        <v/>
      </c>
      <c r="E226" s="22" t="str">
        <f>IF(Base_de_donnée_clients!E226="","",Base_de_donnée_clients!E226)</f>
        <v/>
      </c>
      <c r="F226" s="22" t="str">
        <f>IF(Base_de_donnée_clients!F226="","",Base_de_donnée_clients!F226)</f>
        <v/>
      </c>
      <c r="G226" s="22" t="str">
        <f>IF(Base_de_donnée_clients!G226="","",Base_de_donnée_clients!G226)</f>
        <v/>
      </c>
      <c r="H226" s="22" t="str">
        <f>IF(Base_de_donnée_clients!H226="","",Base_de_donnée_clients!H226)</f>
        <v/>
      </c>
      <c r="I226" s="23" t="str">
        <f>IF(Base_de_donnée_clients!I226="","",Base_de_donnée_clients!I226)</f>
        <v/>
      </c>
    </row>
    <row r="227" spans="1:9" s="14" customFormat="1" ht="30" customHeight="1" thickBot="1" x14ac:dyDescent="0.5">
      <c r="A227" s="21"/>
      <c r="B227" s="22" t="str">
        <f>IF(Base_de_donnée_clients!B227="","",Base_de_donnée_clients!B227)</f>
        <v/>
      </c>
      <c r="C227" s="22" t="str">
        <f>IF(Base_de_donnée_clients!C227="","",Base_de_donnée_clients!C227)</f>
        <v/>
      </c>
      <c r="D227" s="22" t="str">
        <f>IF(Base_de_donnée_clients!D227="","",Base_de_donnée_clients!D227)</f>
        <v/>
      </c>
      <c r="E227" s="22" t="str">
        <f>IF(Base_de_donnée_clients!E227="","",Base_de_donnée_clients!E227)</f>
        <v/>
      </c>
      <c r="F227" s="22" t="str">
        <f>IF(Base_de_donnée_clients!F227="","",Base_de_donnée_clients!F227)</f>
        <v/>
      </c>
      <c r="G227" s="22" t="str">
        <f>IF(Base_de_donnée_clients!G227="","",Base_de_donnée_clients!G227)</f>
        <v/>
      </c>
      <c r="H227" s="22" t="str">
        <f>IF(Base_de_donnée_clients!H227="","",Base_de_donnée_clients!H227)</f>
        <v/>
      </c>
      <c r="I227" s="23" t="str">
        <f>IF(Base_de_donnée_clients!I227="","",Base_de_donnée_clients!I227)</f>
        <v/>
      </c>
    </row>
    <row r="228" spans="1:9" s="14" customFormat="1" ht="30" customHeight="1" thickBot="1" x14ac:dyDescent="0.5">
      <c r="A228" s="21"/>
      <c r="B228" s="22" t="str">
        <f>IF(Base_de_donnée_clients!B228="","",Base_de_donnée_clients!B228)</f>
        <v/>
      </c>
      <c r="C228" s="22" t="str">
        <f>IF(Base_de_donnée_clients!C228="","",Base_de_donnée_clients!C228)</f>
        <v/>
      </c>
      <c r="D228" s="22" t="str">
        <f>IF(Base_de_donnée_clients!D228="","",Base_de_donnée_clients!D228)</f>
        <v/>
      </c>
      <c r="E228" s="22" t="str">
        <f>IF(Base_de_donnée_clients!E228="","",Base_de_donnée_clients!E228)</f>
        <v/>
      </c>
      <c r="F228" s="22" t="str">
        <f>IF(Base_de_donnée_clients!F228="","",Base_de_donnée_clients!F228)</f>
        <v/>
      </c>
      <c r="G228" s="22" t="str">
        <f>IF(Base_de_donnée_clients!G228="","",Base_de_donnée_clients!G228)</f>
        <v/>
      </c>
      <c r="H228" s="22" t="str">
        <f>IF(Base_de_donnée_clients!H228="","",Base_de_donnée_clients!H228)</f>
        <v/>
      </c>
      <c r="I228" s="23" t="str">
        <f>IF(Base_de_donnée_clients!I228="","",Base_de_donnée_clients!I228)</f>
        <v/>
      </c>
    </row>
    <row r="229" spans="1:9" s="14" customFormat="1" ht="30" customHeight="1" thickBot="1" x14ac:dyDescent="0.5">
      <c r="A229" s="21"/>
      <c r="B229" s="22" t="str">
        <f>IF(Base_de_donnée_clients!B229="","",Base_de_donnée_clients!B229)</f>
        <v/>
      </c>
      <c r="C229" s="22" t="str">
        <f>IF(Base_de_donnée_clients!C229="","",Base_de_donnée_clients!C229)</f>
        <v/>
      </c>
      <c r="D229" s="22" t="str">
        <f>IF(Base_de_donnée_clients!D229="","",Base_de_donnée_clients!D229)</f>
        <v/>
      </c>
      <c r="E229" s="22" t="str">
        <f>IF(Base_de_donnée_clients!E229="","",Base_de_donnée_clients!E229)</f>
        <v/>
      </c>
      <c r="F229" s="22" t="str">
        <f>IF(Base_de_donnée_clients!F229="","",Base_de_donnée_clients!F229)</f>
        <v/>
      </c>
      <c r="G229" s="22" t="str">
        <f>IF(Base_de_donnée_clients!G229="","",Base_de_donnée_clients!G229)</f>
        <v/>
      </c>
      <c r="H229" s="22" t="str">
        <f>IF(Base_de_donnée_clients!H229="","",Base_de_donnée_clients!H229)</f>
        <v/>
      </c>
      <c r="I229" s="23" t="str">
        <f>IF(Base_de_donnée_clients!I229="","",Base_de_donnée_clients!I229)</f>
        <v/>
      </c>
    </row>
    <row r="230" spans="1:9" s="14" customFormat="1" ht="30" customHeight="1" thickBot="1" x14ac:dyDescent="0.5">
      <c r="A230" s="21"/>
      <c r="B230" s="22" t="str">
        <f>IF(Base_de_donnée_clients!B230="","",Base_de_donnée_clients!B230)</f>
        <v/>
      </c>
      <c r="C230" s="22" t="str">
        <f>IF(Base_de_donnée_clients!C230="","",Base_de_donnée_clients!C230)</f>
        <v/>
      </c>
      <c r="D230" s="22" t="str">
        <f>IF(Base_de_donnée_clients!D230="","",Base_de_donnée_clients!D230)</f>
        <v/>
      </c>
      <c r="E230" s="22" t="str">
        <f>IF(Base_de_donnée_clients!E230="","",Base_de_donnée_clients!E230)</f>
        <v/>
      </c>
      <c r="F230" s="22" t="str">
        <f>IF(Base_de_donnée_clients!F230="","",Base_de_donnée_clients!F230)</f>
        <v/>
      </c>
      <c r="G230" s="22" t="str">
        <f>IF(Base_de_donnée_clients!G230="","",Base_de_donnée_clients!G230)</f>
        <v/>
      </c>
      <c r="H230" s="22" t="str">
        <f>IF(Base_de_donnée_clients!H230="","",Base_de_donnée_clients!H230)</f>
        <v/>
      </c>
      <c r="I230" s="23" t="str">
        <f>IF(Base_de_donnée_clients!I230="","",Base_de_donnée_clients!I230)</f>
        <v/>
      </c>
    </row>
    <row r="231" spans="1:9" s="14" customFormat="1" ht="30" customHeight="1" thickBot="1" x14ac:dyDescent="0.5">
      <c r="A231" s="21"/>
      <c r="B231" s="22" t="str">
        <f>IF(Base_de_donnée_clients!B231="","",Base_de_donnée_clients!B231)</f>
        <v/>
      </c>
      <c r="C231" s="22" t="str">
        <f>IF(Base_de_donnée_clients!C231="","",Base_de_donnée_clients!C231)</f>
        <v/>
      </c>
      <c r="D231" s="22" t="str">
        <f>IF(Base_de_donnée_clients!D231="","",Base_de_donnée_clients!D231)</f>
        <v/>
      </c>
      <c r="E231" s="22" t="str">
        <f>IF(Base_de_donnée_clients!E231="","",Base_de_donnée_clients!E231)</f>
        <v/>
      </c>
      <c r="F231" s="22" t="str">
        <f>IF(Base_de_donnée_clients!F231="","",Base_de_donnée_clients!F231)</f>
        <v/>
      </c>
      <c r="G231" s="22" t="str">
        <f>IF(Base_de_donnée_clients!G231="","",Base_de_donnée_clients!G231)</f>
        <v/>
      </c>
      <c r="H231" s="22" t="str">
        <f>IF(Base_de_donnée_clients!H231="","",Base_de_donnée_clients!H231)</f>
        <v/>
      </c>
      <c r="I231" s="23" t="str">
        <f>IF(Base_de_donnée_clients!I231="","",Base_de_donnée_clients!I231)</f>
        <v/>
      </c>
    </row>
    <row r="232" spans="1:9" s="14" customFormat="1" ht="30" customHeight="1" thickBot="1" x14ac:dyDescent="0.5">
      <c r="A232" s="21"/>
      <c r="B232" s="22" t="str">
        <f>IF(Base_de_donnée_clients!B232="","",Base_de_donnée_clients!B232)</f>
        <v/>
      </c>
      <c r="C232" s="22" t="str">
        <f>IF(Base_de_donnée_clients!C232="","",Base_de_donnée_clients!C232)</f>
        <v/>
      </c>
      <c r="D232" s="22" t="str">
        <f>IF(Base_de_donnée_clients!D232="","",Base_de_donnée_clients!D232)</f>
        <v/>
      </c>
      <c r="E232" s="22" t="str">
        <f>IF(Base_de_donnée_clients!E232="","",Base_de_donnée_clients!E232)</f>
        <v/>
      </c>
      <c r="F232" s="22" t="str">
        <f>IF(Base_de_donnée_clients!F232="","",Base_de_donnée_clients!F232)</f>
        <v/>
      </c>
      <c r="G232" s="22" t="str">
        <f>IF(Base_de_donnée_clients!G232="","",Base_de_donnée_clients!G232)</f>
        <v/>
      </c>
      <c r="H232" s="22" t="str">
        <f>IF(Base_de_donnée_clients!H232="","",Base_de_donnée_clients!H232)</f>
        <v/>
      </c>
      <c r="I232" s="23" t="str">
        <f>IF(Base_de_donnée_clients!I232="","",Base_de_donnée_clients!I232)</f>
        <v/>
      </c>
    </row>
    <row r="233" spans="1:9" s="14" customFormat="1" ht="30" customHeight="1" thickBot="1" x14ac:dyDescent="0.5">
      <c r="A233" s="21"/>
      <c r="B233" s="22" t="str">
        <f>IF(Base_de_donnée_clients!B233="","",Base_de_donnée_clients!B233)</f>
        <v/>
      </c>
      <c r="C233" s="22" t="str">
        <f>IF(Base_de_donnée_clients!C233="","",Base_de_donnée_clients!C233)</f>
        <v/>
      </c>
      <c r="D233" s="22" t="str">
        <f>IF(Base_de_donnée_clients!D233="","",Base_de_donnée_clients!D233)</f>
        <v/>
      </c>
      <c r="E233" s="22" t="str">
        <f>IF(Base_de_donnée_clients!E233="","",Base_de_donnée_clients!E233)</f>
        <v/>
      </c>
      <c r="F233" s="22" t="str">
        <f>IF(Base_de_donnée_clients!F233="","",Base_de_donnée_clients!F233)</f>
        <v/>
      </c>
      <c r="G233" s="22" t="str">
        <f>IF(Base_de_donnée_clients!G233="","",Base_de_donnée_clients!G233)</f>
        <v/>
      </c>
      <c r="H233" s="22" t="str">
        <f>IF(Base_de_donnée_clients!H233="","",Base_de_donnée_clients!H233)</f>
        <v/>
      </c>
      <c r="I233" s="23" t="str">
        <f>IF(Base_de_donnée_clients!I233="","",Base_de_donnée_clients!I233)</f>
        <v/>
      </c>
    </row>
    <row r="234" spans="1:9" s="14" customFormat="1" ht="30" customHeight="1" thickBot="1" x14ac:dyDescent="0.5">
      <c r="A234" s="21"/>
      <c r="B234" s="22" t="str">
        <f>IF(Base_de_donnée_clients!B234="","",Base_de_donnée_clients!B234)</f>
        <v/>
      </c>
      <c r="C234" s="22" t="str">
        <f>IF(Base_de_donnée_clients!C234="","",Base_de_donnée_clients!C234)</f>
        <v/>
      </c>
      <c r="D234" s="22" t="str">
        <f>IF(Base_de_donnée_clients!D234="","",Base_de_donnée_clients!D234)</f>
        <v/>
      </c>
      <c r="E234" s="22" t="str">
        <f>IF(Base_de_donnée_clients!E234="","",Base_de_donnée_clients!E234)</f>
        <v/>
      </c>
      <c r="F234" s="22" t="str">
        <f>IF(Base_de_donnée_clients!F234="","",Base_de_donnée_clients!F234)</f>
        <v/>
      </c>
      <c r="G234" s="22" t="str">
        <f>IF(Base_de_donnée_clients!G234="","",Base_de_donnée_clients!G234)</f>
        <v/>
      </c>
      <c r="H234" s="22" t="str">
        <f>IF(Base_de_donnée_clients!H234="","",Base_de_donnée_clients!H234)</f>
        <v/>
      </c>
      <c r="I234" s="23" t="str">
        <f>IF(Base_de_donnée_clients!I234="","",Base_de_donnée_clients!I234)</f>
        <v/>
      </c>
    </row>
    <row r="235" spans="1:9" s="14" customFormat="1" ht="30" customHeight="1" thickBot="1" x14ac:dyDescent="0.5">
      <c r="A235" s="21"/>
      <c r="B235" s="22" t="str">
        <f>IF(Base_de_donnée_clients!B235="","",Base_de_donnée_clients!B235)</f>
        <v/>
      </c>
      <c r="C235" s="22" t="str">
        <f>IF(Base_de_donnée_clients!C235="","",Base_de_donnée_clients!C235)</f>
        <v/>
      </c>
      <c r="D235" s="22" t="str">
        <f>IF(Base_de_donnée_clients!D235="","",Base_de_donnée_clients!D235)</f>
        <v/>
      </c>
      <c r="E235" s="22" t="str">
        <f>IF(Base_de_donnée_clients!E235="","",Base_de_donnée_clients!E235)</f>
        <v/>
      </c>
      <c r="F235" s="22" t="str">
        <f>IF(Base_de_donnée_clients!F235="","",Base_de_donnée_clients!F235)</f>
        <v/>
      </c>
      <c r="G235" s="22" t="str">
        <f>IF(Base_de_donnée_clients!G235="","",Base_de_donnée_clients!G235)</f>
        <v/>
      </c>
      <c r="H235" s="22" t="str">
        <f>IF(Base_de_donnée_clients!H235="","",Base_de_donnée_clients!H235)</f>
        <v/>
      </c>
      <c r="I235" s="23" t="str">
        <f>IF(Base_de_donnée_clients!I235="","",Base_de_donnée_clients!I235)</f>
        <v/>
      </c>
    </row>
    <row r="236" spans="1:9" s="14" customFormat="1" ht="30" customHeight="1" thickBot="1" x14ac:dyDescent="0.5">
      <c r="A236" s="21"/>
      <c r="B236" s="22" t="str">
        <f>IF(Base_de_donnée_clients!B236="","",Base_de_donnée_clients!B236)</f>
        <v/>
      </c>
      <c r="C236" s="22" t="str">
        <f>IF(Base_de_donnée_clients!C236="","",Base_de_donnée_clients!C236)</f>
        <v/>
      </c>
      <c r="D236" s="22" t="str">
        <f>IF(Base_de_donnée_clients!D236="","",Base_de_donnée_clients!D236)</f>
        <v/>
      </c>
      <c r="E236" s="22" t="str">
        <f>IF(Base_de_donnée_clients!E236="","",Base_de_donnée_clients!E236)</f>
        <v/>
      </c>
      <c r="F236" s="22" t="str">
        <f>IF(Base_de_donnée_clients!F236="","",Base_de_donnée_clients!F236)</f>
        <v/>
      </c>
      <c r="G236" s="22" t="str">
        <f>IF(Base_de_donnée_clients!G236="","",Base_de_donnée_clients!G236)</f>
        <v/>
      </c>
      <c r="H236" s="22" t="str">
        <f>IF(Base_de_donnée_clients!H236="","",Base_de_donnée_clients!H236)</f>
        <v/>
      </c>
      <c r="I236" s="23" t="str">
        <f>IF(Base_de_donnée_clients!I236="","",Base_de_donnée_clients!I236)</f>
        <v/>
      </c>
    </row>
    <row r="237" spans="1:9" s="14" customFormat="1" ht="30" customHeight="1" thickBot="1" x14ac:dyDescent="0.5">
      <c r="A237" s="21"/>
      <c r="B237" s="22" t="str">
        <f>IF(Base_de_donnée_clients!B237="","",Base_de_donnée_clients!B237)</f>
        <v/>
      </c>
      <c r="C237" s="22" t="str">
        <f>IF(Base_de_donnée_clients!C237="","",Base_de_donnée_clients!C237)</f>
        <v/>
      </c>
      <c r="D237" s="22" t="str">
        <f>IF(Base_de_donnée_clients!D237="","",Base_de_donnée_clients!D237)</f>
        <v/>
      </c>
      <c r="E237" s="22" t="str">
        <f>IF(Base_de_donnée_clients!E237="","",Base_de_donnée_clients!E237)</f>
        <v/>
      </c>
      <c r="F237" s="22" t="str">
        <f>IF(Base_de_donnée_clients!F237="","",Base_de_donnée_clients!F237)</f>
        <v/>
      </c>
      <c r="G237" s="22" t="str">
        <f>IF(Base_de_donnée_clients!G237="","",Base_de_donnée_clients!G237)</f>
        <v/>
      </c>
      <c r="H237" s="22" t="str">
        <f>IF(Base_de_donnée_clients!H237="","",Base_de_donnée_clients!H237)</f>
        <v/>
      </c>
      <c r="I237" s="23" t="str">
        <f>IF(Base_de_donnée_clients!I237="","",Base_de_donnée_clients!I237)</f>
        <v/>
      </c>
    </row>
    <row r="238" spans="1:9" s="14" customFormat="1" ht="30" customHeight="1" thickBot="1" x14ac:dyDescent="0.5">
      <c r="A238" s="21"/>
      <c r="B238" s="22" t="str">
        <f>IF(Base_de_donnée_clients!B238="","",Base_de_donnée_clients!B238)</f>
        <v/>
      </c>
      <c r="C238" s="22" t="str">
        <f>IF(Base_de_donnée_clients!C238="","",Base_de_donnée_clients!C238)</f>
        <v/>
      </c>
      <c r="D238" s="22" t="str">
        <f>IF(Base_de_donnée_clients!D238="","",Base_de_donnée_clients!D238)</f>
        <v/>
      </c>
      <c r="E238" s="22" t="str">
        <f>IF(Base_de_donnée_clients!E238="","",Base_de_donnée_clients!E238)</f>
        <v/>
      </c>
      <c r="F238" s="22" t="str">
        <f>IF(Base_de_donnée_clients!F238="","",Base_de_donnée_clients!F238)</f>
        <v/>
      </c>
      <c r="G238" s="22" t="str">
        <f>IF(Base_de_donnée_clients!G238="","",Base_de_donnée_clients!G238)</f>
        <v/>
      </c>
      <c r="H238" s="22" t="str">
        <f>IF(Base_de_donnée_clients!H238="","",Base_de_donnée_clients!H238)</f>
        <v/>
      </c>
      <c r="I238" s="23" t="str">
        <f>IF(Base_de_donnée_clients!I238="","",Base_de_donnée_clients!I238)</f>
        <v/>
      </c>
    </row>
    <row r="239" spans="1:9" s="14" customFormat="1" ht="30" customHeight="1" thickBot="1" x14ac:dyDescent="0.5">
      <c r="A239" s="21"/>
      <c r="B239" s="22" t="str">
        <f>IF(Base_de_donnée_clients!B239="","",Base_de_donnée_clients!B239)</f>
        <v/>
      </c>
      <c r="C239" s="22" t="str">
        <f>IF(Base_de_donnée_clients!C239="","",Base_de_donnée_clients!C239)</f>
        <v/>
      </c>
      <c r="D239" s="22" t="str">
        <f>IF(Base_de_donnée_clients!D239="","",Base_de_donnée_clients!D239)</f>
        <v/>
      </c>
      <c r="E239" s="22" t="str">
        <f>IF(Base_de_donnée_clients!E239="","",Base_de_donnée_clients!E239)</f>
        <v/>
      </c>
      <c r="F239" s="22" t="str">
        <f>IF(Base_de_donnée_clients!F239="","",Base_de_donnée_clients!F239)</f>
        <v/>
      </c>
      <c r="G239" s="22" t="str">
        <f>IF(Base_de_donnée_clients!G239="","",Base_de_donnée_clients!G239)</f>
        <v/>
      </c>
      <c r="H239" s="22" t="str">
        <f>IF(Base_de_donnée_clients!H239="","",Base_de_donnée_clients!H239)</f>
        <v/>
      </c>
      <c r="I239" s="23" t="str">
        <f>IF(Base_de_donnée_clients!I239="","",Base_de_donnée_clients!I239)</f>
        <v/>
      </c>
    </row>
    <row r="240" spans="1:9" s="14" customFormat="1" ht="30" customHeight="1" thickBot="1" x14ac:dyDescent="0.5">
      <c r="A240" s="21"/>
      <c r="B240" s="22" t="str">
        <f>IF(Base_de_donnée_clients!B240="","",Base_de_donnée_clients!B240)</f>
        <v/>
      </c>
      <c r="C240" s="22" t="str">
        <f>IF(Base_de_donnée_clients!C240="","",Base_de_donnée_clients!C240)</f>
        <v/>
      </c>
      <c r="D240" s="22" t="str">
        <f>IF(Base_de_donnée_clients!D240="","",Base_de_donnée_clients!D240)</f>
        <v/>
      </c>
      <c r="E240" s="22" t="str">
        <f>IF(Base_de_donnée_clients!E240="","",Base_de_donnée_clients!E240)</f>
        <v/>
      </c>
      <c r="F240" s="22" t="str">
        <f>IF(Base_de_donnée_clients!F240="","",Base_de_donnée_clients!F240)</f>
        <v/>
      </c>
      <c r="G240" s="22" t="str">
        <f>IF(Base_de_donnée_clients!G240="","",Base_de_donnée_clients!G240)</f>
        <v/>
      </c>
      <c r="H240" s="22" t="str">
        <f>IF(Base_de_donnée_clients!H240="","",Base_de_donnée_clients!H240)</f>
        <v/>
      </c>
      <c r="I240" s="23" t="str">
        <f>IF(Base_de_donnée_clients!I240="","",Base_de_donnée_clients!I240)</f>
        <v/>
      </c>
    </row>
    <row r="241" spans="1:9" s="14" customFormat="1" ht="30" customHeight="1" thickBot="1" x14ac:dyDescent="0.5">
      <c r="A241" s="21"/>
      <c r="B241" s="22" t="str">
        <f>IF(Base_de_donnée_clients!B241="","",Base_de_donnée_clients!B241)</f>
        <v/>
      </c>
      <c r="C241" s="22" t="str">
        <f>IF(Base_de_donnée_clients!C241="","",Base_de_donnée_clients!C241)</f>
        <v/>
      </c>
      <c r="D241" s="22" t="str">
        <f>IF(Base_de_donnée_clients!D241="","",Base_de_donnée_clients!D241)</f>
        <v/>
      </c>
      <c r="E241" s="22" t="str">
        <f>IF(Base_de_donnée_clients!E241="","",Base_de_donnée_clients!E241)</f>
        <v/>
      </c>
      <c r="F241" s="22" t="str">
        <f>IF(Base_de_donnée_clients!F241="","",Base_de_donnée_clients!F241)</f>
        <v/>
      </c>
      <c r="G241" s="22" t="str">
        <f>IF(Base_de_donnée_clients!G241="","",Base_de_donnée_clients!G241)</f>
        <v/>
      </c>
      <c r="H241" s="22" t="str">
        <f>IF(Base_de_donnée_clients!H241="","",Base_de_donnée_clients!H241)</f>
        <v/>
      </c>
      <c r="I241" s="23" t="str">
        <f>IF(Base_de_donnée_clients!I241="","",Base_de_donnée_clients!I241)</f>
        <v/>
      </c>
    </row>
    <row r="242" spans="1:9" s="14" customFormat="1" ht="30" customHeight="1" thickBot="1" x14ac:dyDescent="0.5">
      <c r="A242" s="21"/>
      <c r="B242" s="22" t="str">
        <f>IF(Base_de_donnée_clients!B242="","",Base_de_donnée_clients!B242)</f>
        <v/>
      </c>
      <c r="C242" s="22" t="str">
        <f>IF(Base_de_donnée_clients!C242="","",Base_de_donnée_clients!C242)</f>
        <v/>
      </c>
      <c r="D242" s="22" t="str">
        <f>IF(Base_de_donnée_clients!D242="","",Base_de_donnée_clients!D242)</f>
        <v/>
      </c>
      <c r="E242" s="22" t="str">
        <f>IF(Base_de_donnée_clients!E242="","",Base_de_donnée_clients!E242)</f>
        <v/>
      </c>
      <c r="F242" s="22" t="str">
        <f>IF(Base_de_donnée_clients!F242="","",Base_de_donnée_clients!F242)</f>
        <v/>
      </c>
      <c r="G242" s="22" t="str">
        <f>IF(Base_de_donnée_clients!G242="","",Base_de_donnée_clients!G242)</f>
        <v/>
      </c>
      <c r="H242" s="22" t="str">
        <f>IF(Base_de_donnée_clients!H242="","",Base_de_donnée_clients!H242)</f>
        <v/>
      </c>
      <c r="I242" s="23" t="str">
        <f>IF(Base_de_donnée_clients!I242="","",Base_de_donnée_clients!I242)</f>
        <v/>
      </c>
    </row>
    <row r="243" spans="1:9" s="14" customFormat="1" ht="30" customHeight="1" thickBot="1" x14ac:dyDescent="0.5">
      <c r="A243" s="21"/>
      <c r="B243" s="22" t="str">
        <f>IF(Base_de_donnée_clients!B243="","",Base_de_donnée_clients!B243)</f>
        <v/>
      </c>
      <c r="C243" s="22" t="str">
        <f>IF(Base_de_donnée_clients!C243="","",Base_de_donnée_clients!C243)</f>
        <v/>
      </c>
      <c r="D243" s="22" t="str">
        <f>IF(Base_de_donnée_clients!D243="","",Base_de_donnée_clients!D243)</f>
        <v/>
      </c>
      <c r="E243" s="22" t="str">
        <f>IF(Base_de_donnée_clients!E243="","",Base_de_donnée_clients!E243)</f>
        <v/>
      </c>
      <c r="F243" s="22" t="str">
        <f>IF(Base_de_donnée_clients!F243="","",Base_de_donnée_clients!F243)</f>
        <v/>
      </c>
      <c r="G243" s="22" t="str">
        <f>IF(Base_de_donnée_clients!G243="","",Base_de_donnée_clients!G243)</f>
        <v/>
      </c>
      <c r="H243" s="22" t="str">
        <f>IF(Base_de_donnée_clients!H243="","",Base_de_donnée_clients!H243)</f>
        <v/>
      </c>
      <c r="I243" s="23" t="str">
        <f>IF(Base_de_donnée_clients!I243="","",Base_de_donnée_clients!I243)</f>
        <v/>
      </c>
    </row>
    <row r="244" spans="1:9" s="14" customFormat="1" ht="30" customHeight="1" thickBot="1" x14ac:dyDescent="0.5">
      <c r="A244" s="21"/>
      <c r="B244" s="22" t="str">
        <f>IF(Base_de_donnée_clients!B244="","",Base_de_donnée_clients!B244)</f>
        <v/>
      </c>
      <c r="C244" s="22" t="str">
        <f>IF(Base_de_donnée_clients!C244="","",Base_de_donnée_clients!C244)</f>
        <v/>
      </c>
      <c r="D244" s="22" t="str">
        <f>IF(Base_de_donnée_clients!D244="","",Base_de_donnée_clients!D244)</f>
        <v/>
      </c>
      <c r="E244" s="22" t="str">
        <f>IF(Base_de_donnée_clients!E244="","",Base_de_donnée_clients!E244)</f>
        <v/>
      </c>
      <c r="F244" s="22" t="str">
        <f>IF(Base_de_donnée_clients!F244="","",Base_de_donnée_clients!F244)</f>
        <v/>
      </c>
      <c r="G244" s="22" t="str">
        <f>IF(Base_de_donnée_clients!G244="","",Base_de_donnée_clients!G244)</f>
        <v/>
      </c>
      <c r="H244" s="22" t="str">
        <f>IF(Base_de_donnée_clients!H244="","",Base_de_donnée_clients!H244)</f>
        <v/>
      </c>
      <c r="I244" s="23" t="str">
        <f>IF(Base_de_donnée_clients!I244="","",Base_de_donnée_clients!I244)</f>
        <v/>
      </c>
    </row>
    <row r="245" spans="1:9" s="14" customFormat="1" ht="30" customHeight="1" thickBot="1" x14ac:dyDescent="0.5">
      <c r="A245" s="21"/>
      <c r="B245" s="22" t="str">
        <f>IF(Base_de_donnée_clients!B245="","",Base_de_donnée_clients!B245)</f>
        <v/>
      </c>
      <c r="C245" s="22" t="str">
        <f>IF(Base_de_donnée_clients!C245="","",Base_de_donnée_clients!C245)</f>
        <v/>
      </c>
      <c r="D245" s="22" t="str">
        <f>IF(Base_de_donnée_clients!D245="","",Base_de_donnée_clients!D245)</f>
        <v/>
      </c>
      <c r="E245" s="22" t="str">
        <f>IF(Base_de_donnée_clients!E245="","",Base_de_donnée_clients!E245)</f>
        <v/>
      </c>
      <c r="F245" s="22" t="str">
        <f>IF(Base_de_donnée_clients!F245="","",Base_de_donnée_clients!F245)</f>
        <v/>
      </c>
      <c r="G245" s="22" t="str">
        <f>IF(Base_de_donnée_clients!G245="","",Base_de_donnée_clients!G245)</f>
        <v/>
      </c>
      <c r="H245" s="22" t="str">
        <f>IF(Base_de_donnée_clients!H245="","",Base_de_donnée_clients!H245)</f>
        <v/>
      </c>
      <c r="I245" s="23" t="str">
        <f>IF(Base_de_donnée_clients!I245="","",Base_de_donnée_clients!I245)</f>
        <v/>
      </c>
    </row>
    <row r="246" spans="1:9" s="14" customFormat="1" ht="30" customHeight="1" thickBot="1" x14ac:dyDescent="0.5">
      <c r="A246" s="21"/>
      <c r="B246" s="22" t="str">
        <f>IF(Base_de_donnée_clients!B246="","",Base_de_donnée_clients!B246)</f>
        <v/>
      </c>
      <c r="C246" s="22" t="str">
        <f>IF(Base_de_donnée_clients!C246="","",Base_de_donnée_clients!C246)</f>
        <v/>
      </c>
      <c r="D246" s="22" t="str">
        <f>IF(Base_de_donnée_clients!D246="","",Base_de_donnée_clients!D246)</f>
        <v/>
      </c>
      <c r="E246" s="22" t="str">
        <f>IF(Base_de_donnée_clients!E246="","",Base_de_donnée_clients!E246)</f>
        <v/>
      </c>
      <c r="F246" s="22" t="str">
        <f>IF(Base_de_donnée_clients!F246="","",Base_de_donnée_clients!F246)</f>
        <v/>
      </c>
      <c r="G246" s="22" t="str">
        <f>IF(Base_de_donnée_clients!G246="","",Base_de_donnée_clients!G246)</f>
        <v/>
      </c>
      <c r="H246" s="22" t="str">
        <f>IF(Base_de_donnée_clients!H246="","",Base_de_donnée_clients!H246)</f>
        <v/>
      </c>
      <c r="I246" s="23" t="str">
        <f>IF(Base_de_donnée_clients!I246="","",Base_de_donnée_clients!I246)</f>
        <v/>
      </c>
    </row>
    <row r="247" spans="1:9" s="14" customFormat="1" ht="30" customHeight="1" thickBot="1" x14ac:dyDescent="0.5">
      <c r="A247" s="21"/>
      <c r="B247" s="22" t="str">
        <f>IF(Base_de_donnée_clients!B247="","",Base_de_donnée_clients!B247)</f>
        <v/>
      </c>
      <c r="C247" s="22" t="str">
        <f>IF(Base_de_donnée_clients!C247="","",Base_de_donnée_clients!C247)</f>
        <v/>
      </c>
      <c r="D247" s="22" t="str">
        <f>IF(Base_de_donnée_clients!D247="","",Base_de_donnée_clients!D247)</f>
        <v/>
      </c>
      <c r="E247" s="22" t="str">
        <f>IF(Base_de_donnée_clients!E247="","",Base_de_donnée_clients!E247)</f>
        <v/>
      </c>
      <c r="F247" s="22" t="str">
        <f>IF(Base_de_donnée_clients!F247="","",Base_de_donnée_clients!F247)</f>
        <v/>
      </c>
      <c r="G247" s="22" t="str">
        <f>IF(Base_de_donnée_clients!G247="","",Base_de_donnée_clients!G247)</f>
        <v/>
      </c>
      <c r="H247" s="22" t="str">
        <f>IF(Base_de_donnée_clients!H247="","",Base_de_donnée_clients!H247)</f>
        <v/>
      </c>
      <c r="I247" s="23" t="str">
        <f>IF(Base_de_donnée_clients!I247="","",Base_de_donnée_clients!I247)</f>
        <v/>
      </c>
    </row>
    <row r="248" spans="1:9" s="14" customFormat="1" ht="30" customHeight="1" thickBot="1" x14ac:dyDescent="0.5">
      <c r="A248" s="21"/>
      <c r="B248" s="22" t="str">
        <f>IF(Base_de_donnée_clients!B248="","",Base_de_donnée_clients!B248)</f>
        <v/>
      </c>
      <c r="C248" s="22" t="str">
        <f>IF(Base_de_donnée_clients!C248="","",Base_de_donnée_clients!C248)</f>
        <v/>
      </c>
      <c r="D248" s="22" t="str">
        <f>IF(Base_de_donnée_clients!D248="","",Base_de_donnée_clients!D248)</f>
        <v/>
      </c>
      <c r="E248" s="22" t="str">
        <f>IF(Base_de_donnée_clients!E248="","",Base_de_donnée_clients!E248)</f>
        <v/>
      </c>
      <c r="F248" s="22" t="str">
        <f>IF(Base_de_donnée_clients!F248="","",Base_de_donnée_clients!F248)</f>
        <v/>
      </c>
      <c r="G248" s="22" t="str">
        <f>IF(Base_de_donnée_clients!G248="","",Base_de_donnée_clients!G248)</f>
        <v/>
      </c>
      <c r="H248" s="22" t="str">
        <f>IF(Base_de_donnée_clients!H248="","",Base_de_donnée_clients!H248)</f>
        <v/>
      </c>
      <c r="I248" s="23" t="str">
        <f>IF(Base_de_donnée_clients!I248="","",Base_de_donnée_clients!I248)</f>
        <v/>
      </c>
    </row>
    <row r="249" spans="1:9" s="14" customFormat="1" ht="30" customHeight="1" thickBot="1" x14ac:dyDescent="0.5">
      <c r="A249" s="21"/>
      <c r="B249" s="22" t="str">
        <f>IF(Base_de_donnée_clients!B249="","",Base_de_donnée_clients!B249)</f>
        <v/>
      </c>
      <c r="C249" s="22" t="str">
        <f>IF(Base_de_donnée_clients!C249="","",Base_de_donnée_clients!C249)</f>
        <v/>
      </c>
      <c r="D249" s="22" t="str">
        <f>IF(Base_de_donnée_clients!D249="","",Base_de_donnée_clients!D249)</f>
        <v/>
      </c>
      <c r="E249" s="22" t="str">
        <f>IF(Base_de_donnée_clients!E249="","",Base_de_donnée_clients!E249)</f>
        <v/>
      </c>
      <c r="F249" s="22" t="str">
        <f>IF(Base_de_donnée_clients!F249="","",Base_de_donnée_clients!F249)</f>
        <v/>
      </c>
      <c r="G249" s="22" t="str">
        <f>IF(Base_de_donnée_clients!G249="","",Base_de_donnée_clients!G249)</f>
        <v/>
      </c>
      <c r="H249" s="22" t="str">
        <f>IF(Base_de_donnée_clients!H249="","",Base_de_donnée_clients!H249)</f>
        <v/>
      </c>
      <c r="I249" s="23" t="str">
        <f>IF(Base_de_donnée_clients!I249="","",Base_de_donnée_clients!I249)</f>
        <v/>
      </c>
    </row>
    <row r="250" spans="1:9" s="14" customFormat="1" ht="30" customHeight="1" thickBot="1" x14ac:dyDescent="0.5">
      <c r="A250" s="21"/>
      <c r="B250" s="22" t="str">
        <f>IF(Base_de_donnée_clients!B250="","",Base_de_donnée_clients!B250)</f>
        <v/>
      </c>
      <c r="C250" s="22" t="str">
        <f>IF(Base_de_donnée_clients!C250="","",Base_de_donnée_clients!C250)</f>
        <v/>
      </c>
      <c r="D250" s="22" t="str">
        <f>IF(Base_de_donnée_clients!D250="","",Base_de_donnée_clients!D250)</f>
        <v/>
      </c>
      <c r="E250" s="22" t="str">
        <f>IF(Base_de_donnée_clients!E250="","",Base_de_donnée_clients!E250)</f>
        <v/>
      </c>
      <c r="F250" s="22" t="str">
        <f>IF(Base_de_donnée_clients!F250="","",Base_de_donnée_clients!F250)</f>
        <v/>
      </c>
      <c r="G250" s="22" t="str">
        <f>IF(Base_de_donnée_clients!G250="","",Base_de_donnée_clients!G250)</f>
        <v/>
      </c>
      <c r="H250" s="22" t="str">
        <f>IF(Base_de_donnée_clients!H250="","",Base_de_donnée_clients!H250)</f>
        <v/>
      </c>
      <c r="I250" s="23" t="str">
        <f>IF(Base_de_donnée_clients!I250="","",Base_de_donnée_clients!I250)</f>
        <v/>
      </c>
    </row>
    <row r="251" spans="1:9" s="14" customFormat="1" ht="30" customHeight="1" thickBot="1" x14ac:dyDescent="0.5">
      <c r="A251" s="21"/>
      <c r="B251" s="22" t="str">
        <f>IF(Base_de_donnée_clients!B251="","",Base_de_donnée_clients!B251)</f>
        <v/>
      </c>
      <c r="C251" s="22" t="str">
        <f>IF(Base_de_donnée_clients!C251="","",Base_de_donnée_clients!C251)</f>
        <v/>
      </c>
      <c r="D251" s="22" t="str">
        <f>IF(Base_de_donnée_clients!D251="","",Base_de_donnée_clients!D251)</f>
        <v/>
      </c>
      <c r="E251" s="22" t="str">
        <f>IF(Base_de_donnée_clients!E251="","",Base_de_donnée_clients!E251)</f>
        <v/>
      </c>
      <c r="F251" s="22" t="str">
        <f>IF(Base_de_donnée_clients!F251="","",Base_de_donnée_clients!F251)</f>
        <v/>
      </c>
      <c r="G251" s="22" t="str">
        <f>IF(Base_de_donnée_clients!G251="","",Base_de_donnée_clients!G251)</f>
        <v/>
      </c>
      <c r="H251" s="22" t="str">
        <f>IF(Base_de_donnée_clients!H251="","",Base_de_donnée_clients!H251)</f>
        <v/>
      </c>
      <c r="I251" s="23" t="str">
        <f>IF(Base_de_donnée_clients!I251="","",Base_de_donnée_clients!I251)</f>
        <v/>
      </c>
    </row>
    <row r="252" spans="1:9" s="14" customFormat="1" ht="30" customHeight="1" thickBot="1" x14ac:dyDescent="0.5">
      <c r="A252" s="21"/>
      <c r="B252" s="22" t="str">
        <f>IF(Base_de_donnée_clients!B252="","",Base_de_donnée_clients!B252)</f>
        <v/>
      </c>
      <c r="C252" s="22" t="str">
        <f>IF(Base_de_donnée_clients!C252="","",Base_de_donnée_clients!C252)</f>
        <v/>
      </c>
      <c r="D252" s="22" t="str">
        <f>IF(Base_de_donnée_clients!D252="","",Base_de_donnée_clients!D252)</f>
        <v/>
      </c>
      <c r="E252" s="22" t="str">
        <f>IF(Base_de_donnée_clients!E252="","",Base_de_donnée_clients!E252)</f>
        <v/>
      </c>
      <c r="F252" s="22" t="str">
        <f>IF(Base_de_donnée_clients!F252="","",Base_de_donnée_clients!F252)</f>
        <v/>
      </c>
      <c r="G252" s="22" t="str">
        <f>IF(Base_de_donnée_clients!G252="","",Base_de_donnée_clients!G252)</f>
        <v/>
      </c>
      <c r="H252" s="22" t="str">
        <f>IF(Base_de_donnée_clients!H252="","",Base_de_donnée_clients!H252)</f>
        <v/>
      </c>
      <c r="I252" s="23" t="str">
        <f>IF(Base_de_donnée_clients!I252="","",Base_de_donnée_clients!I252)</f>
        <v/>
      </c>
    </row>
    <row r="253" spans="1:9" s="14" customFormat="1" ht="30" customHeight="1" thickBot="1" x14ac:dyDescent="0.5">
      <c r="A253" s="21"/>
      <c r="B253" s="22" t="str">
        <f>IF(Base_de_donnée_clients!B253="","",Base_de_donnée_clients!B253)</f>
        <v/>
      </c>
      <c r="C253" s="22" t="str">
        <f>IF(Base_de_donnée_clients!C253="","",Base_de_donnée_clients!C253)</f>
        <v/>
      </c>
      <c r="D253" s="22" t="str">
        <f>IF(Base_de_donnée_clients!D253="","",Base_de_donnée_clients!D253)</f>
        <v/>
      </c>
      <c r="E253" s="22" t="str">
        <f>IF(Base_de_donnée_clients!E253="","",Base_de_donnée_clients!E253)</f>
        <v/>
      </c>
      <c r="F253" s="22" t="str">
        <f>IF(Base_de_donnée_clients!F253="","",Base_de_donnée_clients!F253)</f>
        <v/>
      </c>
      <c r="G253" s="22" t="str">
        <f>IF(Base_de_donnée_clients!G253="","",Base_de_donnée_clients!G253)</f>
        <v/>
      </c>
      <c r="H253" s="22" t="str">
        <f>IF(Base_de_donnée_clients!H253="","",Base_de_donnée_clients!H253)</f>
        <v/>
      </c>
      <c r="I253" s="23" t="str">
        <f>IF(Base_de_donnée_clients!I253="","",Base_de_donnée_clients!I253)</f>
        <v/>
      </c>
    </row>
    <row r="254" spans="1:9" s="14" customFormat="1" ht="30" customHeight="1" thickBot="1" x14ac:dyDescent="0.5">
      <c r="A254" s="21"/>
      <c r="B254" s="22" t="str">
        <f>IF(Base_de_donnée_clients!B254="","",Base_de_donnée_clients!B254)</f>
        <v/>
      </c>
      <c r="C254" s="22" t="str">
        <f>IF(Base_de_donnée_clients!C254="","",Base_de_donnée_clients!C254)</f>
        <v/>
      </c>
      <c r="D254" s="22" t="str">
        <f>IF(Base_de_donnée_clients!D254="","",Base_de_donnée_clients!D254)</f>
        <v/>
      </c>
      <c r="E254" s="22" t="str">
        <f>IF(Base_de_donnée_clients!E254="","",Base_de_donnée_clients!E254)</f>
        <v/>
      </c>
      <c r="F254" s="22" t="str">
        <f>IF(Base_de_donnée_clients!F254="","",Base_de_donnée_clients!F254)</f>
        <v/>
      </c>
      <c r="G254" s="22" t="str">
        <f>IF(Base_de_donnée_clients!G254="","",Base_de_donnée_clients!G254)</f>
        <v/>
      </c>
      <c r="H254" s="22" t="str">
        <f>IF(Base_de_donnée_clients!H254="","",Base_de_donnée_clients!H254)</f>
        <v/>
      </c>
      <c r="I254" s="23" t="str">
        <f>IF(Base_de_donnée_clients!I254="","",Base_de_donnée_clients!I254)</f>
        <v/>
      </c>
    </row>
    <row r="255" spans="1:9" s="14" customFormat="1" ht="30" customHeight="1" thickBot="1" x14ac:dyDescent="0.5">
      <c r="A255" s="21"/>
      <c r="B255" s="22" t="str">
        <f>IF(Base_de_donnée_clients!B255="","",Base_de_donnée_clients!B255)</f>
        <v/>
      </c>
      <c r="C255" s="22" t="str">
        <f>IF(Base_de_donnée_clients!C255="","",Base_de_donnée_clients!C255)</f>
        <v/>
      </c>
      <c r="D255" s="22" t="str">
        <f>IF(Base_de_donnée_clients!D255="","",Base_de_donnée_clients!D255)</f>
        <v/>
      </c>
      <c r="E255" s="22" t="str">
        <f>IF(Base_de_donnée_clients!E255="","",Base_de_donnée_clients!E255)</f>
        <v/>
      </c>
      <c r="F255" s="22" t="str">
        <f>IF(Base_de_donnée_clients!F255="","",Base_de_donnée_clients!F255)</f>
        <v/>
      </c>
      <c r="G255" s="22" t="str">
        <f>IF(Base_de_donnée_clients!G255="","",Base_de_donnée_clients!G255)</f>
        <v/>
      </c>
      <c r="H255" s="22" t="str">
        <f>IF(Base_de_donnée_clients!H255="","",Base_de_donnée_clients!H255)</f>
        <v/>
      </c>
      <c r="I255" s="23" t="str">
        <f>IF(Base_de_donnée_clients!I255="","",Base_de_donnée_clients!I255)</f>
        <v/>
      </c>
    </row>
    <row r="256" spans="1:9" s="14" customFormat="1" ht="30" customHeight="1" thickBot="1" x14ac:dyDescent="0.5">
      <c r="A256" s="21"/>
      <c r="B256" s="22" t="str">
        <f>IF(Base_de_donnée_clients!B256="","",Base_de_donnée_clients!B256)</f>
        <v/>
      </c>
      <c r="C256" s="22" t="str">
        <f>IF(Base_de_donnée_clients!C256="","",Base_de_donnée_clients!C256)</f>
        <v/>
      </c>
      <c r="D256" s="22" t="str">
        <f>IF(Base_de_donnée_clients!D256="","",Base_de_donnée_clients!D256)</f>
        <v/>
      </c>
      <c r="E256" s="22" t="str">
        <f>IF(Base_de_donnée_clients!E256="","",Base_de_donnée_clients!E256)</f>
        <v/>
      </c>
      <c r="F256" s="22" t="str">
        <f>IF(Base_de_donnée_clients!F256="","",Base_de_donnée_clients!F256)</f>
        <v/>
      </c>
      <c r="G256" s="22" t="str">
        <f>IF(Base_de_donnée_clients!G256="","",Base_de_donnée_clients!G256)</f>
        <v/>
      </c>
      <c r="H256" s="22" t="str">
        <f>IF(Base_de_donnée_clients!H256="","",Base_de_donnée_clients!H256)</f>
        <v/>
      </c>
      <c r="I256" s="23" t="str">
        <f>IF(Base_de_donnée_clients!I256="","",Base_de_donnée_clients!I256)</f>
        <v/>
      </c>
    </row>
    <row r="257" spans="1:9" s="14" customFormat="1" ht="30" customHeight="1" thickBot="1" x14ac:dyDescent="0.5">
      <c r="A257" s="21"/>
      <c r="B257" s="22" t="str">
        <f>IF(Base_de_donnée_clients!B257="","",Base_de_donnée_clients!B257)</f>
        <v/>
      </c>
      <c r="C257" s="22" t="str">
        <f>IF(Base_de_donnée_clients!C257="","",Base_de_donnée_clients!C257)</f>
        <v/>
      </c>
      <c r="D257" s="22" t="str">
        <f>IF(Base_de_donnée_clients!D257="","",Base_de_donnée_clients!D257)</f>
        <v/>
      </c>
      <c r="E257" s="22" t="str">
        <f>IF(Base_de_donnée_clients!E257="","",Base_de_donnée_clients!E257)</f>
        <v/>
      </c>
      <c r="F257" s="22" t="str">
        <f>IF(Base_de_donnée_clients!F257="","",Base_de_donnée_clients!F257)</f>
        <v/>
      </c>
      <c r="G257" s="22" t="str">
        <f>IF(Base_de_donnée_clients!G257="","",Base_de_donnée_clients!G257)</f>
        <v/>
      </c>
      <c r="H257" s="22" t="str">
        <f>IF(Base_de_donnée_clients!H257="","",Base_de_donnée_clients!H257)</f>
        <v/>
      </c>
      <c r="I257" s="23" t="str">
        <f>IF(Base_de_donnée_clients!I257="","",Base_de_donnée_clients!I257)</f>
        <v/>
      </c>
    </row>
    <row r="258" spans="1:9" s="14" customFormat="1" ht="30" customHeight="1" thickBot="1" x14ac:dyDescent="0.5">
      <c r="A258" s="21"/>
      <c r="B258" s="22" t="str">
        <f>IF(Base_de_donnée_clients!B258="","",Base_de_donnée_clients!B258)</f>
        <v/>
      </c>
      <c r="C258" s="22" t="str">
        <f>IF(Base_de_donnée_clients!C258="","",Base_de_donnée_clients!C258)</f>
        <v/>
      </c>
      <c r="D258" s="22" t="str">
        <f>IF(Base_de_donnée_clients!D258="","",Base_de_donnée_clients!D258)</f>
        <v/>
      </c>
      <c r="E258" s="22" t="str">
        <f>IF(Base_de_donnée_clients!E258="","",Base_de_donnée_clients!E258)</f>
        <v/>
      </c>
      <c r="F258" s="22" t="str">
        <f>IF(Base_de_donnée_clients!F258="","",Base_de_donnée_clients!F258)</f>
        <v/>
      </c>
      <c r="G258" s="22" t="str">
        <f>IF(Base_de_donnée_clients!G258="","",Base_de_donnée_clients!G258)</f>
        <v/>
      </c>
      <c r="H258" s="22" t="str">
        <f>IF(Base_de_donnée_clients!H258="","",Base_de_donnée_clients!H258)</f>
        <v/>
      </c>
      <c r="I258" s="23" t="str">
        <f>IF(Base_de_donnée_clients!I258="","",Base_de_donnée_clients!I258)</f>
        <v/>
      </c>
    </row>
    <row r="259" spans="1:9" s="14" customFormat="1" ht="30" customHeight="1" thickBot="1" x14ac:dyDescent="0.5">
      <c r="A259" s="21"/>
      <c r="B259" s="22" t="str">
        <f>IF(Base_de_donnée_clients!B259="","",Base_de_donnée_clients!B259)</f>
        <v/>
      </c>
      <c r="C259" s="22" t="str">
        <f>IF(Base_de_donnée_clients!C259="","",Base_de_donnée_clients!C259)</f>
        <v/>
      </c>
      <c r="D259" s="22" t="str">
        <f>IF(Base_de_donnée_clients!D259="","",Base_de_donnée_clients!D259)</f>
        <v/>
      </c>
      <c r="E259" s="22" t="str">
        <f>IF(Base_de_donnée_clients!E259="","",Base_de_donnée_clients!E259)</f>
        <v/>
      </c>
      <c r="F259" s="22" t="str">
        <f>IF(Base_de_donnée_clients!F259="","",Base_de_donnée_clients!F259)</f>
        <v/>
      </c>
      <c r="G259" s="22" t="str">
        <f>IF(Base_de_donnée_clients!G259="","",Base_de_donnée_clients!G259)</f>
        <v/>
      </c>
      <c r="H259" s="22" t="str">
        <f>IF(Base_de_donnée_clients!H259="","",Base_de_donnée_clients!H259)</f>
        <v/>
      </c>
      <c r="I259" s="23" t="str">
        <f>IF(Base_de_donnée_clients!I259="","",Base_de_donnée_clients!I259)</f>
        <v/>
      </c>
    </row>
    <row r="260" spans="1:9" s="14" customFormat="1" ht="30" customHeight="1" thickBot="1" x14ac:dyDescent="0.5">
      <c r="A260" s="21"/>
      <c r="B260" s="22" t="str">
        <f>IF(Base_de_donnée_clients!B260="","",Base_de_donnée_clients!B260)</f>
        <v/>
      </c>
      <c r="C260" s="22" t="str">
        <f>IF(Base_de_donnée_clients!C260="","",Base_de_donnée_clients!C260)</f>
        <v/>
      </c>
      <c r="D260" s="22" t="str">
        <f>IF(Base_de_donnée_clients!D260="","",Base_de_donnée_clients!D260)</f>
        <v/>
      </c>
      <c r="E260" s="22" t="str">
        <f>IF(Base_de_donnée_clients!E260="","",Base_de_donnée_clients!E260)</f>
        <v/>
      </c>
      <c r="F260" s="22" t="str">
        <f>IF(Base_de_donnée_clients!F260="","",Base_de_donnée_clients!F260)</f>
        <v/>
      </c>
      <c r="G260" s="22" t="str">
        <f>IF(Base_de_donnée_clients!G260="","",Base_de_donnée_clients!G260)</f>
        <v/>
      </c>
      <c r="H260" s="22" t="str">
        <f>IF(Base_de_donnée_clients!H260="","",Base_de_donnée_clients!H260)</f>
        <v/>
      </c>
      <c r="I260" s="23" t="str">
        <f>IF(Base_de_donnée_clients!I260="","",Base_de_donnée_clients!I260)</f>
        <v/>
      </c>
    </row>
    <row r="261" spans="1:9" s="14" customFormat="1" ht="30" customHeight="1" thickBot="1" x14ac:dyDescent="0.5">
      <c r="A261" s="21"/>
      <c r="B261" s="22" t="str">
        <f>IF(Base_de_donnée_clients!B261="","",Base_de_donnée_clients!B261)</f>
        <v/>
      </c>
      <c r="C261" s="22" t="str">
        <f>IF(Base_de_donnée_clients!C261="","",Base_de_donnée_clients!C261)</f>
        <v/>
      </c>
      <c r="D261" s="22" t="str">
        <f>IF(Base_de_donnée_clients!D261="","",Base_de_donnée_clients!D261)</f>
        <v/>
      </c>
      <c r="E261" s="22" t="str">
        <f>IF(Base_de_donnée_clients!E261="","",Base_de_donnée_clients!E261)</f>
        <v/>
      </c>
      <c r="F261" s="22" t="str">
        <f>IF(Base_de_donnée_clients!F261="","",Base_de_donnée_clients!F261)</f>
        <v/>
      </c>
      <c r="G261" s="22" t="str">
        <f>IF(Base_de_donnée_clients!G261="","",Base_de_donnée_clients!G261)</f>
        <v/>
      </c>
      <c r="H261" s="22" t="str">
        <f>IF(Base_de_donnée_clients!H261="","",Base_de_donnée_clients!H261)</f>
        <v/>
      </c>
      <c r="I261" s="23" t="str">
        <f>IF(Base_de_donnée_clients!I261="","",Base_de_donnée_clients!I261)</f>
        <v/>
      </c>
    </row>
    <row r="262" spans="1:9" s="14" customFormat="1" ht="30" customHeight="1" thickBot="1" x14ac:dyDescent="0.5">
      <c r="A262" s="21"/>
      <c r="B262" s="22" t="str">
        <f>IF(Base_de_donnée_clients!B262="","",Base_de_donnée_clients!B262)</f>
        <v/>
      </c>
      <c r="C262" s="22" t="str">
        <f>IF(Base_de_donnée_clients!C262="","",Base_de_donnée_clients!C262)</f>
        <v/>
      </c>
      <c r="D262" s="22" t="str">
        <f>IF(Base_de_donnée_clients!D262="","",Base_de_donnée_clients!D262)</f>
        <v/>
      </c>
      <c r="E262" s="22" t="str">
        <f>IF(Base_de_donnée_clients!E262="","",Base_de_donnée_clients!E262)</f>
        <v/>
      </c>
      <c r="F262" s="22" t="str">
        <f>IF(Base_de_donnée_clients!F262="","",Base_de_donnée_clients!F262)</f>
        <v/>
      </c>
      <c r="G262" s="22" t="str">
        <f>IF(Base_de_donnée_clients!G262="","",Base_de_donnée_clients!G262)</f>
        <v/>
      </c>
      <c r="H262" s="22" t="str">
        <f>IF(Base_de_donnée_clients!H262="","",Base_de_donnée_clients!H262)</f>
        <v/>
      </c>
      <c r="I262" s="23" t="str">
        <f>IF(Base_de_donnée_clients!I262="","",Base_de_donnée_clients!I262)</f>
        <v/>
      </c>
    </row>
    <row r="263" spans="1:9" s="14" customFormat="1" ht="30" customHeight="1" thickBot="1" x14ac:dyDescent="0.5">
      <c r="A263" s="21"/>
      <c r="B263" s="22" t="str">
        <f>IF(Base_de_donnée_clients!B263="","",Base_de_donnée_clients!B263)</f>
        <v/>
      </c>
      <c r="C263" s="22" t="str">
        <f>IF(Base_de_donnée_clients!C263="","",Base_de_donnée_clients!C263)</f>
        <v/>
      </c>
      <c r="D263" s="22" t="str">
        <f>IF(Base_de_donnée_clients!D263="","",Base_de_donnée_clients!D263)</f>
        <v/>
      </c>
      <c r="E263" s="22" t="str">
        <f>IF(Base_de_donnée_clients!E263="","",Base_de_donnée_clients!E263)</f>
        <v/>
      </c>
      <c r="F263" s="22" t="str">
        <f>IF(Base_de_donnée_clients!F263="","",Base_de_donnée_clients!F263)</f>
        <v/>
      </c>
      <c r="G263" s="22" t="str">
        <f>IF(Base_de_donnée_clients!G263="","",Base_de_donnée_clients!G263)</f>
        <v/>
      </c>
      <c r="H263" s="22" t="str">
        <f>IF(Base_de_donnée_clients!H263="","",Base_de_donnée_clients!H263)</f>
        <v/>
      </c>
      <c r="I263" s="23" t="str">
        <f>IF(Base_de_donnée_clients!I263="","",Base_de_donnée_clients!I263)</f>
        <v/>
      </c>
    </row>
    <row r="264" spans="1:9" s="14" customFormat="1" ht="30" customHeight="1" thickBot="1" x14ac:dyDescent="0.5">
      <c r="A264" s="21"/>
      <c r="B264" s="22" t="str">
        <f>IF(Base_de_donnée_clients!B264="","",Base_de_donnée_clients!B264)</f>
        <v/>
      </c>
      <c r="C264" s="22" t="str">
        <f>IF(Base_de_donnée_clients!C264="","",Base_de_donnée_clients!C264)</f>
        <v/>
      </c>
      <c r="D264" s="22" t="str">
        <f>IF(Base_de_donnée_clients!D264="","",Base_de_donnée_clients!D264)</f>
        <v/>
      </c>
      <c r="E264" s="22" t="str">
        <f>IF(Base_de_donnée_clients!E264="","",Base_de_donnée_clients!E264)</f>
        <v/>
      </c>
      <c r="F264" s="22" t="str">
        <f>IF(Base_de_donnée_clients!F264="","",Base_de_donnée_clients!F264)</f>
        <v/>
      </c>
      <c r="G264" s="22" t="str">
        <f>IF(Base_de_donnée_clients!G264="","",Base_de_donnée_clients!G264)</f>
        <v/>
      </c>
      <c r="H264" s="22" t="str">
        <f>IF(Base_de_donnée_clients!H264="","",Base_de_donnée_clients!H264)</f>
        <v/>
      </c>
      <c r="I264" s="23" t="str">
        <f>IF(Base_de_donnée_clients!I264="","",Base_de_donnée_clients!I264)</f>
        <v/>
      </c>
    </row>
    <row r="265" spans="1:9" s="14" customFormat="1" ht="30" customHeight="1" thickBot="1" x14ac:dyDescent="0.5">
      <c r="A265" s="21"/>
      <c r="B265" s="22" t="str">
        <f>IF(Base_de_donnée_clients!B265="","",Base_de_donnée_clients!B265)</f>
        <v/>
      </c>
      <c r="C265" s="22" t="str">
        <f>IF(Base_de_donnée_clients!C265="","",Base_de_donnée_clients!C265)</f>
        <v/>
      </c>
      <c r="D265" s="22" t="str">
        <f>IF(Base_de_donnée_clients!D265="","",Base_de_donnée_clients!D265)</f>
        <v/>
      </c>
      <c r="E265" s="22" t="str">
        <f>IF(Base_de_donnée_clients!E265="","",Base_de_donnée_clients!E265)</f>
        <v/>
      </c>
      <c r="F265" s="22" t="str">
        <f>IF(Base_de_donnée_clients!F265="","",Base_de_donnée_clients!F265)</f>
        <v/>
      </c>
      <c r="G265" s="22" t="str">
        <f>IF(Base_de_donnée_clients!G265="","",Base_de_donnée_clients!G265)</f>
        <v/>
      </c>
      <c r="H265" s="22" t="str">
        <f>IF(Base_de_donnée_clients!H265="","",Base_de_donnée_clients!H265)</f>
        <v/>
      </c>
      <c r="I265" s="23" t="str">
        <f>IF(Base_de_donnée_clients!I265="","",Base_de_donnée_clients!I265)</f>
        <v/>
      </c>
    </row>
    <row r="266" spans="1:9" s="14" customFormat="1" ht="30" customHeight="1" thickBot="1" x14ac:dyDescent="0.5">
      <c r="A266" s="21"/>
      <c r="B266" s="22" t="str">
        <f>IF(Base_de_donnée_clients!B266="","",Base_de_donnée_clients!B266)</f>
        <v/>
      </c>
      <c r="C266" s="22" t="str">
        <f>IF(Base_de_donnée_clients!C266="","",Base_de_donnée_clients!C266)</f>
        <v/>
      </c>
      <c r="D266" s="22" t="str">
        <f>IF(Base_de_donnée_clients!D266="","",Base_de_donnée_clients!D266)</f>
        <v/>
      </c>
      <c r="E266" s="22" t="str">
        <f>IF(Base_de_donnée_clients!E266="","",Base_de_donnée_clients!E266)</f>
        <v/>
      </c>
      <c r="F266" s="22" t="str">
        <f>IF(Base_de_donnée_clients!F266="","",Base_de_donnée_clients!F266)</f>
        <v/>
      </c>
      <c r="G266" s="22" t="str">
        <f>IF(Base_de_donnée_clients!G266="","",Base_de_donnée_clients!G266)</f>
        <v/>
      </c>
      <c r="H266" s="22" t="str">
        <f>IF(Base_de_donnée_clients!H266="","",Base_de_donnée_clients!H266)</f>
        <v/>
      </c>
      <c r="I266" s="23" t="str">
        <f>IF(Base_de_donnée_clients!I266="","",Base_de_donnée_clients!I266)</f>
        <v/>
      </c>
    </row>
    <row r="267" spans="1:9" s="14" customFormat="1" ht="30" customHeight="1" thickBot="1" x14ac:dyDescent="0.5">
      <c r="A267" s="21"/>
      <c r="B267" s="22" t="str">
        <f>IF(Base_de_donnée_clients!B267="","",Base_de_donnée_clients!B267)</f>
        <v/>
      </c>
      <c r="C267" s="22" t="str">
        <f>IF(Base_de_donnée_clients!C267="","",Base_de_donnée_clients!C267)</f>
        <v/>
      </c>
      <c r="D267" s="22" t="str">
        <f>IF(Base_de_donnée_clients!D267="","",Base_de_donnée_clients!D267)</f>
        <v/>
      </c>
      <c r="E267" s="22" t="str">
        <f>IF(Base_de_donnée_clients!E267="","",Base_de_donnée_clients!E267)</f>
        <v/>
      </c>
      <c r="F267" s="22" t="str">
        <f>IF(Base_de_donnée_clients!F267="","",Base_de_donnée_clients!F267)</f>
        <v/>
      </c>
      <c r="G267" s="22" t="str">
        <f>IF(Base_de_donnée_clients!G267="","",Base_de_donnée_clients!G267)</f>
        <v/>
      </c>
      <c r="H267" s="22" t="str">
        <f>IF(Base_de_donnée_clients!H267="","",Base_de_donnée_clients!H267)</f>
        <v/>
      </c>
      <c r="I267" s="23" t="str">
        <f>IF(Base_de_donnée_clients!I267="","",Base_de_donnée_clients!I267)</f>
        <v/>
      </c>
    </row>
    <row r="268" spans="1:9" s="14" customFormat="1" ht="30" customHeight="1" thickBot="1" x14ac:dyDescent="0.5">
      <c r="A268" s="21"/>
      <c r="B268" s="22" t="str">
        <f>IF(Base_de_donnée_clients!B268="","",Base_de_donnée_clients!B268)</f>
        <v/>
      </c>
      <c r="C268" s="22" t="str">
        <f>IF(Base_de_donnée_clients!C268="","",Base_de_donnée_clients!C268)</f>
        <v/>
      </c>
      <c r="D268" s="22" t="str">
        <f>IF(Base_de_donnée_clients!D268="","",Base_de_donnée_clients!D268)</f>
        <v/>
      </c>
      <c r="E268" s="22" t="str">
        <f>IF(Base_de_donnée_clients!E268="","",Base_de_donnée_clients!E268)</f>
        <v/>
      </c>
      <c r="F268" s="22" t="str">
        <f>IF(Base_de_donnée_clients!F268="","",Base_de_donnée_clients!F268)</f>
        <v/>
      </c>
      <c r="G268" s="22" t="str">
        <f>IF(Base_de_donnée_clients!G268="","",Base_de_donnée_clients!G268)</f>
        <v/>
      </c>
      <c r="H268" s="22" t="str">
        <f>IF(Base_de_donnée_clients!H268="","",Base_de_donnée_clients!H268)</f>
        <v/>
      </c>
      <c r="I268" s="23" t="str">
        <f>IF(Base_de_donnée_clients!I268="","",Base_de_donnée_clients!I268)</f>
        <v/>
      </c>
    </row>
    <row r="269" spans="1:9" s="14" customFormat="1" ht="30" customHeight="1" thickBot="1" x14ac:dyDescent="0.5">
      <c r="A269" s="21"/>
      <c r="B269" s="22" t="str">
        <f>IF(Base_de_donnée_clients!B269="","",Base_de_donnée_clients!B269)</f>
        <v/>
      </c>
      <c r="C269" s="22" t="str">
        <f>IF(Base_de_donnée_clients!C269="","",Base_de_donnée_clients!C269)</f>
        <v/>
      </c>
      <c r="D269" s="22" t="str">
        <f>IF(Base_de_donnée_clients!D269="","",Base_de_donnée_clients!D269)</f>
        <v/>
      </c>
      <c r="E269" s="22" t="str">
        <f>IF(Base_de_donnée_clients!E269="","",Base_de_donnée_clients!E269)</f>
        <v/>
      </c>
      <c r="F269" s="22" t="str">
        <f>IF(Base_de_donnée_clients!F269="","",Base_de_donnée_clients!F269)</f>
        <v/>
      </c>
      <c r="G269" s="22" t="str">
        <f>IF(Base_de_donnée_clients!G269="","",Base_de_donnée_clients!G269)</f>
        <v/>
      </c>
      <c r="H269" s="22" t="str">
        <f>IF(Base_de_donnée_clients!H269="","",Base_de_donnée_clients!H269)</f>
        <v/>
      </c>
      <c r="I269" s="23" t="str">
        <f>IF(Base_de_donnée_clients!I269="","",Base_de_donnée_clients!I269)</f>
        <v/>
      </c>
    </row>
    <row r="270" spans="1:9" s="14" customFormat="1" ht="30" customHeight="1" thickBot="1" x14ac:dyDescent="0.5">
      <c r="A270" s="21"/>
      <c r="B270" s="22" t="str">
        <f>IF(Base_de_donnée_clients!B270="","",Base_de_donnée_clients!B270)</f>
        <v/>
      </c>
      <c r="C270" s="22" t="str">
        <f>IF(Base_de_donnée_clients!C270="","",Base_de_donnée_clients!C270)</f>
        <v/>
      </c>
      <c r="D270" s="22" t="str">
        <f>IF(Base_de_donnée_clients!D270="","",Base_de_donnée_clients!D270)</f>
        <v/>
      </c>
      <c r="E270" s="22" t="str">
        <f>IF(Base_de_donnée_clients!E270="","",Base_de_donnée_clients!E270)</f>
        <v/>
      </c>
      <c r="F270" s="22" t="str">
        <f>IF(Base_de_donnée_clients!F270="","",Base_de_donnée_clients!F270)</f>
        <v/>
      </c>
      <c r="G270" s="22" t="str">
        <f>IF(Base_de_donnée_clients!G270="","",Base_de_donnée_clients!G270)</f>
        <v/>
      </c>
      <c r="H270" s="22" t="str">
        <f>IF(Base_de_donnée_clients!H270="","",Base_de_donnée_clients!H270)</f>
        <v/>
      </c>
      <c r="I270" s="23" t="str">
        <f>IF(Base_de_donnée_clients!I270="","",Base_de_donnée_clients!I270)</f>
        <v/>
      </c>
    </row>
    <row r="271" spans="1:9" s="14" customFormat="1" ht="30" customHeight="1" thickBot="1" x14ac:dyDescent="0.5">
      <c r="A271" s="21"/>
      <c r="B271" s="22" t="str">
        <f>IF(Base_de_donnée_clients!B271="","",Base_de_donnée_clients!B271)</f>
        <v/>
      </c>
      <c r="C271" s="22" t="str">
        <f>IF(Base_de_donnée_clients!C271="","",Base_de_donnée_clients!C271)</f>
        <v/>
      </c>
      <c r="D271" s="22" t="str">
        <f>IF(Base_de_donnée_clients!D271="","",Base_de_donnée_clients!D271)</f>
        <v/>
      </c>
      <c r="E271" s="22" t="str">
        <f>IF(Base_de_donnée_clients!E271="","",Base_de_donnée_clients!E271)</f>
        <v/>
      </c>
      <c r="F271" s="22" t="str">
        <f>IF(Base_de_donnée_clients!F271="","",Base_de_donnée_clients!F271)</f>
        <v/>
      </c>
      <c r="G271" s="22" t="str">
        <f>IF(Base_de_donnée_clients!G271="","",Base_de_donnée_clients!G271)</f>
        <v/>
      </c>
      <c r="H271" s="22" t="str">
        <f>IF(Base_de_donnée_clients!H271="","",Base_de_donnée_clients!H271)</f>
        <v/>
      </c>
      <c r="I271" s="23" t="str">
        <f>IF(Base_de_donnée_clients!I271="","",Base_de_donnée_clients!I271)</f>
        <v/>
      </c>
    </row>
    <row r="272" spans="1:9" s="14" customFormat="1" ht="30" customHeight="1" thickBot="1" x14ac:dyDescent="0.5">
      <c r="A272" s="21"/>
      <c r="B272" s="22" t="str">
        <f>IF(Base_de_donnée_clients!B272="","",Base_de_donnée_clients!B272)</f>
        <v/>
      </c>
      <c r="C272" s="22" t="str">
        <f>IF(Base_de_donnée_clients!C272="","",Base_de_donnée_clients!C272)</f>
        <v/>
      </c>
      <c r="D272" s="22" t="str">
        <f>IF(Base_de_donnée_clients!D272="","",Base_de_donnée_clients!D272)</f>
        <v/>
      </c>
      <c r="E272" s="22" t="str">
        <f>IF(Base_de_donnée_clients!E272="","",Base_de_donnée_clients!E272)</f>
        <v/>
      </c>
      <c r="F272" s="22" t="str">
        <f>IF(Base_de_donnée_clients!F272="","",Base_de_donnée_clients!F272)</f>
        <v/>
      </c>
      <c r="G272" s="22" t="str">
        <f>IF(Base_de_donnée_clients!G272="","",Base_de_donnée_clients!G272)</f>
        <v/>
      </c>
      <c r="H272" s="22" t="str">
        <f>IF(Base_de_donnée_clients!H272="","",Base_de_donnée_clients!H272)</f>
        <v/>
      </c>
      <c r="I272" s="23" t="str">
        <f>IF(Base_de_donnée_clients!I272="","",Base_de_donnée_clients!I272)</f>
        <v/>
      </c>
    </row>
    <row r="273" spans="1:9" s="14" customFormat="1" ht="30" customHeight="1" thickBot="1" x14ac:dyDescent="0.5">
      <c r="A273" s="21"/>
      <c r="B273" s="22" t="str">
        <f>IF(Base_de_donnée_clients!B273="","",Base_de_donnée_clients!B273)</f>
        <v/>
      </c>
      <c r="C273" s="22" t="str">
        <f>IF(Base_de_donnée_clients!C273="","",Base_de_donnée_clients!C273)</f>
        <v/>
      </c>
      <c r="D273" s="22" t="str">
        <f>IF(Base_de_donnée_clients!D273="","",Base_de_donnée_clients!D273)</f>
        <v/>
      </c>
      <c r="E273" s="22" t="str">
        <f>IF(Base_de_donnée_clients!E273="","",Base_de_donnée_clients!E273)</f>
        <v/>
      </c>
      <c r="F273" s="22" t="str">
        <f>IF(Base_de_donnée_clients!F273="","",Base_de_donnée_clients!F273)</f>
        <v/>
      </c>
      <c r="G273" s="22" t="str">
        <f>IF(Base_de_donnée_clients!G273="","",Base_de_donnée_clients!G273)</f>
        <v/>
      </c>
      <c r="H273" s="22" t="str">
        <f>IF(Base_de_donnée_clients!H273="","",Base_de_donnée_clients!H273)</f>
        <v/>
      </c>
      <c r="I273" s="23" t="str">
        <f>IF(Base_de_donnée_clients!I273="","",Base_de_donnée_clients!I273)</f>
        <v/>
      </c>
    </row>
    <row r="274" spans="1:9" s="14" customFormat="1" ht="30" customHeight="1" thickBot="1" x14ac:dyDescent="0.5">
      <c r="A274" s="21"/>
      <c r="B274" s="22" t="str">
        <f>IF(Base_de_donnée_clients!B274="","",Base_de_donnée_clients!B274)</f>
        <v/>
      </c>
      <c r="C274" s="22" t="str">
        <f>IF(Base_de_donnée_clients!C274="","",Base_de_donnée_clients!C274)</f>
        <v/>
      </c>
      <c r="D274" s="22" t="str">
        <f>IF(Base_de_donnée_clients!D274="","",Base_de_donnée_clients!D274)</f>
        <v/>
      </c>
      <c r="E274" s="22" t="str">
        <f>IF(Base_de_donnée_clients!E274="","",Base_de_donnée_clients!E274)</f>
        <v/>
      </c>
      <c r="F274" s="22" t="str">
        <f>IF(Base_de_donnée_clients!F274="","",Base_de_donnée_clients!F274)</f>
        <v/>
      </c>
      <c r="G274" s="22" t="str">
        <f>IF(Base_de_donnée_clients!G274="","",Base_de_donnée_clients!G274)</f>
        <v/>
      </c>
      <c r="H274" s="22" t="str">
        <f>IF(Base_de_donnée_clients!H274="","",Base_de_donnée_clients!H274)</f>
        <v/>
      </c>
      <c r="I274" s="23" t="str">
        <f>IF(Base_de_donnée_clients!I274="","",Base_de_donnée_clients!I274)</f>
        <v/>
      </c>
    </row>
    <row r="275" spans="1:9" s="14" customFormat="1" ht="30" customHeight="1" thickBot="1" x14ac:dyDescent="0.5">
      <c r="A275" s="21"/>
      <c r="B275" s="22" t="str">
        <f>IF(Base_de_donnée_clients!B275="","",Base_de_donnée_clients!B275)</f>
        <v/>
      </c>
      <c r="C275" s="22" t="str">
        <f>IF(Base_de_donnée_clients!C275="","",Base_de_donnée_clients!C275)</f>
        <v/>
      </c>
      <c r="D275" s="22" t="str">
        <f>IF(Base_de_donnée_clients!D275="","",Base_de_donnée_clients!D275)</f>
        <v/>
      </c>
      <c r="E275" s="22" t="str">
        <f>IF(Base_de_donnée_clients!E275="","",Base_de_donnée_clients!E275)</f>
        <v/>
      </c>
      <c r="F275" s="22" t="str">
        <f>IF(Base_de_donnée_clients!F275="","",Base_de_donnée_clients!F275)</f>
        <v/>
      </c>
      <c r="G275" s="22" t="str">
        <f>IF(Base_de_donnée_clients!G275="","",Base_de_donnée_clients!G275)</f>
        <v/>
      </c>
      <c r="H275" s="22" t="str">
        <f>IF(Base_de_donnée_clients!H275="","",Base_de_donnée_clients!H275)</f>
        <v/>
      </c>
      <c r="I275" s="23" t="str">
        <f>IF(Base_de_donnée_clients!I275="","",Base_de_donnée_clients!I275)</f>
        <v/>
      </c>
    </row>
    <row r="276" spans="1:9" s="14" customFormat="1" ht="30" customHeight="1" thickBot="1" x14ac:dyDescent="0.5">
      <c r="A276" s="21"/>
      <c r="B276" s="22" t="str">
        <f>IF(Base_de_donnée_clients!B276="","",Base_de_donnée_clients!B276)</f>
        <v/>
      </c>
      <c r="C276" s="22" t="str">
        <f>IF(Base_de_donnée_clients!C276="","",Base_de_donnée_clients!C276)</f>
        <v/>
      </c>
      <c r="D276" s="22" t="str">
        <f>IF(Base_de_donnée_clients!D276="","",Base_de_donnée_clients!D276)</f>
        <v/>
      </c>
      <c r="E276" s="22" t="str">
        <f>IF(Base_de_donnée_clients!E276="","",Base_de_donnée_clients!E276)</f>
        <v/>
      </c>
      <c r="F276" s="22" t="str">
        <f>IF(Base_de_donnée_clients!F276="","",Base_de_donnée_clients!F276)</f>
        <v/>
      </c>
      <c r="G276" s="22" t="str">
        <f>IF(Base_de_donnée_clients!G276="","",Base_de_donnée_clients!G276)</f>
        <v/>
      </c>
      <c r="H276" s="22" t="str">
        <f>IF(Base_de_donnée_clients!H276="","",Base_de_donnée_clients!H276)</f>
        <v/>
      </c>
      <c r="I276" s="23" t="str">
        <f>IF(Base_de_donnée_clients!I276="","",Base_de_donnée_clients!I276)</f>
        <v/>
      </c>
    </row>
    <row r="277" spans="1:9" s="14" customFormat="1" ht="30" customHeight="1" thickBot="1" x14ac:dyDescent="0.5">
      <c r="A277" s="21"/>
      <c r="B277" s="22" t="str">
        <f>IF(Base_de_donnée_clients!B277="","",Base_de_donnée_clients!B277)</f>
        <v/>
      </c>
      <c r="C277" s="22" t="str">
        <f>IF(Base_de_donnée_clients!C277="","",Base_de_donnée_clients!C277)</f>
        <v/>
      </c>
      <c r="D277" s="22" t="str">
        <f>IF(Base_de_donnée_clients!D277="","",Base_de_donnée_clients!D277)</f>
        <v/>
      </c>
      <c r="E277" s="22" t="str">
        <f>IF(Base_de_donnée_clients!E277="","",Base_de_donnée_clients!E277)</f>
        <v/>
      </c>
      <c r="F277" s="22" t="str">
        <f>IF(Base_de_donnée_clients!F277="","",Base_de_donnée_clients!F277)</f>
        <v/>
      </c>
      <c r="G277" s="22" t="str">
        <f>IF(Base_de_donnée_clients!G277="","",Base_de_donnée_clients!G277)</f>
        <v/>
      </c>
      <c r="H277" s="22" t="str">
        <f>IF(Base_de_donnée_clients!H277="","",Base_de_donnée_clients!H277)</f>
        <v/>
      </c>
      <c r="I277" s="23" t="str">
        <f>IF(Base_de_donnée_clients!I277="","",Base_de_donnée_clients!I277)</f>
        <v/>
      </c>
    </row>
    <row r="278" spans="1:9" s="14" customFormat="1" ht="30" customHeight="1" thickBot="1" x14ac:dyDescent="0.5">
      <c r="A278" s="21"/>
      <c r="B278" s="22" t="str">
        <f>IF(Base_de_donnée_clients!B278="","",Base_de_donnée_clients!B278)</f>
        <v/>
      </c>
      <c r="C278" s="22" t="str">
        <f>IF(Base_de_donnée_clients!C278="","",Base_de_donnée_clients!C278)</f>
        <v/>
      </c>
      <c r="D278" s="22" t="str">
        <f>IF(Base_de_donnée_clients!D278="","",Base_de_donnée_clients!D278)</f>
        <v/>
      </c>
      <c r="E278" s="22" t="str">
        <f>IF(Base_de_donnée_clients!E278="","",Base_de_donnée_clients!E278)</f>
        <v/>
      </c>
      <c r="F278" s="22" t="str">
        <f>IF(Base_de_donnée_clients!F278="","",Base_de_donnée_clients!F278)</f>
        <v/>
      </c>
      <c r="G278" s="22" t="str">
        <f>IF(Base_de_donnée_clients!G278="","",Base_de_donnée_clients!G278)</f>
        <v/>
      </c>
      <c r="H278" s="22" t="str">
        <f>IF(Base_de_donnée_clients!H278="","",Base_de_donnée_clients!H278)</f>
        <v/>
      </c>
      <c r="I278" s="23" t="str">
        <f>IF(Base_de_donnée_clients!I278="","",Base_de_donnée_clients!I278)</f>
        <v/>
      </c>
    </row>
    <row r="279" spans="1:9" s="14" customFormat="1" ht="30" customHeight="1" thickBot="1" x14ac:dyDescent="0.5">
      <c r="A279" s="21"/>
      <c r="B279" s="22" t="str">
        <f>IF(Base_de_donnée_clients!B279="","",Base_de_donnée_clients!B279)</f>
        <v/>
      </c>
      <c r="C279" s="22" t="str">
        <f>IF(Base_de_donnée_clients!C279="","",Base_de_donnée_clients!C279)</f>
        <v/>
      </c>
      <c r="D279" s="22" t="str">
        <f>IF(Base_de_donnée_clients!D279="","",Base_de_donnée_clients!D279)</f>
        <v/>
      </c>
      <c r="E279" s="22" t="str">
        <f>IF(Base_de_donnée_clients!E279="","",Base_de_donnée_clients!E279)</f>
        <v/>
      </c>
      <c r="F279" s="22" t="str">
        <f>IF(Base_de_donnée_clients!F279="","",Base_de_donnée_clients!F279)</f>
        <v/>
      </c>
      <c r="G279" s="22" t="str">
        <f>IF(Base_de_donnée_clients!G279="","",Base_de_donnée_clients!G279)</f>
        <v/>
      </c>
      <c r="H279" s="22" t="str">
        <f>IF(Base_de_donnée_clients!H279="","",Base_de_donnée_clients!H279)</f>
        <v/>
      </c>
      <c r="I279" s="23" t="str">
        <f>IF(Base_de_donnée_clients!I279="","",Base_de_donnée_clients!I279)</f>
        <v/>
      </c>
    </row>
    <row r="280" spans="1:9" s="14" customFormat="1" ht="30" customHeight="1" thickBot="1" x14ac:dyDescent="0.5">
      <c r="A280" s="21"/>
      <c r="B280" s="22" t="str">
        <f>IF(Base_de_donnée_clients!B280="","",Base_de_donnée_clients!B280)</f>
        <v/>
      </c>
      <c r="C280" s="22" t="str">
        <f>IF(Base_de_donnée_clients!C280="","",Base_de_donnée_clients!C280)</f>
        <v/>
      </c>
      <c r="D280" s="22" t="str">
        <f>IF(Base_de_donnée_clients!D280="","",Base_de_donnée_clients!D280)</f>
        <v/>
      </c>
      <c r="E280" s="22" t="str">
        <f>IF(Base_de_donnée_clients!E280="","",Base_de_donnée_clients!E280)</f>
        <v/>
      </c>
      <c r="F280" s="22" t="str">
        <f>IF(Base_de_donnée_clients!F280="","",Base_de_donnée_clients!F280)</f>
        <v/>
      </c>
      <c r="G280" s="22" t="str">
        <f>IF(Base_de_donnée_clients!G280="","",Base_de_donnée_clients!G280)</f>
        <v/>
      </c>
      <c r="H280" s="22" t="str">
        <f>IF(Base_de_donnée_clients!H280="","",Base_de_donnée_clients!H280)</f>
        <v/>
      </c>
      <c r="I280" s="23" t="str">
        <f>IF(Base_de_donnée_clients!I280="","",Base_de_donnée_clients!I280)</f>
        <v/>
      </c>
    </row>
    <row r="281" spans="1:9" s="14" customFormat="1" ht="30" customHeight="1" thickBot="1" x14ac:dyDescent="0.5">
      <c r="A281" s="21"/>
      <c r="B281" s="22" t="str">
        <f>IF(Base_de_donnée_clients!B281="","",Base_de_donnée_clients!B281)</f>
        <v/>
      </c>
      <c r="C281" s="22" t="str">
        <f>IF(Base_de_donnée_clients!C281="","",Base_de_donnée_clients!C281)</f>
        <v/>
      </c>
      <c r="D281" s="22" t="str">
        <f>IF(Base_de_donnée_clients!D281="","",Base_de_donnée_clients!D281)</f>
        <v/>
      </c>
      <c r="E281" s="22" t="str">
        <f>IF(Base_de_donnée_clients!E281="","",Base_de_donnée_clients!E281)</f>
        <v/>
      </c>
      <c r="F281" s="22" t="str">
        <f>IF(Base_de_donnée_clients!F281="","",Base_de_donnée_clients!F281)</f>
        <v/>
      </c>
      <c r="G281" s="22" t="str">
        <f>IF(Base_de_donnée_clients!G281="","",Base_de_donnée_clients!G281)</f>
        <v/>
      </c>
      <c r="H281" s="22" t="str">
        <f>IF(Base_de_donnée_clients!H281="","",Base_de_donnée_clients!H281)</f>
        <v/>
      </c>
      <c r="I281" s="23" t="str">
        <f>IF(Base_de_donnée_clients!I281="","",Base_de_donnée_clients!I281)</f>
        <v/>
      </c>
    </row>
    <row r="282" spans="1:9" s="14" customFormat="1" ht="30" customHeight="1" thickBot="1" x14ac:dyDescent="0.5">
      <c r="A282" s="21"/>
      <c r="B282" s="22" t="str">
        <f>IF(Base_de_donnée_clients!B282="","",Base_de_donnée_clients!B282)</f>
        <v/>
      </c>
      <c r="C282" s="22" t="str">
        <f>IF(Base_de_donnée_clients!C282="","",Base_de_donnée_clients!C282)</f>
        <v/>
      </c>
      <c r="D282" s="22" t="str">
        <f>IF(Base_de_donnée_clients!D282="","",Base_de_donnée_clients!D282)</f>
        <v/>
      </c>
      <c r="E282" s="22" t="str">
        <f>IF(Base_de_donnée_clients!E282="","",Base_de_donnée_clients!E282)</f>
        <v/>
      </c>
      <c r="F282" s="22" t="str">
        <f>IF(Base_de_donnée_clients!F282="","",Base_de_donnée_clients!F282)</f>
        <v/>
      </c>
      <c r="G282" s="22" t="str">
        <f>IF(Base_de_donnée_clients!G282="","",Base_de_donnée_clients!G282)</f>
        <v/>
      </c>
      <c r="H282" s="22" t="str">
        <f>IF(Base_de_donnée_clients!H282="","",Base_de_donnée_clients!H282)</f>
        <v/>
      </c>
      <c r="I282" s="23" t="str">
        <f>IF(Base_de_donnée_clients!I282="","",Base_de_donnée_clients!I282)</f>
        <v/>
      </c>
    </row>
    <row r="283" spans="1:9" s="14" customFormat="1" ht="30" customHeight="1" thickBot="1" x14ac:dyDescent="0.5">
      <c r="A283" s="21"/>
      <c r="B283" s="22" t="str">
        <f>IF(Base_de_donnée_clients!B283="","",Base_de_donnée_clients!B283)</f>
        <v/>
      </c>
      <c r="C283" s="22" t="str">
        <f>IF(Base_de_donnée_clients!C283="","",Base_de_donnée_clients!C283)</f>
        <v/>
      </c>
      <c r="D283" s="22" t="str">
        <f>IF(Base_de_donnée_clients!D283="","",Base_de_donnée_clients!D283)</f>
        <v/>
      </c>
      <c r="E283" s="22" t="str">
        <f>IF(Base_de_donnée_clients!E283="","",Base_de_donnée_clients!E283)</f>
        <v/>
      </c>
      <c r="F283" s="22" t="str">
        <f>IF(Base_de_donnée_clients!F283="","",Base_de_donnée_clients!F283)</f>
        <v/>
      </c>
      <c r="G283" s="22" t="str">
        <f>IF(Base_de_donnée_clients!G283="","",Base_de_donnée_clients!G283)</f>
        <v/>
      </c>
      <c r="H283" s="22" t="str">
        <f>IF(Base_de_donnée_clients!H283="","",Base_de_donnée_clients!H283)</f>
        <v/>
      </c>
      <c r="I283" s="23" t="str">
        <f>IF(Base_de_donnée_clients!I283="","",Base_de_donnée_clients!I283)</f>
        <v/>
      </c>
    </row>
    <row r="284" spans="1:9" s="14" customFormat="1" ht="30" customHeight="1" thickBot="1" x14ac:dyDescent="0.5">
      <c r="A284" s="21"/>
      <c r="B284" s="22" t="str">
        <f>IF(Base_de_donnée_clients!B284="","",Base_de_donnée_clients!B284)</f>
        <v/>
      </c>
      <c r="C284" s="22" t="str">
        <f>IF(Base_de_donnée_clients!C284="","",Base_de_donnée_clients!C284)</f>
        <v/>
      </c>
      <c r="D284" s="22" t="str">
        <f>IF(Base_de_donnée_clients!D284="","",Base_de_donnée_clients!D284)</f>
        <v/>
      </c>
      <c r="E284" s="22" t="str">
        <f>IF(Base_de_donnée_clients!E284="","",Base_de_donnée_clients!E284)</f>
        <v/>
      </c>
      <c r="F284" s="22" t="str">
        <f>IF(Base_de_donnée_clients!F284="","",Base_de_donnée_clients!F284)</f>
        <v/>
      </c>
      <c r="G284" s="22" t="str">
        <f>IF(Base_de_donnée_clients!G284="","",Base_de_donnée_clients!G284)</f>
        <v/>
      </c>
      <c r="H284" s="22" t="str">
        <f>IF(Base_de_donnée_clients!H284="","",Base_de_donnée_clients!H284)</f>
        <v/>
      </c>
      <c r="I284" s="23" t="str">
        <f>IF(Base_de_donnée_clients!I284="","",Base_de_donnée_clients!I284)</f>
        <v/>
      </c>
    </row>
    <row r="285" spans="1:9" s="14" customFormat="1" ht="30" customHeight="1" thickBot="1" x14ac:dyDescent="0.5">
      <c r="A285" s="21"/>
      <c r="B285" s="22" t="str">
        <f>IF(Base_de_donnée_clients!B285="","",Base_de_donnée_clients!B285)</f>
        <v/>
      </c>
      <c r="C285" s="22" t="str">
        <f>IF(Base_de_donnée_clients!C285="","",Base_de_donnée_clients!C285)</f>
        <v/>
      </c>
      <c r="D285" s="22" t="str">
        <f>IF(Base_de_donnée_clients!D285="","",Base_de_donnée_clients!D285)</f>
        <v/>
      </c>
      <c r="E285" s="22" t="str">
        <f>IF(Base_de_donnée_clients!E285="","",Base_de_donnée_clients!E285)</f>
        <v/>
      </c>
      <c r="F285" s="22" t="str">
        <f>IF(Base_de_donnée_clients!F285="","",Base_de_donnée_clients!F285)</f>
        <v/>
      </c>
      <c r="G285" s="22" t="str">
        <f>IF(Base_de_donnée_clients!G285="","",Base_de_donnée_clients!G285)</f>
        <v/>
      </c>
      <c r="H285" s="22" t="str">
        <f>IF(Base_de_donnée_clients!H285="","",Base_de_donnée_clients!H285)</f>
        <v/>
      </c>
      <c r="I285" s="23" t="str">
        <f>IF(Base_de_donnée_clients!I285="","",Base_de_donnée_clients!I285)</f>
        <v/>
      </c>
    </row>
    <row r="286" spans="1:9" s="14" customFormat="1" ht="30" customHeight="1" thickBot="1" x14ac:dyDescent="0.5">
      <c r="A286" s="21"/>
      <c r="B286" s="22" t="str">
        <f>IF(Base_de_donnée_clients!B286="","",Base_de_donnée_clients!B286)</f>
        <v/>
      </c>
      <c r="C286" s="22" t="str">
        <f>IF(Base_de_donnée_clients!C286="","",Base_de_donnée_clients!C286)</f>
        <v/>
      </c>
      <c r="D286" s="22" t="str">
        <f>IF(Base_de_donnée_clients!D286="","",Base_de_donnée_clients!D286)</f>
        <v/>
      </c>
      <c r="E286" s="22" t="str">
        <f>IF(Base_de_donnée_clients!E286="","",Base_de_donnée_clients!E286)</f>
        <v/>
      </c>
      <c r="F286" s="22" t="str">
        <f>IF(Base_de_donnée_clients!F286="","",Base_de_donnée_clients!F286)</f>
        <v/>
      </c>
      <c r="G286" s="22" t="str">
        <f>IF(Base_de_donnée_clients!G286="","",Base_de_donnée_clients!G286)</f>
        <v/>
      </c>
      <c r="H286" s="22" t="str">
        <f>IF(Base_de_donnée_clients!H286="","",Base_de_donnée_clients!H286)</f>
        <v/>
      </c>
      <c r="I286" s="23" t="str">
        <f>IF(Base_de_donnée_clients!I286="","",Base_de_donnée_clients!I286)</f>
        <v/>
      </c>
    </row>
    <row r="287" spans="1:9" s="14" customFormat="1" ht="30" customHeight="1" thickBot="1" x14ac:dyDescent="0.5">
      <c r="A287" s="21"/>
      <c r="B287" s="22" t="str">
        <f>IF(Base_de_donnée_clients!B287="","",Base_de_donnée_clients!B287)</f>
        <v/>
      </c>
      <c r="C287" s="22" t="str">
        <f>IF(Base_de_donnée_clients!C287="","",Base_de_donnée_clients!C287)</f>
        <v/>
      </c>
      <c r="D287" s="22" t="str">
        <f>IF(Base_de_donnée_clients!D287="","",Base_de_donnée_clients!D287)</f>
        <v/>
      </c>
      <c r="E287" s="22" t="str">
        <f>IF(Base_de_donnée_clients!E287="","",Base_de_donnée_clients!E287)</f>
        <v/>
      </c>
      <c r="F287" s="22" t="str">
        <f>IF(Base_de_donnée_clients!F287="","",Base_de_donnée_clients!F287)</f>
        <v/>
      </c>
      <c r="G287" s="22" t="str">
        <f>IF(Base_de_donnée_clients!G287="","",Base_de_donnée_clients!G287)</f>
        <v/>
      </c>
      <c r="H287" s="22" t="str">
        <f>IF(Base_de_donnée_clients!H287="","",Base_de_donnée_clients!H287)</f>
        <v/>
      </c>
      <c r="I287" s="23" t="str">
        <f>IF(Base_de_donnée_clients!I287="","",Base_de_donnée_clients!I287)</f>
        <v/>
      </c>
    </row>
    <row r="288" spans="1:9" s="14" customFormat="1" ht="30" customHeight="1" thickBot="1" x14ac:dyDescent="0.5">
      <c r="A288" s="21"/>
      <c r="B288" s="22" t="str">
        <f>IF(Base_de_donnée_clients!B288="","",Base_de_donnée_clients!B288)</f>
        <v/>
      </c>
      <c r="C288" s="22" t="str">
        <f>IF(Base_de_donnée_clients!C288="","",Base_de_donnée_clients!C288)</f>
        <v/>
      </c>
      <c r="D288" s="22" t="str">
        <f>IF(Base_de_donnée_clients!D288="","",Base_de_donnée_clients!D288)</f>
        <v/>
      </c>
      <c r="E288" s="22" t="str">
        <f>IF(Base_de_donnée_clients!E288="","",Base_de_donnée_clients!E288)</f>
        <v/>
      </c>
      <c r="F288" s="22" t="str">
        <f>IF(Base_de_donnée_clients!F288="","",Base_de_donnée_clients!F288)</f>
        <v/>
      </c>
      <c r="G288" s="22" t="str">
        <f>IF(Base_de_donnée_clients!G288="","",Base_de_donnée_clients!G288)</f>
        <v/>
      </c>
      <c r="H288" s="22" t="str">
        <f>IF(Base_de_donnée_clients!H288="","",Base_de_donnée_clients!H288)</f>
        <v/>
      </c>
      <c r="I288" s="23" t="str">
        <f>IF(Base_de_donnée_clients!I288="","",Base_de_donnée_clients!I288)</f>
        <v/>
      </c>
    </row>
    <row r="289" spans="1:9" s="14" customFormat="1" ht="30" customHeight="1" x14ac:dyDescent="0.45">
      <c r="A289" s="21"/>
      <c r="B289" s="22" t="str">
        <f>IF(Base_de_donnée_clients!B289="","",Base_de_donnée_clients!B289)</f>
        <v/>
      </c>
      <c r="C289" s="22" t="str">
        <f>IF(Base_de_donnée_clients!C289="","",Base_de_donnée_clients!C289)</f>
        <v/>
      </c>
      <c r="D289" s="22" t="str">
        <f>IF(Base_de_donnée_clients!D289="","",Base_de_donnée_clients!D289)</f>
        <v/>
      </c>
      <c r="E289" s="22" t="str">
        <f>IF(Base_de_donnée_clients!E289="","",Base_de_donnée_clients!E289)</f>
        <v/>
      </c>
      <c r="F289" s="22" t="str">
        <f>IF(Base_de_donnée_clients!F289="","",Base_de_donnée_clients!F289)</f>
        <v/>
      </c>
      <c r="G289" s="22" t="str">
        <f>IF(Base_de_donnée_clients!G289="","",Base_de_donnée_clients!G289)</f>
        <v/>
      </c>
      <c r="H289" s="22" t="str">
        <f>IF(Base_de_donnée_clients!H289="","",Base_de_donnée_clients!H289)</f>
        <v/>
      </c>
      <c r="I289" s="23" t="str">
        <f>IF(Base_de_donnée_clients!I289="","",Base_de_donnée_clients!I289)</f>
        <v/>
      </c>
    </row>
    <row r="290" spans="1:9" s="14" customFormat="1" ht="24" customHeight="1" x14ac:dyDescent="0.45">
      <c r="A290" s="19"/>
      <c r="B290" s="14" t="str">
        <f>IF(Base_de_donnée_clients!B290="","",Base_de_donnée_clients!B290)</f>
        <v/>
      </c>
      <c r="C290" s="14" t="str">
        <f>IF(Base_de_donnée_clients!C290="","",Base_de_donnée_clients!C290)</f>
        <v/>
      </c>
      <c r="D290" s="14" t="str">
        <f>IF(Base_de_donnée_clients!D290="","",Base_de_donnée_clients!D290)</f>
        <v/>
      </c>
      <c r="E290" s="14" t="str">
        <f>IF(Base_de_donnée_clients!E290="","",Base_de_donnée_clients!E290)</f>
        <v/>
      </c>
      <c r="F290" s="14" t="str">
        <f>IF(Base_de_donnée_clients!F290="","",Base_de_donnée_clients!F290)</f>
        <v/>
      </c>
      <c r="G290" s="14" t="str">
        <f>IF(Base_de_donnée_clients!G290="","",Base_de_donnée_clients!G290)</f>
        <v/>
      </c>
      <c r="H290" s="14" t="str">
        <f>IF(Base_de_donnée_clients!H290="","",Base_de_donnée_clients!H290)</f>
        <v/>
      </c>
      <c r="I290" s="14" t="str">
        <f>IF(Base_de_donnée_clients!I290="","",Base_de_donnée_clients!I290)</f>
        <v/>
      </c>
    </row>
    <row r="291" spans="1:9" s="14" customFormat="1" ht="24" customHeight="1" x14ac:dyDescent="0.45">
      <c r="A291" s="19"/>
      <c r="B291" s="14" t="str">
        <f>IF(Base_de_donnée_clients!B291="","",Base_de_donnée_clients!B291)</f>
        <v/>
      </c>
      <c r="C291" s="14" t="str">
        <f>IF(Base_de_donnée_clients!C291="","",Base_de_donnée_clients!C291)</f>
        <v/>
      </c>
      <c r="D291" s="14" t="str">
        <f>IF(Base_de_donnée_clients!D291="","",Base_de_donnée_clients!D291)</f>
        <v/>
      </c>
      <c r="E291" s="14" t="str">
        <f>IF(Base_de_donnée_clients!E291="","",Base_de_donnée_clients!E291)</f>
        <v/>
      </c>
      <c r="F291" s="14" t="str">
        <f>IF(Base_de_donnée_clients!F291="","",Base_de_donnée_clients!F291)</f>
        <v/>
      </c>
      <c r="G291" s="14" t="str">
        <f>IF(Base_de_donnée_clients!G291="","",Base_de_donnée_clients!G291)</f>
        <v/>
      </c>
      <c r="H291" s="14" t="str">
        <f>IF(Base_de_donnée_clients!H291="","",Base_de_donnée_clients!H291)</f>
        <v/>
      </c>
      <c r="I291" s="14" t="str">
        <f>IF(Base_de_donnée_clients!I291="","",Base_de_donnée_clients!I291)</f>
        <v/>
      </c>
    </row>
    <row r="292" spans="1:9" s="14" customFormat="1" ht="24" customHeight="1" x14ac:dyDescent="0.45">
      <c r="A292" s="19"/>
      <c r="B292" s="14" t="str">
        <f>IF(Base_de_donnée_clients!B292="","",Base_de_donnée_clients!B292)</f>
        <v/>
      </c>
      <c r="C292" s="14" t="str">
        <f>IF(Base_de_donnée_clients!C292="","",Base_de_donnée_clients!C292)</f>
        <v/>
      </c>
      <c r="D292" s="14" t="str">
        <f>IF(Base_de_donnée_clients!D292="","",Base_de_donnée_clients!D292)</f>
        <v/>
      </c>
      <c r="E292" s="14" t="str">
        <f>IF(Base_de_donnée_clients!E292="","",Base_de_donnée_clients!E292)</f>
        <v/>
      </c>
      <c r="F292" s="14" t="str">
        <f>IF(Base_de_donnée_clients!F292="","",Base_de_donnée_clients!F292)</f>
        <v/>
      </c>
      <c r="G292" s="14" t="str">
        <f>IF(Base_de_donnée_clients!G292="","",Base_de_donnée_clients!G292)</f>
        <v/>
      </c>
      <c r="H292" s="14" t="str">
        <f>IF(Base_de_donnée_clients!H292="","",Base_de_donnée_clients!H292)</f>
        <v/>
      </c>
      <c r="I292" s="14" t="str">
        <f>IF(Base_de_donnée_clients!I292="","",Base_de_donnée_clients!I292)</f>
        <v/>
      </c>
    </row>
    <row r="293" spans="1:9" s="14" customFormat="1" ht="24" customHeight="1" thickBot="1" x14ac:dyDescent="0.5">
      <c r="A293" s="20"/>
      <c r="B293" s="14" t="str">
        <f>IF(Base_de_donnée_clients!B293="","",Base_de_donnée_clients!B293)</f>
        <v/>
      </c>
      <c r="C293" s="14" t="str">
        <f>IF(Base_de_donnée_clients!C293="","",Base_de_donnée_clients!C293)</f>
        <v/>
      </c>
      <c r="D293" s="14" t="str">
        <f>IF(Base_de_donnée_clients!D293="","",Base_de_donnée_clients!D293)</f>
        <v/>
      </c>
      <c r="E293" s="14" t="str">
        <f>IF(Base_de_donnée_clients!E293="","",Base_de_donnée_clients!E293)</f>
        <v/>
      </c>
      <c r="F293" s="14" t="str">
        <f>IF(Base_de_donnée_clients!F293="","",Base_de_donnée_clients!F293)</f>
        <v/>
      </c>
      <c r="G293" s="14" t="str">
        <f>IF(Base_de_donnée_clients!G293="","",Base_de_donnée_clients!G293)</f>
        <v/>
      </c>
      <c r="H293" s="14" t="str">
        <f>IF(Base_de_donnée_clients!H293="","",Base_de_donnée_clients!H293)</f>
        <v/>
      </c>
      <c r="I293" s="14" t="str">
        <f>IF(Base_de_donnée_clients!I293="","",Base_de_donnée_clients!I293)</f>
        <v/>
      </c>
    </row>
  </sheetData>
  <sheetProtection algorithmName="SHA-512" hashValue="C/Z/mthk5fUOBG/9V2CSckDCjmrMctnLzzoRCOUs4NigA/l8t2SwY4B5KyXXRvK01MyjhW38jkyjFz+ziRos4A==" saltValue="rV60hlkmjsjN9R1Ei058/w==" spinCount="100000" sheet="1" objects="1" scenarios="1"/>
  <autoFilter ref="B7:I7" xr:uid="{00000000-0009-0000-0000-000002000000}"/>
  <mergeCells count="2">
    <mergeCell ref="A1:I1"/>
    <mergeCell ref="A2:I2"/>
  </mergeCells>
  <conditionalFormatting sqref="A8:I293">
    <cfRule type="expression" dxfId="25" priority="1">
      <formula>MOD(ROW(),2)=0</formula>
    </cfRule>
  </conditionalFormatting>
  <printOptions horizontalCentered="1"/>
  <pageMargins left="0.39370078740157477" right="0.39370078740157477" top="0.39370078740157477" bottom="0.59055118110236215" header="0.19685039370078738" footer="0.31496062992125989"/>
  <pageSetup paperSize="9" scale="56" fitToHeight="0" orientation="portrait" horizontalDpi="0" verticalDpi="0" r:id="rId1"/>
  <headerFooter>
    <oddFooter>&amp;CDocument généré le 17/04/2026&amp;RPage 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N293"/>
  <sheetViews>
    <sheetView topLeftCell="A4" workbookViewId="0">
      <selection activeCell="F16" sqref="F16"/>
    </sheetView>
  </sheetViews>
  <sheetFormatPr baseColWidth="10" defaultColWidth="9.06640625" defaultRowHeight="14.25" x14ac:dyDescent="0.45"/>
  <cols>
    <col min="1" max="1" width="12.1328125" style="8" customWidth="1"/>
    <col min="2" max="2" width="23.33203125" style="8" customWidth="1"/>
    <col min="3" max="3" width="24" style="8" customWidth="1"/>
    <col min="4" max="4" width="13.59765625" style="8" customWidth="1"/>
    <col min="5" max="5" width="28.9296875" style="8" customWidth="1"/>
    <col min="6" max="7" width="11.59765625" style="7" customWidth="1"/>
    <col min="8" max="8" width="11.59765625" style="8" customWidth="1"/>
    <col min="9" max="10" width="20" style="8" customWidth="1"/>
    <col min="11" max="13" width="11.59765625" style="7" customWidth="1"/>
    <col min="14" max="14" width="11.59765625" style="8" customWidth="1"/>
    <col min="15" max="16384" width="9.06640625" style="8"/>
  </cols>
  <sheetData>
    <row r="1" spans="1:14" s="2" customFormat="1" ht="34.15" customHeight="1" thickBot="1" x14ac:dyDescent="0.5">
      <c r="A1" s="148" t="s">
        <v>156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50"/>
    </row>
    <row r="2" spans="1:14" customFormat="1" ht="80" customHeight="1" x14ac:dyDescent="0.45">
      <c r="A2" s="151" t="s">
        <v>190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</row>
    <row r="3" spans="1:14" customFormat="1" ht="26" customHeight="1" x14ac:dyDescent="0.45">
      <c r="A3" s="107" t="s">
        <v>158</v>
      </c>
      <c r="B3" s="108" t="s">
        <v>196</v>
      </c>
      <c r="C3" s="109" t="s">
        <v>2</v>
      </c>
      <c r="D3" s="110">
        <v>12</v>
      </c>
      <c r="E3" s="18"/>
      <c r="F3" s="18"/>
      <c r="G3" s="44"/>
      <c r="H3" s="227"/>
      <c r="I3" s="227"/>
      <c r="J3" s="227"/>
      <c r="K3" s="227"/>
      <c r="L3" s="227"/>
      <c r="M3" s="168"/>
      <c r="N3" s="169"/>
    </row>
    <row r="4" spans="1:14" customFormat="1" ht="26" customHeight="1" x14ac:dyDescent="0.45">
      <c r="A4" s="117" t="s">
        <v>0</v>
      </c>
      <c r="B4" s="108" t="s">
        <v>153</v>
      </c>
      <c r="C4" s="109" t="s">
        <v>3</v>
      </c>
      <c r="D4" s="118">
        <v>46112</v>
      </c>
      <c r="E4" s="119"/>
      <c r="F4" s="18"/>
      <c r="G4" s="120"/>
      <c r="H4" s="227"/>
      <c r="I4" s="227"/>
      <c r="J4" s="227"/>
      <c r="K4" s="227"/>
      <c r="L4" s="227"/>
      <c r="M4" s="168"/>
      <c r="N4" s="170"/>
    </row>
    <row r="5" spans="1:14" customFormat="1" ht="26" customHeight="1" x14ac:dyDescent="0.45">
      <c r="A5" s="117" t="s">
        <v>1</v>
      </c>
      <c r="B5" s="108" t="s">
        <v>5</v>
      </c>
      <c r="C5" s="44"/>
      <c r="D5" s="44"/>
      <c r="E5" s="18"/>
      <c r="F5" s="18"/>
      <c r="G5" s="18"/>
      <c r="H5" s="227"/>
      <c r="I5" s="227"/>
      <c r="J5" s="227"/>
      <c r="K5" s="227"/>
      <c r="L5" s="227"/>
      <c r="M5" s="171"/>
      <c r="N5" s="168"/>
    </row>
    <row r="6" spans="1:14" customFormat="1" ht="26" customHeight="1" thickBot="1" x14ac:dyDescent="0.5">
      <c r="A6" s="242"/>
      <c r="B6" s="243"/>
      <c r="C6" s="244"/>
      <c r="D6" s="244"/>
      <c r="E6" s="243"/>
      <c r="F6" s="243"/>
      <c r="G6" s="243"/>
      <c r="H6" s="245"/>
      <c r="I6" s="245"/>
      <c r="J6" s="245"/>
      <c r="K6" s="246"/>
      <c r="L6" s="246"/>
      <c r="M6" s="247"/>
      <c r="N6" s="247"/>
    </row>
    <row r="7" spans="1:14" s="14" customFormat="1" ht="42.75" customHeight="1" thickBot="1" x14ac:dyDescent="0.5">
      <c r="A7" s="28" t="s">
        <v>152</v>
      </c>
      <c r="B7" s="29" t="s">
        <v>4</v>
      </c>
      <c r="C7" s="29" t="s">
        <v>6</v>
      </c>
      <c r="D7" s="29" t="s">
        <v>11</v>
      </c>
      <c r="E7" s="29" t="s">
        <v>12</v>
      </c>
      <c r="F7" s="27" t="s">
        <v>13</v>
      </c>
      <c r="G7" s="27" t="s">
        <v>14</v>
      </c>
      <c r="H7" s="29" t="s">
        <v>15</v>
      </c>
      <c r="I7" s="29" t="s">
        <v>16</v>
      </c>
      <c r="J7" s="29" t="s">
        <v>17</v>
      </c>
      <c r="K7" s="27" t="s">
        <v>18</v>
      </c>
      <c r="L7" s="27" t="s">
        <v>19</v>
      </c>
      <c r="M7" s="27" t="s">
        <v>20</v>
      </c>
      <c r="N7" s="46" t="s">
        <v>21</v>
      </c>
    </row>
    <row r="8" spans="1:14" ht="24" customHeight="1" x14ac:dyDescent="0.45">
      <c r="A8" s="131">
        <f>IF(Base_de_donnée_clients!A8="","",Base_de_donnée_clients!A8)</f>
        <v>1</v>
      </c>
      <c r="B8" s="132" t="str">
        <f>IF(Base_de_donnée_clients!B8="","",Base_de_donnée_clients!B8)</f>
        <v>A01</v>
      </c>
      <c r="C8" s="132" t="str">
        <f>IF(Base_de_donnée_clients!C8="","",Base_de_donnée_clients!C8)</f>
        <v>M. FOURNIER</v>
      </c>
      <c r="D8" s="132" t="str">
        <f>IF(Base_de_donnée_clients!H8="","",Base_de_donnée_clients!H8)</f>
        <v>07 68 45 XX XX</v>
      </c>
      <c r="E8" s="132" t="str">
        <f>IF(Base_de_donnée_clients!I8="","",Base_de_donnée_clients!I8)</f>
        <v>nicXXX@gmail.com</v>
      </c>
      <c r="F8" s="133">
        <f>IF(Base_de_donnée_clients!J8="","",Base_de_donnée_clients!J8)</f>
        <v>45700</v>
      </c>
      <c r="G8" s="133">
        <f>IF(Base_de_donnée_clients!K8="","",Base_de_donnée_clients!K8)</f>
        <v>45745</v>
      </c>
      <c r="H8" s="132" t="str">
        <f>IF(Base_de_donnée_clients!L8="","",Base_de_donnée_clients!L8)</f>
        <v/>
      </c>
      <c r="I8" s="132" t="str">
        <f>IF(Base_de_donnée_clients!M8="","",Base_de_donnée_clients!M8)</f>
        <v>CREDIT AGRICOLE</v>
      </c>
      <c r="J8" s="132" t="str">
        <f>IF(Base_de_donnée_clients!N8="","",Base_de_donnée_clients!N8)</f>
        <v/>
      </c>
      <c r="K8" s="133">
        <f>IF(Base_de_donnée_clients!O8="","",Base_de_donnée_clients!O8)</f>
        <v>45744</v>
      </c>
      <c r="L8" s="133">
        <f>IF(Base_de_donnée_clients!P8="","",Base_de_donnée_clients!P8)</f>
        <v>45789</v>
      </c>
      <c r="M8" s="133" t="str">
        <f>IF(Base_de_donnée_clients!Q8="","",Base_de_donnée_clients!Q8)</f>
        <v/>
      </c>
      <c r="N8" s="132" t="str">
        <f>IF(Base_de_donnée_clients!R8="","",Base_de_donnée_clients!R8)</f>
        <v/>
      </c>
    </row>
    <row r="9" spans="1:14" ht="24" customHeight="1" x14ac:dyDescent="0.45">
      <c r="A9" s="131">
        <f>IF(Base_de_donnée_clients!A9="","",Base_de_donnée_clients!A9)</f>
        <v>2</v>
      </c>
      <c r="B9" s="132" t="str">
        <f>IF(Base_de_donnée_clients!B9="","",Base_de_donnée_clients!B9)</f>
        <v>A02</v>
      </c>
      <c r="C9" s="132" t="str">
        <f>IF(Base_de_donnée_clients!C9="","",Base_de_donnée_clients!C9)</f>
        <v>Mme DUPONT</v>
      </c>
      <c r="D9" s="132" t="str">
        <f>IF(Base_de_donnée_clients!H9="","",Base_de_donnée_clients!H9)</f>
        <v>06 54 68 XX XX</v>
      </c>
      <c r="E9" s="132" t="str">
        <f>IF(Base_de_donnée_clients!I9="","",Base_de_donnée_clients!I9)</f>
        <v>mosXXXX@icloud.com</v>
      </c>
      <c r="F9" s="133">
        <f>IF(Base_de_donnée_clients!J9="","",Base_de_donnée_clients!J9)</f>
        <v>45575</v>
      </c>
      <c r="G9" s="133">
        <f>IF(Base_de_donnée_clients!K9="","",Base_de_donnée_clients!K9)</f>
        <v>45620</v>
      </c>
      <c r="H9" s="132" t="str">
        <f>IF(Base_de_donnée_clients!L9="","",Base_de_donnée_clients!L9)</f>
        <v/>
      </c>
      <c r="I9" s="132" t="str">
        <f>IF(Base_de_donnée_clients!M9="","",Base_de_donnée_clients!M9)</f>
        <v>CREDIT MUTUEL</v>
      </c>
      <c r="J9" s="132" t="str">
        <f>IF(Base_de_donnée_clients!N9="","",Base_de_donnée_clients!N9)</f>
        <v/>
      </c>
      <c r="K9" s="133">
        <f>IF(Base_de_donnée_clients!O9="","",Base_de_donnée_clients!O9)</f>
        <v>45616</v>
      </c>
      <c r="L9" s="133">
        <f>IF(Base_de_donnée_clients!P9="","",Base_de_donnée_clients!P9)</f>
        <v>45667</v>
      </c>
      <c r="M9" s="133">
        <f>IF(Base_de_donnée_clients!Q9="","",Base_de_donnée_clients!Q9)</f>
        <v>45759</v>
      </c>
      <c r="N9" s="132" t="str">
        <f>IF(Base_de_donnée_clients!R9="","",Base_de_donnée_clients!R9)</f>
        <v/>
      </c>
    </row>
    <row r="10" spans="1:14" ht="24" customHeight="1" x14ac:dyDescent="0.45">
      <c r="A10" s="131">
        <f>IF(Base_de_donnée_clients!A10="","",Base_de_donnée_clients!A10)</f>
        <v>3</v>
      </c>
      <c r="B10" s="132" t="str">
        <f>IF(Base_de_donnée_clients!B10="","",Base_de_donnée_clients!B10)</f>
        <v>A03</v>
      </c>
      <c r="C10" s="132" t="str">
        <f>IF(Base_de_donnée_clients!C10="","",Base_de_donnée_clients!C10)</f>
        <v/>
      </c>
      <c r="D10" s="132" t="str">
        <f>IF(Base_de_donnée_clients!H10="","",Base_de_donnée_clients!H10)</f>
        <v/>
      </c>
      <c r="E10" s="132" t="str">
        <f>IF(Base_de_donnée_clients!I10="","",Base_de_donnée_clients!I10)</f>
        <v/>
      </c>
      <c r="F10" s="133" t="str">
        <f>IF(Base_de_donnée_clients!J10="","",Base_de_donnée_clients!J10)</f>
        <v/>
      </c>
      <c r="G10" s="133" t="str">
        <f>IF(Base_de_donnée_clients!K10="","",Base_de_donnée_clients!K10)</f>
        <v/>
      </c>
      <c r="H10" s="132" t="str">
        <f>IF(Base_de_donnée_clients!L10="","",Base_de_donnée_clients!L10)</f>
        <v/>
      </c>
      <c r="I10" s="132" t="str">
        <f>IF(Base_de_donnée_clients!M10="","",Base_de_donnée_clients!M10)</f>
        <v/>
      </c>
      <c r="J10" s="132" t="str">
        <f>IF(Base_de_donnée_clients!N10="","",Base_de_donnée_clients!N10)</f>
        <v/>
      </c>
      <c r="K10" s="133" t="str">
        <f>IF(Base_de_donnée_clients!O10="","",Base_de_donnée_clients!O10)</f>
        <v/>
      </c>
      <c r="L10" s="133" t="str">
        <f>IF(Base_de_donnée_clients!P10="","",Base_de_donnée_clients!P10)</f>
        <v/>
      </c>
      <c r="M10" s="133" t="str">
        <f>IF(Base_de_donnée_clients!Q10="","",Base_de_donnée_clients!Q10)</f>
        <v/>
      </c>
      <c r="N10" s="132" t="str">
        <f>IF(Base_de_donnée_clients!R10="","",Base_de_donnée_clients!R10)</f>
        <v/>
      </c>
    </row>
    <row r="11" spans="1:14" ht="24" customHeight="1" x14ac:dyDescent="0.45">
      <c r="A11" s="131">
        <f>IF(Base_de_donnée_clients!A11="","",Base_de_donnée_clients!A11)</f>
        <v>4</v>
      </c>
      <c r="B11" s="132" t="str">
        <f>IF(Base_de_donnée_clients!B11="","",Base_de_donnée_clients!B11)</f>
        <v>A04</v>
      </c>
      <c r="C11" s="132" t="str">
        <f>IF(Base_de_donnée_clients!C11="","",Base_de_donnée_clients!C11)</f>
        <v>M. et Mme ARNAUD</v>
      </c>
      <c r="D11" s="132" t="str">
        <f>IF(Base_de_donnée_clients!H11="","",Base_de_donnée_clients!H11)</f>
        <v>06 12 36 XX XX</v>
      </c>
      <c r="E11" s="132" t="str">
        <f>IF(Base_de_donnée_clients!I11="","",Base_de_donnée_clients!I11)</f>
        <v>jeaxxxx@icloud.com</v>
      </c>
      <c r="F11" s="133">
        <f>IF(Base_de_donnée_clients!J11="","",Base_de_donnée_clients!J11)</f>
        <v>45719</v>
      </c>
      <c r="G11" s="152" t="s">
        <v>200</v>
      </c>
      <c r="H11" s="152"/>
      <c r="I11" s="152"/>
      <c r="J11" s="152"/>
      <c r="K11" s="152"/>
      <c r="L11" s="133">
        <f>IF(Base_de_donnée_clients!P11="","",Base_de_donnée_clients!P11)</f>
        <v>45811</v>
      </c>
      <c r="M11" s="133" t="str">
        <f>IF(Base_de_donnée_clients!Q11="","",Base_de_donnée_clients!Q11)</f>
        <v/>
      </c>
      <c r="N11" s="132" t="str">
        <f>IF(Base_de_donnée_clients!R11="","",Base_de_donnée_clients!R11)</f>
        <v/>
      </c>
    </row>
    <row r="12" spans="1:14" ht="24" customHeight="1" x14ac:dyDescent="0.45">
      <c r="A12" s="131">
        <f>IF(Base_de_donnée_clients!A12="","",Base_de_donnée_clients!A12)</f>
        <v>5</v>
      </c>
      <c r="B12" s="132" t="str">
        <f>IF(Base_de_donnée_clients!B12="","",Base_de_donnée_clients!B12)</f>
        <v>A101</v>
      </c>
      <c r="C12" s="132" t="str">
        <f>IF(Base_de_donnée_clients!C12="","",Base_de_donnée_clients!C12)</f>
        <v/>
      </c>
      <c r="D12" s="132" t="str">
        <f>IF(Base_de_donnée_clients!H12="","",Base_de_donnée_clients!H12)</f>
        <v/>
      </c>
      <c r="E12" s="132" t="str">
        <f>IF(Base_de_donnée_clients!I12="","",Base_de_donnée_clients!I12)</f>
        <v/>
      </c>
      <c r="F12" s="133" t="str">
        <f>IF(Base_de_donnée_clients!J12="","",Base_de_donnée_clients!J12)</f>
        <v/>
      </c>
      <c r="G12" s="133"/>
      <c r="H12" s="133"/>
      <c r="I12" s="133"/>
      <c r="J12" s="133"/>
      <c r="K12" s="133"/>
      <c r="L12" s="133" t="str">
        <f>IF(Base_de_donnée_clients!P12="","",Base_de_donnée_clients!P12)</f>
        <v/>
      </c>
      <c r="M12" s="133" t="str">
        <f>IF(Base_de_donnée_clients!Q12="","",Base_de_donnée_clients!Q12)</f>
        <v/>
      </c>
      <c r="N12" s="132" t="str">
        <f>IF(Base_de_donnée_clients!R12="","",Base_de_donnée_clients!R12)</f>
        <v/>
      </c>
    </row>
    <row r="13" spans="1:14" ht="24" customHeight="1" x14ac:dyDescent="0.45">
      <c r="A13" s="131">
        <f>IF(Base_de_donnée_clients!A13="","",Base_de_donnée_clients!A13)</f>
        <v>6</v>
      </c>
      <c r="B13" s="132" t="str">
        <f>IF(Base_de_donnée_clients!B13="","",Base_de_donnée_clients!B13)</f>
        <v>A102</v>
      </c>
      <c r="C13" s="132" t="str">
        <f>IF(Base_de_donnée_clients!C13="","",Base_de_donnée_clients!C13)</f>
        <v>M. et Mme JAUREGUI</v>
      </c>
      <c r="D13" s="132" t="str">
        <f>IF(Base_de_donnée_clients!H13="","",Base_de_donnée_clients!H13)</f>
        <v>06 38 47 XX XX</v>
      </c>
      <c r="E13" s="132" t="str">
        <f>IF(Base_de_donnée_clients!I13="","",Base_de_donnée_clients!I13)</f>
        <v>spaXXXX@orange.fr</v>
      </c>
      <c r="F13" s="133">
        <f>IF(Base_de_donnée_clients!J13="","",Base_de_donnée_clients!J13)</f>
        <v>45795</v>
      </c>
      <c r="G13" s="133">
        <f>IF(Base_de_donnée_clients!K13="","",Base_de_donnée_clients!K13)</f>
        <v>45840</v>
      </c>
      <c r="H13" s="132" t="str">
        <f>IF(Base_de_donnée_clients!L13="","",Base_de_donnée_clients!L13)</f>
        <v/>
      </c>
      <c r="I13" s="132" t="str">
        <f>IF(Base_de_donnée_clients!M13="","",Base_de_donnée_clients!M13)</f>
        <v>CREDIT AGRICOLE</v>
      </c>
      <c r="J13" s="132" t="str">
        <f>IF(Base_de_donnée_clients!N13="","",Base_de_donnée_clients!N13)</f>
        <v/>
      </c>
      <c r="K13" s="133" t="str">
        <f>IF(Base_de_donnée_clients!O13="","",Base_de_donnée_clients!O13)</f>
        <v/>
      </c>
      <c r="L13" s="133">
        <f>IF(Base_de_donnée_clients!P13="","",Base_de_donnée_clients!P13)</f>
        <v>45887</v>
      </c>
      <c r="M13" s="133" t="str">
        <f>IF(Base_de_donnée_clients!Q13="","",Base_de_donnée_clients!Q13)</f>
        <v/>
      </c>
      <c r="N13" s="132" t="str">
        <f>IF(Base_de_donnée_clients!R13="","",Base_de_donnée_clients!R13)</f>
        <v/>
      </c>
    </row>
    <row r="14" spans="1:14" ht="24" customHeight="1" x14ac:dyDescent="0.45">
      <c r="A14" s="131">
        <f>IF(Base_de_donnée_clients!A14="","",Base_de_donnée_clients!A14)</f>
        <v>7</v>
      </c>
      <c r="B14" s="132" t="str">
        <f>IF(Base_de_donnée_clients!B14="","",Base_de_donnée_clients!B14)</f>
        <v>A103</v>
      </c>
      <c r="C14" s="132" t="str">
        <f>IF(Base_de_donnée_clients!C14="","",Base_de_donnée_clients!C14)</f>
        <v>M. DESPRES</v>
      </c>
      <c r="D14" s="132" t="str">
        <f>IF(Base_de_donnée_clients!H14="","",Base_de_donnée_clients!H14)</f>
        <v>06 32 56 XX XX</v>
      </c>
      <c r="E14" s="132" t="str">
        <f>IF(Base_de_donnée_clients!I14="","",Base_de_donnée_clients!I14)</f>
        <v>djeXXX@orange.fr</v>
      </c>
      <c r="F14" s="133">
        <f>IF(Base_de_donnée_clients!J14="","",Base_de_donnée_clients!J14)</f>
        <v>45609</v>
      </c>
      <c r="G14" s="133">
        <f>IF(Base_de_donnée_clients!K14="","",Base_de_donnée_clients!K14)</f>
        <v>45654</v>
      </c>
      <c r="H14" s="132" t="str">
        <f>IF(Base_de_donnée_clients!L14="","",Base_de_donnée_clients!L14)</f>
        <v/>
      </c>
      <c r="I14" s="132" t="str">
        <f>IF(Base_de_donnée_clients!M14="","",Base_de_donnée_clients!M14)</f>
        <v>SOCIETE GENERALE</v>
      </c>
      <c r="J14" s="132" t="str">
        <f>IF(Base_de_donnée_clients!N14="","",Base_de_donnée_clients!N14)</f>
        <v/>
      </c>
      <c r="K14" s="133">
        <f>IF(Base_de_donnée_clients!O14="","",Base_de_donnée_clients!O14)</f>
        <v>45643</v>
      </c>
      <c r="L14" s="133">
        <f>IF(Base_de_donnée_clients!P14="","",Base_de_donnée_clients!P14)</f>
        <v>45701</v>
      </c>
      <c r="M14" s="133">
        <f>IF(Base_de_donnée_clients!Q14="","",Base_de_donnée_clients!Q14)</f>
        <v>45759</v>
      </c>
      <c r="N14" s="132" t="str">
        <f>IF(Base_de_donnée_clients!R14="","",Base_de_donnée_clients!R14)</f>
        <v/>
      </c>
    </row>
    <row r="15" spans="1:14" ht="24" customHeight="1" x14ac:dyDescent="0.45">
      <c r="A15" s="131">
        <f>IF(Base_de_donnée_clients!A15="","",Base_de_donnée_clients!A15)</f>
        <v>8</v>
      </c>
      <c r="B15" s="132" t="str">
        <f>IF(Base_de_donnée_clients!B15="","",Base_de_donnée_clients!B15)</f>
        <v>A104</v>
      </c>
      <c r="C15" s="132" t="str">
        <f>IF(Base_de_donnée_clients!C15="","",Base_de_donnée_clients!C15)</f>
        <v/>
      </c>
      <c r="D15" s="132" t="str">
        <f>IF(Base_de_donnée_clients!H15="","",Base_de_donnée_clients!H15)</f>
        <v/>
      </c>
      <c r="E15" s="132" t="str">
        <f>IF(Base_de_donnée_clients!I15="","",Base_de_donnée_clients!I15)</f>
        <v>jgi@gmail.com</v>
      </c>
      <c r="F15" s="133" t="str">
        <f>IF(Base_de_donnée_clients!J15="","",Base_de_donnée_clients!J15)</f>
        <v/>
      </c>
      <c r="G15" s="133" t="str">
        <f>IF(Base_de_donnée_clients!K15="","",Base_de_donnée_clients!K15)</f>
        <v/>
      </c>
      <c r="H15" s="132" t="str">
        <f>IF(Base_de_donnée_clients!L15="","",Base_de_donnée_clients!L15)</f>
        <v/>
      </c>
      <c r="I15" s="132" t="str">
        <f>IF(Base_de_donnée_clients!M15="","",Base_de_donnée_clients!M15)</f>
        <v/>
      </c>
      <c r="J15" s="132" t="str">
        <f>IF(Base_de_donnée_clients!N15="","",Base_de_donnée_clients!N15)</f>
        <v/>
      </c>
      <c r="K15" s="133" t="str">
        <f>IF(Base_de_donnée_clients!O15="","",Base_de_donnée_clients!O15)</f>
        <v/>
      </c>
      <c r="L15" s="133" t="str">
        <f>IF(Base_de_donnée_clients!P15="","",Base_de_donnée_clients!P15)</f>
        <v/>
      </c>
      <c r="M15" s="133" t="str">
        <f>IF(Base_de_donnée_clients!Q15="","",Base_de_donnée_clients!Q15)</f>
        <v/>
      </c>
      <c r="N15" s="132" t="str">
        <f>IF(Base_de_donnée_clients!R15="","",Base_de_donnée_clients!R15)</f>
        <v/>
      </c>
    </row>
    <row r="16" spans="1:14" ht="24" customHeight="1" x14ac:dyDescent="0.45">
      <c r="A16" s="131">
        <f>IF(Base_de_donnée_clients!A16="","",Base_de_donnée_clients!A16)</f>
        <v>9</v>
      </c>
      <c r="B16" s="132" t="str">
        <f>IF(Base_de_donnée_clients!B16="","",Base_de_donnée_clients!B16)</f>
        <v>A201</v>
      </c>
      <c r="C16" s="132" t="str">
        <f>IF(Base_de_donnée_clients!C16="","",Base_de_donnée_clients!C16)</f>
        <v>M. et Mme RATOI</v>
      </c>
      <c r="D16" s="132" t="str">
        <f>IF(Base_de_donnée_clients!H16="","",Base_de_donnée_clients!H16)</f>
        <v>06 25 47 XX XX</v>
      </c>
      <c r="E16" s="132" t="str">
        <f>IF(Base_de_donnée_clients!I16="","",Base_de_donnée_clients!I16)</f>
        <v>micXXXX@gmail.com</v>
      </c>
      <c r="F16" s="133">
        <f>IF(Base_de_donnée_clients!J16="","",Base_de_donnée_clients!J16)</f>
        <v>45667</v>
      </c>
      <c r="G16" s="133">
        <f>IF(Base_de_donnée_clients!K16="","",Base_de_donnée_clients!K16)</f>
        <v>45712</v>
      </c>
      <c r="H16" s="132" t="str">
        <f>IF(Base_de_donnée_clients!L16="","",Base_de_donnée_clients!L16)</f>
        <v/>
      </c>
      <c r="I16" s="132" t="str">
        <f>IF(Base_de_donnée_clients!M16="","",Base_de_donnée_clients!M16)</f>
        <v>CREDIT MUTUEL</v>
      </c>
      <c r="J16" s="132" t="str">
        <f>IF(Base_de_donnée_clients!N16="","",Base_de_donnée_clients!N16)</f>
        <v xml:space="preserve">Empruntis </v>
      </c>
      <c r="K16" s="133" t="str">
        <f>IF(Base_de_donnée_clients!O16="","",Base_de_donnée_clients!O16)</f>
        <v/>
      </c>
      <c r="L16" s="133">
        <f>IF(Base_de_donnée_clients!P16="","",Base_de_donnée_clients!P16)</f>
        <v>45757</v>
      </c>
      <c r="M16" s="133">
        <f>IF(Base_de_donnée_clients!Q16="","",Base_de_donnée_clients!Q16)</f>
        <v>45759</v>
      </c>
      <c r="N16" s="132" t="str">
        <f>IF(Base_de_donnée_clients!R16="","",Base_de_donnée_clients!R16)</f>
        <v/>
      </c>
    </row>
    <row r="17" spans="1:14" ht="24" customHeight="1" x14ac:dyDescent="0.45">
      <c r="A17" s="131">
        <f>IF(Base_de_donnée_clients!A17="","",Base_de_donnée_clients!A17)</f>
        <v>10</v>
      </c>
      <c r="B17" s="132" t="str">
        <f>IF(Base_de_donnée_clients!B17="","",Base_de_donnée_clients!B17)</f>
        <v>A202</v>
      </c>
      <c r="C17" s="132" t="str">
        <f>IF(Base_de_donnée_clients!C17="","",Base_de_donnée_clients!C17)</f>
        <v/>
      </c>
      <c r="D17" s="132" t="str">
        <f>IF(Base_de_donnée_clients!H17="","",Base_de_donnée_clients!H17)</f>
        <v/>
      </c>
      <c r="E17" s="132" t="str">
        <f>IF(Base_de_donnée_clients!I17="","",Base_de_donnée_clients!I17)</f>
        <v/>
      </c>
      <c r="F17" s="133" t="str">
        <f>IF(Base_de_donnée_clients!J17="","",Base_de_donnée_clients!J17)</f>
        <v/>
      </c>
      <c r="G17" s="133" t="str">
        <f>IF(Base_de_donnée_clients!K17="","",Base_de_donnée_clients!K17)</f>
        <v/>
      </c>
      <c r="H17" s="132" t="str">
        <f>IF(Base_de_donnée_clients!L17="","",Base_de_donnée_clients!L17)</f>
        <v/>
      </c>
      <c r="I17" s="132" t="str">
        <f>IF(Base_de_donnée_clients!M17="","",Base_de_donnée_clients!M17)</f>
        <v/>
      </c>
      <c r="J17" s="132" t="str">
        <f>IF(Base_de_donnée_clients!N17="","",Base_de_donnée_clients!N17)</f>
        <v/>
      </c>
      <c r="K17" s="133" t="str">
        <f>IF(Base_de_donnée_clients!O17="","",Base_de_donnée_clients!O17)</f>
        <v/>
      </c>
      <c r="L17" s="133" t="str">
        <f>IF(Base_de_donnée_clients!P17="","",Base_de_donnée_clients!P17)</f>
        <v/>
      </c>
      <c r="M17" s="133" t="str">
        <f>IF(Base_de_donnée_clients!Q17="","",Base_de_donnée_clients!Q17)</f>
        <v/>
      </c>
      <c r="N17" s="132" t="str">
        <f>IF(Base_de_donnée_clients!R17="","",Base_de_donnée_clients!R17)</f>
        <v/>
      </c>
    </row>
    <row r="18" spans="1:14" ht="24" customHeight="1" x14ac:dyDescent="0.45">
      <c r="A18" s="131">
        <f>IF(Base_de_donnée_clients!A18="","",Base_de_donnée_clients!A18)</f>
        <v>11</v>
      </c>
      <c r="B18" s="132" t="str">
        <f>IF(Base_de_donnée_clients!B18="","",Base_de_donnée_clients!B18)</f>
        <v>A203</v>
      </c>
      <c r="C18" s="132" t="str">
        <f>IF(Base_de_donnée_clients!C18="","",Base_de_donnée_clients!C18)</f>
        <v>M. JUZAN</v>
      </c>
      <c r="D18" s="132" t="str">
        <f>IF(Base_de_donnée_clients!H18="","",Base_de_donnée_clients!H18)</f>
        <v>06 24 45 XX XX</v>
      </c>
      <c r="E18" s="132" t="str">
        <f>IF(Base_de_donnée_clients!I18="","",Base_de_donnée_clients!I18)</f>
        <v>pluXXX@gmail.com</v>
      </c>
      <c r="F18" s="133">
        <f>IF(Base_de_donnée_clients!J18="","",Base_de_donnée_clients!J18)</f>
        <v>45704</v>
      </c>
      <c r="G18" s="133">
        <f>IF(Base_de_donnée_clients!K18="","",Base_de_donnée_clients!K18)</f>
        <v>45749</v>
      </c>
      <c r="H18" s="132" t="str">
        <f>IF(Base_de_donnée_clients!L18="","",Base_de_donnée_clients!L18)</f>
        <v/>
      </c>
      <c r="I18" s="132" t="str">
        <f>IF(Base_de_donnée_clients!M18="","",Base_de_donnée_clients!M18)</f>
        <v>BNP</v>
      </c>
      <c r="J18" s="132" t="str">
        <f>IF(Base_de_donnée_clients!N18="","",Base_de_donnée_clients!N18)</f>
        <v/>
      </c>
      <c r="K18" s="133">
        <f>IF(Base_de_donnée_clients!O18="","",Base_de_donnée_clients!O18)</f>
        <v>45680</v>
      </c>
      <c r="L18" s="133">
        <f>IF(Base_de_donnée_clients!P18="","",Base_de_donnée_clients!P18)</f>
        <v>45793</v>
      </c>
      <c r="M18" s="133" t="str">
        <f>IF(Base_de_donnée_clients!Q18="","",Base_de_donnée_clients!Q18)</f>
        <v/>
      </c>
      <c r="N18" s="132" t="str">
        <f>IF(Base_de_donnée_clients!R18="","",Base_de_donnée_clients!R18)</f>
        <v/>
      </c>
    </row>
    <row r="19" spans="1:14" ht="24" customHeight="1" x14ac:dyDescent="0.45">
      <c r="A19" s="131">
        <f>IF(Base_de_donnée_clients!A19="","",Base_de_donnée_clients!A19)</f>
        <v>12</v>
      </c>
      <c r="B19" s="132" t="str">
        <f>IF(Base_de_donnée_clients!B19="","",Base_de_donnée_clients!B19)</f>
        <v>A204</v>
      </c>
      <c r="C19" s="132" t="str">
        <f>IF(Base_de_donnée_clients!C19="","",Base_de_donnée_clients!C19)</f>
        <v/>
      </c>
      <c r="D19" s="132" t="str">
        <f>IF(Base_de_donnée_clients!H19="","",Base_de_donnée_clients!H19)</f>
        <v/>
      </c>
      <c r="E19" s="132" t="str">
        <f>IF(Base_de_donnée_clients!I19="","",Base_de_donnée_clients!I19)</f>
        <v/>
      </c>
      <c r="F19" s="133" t="str">
        <f>IF(Base_de_donnée_clients!J19="","",Base_de_donnée_clients!J19)</f>
        <v/>
      </c>
      <c r="G19" s="133" t="str">
        <f>IF(Base_de_donnée_clients!K19="","",Base_de_donnée_clients!K19)</f>
        <v/>
      </c>
      <c r="H19" s="132" t="str">
        <f>IF(Base_de_donnée_clients!L19="","",Base_de_donnée_clients!L19)</f>
        <v/>
      </c>
      <c r="I19" s="132" t="str">
        <f>IF(Base_de_donnée_clients!M19="","",Base_de_donnée_clients!M19)</f>
        <v/>
      </c>
      <c r="J19" s="132" t="str">
        <f>IF(Base_de_donnée_clients!N19="","",Base_de_donnée_clients!N19)</f>
        <v/>
      </c>
      <c r="K19" s="133" t="str">
        <f>IF(Base_de_donnée_clients!O19="","",Base_de_donnée_clients!O19)</f>
        <v/>
      </c>
      <c r="L19" s="133" t="str">
        <f>IF(Base_de_donnée_clients!P19="","",Base_de_donnée_clients!P19)</f>
        <v/>
      </c>
      <c r="M19" s="133" t="str">
        <f>IF(Base_de_donnée_clients!Q19="","",Base_de_donnée_clients!Q19)</f>
        <v/>
      </c>
      <c r="N19" s="132" t="str">
        <f>IF(Base_de_donnée_clients!R19="","",Base_de_donnée_clients!R19)</f>
        <v/>
      </c>
    </row>
    <row r="20" spans="1:14" ht="24" customHeight="1" x14ac:dyDescent="0.45">
      <c r="A20" s="131" t="str">
        <f>IF(Base_de_donnée_clients!A20="","",Base_de_donnée_clients!A20)</f>
        <v/>
      </c>
      <c r="B20" s="132" t="str">
        <f>IF(Base_de_donnée_clients!B20="","",Base_de_donnée_clients!B20)</f>
        <v/>
      </c>
      <c r="C20" s="132" t="str">
        <f>IF(Base_de_donnée_clients!C20="","",Base_de_donnée_clients!C20)</f>
        <v/>
      </c>
      <c r="D20" s="132" t="str">
        <f>IF(Base_de_donnée_clients!H20="","",Base_de_donnée_clients!H20)</f>
        <v/>
      </c>
      <c r="E20" s="132" t="str">
        <f>IF(Base_de_donnée_clients!I20="","",Base_de_donnée_clients!I20)</f>
        <v/>
      </c>
      <c r="F20" s="133" t="str">
        <f>IF(Base_de_donnée_clients!J20="","",Base_de_donnée_clients!J20)</f>
        <v/>
      </c>
      <c r="G20" s="133" t="str">
        <f>IF(Base_de_donnée_clients!K20="","",Base_de_donnée_clients!K20)</f>
        <v/>
      </c>
      <c r="H20" s="132" t="str">
        <f>IF(Base_de_donnée_clients!L20="","",Base_de_donnée_clients!L20)</f>
        <v/>
      </c>
      <c r="I20" s="132" t="str">
        <f>IF(Base_de_donnée_clients!M20="","",Base_de_donnée_clients!M20)</f>
        <v/>
      </c>
      <c r="J20" s="132" t="str">
        <f>IF(Base_de_donnée_clients!N20="","",Base_de_donnée_clients!N20)</f>
        <v/>
      </c>
      <c r="K20" s="133" t="str">
        <f>IF(Base_de_donnée_clients!O20="","",Base_de_donnée_clients!O20)</f>
        <v/>
      </c>
      <c r="L20" s="133" t="str">
        <f>IF(Base_de_donnée_clients!P20="","",Base_de_donnée_clients!P20)</f>
        <v/>
      </c>
      <c r="M20" s="133" t="str">
        <f>IF(Base_de_donnée_clients!Q20="","",Base_de_donnée_clients!Q20)</f>
        <v/>
      </c>
      <c r="N20" s="132" t="str">
        <f>IF(Base_de_donnée_clients!R20="","",Base_de_donnée_clients!R20)</f>
        <v/>
      </c>
    </row>
    <row r="21" spans="1:14" ht="24" customHeight="1" x14ac:dyDescent="0.45">
      <c r="A21" s="131" t="str">
        <f>IF(Base_de_donnée_clients!A21="","",Base_de_donnée_clients!A21)</f>
        <v/>
      </c>
      <c r="B21" s="132" t="str">
        <f>IF(Base_de_donnée_clients!B21="","",Base_de_donnée_clients!B21)</f>
        <v/>
      </c>
      <c r="C21" s="132" t="str">
        <f>IF(Base_de_donnée_clients!C21="","",Base_de_donnée_clients!C21)</f>
        <v/>
      </c>
      <c r="D21" s="132" t="str">
        <f>IF(Base_de_donnée_clients!H21="","",Base_de_donnée_clients!H21)</f>
        <v/>
      </c>
      <c r="E21" s="132" t="str">
        <f>IF(Base_de_donnée_clients!I21="","",Base_de_donnée_clients!I21)</f>
        <v/>
      </c>
      <c r="F21" s="133" t="str">
        <f>IF(Base_de_donnée_clients!J21="","",Base_de_donnée_clients!J21)</f>
        <v/>
      </c>
      <c r="G21" s="133" t="str">
        <f>IF(Base_de_donnée_clients!K21="","",Base_de_donnée_clients!K21)</f>
        <v/>
      </c>
      <c r="H21" s="132" t="str">
        <f>IF(Base_de_donnée_clients!L21="","",Base_de_donnée_clients!L21)</f>
        <v/>
      </c>
      <c r="I21" s="132" t="str">
        <f>IF(Base_de_donnée_clients!M21="","",Base_de_donnée_clients!M21)</f>
        <v/>
      </c>
      <c r="J21" s="132" t="str">
        <f>IF(Base_de_donnée_clients!N21="","",Base_de_donnée_clients!N21)</f>
        <v/>
      </c>
      <c r="K21" s="133" t="str">
        <f>IF(Base_de_donnée_clients!O21="","",Base_de_donnée_clients!O21)</f>
        <v/>
      </c>
      <c r="L21" s="133" t="str">
        <f>IF(Base_de_donnée_clients!P21="","",Base_de_donnée_clients!P21)</f>
        <v/>
      </c>
      <c r="M21" s="133" t="str">
        <f>IF(Base_de_donnée_clients!Q21="","",Base_de_donnée_clients!Q21)</f>
        <v/>
      </c>
      <c r="N21" s="132" t="str">
        <f>IF(Base_de_donnée_clients!R21="","",Base_de_donnée_clients!R21)</f>
        <v/>
      </c>
    </row>
    <row r="22" spans="1:14" ht="24" customHeight="1" x14ac:dyDescent="0.45">
      <c r="A22" s="131" t="str">
        <f>IF(Base_de_donnée_clients!A22="","",Base_de_donnée_clients!A22)</f>
        <v/>
      </c>
      <c r="B22" s="132" t="str">
        <f>IF(Base_de_donnée_clients!B22="","",Base_de_donnée_clients!B22)</f>
        <v/>
      </c>
      <c r="C22" s="132" t="str">
        <f>IF(Base_de_donnée_clients!C22="","",Base_de_donnée_clients!C22)</f>
        <v/>
      </c>
      <c r="D22" s="132" t="str">
        <f>IF(Base_de_donnée_clients!H22="","",Base_de_donnée_clients!H22)</f>
        <v/>
      </c>
      <c r="E22" s="132" t="str">
        <f>IF(Base_de_donnée_clients!I22="","",Base_de_donnée_clients!I22)</f>
        <v/>
      </c>
      <c r="F22" s="133" t="str">
        <f>IF(Base_de_donnée_clients!J22="","",Base_de_donnée_clients!J22)</f>
        <v/>
      </c>
      <c r="G22" s="133" t="str">
        <f>IF(Base_de_donnée_clients!K22="","",Base_de_donnée_clients!K22)</f>
        <v/>
      </c>
      <c r="H22" s="132" t="str">
        <f>IF(Base_de_donnée_clients!L22="","",Base_de_donnée_clients!L22)</f>
        <v/>
      </c>
      <c r="I22" s="132" t="str">
        <f>IF(Base_de_donnée_clients!M22="","",Base_de_donnée_clients!M22)</f>
        <v/>
      </c>
      <c r="J22" s="132" t="str">
        <f>IF(Base_de_donnée_clients!N22="","",Base_de_donnée_clients!N22)</f>
        <v/>
      </c>
      <c r="K22" s="133" t="str">
        <f>IF(Base_de_donnée_clients!O22="","",Base_de_donnée_clients!O22)</f>
        <v/>
      </c>
      <c r="L22" s="133" t="str">
        <f>IF(Base_de_donnée_clients!P22="","",Base_de_donnée_clients!P22)</f>
        <v/>
      </c>
      <c r="M22" s="133" t="str">
        <f>IF(Base_de_donnée_clients!Q22="","",Base_de_donnée_clients!Q22)</f>
        <v/>
      </c>
      <c r="N22" s="132" t="str">
        <f>IF(Base_de_donnée_clients!R22="","",Base_de_donnée_clients!R22)</f>
        <v/>
      </c>
    </row>
    <row r="23" spans="1:14" ht="24" customHeight="1" x14ac:dyDescent="0.45">
      <c r="A23" s="131" t="str">
        <f>IF(Base_de_donnée_clients!A23="","",Base_de_donnée_clients!A23)</f>
        <v/>
      </c>
      <c r="B23" s="132" t="str">
        <f>IF(Base_de_donnée_clients!B23="","",Base_de_donnée_clients!B23)</f>
        <v/>
      </c>
      <c r="C23" s="132" t="str">
        <f>IF(Base_de_donnée_clients!C23="","",Base_de_donnée_clients!C23)</f>
        <v/>
      </c>
      <c r="D23" s="132" t="str">
        <f>IF(Base_de_donnée_clients!H23="","",Base_de_donnée_clients!H23)</f>
        <v/>
      </c>
      <c r="E23" s="132" t="str">
        <f>IF(Base_de_donnée_clients!I23="","",Base_de_donnée_clients!I23)</f>
        <v/>
      </c>
      <c r="F23" s="133" t="str">
        <f>IF(Base_de_donnée_clients!J23="","",Base_de_donnée_clients!J23)</f>
        <v/>
      </c>
      <c r="G23" s="133" t="str">
        <f>IF(Base_de_donnée_clients!K23="","",Base_de_donnée_clients!K23)</f>
        <v/>
      </c>
      <c r="H23" s="132" t="str">
        <f>IF(Base_de_donnée_clients!L23="","",Base_de_donnée_clients!L23)</f>
        <v/>
      </c>
      <c r="I23" s="132" t="str">
        <f>IF(Base_de_donnée_clients!M23="","",Base_de_donnée_clients!M23)</f>
        <v/>
      </c>
      <c r="J23" s="132" t="str">
        <f>IF(Base_de_donnée_clients!N23="","",Base_de_donnée_clients!N23)</f>
        <v/>
      </c>
      <c r="K23" s="133" t="str">
        <f>IF(Base_de_donnée_clients!O23="","",Base_de_donnée_clients!O23)</f>
        <v/>
      </c>
      <c r="L23" s="133" t="str">
        <f>IF(Base_de_donnée_clients!P23="","",Base_de_donnée_clients!P23)</f>
        <v/>
      </c>
      <c r="M23" s="133" t="str">
        <f>IF(Base_de_donnée_clients!Q23="","",Base_de_donnée_clients!Q23)</f>
        <v/>
      </c>
      <c r="N23" s="132" t="str">
        <f>IF(Base_de_donnée_clients!R23="","",Base_de_donnée_clients!R23)</f>
        <v/>
      </c>
    </row>
    <row r="24" spans="1:14" ht="24" customHeight="1" x14ac:dyDescent="0.45">
      <c r="A24" s="131" t="str">
        <f>IF(Base_de_donnée_clients!A24="","",Base_de_donnée_clients!A24)</f>
        <v/>
      </c>
      <c r="B24" s="132" t="str">
        <f>IF(Base_de_donnée_clients!B24="","",Base_de_donnée_clients!B24)</f>
        <v/>
      </c>
      <c r="C24" s="132" t="str">
        <f>IF(Base_de_donnée_clients!C24="","",Base_de_donnée_clients!C24)</f>
        <v/>
      </c>
      <c r="D24" s="132" t="str">
        <f>IF(Base_de_donnée_clients!H24="","",Base_de_donnée_clients!H24)</f>
        <v/>
      </c>
      <c r="E24" s="132" t="str">
        <f>IF(Base_de_donnée_clients!I24="","",Base_de_donnée_clients!I24)</f>
        <v/>
      </c>
      <c r="F24" s="133" t="str">
        <f>IF(Base_de_donnée_clients!J24="","",Base_de_donnée_clients!J24)</f>
        <v/>
      </c>
      <c r="G24" s="133" t="str">
        <f>IF(Base_de_donnée_clients!K24="","",Base_de_donnée_clients!K24)</f>
        <v/>
      </c>
      <c r="H24" s="132" t="str">
        <f>IF(Base_de_donnée_clients!L24="","",Base_de_donnée_clients!L24)</f>
        <v/>
      </c>
      <c r="I24" s="132" t="str">
        <f>IF(Base_de_donnée_clients!M24="","",Base_de_donnée_clients!M24)</f>
        <v/>
      </c>
      <c r="J24" s="132" t="str">
        <f>IF(Base_de_donnée_clients!N24="","",Base_de_donnée_clients!N24)</f>
        <v/>
      </c>
      <c r="K24" s="133" t="str">
        <f>IF(Base_de_donnée_clients!O24="","",Base_de_donnée_clients!O24)</f>
        <v/>
      </c>
      <c r="L24" s="133" t="str">
        <f>IF(Base_de_donnée_clients!P24="","",Base_de_donnée_clients!P24)</f>
        <v/>
      </c>
      <c r="M24" s="133" t="str">
        <f>IF(Base_de_donnée_clients!Q24="","",Base_de_donnée_clients!Q24)</f>
        <v/>
      </c>
      <c r="N24" s="132" t="str">
        <f>IF(Base_de_donnée_clients!R24="","",Base_de_donnée_clients!R24)</f>
        <v/>
      </c>
    </row>
    <row r="25" spans="1:14" ht="24" customHeight="1" x14ac:dyDescent="0.45">
      <c r="A25" s="131" t="str">
        <f>IF(Base_de_donnée_clients!A25="","",Base_de_donnée_clients!A25)</f>
        <v/>
      </c>
      <c r="B25" s="132" t="str">
        <f>IF(Base_de_donnée_clients!B25="","",Base_de_donnée_clients!B25)</f>
        <v/>
      </c>
      <c r="C25" s="132" t="str">
        <f>IF(Base_de_donnée_clients!C25="","",Base_de_donnée_clients!C25)</f>
        <v/>
      </c>
      <c r="D25" s="132" t="str">
        <f>IF(Base_de_donnée_clients!H25="","",Base_de_donnée_clients!H25)</f>
        <v/>
      </c>
      <c r="E25" s="132" t="str">
        <f>IF(Base_de_donnée_clients!I25="","",Base_de_donnée_clients!I25)</f>
        <v/>
      </c>
      <c r="F25" s="133" t="str">
        <f>IF(Base_de_donnée_clients!J25="","",Base_de_donnée_clients!J25)</f>
        <v/>
      </c>
      <c r="G25" s="133" t="str">
        <f>IF(Base_de_donnée_clients!K25="","",Base_de_donnée_clients!K25)</f>
        <v/>
      </c>
      <c r="H25" s="132" t="str">
        <f>IF(Base_de_donnée_clients!L25="","",Base_de_donnée_clients!L25)</f>
        <v/>
      </c>
      <c r="I25" s="132" t="str">
        <f>IF(Base_de_donnée_clients!M25="","",Base_de_donnée_clients!M25)</f>
        <v/>
      </c>
      <c r="J25" s="132" t="str">
        <f>IF(Base_de_donnée_clients!N25="","",Base_de_donnée_clients!N25)</f>
        <v/>
      </c>
      <c r="K25" s="133" t="str">
        <f>IF(Base_de_donnée_clients!O25="","",Base_de_donnée_clients!O25)</f>
        <v/>
      </c>
      <c r="L25" s="133" t="str">
        <f>IF(Base_de_donnée_clients!P25="","",Base_de_donnée_clients!P25)</f>
        <v/>
      </c>
      <c r="M25" s="133" t="str">
        <f>IF(Base_de_donnée_clients!Q25="","",Base_de_donnée_clients!Q25)</f>
        <v/>
      </c>
      <c r="N25" s="132" t="str">
        <f>IF(Base_de_donnée_clients!R25="","",Base_de_donnée_clients!R25)</f>
        <v/>
      </c>
    </row>
    <row r="26" spans="1:14" ht="24" customHeight="1" x14ac:dyDescent="0.45">
      <c r="A26" s="131" t="str">
        <f>IF(Base_de_donnée_clients!A26="","",Base_de_donnée_clients!A26)</f>
        <v/>
      </c>
      <c r="B26" s="132" t="str">
        <f>IF(Base_de_donnée_clients!B26="","",Base_de_donnée_clients!B26)</f>
        <v/>
      </c>
      <c r="C26" s="132" t="str">
        <f>IF(Base_de_donnée_clients!C26="","",Base_de_donnée_clients!C26)</f>
        <v/>
      </c>
      <c r="D26" s="132" t="str">
        <f>IF(Base_de_donnée_clients!H26="","",Base_de_donnée_clients!H26)</f>
        <v/>
      </c>
      <c r="E26" s="132" t="str">
        <f>IF(Base_de_donnée_clients!I26="","",Base_de_donnée_clients!I26)</f>
        <v/>
      </c>
      <c r="F26" s="133" t="str">
        <f>IF(Base_de_donnée_clients!J26="","",Base_de_donnée_clients!J26)</f>
        <v/>
      </c>
      <c r="G26" s="133" t="str">
        <f>IF(Base_de_donnée_clients!K26="","",Base_de_donnée_clients!K26)</f>
        <v/>
      </c>
      <c r="H26" s="132" t="str">
        <f>IF(Base_de_donnée_clients!L26="","",Base_de_donnée_clients!L26)</f>
        <v/>
      </c>
      <c r="I26" s="132" t="str">
        <f>IF(Base_de_donnée_clients!M26="","",Base_de_donnée_clients!M26)</f>
        <v/>
      </c>
      <c r="J26" s="132" t="str">
        <f>IF(Base_de_donnée_clients!N26="","",Base_de_donnée_clients!N26)</f>
        <v/>
      </c>
      <c r="K26" s="133" t="str">
        <f>IF(Base_de_donnée_clients!O26="","",Base_de_donnée_clients!O26)</f>
        <v/>
      </c>
      <c r="L26" s="133" t="str">
        <f>IF(Base_de_donnée_clients!P26="","",Base_de_donnée_clients!P26)</f>
        <v/>
      </c>
      <c r="M26" s="133" t="str">
        <f>IF(Base_de_donnée_clients!Q26="","",Base_de_donnée_clients!Q26)</f>
        <v/>
      </c>
      <c r="N26" s="132" t="str">
        <f>IF(Base_de_donnée_clients!R26="","",Base_de_donnée_clients!R26)</f>
        <v/>
      </c>
    </row>
    <row r="27" spans="1:14" ht="24" customHeight="1" x14ac:dyDescent="0.45">
      <c r="A27" s="131" t="str">
        <f>IF(Base_de_donnée_clients!A27="","",Base_de_donnée_clients!A27)</f>
        <v/>
      </c>
      <c r="B27" s="132" t="str">
        <f>IF(Base_de_donnée_clients!B27="","",Base_de_donnée_clients!B27)</f>
        <v/>
      </c>
      <c r="C27" s="132" t="str">
        <f>IF(Base_de_donnée_clients!C27="","",Base_de_donnée_clients!C27)</f>
        <v/>
      </c>
      <c r="D27" s="132" t="str">
        <f>IF(Base_de_donnée_clients!H27="","",Base_de_donnée_clients!H27)</f>
        <v/>
      </c>
      <c r="E27" s="132" t="str">
        <f>IF(Base_de_donnée_clients!I27="","",Base_de_donnée_clients!I27)</f>
        <v/>
      </c>
      <c r="F27" s="133" t="str">
        <f>IF(Base_de_donnée_clients!J27="","",Base_de_donnée_clients!J27)</f>
        <v/>
      </c>
      <c r="G27" s="133" t="str">
        <f>IF(Base_de_donnée_clients!K27="","",Base_de_donnée_clients!K27)</f>
        <v/>
      </c>
      <c r="H27" s="132" t="str">
        <f>IF(Base_de_donnée_clients!L27="","",Base_de_donnée_clients!L27)</f>
        <v/>
      </c>
      <c r="I27" s="132" t="str">
        <f>IF(Base_de_donnée_clients!M27="","",Base_de_donnée_clients!M27)</f>
        <v/>
      </c>
      <c r="J27" s="132" t="str">
        <f>IF(Base_de_donnée_clients!N27="","",Base_de_donnée_clients!N27)</f>
        <v/>
      </c>
      <c r="K27" s="133" t="str">
        <f>IF(Base_de_donnée_clients!O27="","",Base_de_donnée_clients!O27)</f>
        <v/>
      </c>
      <c r="L27" s="133" t="str">
        <f>IF(Base_de_donnée_clients!P27="","",Base_de_donnée_clients!P27)</f>
        <v/>
      </c>
      <c r="M27" s="133" t="str">
        <f>IF(Base_de_donnée_clients!Q27="","",Base_de_donnée_clients!Q27)</f>
        <v/>
      </c>
      <c r="N27" s="132" t="str">
        <f>IF(Base_de_donnée_clients!R27="","",Base_de_donnée_clients!R27)</f>
        <v/>
      </c>
    </row>
    <row r="28" spans="1:14" ht="24" customHeight="1" x14ac:dyDescent="0.45">
      <c r="A28" s="131" t="str">
        <f>IF(Base_de_donnée_clients!A28="","",Base_de_donnée_clients!A28)</f>
        <v/>
      </c>
      <c r="B28" s="132" t="str">
        <f>IF(Base_de_donnée_clients!B28="","",Base_de_donnée_clients!B28)</f>
        <v/>
      </c>
      <c r="C28" s="132" t="str">
        <f>IF(Base_de_donnée_clients!C28="","",Base_de_donnée_clients!C28)</f>
        <v/>
      </c>
      <c r="D28" s="132" t="str">
        <f>IF(Base_de_donnée_clients!H28="","",Base_de_donnée_clients!H28)</f>
        <v/>
      </c>
      <c r="E28" s="132" t="str">
        <f>IF(Base_de_donnée_clients!I28="","",Base_de_donnée_clients!I28)</f>
        <v/>
      </c>
      <c r="F28" s="133" t="str">
        <f>IF(Base_de_donnée_clients!J28="","",Base_de_donnée_clients!J28)</f>
        <v/>
      </c>
      <c r="G28" s="133" t="str">
        <f>IF(Base_de_donnée_clients!K28="","",Base_de_donnée_clients!K28)</f>
        <v/>
      </c>
      <c r="H28" s="132" t="str">
        <f>IF(Base_de_donnée_clients!L28="","",Base_de_donnée_clients!L28)</f>
        <v/>
      </c>
      <c r="I28" s="132" t="str">
        <f>IF(Base_de_donnée_clients!M28="","",Base_de_donnée_clients!M28)</f>
        <v/>
      </c>
      <c r="J28" s="132" t="str">
        <f>IF(Base_de_donnée_clients!N28="","",Base_de_donnée_clients!N28)</f>
        <v/>
      </c>
      <c r="K28" s="133" t="str">
        <f>IF(Base_de_donnée_clients!O28="","",Base_de_donnée_clients!O28)</f>
        <v/>
      </c>
      <c r="L28" s="133" t="str">
        <f>IF(Base_de_donnée_clients!P28="","",Base_de_donnée_clients!P28)</f>
        <v/>
      </c>
      <c r="M28" s="133" t="str">
        <f>IF(Base_de_donnée_clients!Q28="","",Base_de_donnée_clients!Q28)</f>
        <v/>
      </c>
      <c r="N28" s="132" t="str">
        <f>IF(Base_de_donnée_clients!R28="","",Base_de_donnée_clients!R28)</f>
        <v/>
      </c>
    </row>
    <row r="29" spans="1:14" ht="24" customHeight="1" x14ac:dyDescent="0.45">
      <c r="A29" s="131" t="str">
        <f>IF(Base_de_donnée_clients!A29="","",Base_de_donnée_clients!A29)</f>
        <v/>
      </c>
      <c r="B29" s="132" t="str">
        <f>IF(Base_de_donnée_clients!B29="","",Base_de_donnée_clients!B29)</f>
        <v/>
      </c>
      <c r="C29" s="132" t="str">
        <f>IF(Base_de_donnée_clients!C29="","",Base_de_donnée_clients!C29)</f>
        <v/>
      </c>
      <c r="D29" s="132" t="str">
        <f>IF(Base_de_donnée_clients!H29="","",Base_de_donnée_clients!H29)</f>
        <v/>
      </c>
      <c r="E29" s="132" t="str">
        <f>IF(Base_de_donnée_clients!I29="","",Base_de_donnée_clients!I29)</f>
        <v/>
      </c>
      <c r="F29" s="133" t="str">
        <f>IF(Base_de_donnée_clients!J29="","",Base_de_donnée_clients!J29)</f>
        <v/>
      </c>
      <c r="G29" s="133" t="str">
        <f>IF(Base_de_donnée_clients!K29="","",Base_de_donnée_clients!K29)</f>
        <v/>
      </c>
      <c r="H29" s="132" t="str">
        <f>IF(Base_de_donnée_clients!L29="","",Base_de_donnée_clients!L29)</f>
        <v/>
      </c>
      <c r="I29" s="132" t="str">
        <f>IF(Base_de_donnée_clients!M29="","",Base_de_donnée_clients!M29)</f>
        <v/>
      </c>
      <c r="J29" s="132" t="str">
        <f>IF(Base_de_donnée_clients!N29="","",Base_de_donnée_clients!N29)</f>
        <v/>
      </c>
      <c r="K29" s="133" t="str">
        <f>IF(Base_de_donnée_clients!O29="","",Base_de_donnée_clients!O29)</f>
        <v/>
      </c>
      <c r="L29" s="133" t="str">
        <f>IF(Base_de_donnée_clients!P29="","",Base_de_donnée_clients!P29)</f>
        <v/>
      </c>
      <c r="M29" s="133" t="str">
        <f>IF(Base_de_donnée_clients!Q29="","",Base_de_donnée_clients!Q29)</f>
        <v/>
      </c>
      <c r="N29" s="132" t="str">
        <f>IF(Base_de_donnée_clients!R29="","",Base_de_donnée_clients!R29)</f>
        <v/>
      </c>
    </row>
    <row r="30" spans="1:14" ht="24" customHeight="1" x14ac:dyDescent="0.45">
      <c r="A30" s="131" t="str">
        <f>IF(Base_de_donnée_clients!A30="","",Base_de_donnée_clients!A30)</f>
        <v/>
      </c>
      <c r="B30" s="132" t="str">
        <f>IF(Base_de_donnée_clients!B30="","",Base_de_donnée_clients!B30)</f>
        <v/>
      </c>
      <c r="C30" s="132" t="str">
        <f>IF(Base_de_donnée_clients!C30="","",Base_de_donnée_clients!C30)</f>
        <v/>
      </c>
      <c r="D30" s="132" t="str">
        <f>IF(Base_de_donnée_clients!H30="","",Base_de_donnée_clients!H30)</f>
        <v/>
      </c>
      <c r="E30" s="132" t="str">
        <f>IF(Base_de_donnée_clients!I30="","",Base_de_donnée_clients!I30)</f>
        <v/>
      </c>
      <c r="F30" s="133" t="str">
        <f>IF(Base_de_donnée_clients!J30="","",Base_de_donnée_clients!J30)</f>
        <v/>
      </c>
      <c r="G30" s="133" t="str">
        <f>IF(Base_de_donnée_clients!K30="","",Base_de_donnée_clients!K30)</f>
        <v/>
      </c>
      <c r="H30" s="132" t="str">
        <f>IF(Base_de_donnée_clients!L30="","",Base_de_donnée_clients!L30)</f>
        <v/>
      </c>
      <c r="I30" s="132" t="str">
        <f>IF(Base_de_donnée_clients!M30="","",Base_de_donnée_clients!M30)</f>
        <v/>
      </c>
      <c r="J30" s="132" t="str">
        <f>IF(Base_de_donnée_clients!N30="","",Base_de_donnée_clients!N30)</f>
        <v/>
      </c>
      <c r="K30" s="133" t="str">
        <f>IF(Base_de_donnée_clients!O30="","",Base_de_donnée_clients!O30)</f>
        <v/>
      </c>
      <c r="L30" s="133" t="str">
        <f>IF(Base_de_donnée_clients!P30="","",Base_de_donnée_clients!P30)</f>
        <v/>
      </c>
      <c r="M30" s="133" t="str">
        <f>IF(Base_de_donnée_clients!Q30="","",Base_de_donnée_clients!Q30)</f>
        <v/>
      </c>
      <c r="N30" s="132" t="str">
        <f>IF(Base_de_donnée_clients!R30="","",Base_de_donnée_clients!R30)</f>
        <v/>
      </c>
    </row>
    <row r="31" spans="1:14" ht="24" customHeight="1" x14ac:dyDescent="0.45">
      <c r="A31" s="131" t="str">
        <f>IF(Base_de_donnée_clients!A31="","",Base_de_donnée_clients!A31)</f>
        <v/>
      </c>
      <c r="B31" s="132" t="str">
        <f>IF(Base_de_donnée_clients!B31="","",Base_de_donnée_clients!B31)</f>
        <v/>
      </c>
      <c r="C31" s="132" t="str">
        <f>IF(Base_de_donnée_clients!C31="","",Base_de_donnée_clients!C31)</f>
        <v/>
      </c>
      <c r="D31" s="132" t="str">
        <f>IF(Base_de_donnée_clients!H31="","",Base_de_donnée_clients!H31)</f>
        <v/>
      </c>
      <c r="E31" s="132" t="str">
        <f>IF(Base_de_donnée_clients!I31="","",Base_de_donnée_clients!I31)</f>
        <v/>
      </c>
      <c r="F31" s="133" t="str">
        <f>IF(Base_de_donnée_clients!J31="","",Base_de_donnée_clients!J31)</f>
        <v/>
      </c>
      <c r="G31" s="133" t="str">
        <f>IF(Base_de_donnée_clients!K31="","",Base_de_donnée_clients!K31)</f>
        <v/>
      </c>
      <c r="H31" s="132" t="str">
        <f>IF(Base_de_donnée_clients!L31="","",Base_de_donnée_clients!L31)</f>
        <v/>
      </c>
      <c r="I31" s="132" t="str">
        <f>IF(Base_de_donnée_clients!M31="","",Base_de_donnée_clients!M31)</f>
        <v/>
      </c>
      <c r="J31" s="132" t="str">
        <f>IF(Base_de_donnée_clients!N31="","",Base_de_donnée_clients!N31)</f>
        <v/>
      </c>
      <c r="K31" s="133" t="str">
        <f>IF(Base_de_donnée_clients!O31="","",Base_de_donnée_clients!O31)</f>
        <v/>
      </c>
      <c r="L31" s="133" t="str">
        <f>IF(Base_de_donnée_clients!P31="","",Base_de_donnée_clients!P31)</f>
        <v/>
      </c>
      <c r="M31" s="133" t="str">
        <f>IF(Base_de_donnée_clients!Q31="","",Base_de_donnée_clients!Q31)</f>
        <v/>
      </c>
      <c r="N31" s="132" t="str">
        <f>IF(Base_de_donnée_clients!R31="","",Base_de_donnée_clients!R31)</f>
        <v/>
      </c>
    </row>
    <row r="32" spans="1:14" ht="24" customHeight="1" x14ac:dyDescent="0.45">
      <c r="A32" s="131" t="str">
        <f>IF(Base_de_donnée_clients!A32="","",Base_de_donnée_clients!A32)</f>
        <v/>
      </c>
      <c r="B32" s="132" t="str">
        <f>IF(Base_de_donnée_clients!B32="","",Base_de_donnée_clients!B32)</f>
        <v/>
      </c>
      <c r="C32" s="132" t="str">
        <f>IF(Base_de_donnée_clients!C32="","",Base_de_donnée_clients!C32)</f>
        <v/>
      </c>
      <c r="D32" s="132" t="str">
        <f>IF(Base_de_donnée_clients!H32="","",Base_de_donnée_clients!H32)</f>
        <v/>
      </c>
      <c r="E32" s="132" t="str">
        <f>IF(Base_de_donnée_clients!I32="","",Base_de_donnée_clients!I32)</f>
        <v/>
      </c>
      <c r="F32" s="133" t="str">
        <f>IF(Base_de_donnée_clients!J32="","",Base_de_donnée_clients!J32)</f>
        <v/>
      </c>
      <c r="G32" s="133" t="str">
        <f>IF(Base_de_donnée_clients!K32="","",Base_de_donnée_clients!K32)</f>
        <v/>
      </c>
      <c r="H32" s="132" t="str">
        <f>IF(Base_de_donnée_clients!L32="","",Base_de_donnée_clients!L32)</f>
        <v/>
      </c>
      <c r="I32" s="132" t="str">
        <f>IF(Base_de_donnée_clients!M32="","",Base_de_donnée_clients!M32)</f>
        <v/>
      </c>
      <c r="J32" s="132" t="str">
        <f>IF(Base_de_donnée_clients!N32="","",Base_de_donnée_clients!N32)</f>
        <v/>
      </c>
      <c r="K32" s="133" t="str">
        <f>IF(Base_de_donnée_clients!O32="","",Base_de_donnée_clients!O32)</f>
        <v/>
      </c>
      <c r="L32" s="133" t="str">
        <f>IF(Base_de_donnée_clients!P32="","",Base_de_donnée_clients!P32)</f>
        <v/>
      </c>
      <c r="M32" s="133" t="str">
        <f>IF(Base_de_donnée_clients!Q32="","",Base_de_donnée_clients!Q32)</f>
        <v/>
      </c>
      <c r="N32" s="132" t="str">
        <f>IF(Base_de_donnée_clients!R32="","",Base_de_donnée_clients!R32)</f>
        <v/>
      </c>
    </row>
    <row r="33" spans="1:14" ht="24" customHeight="1" x14ac:dyDescent="0.45">
      <c r="A33" s="131" t="str">
        <f>IF(Base_de_donnée_clients!A33="","",Base_de_donnée_clients!A33)</f>
        <v/>
      </c>
      <c r="B33" s="132" t="str">
        <f>IF(Base_de_donnée_clients!B33="","",Base_de_donnée_clients!B33)</f>
        <v/>
      </c>
      <c r="C33" s="132" t="str">
        <f>IF(Base_de_donnée_clients!C33="","",Base_de_donnée_clients!C33)</f>
        <v/>
      </c>
      <c r="D33" s="132" t="str">
        <f>IF(Base_de_donnée_clients!H33="","",Base_de_donnée_clients!H33)</f>
        <v/>
      </c>
      <c r="E33" s="132" t="str">
        <f>IF(Base_de_donnée_clients!I33="","",Base_de_donnée_clients!I33)</f>
        <v/>
      </c>
      <c r="F33" s="133" t="str">
        <f>IF(Base_de_donnée_clients!J33="","",Base_de_donnée_clients!J33)</f>
        <v/>
      </c>
      <c r="G33" s="133" t="str">
        <f>IF(Base_de_donnée_clients!K33="","",Base_de_donnée_clients!K33)</f>
        <v/>
      </c>
      <c r="H33" s="132" t="str">
        <f>IF(Base_de_donnée_clients!L33="","",Base_de_donnée_clients!L33)</f>
        <v/>
      </c>
      <c r="I33" s="132" t="str">
        <f>IF(Base_de_donnée_clients!M33="","",Base_de_donnée_clients!M33)</f>
        <v/>
      </c>
      <c r="J33" s="132" t="str">
        <f>IF(Base_de_donnée_clients!N33="","",Base_de_donnée_clients!N33)</f>
        <v/>
      </c>
      <c r="K33" s="133" t="str">
        <f>IF(Base_de_donnée_clients!O33="","",Base_de_donnée_clients!O33)</f>
        <v/>
      </c>
      <c r="L33" s="133" t="str">
        <f>IF(Base_de_donnée_clients!P33="","",Base_de_donnée_clients!P33)</f>
        <v/>
      </c>
      <c r="M33" s="133" t="str">
        <f>IF(Base_de_donnée_clients!Q33="","",Base_de_donnée_clients!Q33)</f>
        <v/>
      </c>
      <c r="N33" s="132" t="str">
        <f>IF(Base_de_donnée_clients!R33="","",Base_de_donnée_clients!R33)</f>
        <v/>
      </c>
    </row>
    <row r="34" spans="1:14" ht="24" customHeight="1" x14ac:dyDescent="0.45">
      <c r="A34" s="131" t="str">
        <f>IF(Base_de_donnée_clients!A34="","",Base_de_donnée_clients!A34)</f>
        <v/>
      </c>
      <c r="B34" s="132" t="str">
        <f>IF(Base_de_donnée_clients!B34="","",Base_de_donnée_clients!B34)</f>
        <v/>
      </c>
      <c r="C34" s="132" t="str">
        <f>IF(Base_de_donnée_clients!C34="","",Base_de_donnée_clients!C34)</f>
        <v/>
      </c>
      <c r="D34" s="132" t="str">
        <f>IF(Base_de_donnée_clients!H34="","",Base_de_donnée_clients!H34)</f>
        <v/>
      </c>
      <c r="E34" s="132" t="str">
        <f>IF(Base_de_donnée_clients!I34="","",Base_de_donnée_clients!I34)</f>
        <v/>
      </c>
      <c r="F34" s="133" t="str">
        <f>IF(Base_de_donnée_clients!J34="","",Base_de_donnée_clients!J34)</f>
        <v/>
      </c>
      <c r="G34" s="133" t="str">
        <f>IF(Base_de_donnée_clients!K34="","",Base_de_donnée_clients!K34)</f>
        <v/>
      </c>
      <c r="H34" s="132" t="str">
        <f>IF(Base_de_donnée_clients!L34="","",Base_de_donnée_clients!L34)</f>
        <v/>
      </c>
      <c r="I34" s="132" t="str">
        <f>IF(Base_de_donnée_clients!M34="","",Base_de_donnée_clients!M34)</f>
        <v/>
      </c>
      <c r="J34" s="132" t="str">
        <f>IF(Base_de_donnée_clients!N34="","",Base_de_donnée_clients!N34)</f>
        <v/>
      </c>
      <c r="K34" s="133" t="str">
        <f>IF(Base_de_donnée_clients!O34="","",Base_de_donnée_clients!O34)</f>
        <v/>
      </c>
      <c r="L34" s="133" t="str">
        <f>IF(Base_de_donnée_clients!P34="","",Base_de_donnée_clients!P34)</f>
        <v/>
      </c>
      <c r="M34" s="133" t="str">
        <f>IF(Base_de_donnée_clients!Q34="","",Base_de_donnée_clients!Q34)</f>
        <v/>
      </c>
      <c r="N34" s="132" t="str">
        <f>IF(Base_de_donnée_clients!R34="","",Base_de_donnée_clients!R34)</f>
        <v/>
      </c>
    </row>
    <row r="35" spans="1:14" ht="24" customHeight="1" x14ac:dyDescent="0.45">
      <c r="A35" s="131" t="str">
        <f>IF(Base_de_donnée_clients!A35="","",Base_de_donnée_clients!A35)</f>
        <v/>
      </c>
      <c r="B35" s="132" t="str">
        <f>IF(Base_de_donnée_clients!B35="","",Base_de_donnée_clients!B35)</f>
        <v/>
      </c>
      <c r="C35" s="132" t="str">
        <f>IF(Base_de_donnée_clients!C35="","",Base_de_donnée_clients!C35)</f>
        <v/>
      </c>
      <c r="D35" s="132" t="str">
        <f>IF(Base_de_donnée_clients!H35="","",Base_de_donnée_clients!H35)</f>
        <v/>
      </c>
      <c r="E35" s="132" t="str">
        <f>IF(Base_de_donnée_clients!I35="","",Base_de_donnée_clients!I35)</f>
        <v/>
      </c>
      <c r="F35" s="133" t="str">
        <f>IF(Base_de_donnée_clients!J35="","",Base_de_donnée_clients!J35)</f>
        <v/>
      </c>
      <c r="G35" s="133" t="str">
        <f>IF(Base_de_donnée_clients!K35="","",Base_de_donnée_clients!K35)</f>
        <v/>
      </c>
      <c r="H35" s="132" t="str">
        <f>IF(Base_de_donnée_clients!L35="","",Base_de_donnée_clients!L35)</f>
        <v/>
      </c>
      <c r="I35" s="132" t="str">
        <f>IF(Base_de_donnée_clients!M35="","",Base_de_donnée_clients!M35)</f>
        <v/>
      </c>
      <c r="J35" s="132" t="str">
        <f>IF(Base_de_donnée_clients!N35="","",Base_de_donnée_clients!N35)</f>
        <v/>
      </c>
      <c r="K35" s="133" t="str">
        <f>IF(Base_de_donnée_clients!O35="","",Base_de_donnée_clients!O35)</f>
        <v/>
      </c>
      <c r="L35" s="133" t="str">
        <f>IF(Base_de_donnée_clients!P35="","",Base_de_donnée_clients!P35)</f>
        <v/>
      </c>
      <c r="M35" s="133" t="str">
        <f>IF(Base_de_donnée_clients!Q35="","",Base_de_donnée_clients!Q35)</f>
        <v/>
      </c>
      <c r="N35" s="132" t="str">
        <f>IF(Base_de_donnée_clients!R35="","",Base_de_donnée_clients!R35)</f>
        <v/>
      </c>
    </row>
    <row r="36" spans="1:14" ht="24" customHeight="1" x14ac:dyDescent="0.45">
      <c r="A36" s="131" t="str">
        <f>IF(Base_de_donnée_clients!A36="","",Base_de_donnée_clients!A36)</f>
        <v/>
      </c>
      <c r="B36" s="132" t="str">
        <f>IF(Base_de_donnée_clients!B36="","",Base_de_donnée_clients!B36)</f>
        <v/>
      </c>
      <c r="C36" s="132" t="str">
        <f>IF(Base_de_donnée_clients!C36="","",Base_de_donnée_clients!C36)</f>
        <v/>
      </c>
      <c r="D36" s="132" t="str">
        <f>IF(Base_de_donnée_clients!H36="","",Base_de_donnée_clients!H36)</f>
        <v/>
      </c>
      <c r="E36" s="132" t="str">
        <f>IF(Base_de_donnée_clients!I36="","",Base_de_donnée_clients!I36)</f>
        <v/>
      </c>
      <c r="F36" s="133" t="str">
        <f>IF(Base_de_donnée_clients!J36="","",Base_de_donnée_clients!J36)</f>
        <v/>
      </c>
      <c r="G36" s="133" t="str">
        <f>IF(Base_de_donnée_clients!K36="","",Base_de_donnée_clients!K36)</f>
        <v/>
      </c>
      <c r="H36" s="132" t="str">
        <f>IF(Base_de_donnée_clients!L36="","",Base_de_donnée_clients!L36)</f>
        <v/>
      </c>
      <c r="I36" s="132" t="str">
        <f>IF(Base_de_donnée_clients!M36="","",Base_de_donnée_clients!M36)</f>
        <v/>
      </c>
      <c r="J36" s="132" t="str">
        <f>IF(Base_de_donnée_clients!N36="","",Base_de_donnée_clients!N36)</f>
        <v/>
      </c>
      <c r="K36" s="133" t="str">
        <f>IF(Base_de_donnée_clients!O36="","",Base_de_donnée_clients!O36)</f>
        <v/>
      </c>
      <c r="L36" s="133" t="str">
        <f>IF(Base_de_donnée_clients!P36="","",Base_de_donnée_clients!P36)</f>
        <v/>
      </c>
      <c r="M36" s="133" t="str">
        <f>IF(Base_de_donnée_clients!Q36="","",Base_de_donnée_clients!Q36)</f>
        <v/>
      </c>
      <c r="N36" s="132" t="str">
        <f>IF(Base_de_donnée_clients!R36="","",Base_de_donnée_clients!R36)</f>
        <v/>
      </c>
    </row>
    <row r="37" spans="1:14" ht="24" customHeight="1" x14ac:dyDescent="0.45">
      <c r="A37" s="131" t="str">
        <f>IF(Base_de_donnée_clients!A37="","",Base_de_donnée_clients!A37)</f>
        <v/>
      </c>
      <c r="B37" s="132" t="str">
        <f>IF(Base_de_donnée_clients!B37="","",Base_de_donnée_clients!B37)</f>
        <v/>
      </c>
      <c r="C37" s="132" t="str">
        <f>IF(Base_de_donnée_clients!C37="","",Base_de_donnée_clients!C37)</f>
        <v/>
      </c>
      <c r="D37" s="132" t="str">
        <f>IF(Base_de_donnée_clients!H37="","",Base_de_donnée_clients!H37)</f>
        <v/>
      </c>
      <c r="E37" s="132" t="str">
        <f>IF(Base_de_donnée_clients!I37="","",Base_de_donnée_clients!I37)</f>
        <v/>
      </c>
      <c r="F37" s="133" t="str">
        <f>IF(Base_de_donnée_clients!J37="","",Base_de_donnée_clients!J37)</f>
        <v/>
      </c>
      <c r="G37" s="133" t="str">
        <f>IF(Base_de_donnée_clients!K37="","",Base_de_donnée_clients!K37)</f>
        <v/>
      </c>
      <c r="H37" s="132" t="str">
        <f>IF(Base_de_donnée_clients!L37="","",Base_de_donnée_clients!L37)</f>
        <v/>
      </c>
      <c r="I37" s="132" t="str">
        <f>IF(Base_de_donnée_clients!M37="","",Base_de_donnée_clients!M37)</f>
        <v/>
      </c>
      <c r="J37" s="132" t="str">
        <f>IF(Base_de_donnée_clients!N37="","",Base_de_donnée_clients!N37)</f>
        <v/>
      </c>
      <c r="K37" s="133" t="str">
        <f>IF(Base_de_donnée_clients!O37="","",Base_de_donnée_clients!O37)</f>
        <v/>
      </c>
      <c r="L37" s="133" t="str">
        <f>IF(Base_de_donnée_clients!P37="","",Base_de_donnée_clients!P37)</f>
        <v/>
      </c>
      <c r="M37" s="133" t="str">
        <f>IF(Base_de_donnée_clients!Q37="","",Base_de_donnée_clients!Q37)</f>
        <v/>
      </c>
      <c r="N37" s="132" t="str">
        <f>IF(Base_de_donnée_clients!R37="","",Base_de_donnée_clients!R37)</f>
        <v/>
      </c>
    </row>
    <row r="38" spans="1:14" ht="24" customHeight="1" x14ac:dyDescent="0.45">
      <c r="A38" s="131" t="str">
        <f>IF(Base_de_donnée_clients!A38="","",Base_de_donnée_clients!A38)</f>
        <v/>
      </c>
      <c r="B38" s="132" t="str">
        <f>IF(Base_de_donnée_clients!B38="","",Base_de_donnée_clients!B38)</f>
        <v/>
      </c>
      <c r="C38" s="132" t="str">
        <f>IF(Base_de_donnée_clients!C38="","",Base_de_donnée_clients!C38)</f>
        <v/>
      </c>
      <c r="D38" s="132" t="str">
        <f>IF(Base_de_donnée_clients!H38="","",Base_de_donnée_clients!H38)</f>
        <v/>
      </c>
      <c r="E38" s="132" t="str">
        <f>IF(Base_de_donnée_clients!I38="","",Base_de_donnée_clients!I38)</f>
        <v/>
      </c>
      <c r="F38" s="133" t="str">
        <f>IF(Base_de_donnée_clients!J38="","",Base_de_donnée_clients!J38)</f>
        <v/>
      </c>
      <c r="G38" s="133" t="str">
        <f>IF(Base_de_donnée_clients!K38="","",Base_de_donnée_clients!K38)</f>
        <v/>
      </c>
      <c r="H38" s="132" t="str">
        <f>IF(Base_de_donnée_clients!L38="","",Base_de_donnée_clients!L38)</f>
        <v/>
      </c>
      <c r="I38" s="132" t="str">
        <f>IF(Base_de_donnée_clients!M38="","",Base_de_donnée_clients!M38)</f>
        <v/>
      </c>
      <c r="J38" s="132" t="str">
        <f>IF(Base_de_donnée_clients!N38="","",Base_de_donnée_clients!N38)</f>
        <v/>
      </c>
      <c r="K38" s="133" t="str">
        <f>IF(Base_de_donnée_clients!O38="","",Base_de_donnée_clients!O38)</f>
        <v/>
      </c>
      <c r="L38" s="133" t="str">
        <f>IF(Base_de_donnée_clients!P38="","",Base_de_donnée_clients!P38)</f>
        <v/>
      </c>
      <c r="M38" s="133" t="str">
        <f>IF(Base_de_donnée_clients!Q38="","",Base_de_donnée_clients!Q38)</f>
        <v/>
      </c>
      <c r="N38" s="132" t="str">
        <f>IF(Base_de_donnée_clients!R38="","",Base_de_donnée_clients!R38)</f>
        <v/>
      </c>
    </row>
    <row r="39" spans="1:14" ht="24" customHeight="1" x14ac:dyDescent="0.45">
      <c r="A39" s="131" t="str">
        <f>IF(Base_de_donnée_clients!A39="","",Base_de_donnée_clients!A39)</f>
        <v/>
      </c>
      <c r="B39" s="132" t="str">
        <f>IF(Base_de_donnée_clients!B39="","",Base_de_donnée_clients!B39)</f>
        <v/>
      </c>
      <c r="C39" s="132" t="str">
        <f>IF(Base_de_donnée_clients!C39="","",Base_de_donnée_clients!C39)</f>
        <v/>
      </c>
      <c r="D39" s="132" t="str">
        <f>IF(Base_de_donnée_clients!H39="","",Base_de_donnée_clients!H39)</f>
        <v/>
      </c>
      <c r="E39" s="132" t="str">
        <f>IF(Base_de_donnée_clients!I39="","",Base_de_donnée_clients!I39)</f>
        <v/>
      </c>
      <c r="F39" s="133" t="str">
        <f>IF(Base_de_donnée_clients!J39="","",Base_de_donnée_clients!J39)</f>
        <v/>
      </c>
      <c r="G39" s="133" t="str">
        <f>IF(Base_de_donnée_clients!K39="","",Base_de_donnée_clients!K39)</f>
        <v/>
      </c>
      <c r="H39" s="132" t="str">
        <f>IF(Base_de_donnée_clients!L39="","",Base_de_donnée_clients!L39)</f>
        <v/>
      </c>
      <c r="I39" s="132" t="str">
        <f>IF(Base_de_donnée_clients!M39="","",Base_de_donnée_clients!M39)</f>
        <v/>
      </c>
      <c r="J39" s="132" t="str">
        <f>IF(Base_de_donnée_clients!N39="","",Base_de_donnée_clients!N39)</f>
        <v/>
      </c>
      <c r="K39" s="133" t="str">
        <f>IF(Base_de_donnée_clients!O39="","",Base_de_donnée_clients!O39)</f>
        <v/>
      </c>
      <c r="L39" s="133" t="str">
        <f>IF(Base_de_donnée_clients!P39="","",Base_de_donnée_clients!P39)</f>
        <v/>
      </c>
      <c r="M39" s="133" t="str">
        <f>IF(Base_de_donnée_clients!Q39="","",Base_de_donnée_clients!Q39)</f>
        <v/>
      </c>
      <c r="N39" s="132" t="str">
        <f>IF(Base_de_donnée_clients!R39="","",Base_de_donnée_clients!R39)</f>
        <v/>
      </c>
    </row>
    <row r="40" spans="1:14" ht="24" customHeight="1" x14ac:dyDescent="0.45">
      <c r="A40" s="131" t="str">
        <f>IF(Base_de_donnée_clients!A40="","",Base_de_donnée_clients!A40)</f>
        <v/>
      </c>
      <c r="B40" s="132" t="str">
        <f>IF(Base_de_donnée_clients!B40="","",Base_de_donnée_clients!B40)</f>
        <v/>
      </c>
      <c r="C40" s="132" t="str">
        <f>IF(Base_de_donnée_clients!C40="","",Base_de_donnée_clients!C40)</f>
        <v/>
      </c>
      <c r="D40" s="132" t="str">
        <f>IF(Base_de_donnée_clients!H40="","",Base_de_donnée_clients!H40)</f>
        <v/>
      </c>
      <c r="E40" s="132" t="str">
        <f>IF(Base_de_donnée_clients!I40="","",Base_de_donnée_clients!I40)</f>
        <v/>
      </c>
      <c r="F40" s="133" t="str">
        <f>IF(Base_de_donnée_clients!J40="","",Base_de_donnée_clients!J40)</f>
        <v/>
      </c>
      <c r="G40" s="133" t="str">
        <f>IF(Base_de_donnée_clients!K40="","",Base_de_donnée_clients!K40)</f>
        <v/>
      </c>
      <c r="H40" s="132" t="str">
        <f>IF(Base_de_donnée_clients!L40="","",Base_de_donnée_clients!L40)</f>
        <v/>
      </c>
      <c r="I40" s="132" t="str">
        <f>IF(Base_de_donnée_clients!M40="","",Base_de_donnée_clients!M40)</f>
        <v/>
      </c>
      <c r="J40" s="132" t="str">
        <f>IF(Base_de_donnée_clients!N40="","",Base_de_donnée_clients!N40)</f>
        <v/>
      </c>
      <c r="K40" s="133" t="str">
        <f>IF(Base_de_donnée_clients!O40="","",Base_de_donnée_clients!O40)</f>
        <v/>
      </c>
      <c r="L40" s="133" t="str">
        <f>IF(Base_de_donnée_clients!P40="","",Base_de_donnée_clients!P40)</f>
        <v/>
      </c>
      <c r="M40" s="133" t="str">
        <f>IF(Base_de_donnée_clients!Q40="","",Base_de_donnée_clients!Q40)</f>
        <v/>
      </c>
      <c r="N40" s="132" t="str">
        <f>IF(Base_de_donnée_clients!R40="","",Base_de_donnée_clients!R40)</f>
        <v/>
      </c>
    </row>
    <row r="41" spans="1:14" ht="24" customHeight="1" x14ac:dyDescent="0.45">
      <c r="A41" s="131" t="str">
        <f>IF(Base_de_donnée_clients!A41="","",Base_de_donnée_clients!A41)</f>
        <v/>
      </c>
      <c r="B41" s="132" t="str">
        <f>IF(Base_de_donnée_clients!B41="","",Base_de_donnée_clients!B41)</f>
        <v/>
      </c>
      <c r="C41" s="132" t="str">
        <f>IF(Base_de_donnée_clients!C41="","",Base_de_donnée_clients!C41)</f>
        <v/>
      </c>
      <c r="D41" s="132" t="str">
        <f>IF(Base_de_donnée_clients!H41="","",Base_de_donnée_clients!H41)</f>
        <v/>
      </c>
      <c r="E41" s="132" t="str">
        <f>IF(Base_de_donnée_clients!I41="","",Base_de_donnée_clients!I41)</f>
        <v/>
      </c>
      <c r="F41" s="133" t="str">
        <f>IF(Base_de_donnée_clients!J41="","",Base_de_donnée_clients!J41)</f>
        <v/>
      </c>
      <c r="G41" s="133" t="str">
        <f>IF(Base_de_donnée_clients!K41="","",Base_de_donnée_clients!K41)</f>
        <v/>
      </c>
      <c r="H41" s="132" t="str">
        <f>IF(Base_de_donnée_clients!L41="","",Base_de_donnée_clients!L41)</f>
        <v/>
      </c>
      <c r="I41" s="132" t="str">
        <f>IF(Base_de_donnée_clients!M41="","",Base_de_donnée_clients!M41)</f>
        <v/>
      </c>
      <c r="J41" s="132" t="str">
        <f>IF(Base_de_donnée_clients!N41="","",Base_de_donnée_clients!N41)</f>
        <v/>
      </c>
      <c r="K41" s="133" t="str">
        <f>IF(Base_de_donnée_clients!O41="","",Base_de_donnée_clients!O41)</f>
        <v/>
      </c>
      <c r="L41" s="133" t="str">
        <f>IF(Base_de_donnée_clients!P41="","",Base_de_donnée_clients!P41)</f>
        <v/>
      </c>
      <c r="M41" s="133" t="str">
        <f>IF(Base_de_donnée_clients!Q41="","",Base_de_donnée_clients!Q41)</f>
        <v/>
      </c>
      <c r="N41" s="132" t="str">
        <f>IF(Base_de_donnée_clients!R41="","",Base_de_donnée_clients!R41)</f>
        <v/>
      </c>
    </row>
    <row r="42" spans="1:14" ht="24" customHeight="1" x14ac:dyDescent="0.45">
      <c r="A42" s="131" t="str">
        <f>IF(Base_de_donnée_clients!A42="","",Base_de_donnée_clients!A42)</f>
        <v/>
      </c>
      <c r="B42" s="132" t="str">
        <f>IF(Base_de_donnée_clients!B42="","",Base_de_donnée_clients!B42)</f>
        <v/>
      </c>
      <c r="C42" s="132" t="str">
        <f>IF(Base_de_donnée_clients!C42="","",Base_de_donnée_clients!C42)</f>
        <v/>
      </c>
      <c r="D42" s="132" t="str">
        <f>IF(Base_de_donnée_clients!H42="","",Base_de_donnée_clients!H42)</f>
        <v/>
      </c>
      <c r="E42" s="132" t="str">
        <f>IF(Base_de_donnée_clients!I42="","",Base_de_donnée_clients!I42)</f>
        <v/>
      </c>
      <c r="F42" s="133" t="str">
        <f>IF(Base_de_donnée_clients!J42="","",Base_de_donnée_clients!J42)</f>
        <v/>
      </c>
      <c r="G42" s="133" t="str">
        <f>IF(Base_de_donnée_clients!K42="","",Base_de_donnée_clients!K42)</f>
        <v/>
      </c>
      <c r="H42" s="132" t="str">
        <f>IF(Base_de_donnée_clients!L42="","",Base_de_donnée_clients!L42)</f>
        <v/>
      </c>
      <c r="I42" s="132" t="str">
        <f>IF(Base_de_donnée_clients!M42="","",Base_de_donnée_clients!M42)</f>
        <v/>
      </c>
      <c r="J42" s="132" t="str">
        <f>IF(Base_de_donnée_clients!N42="","",Base_de_donnée_clients!N42)</f>
        <v/>
      </c>
      <c r="K42" s="133" t="str">
        <f>IF(Base_de_donnée_clients!O42="","",Base_de_donnée_clients!O42)</f>
        <v/>
      </c>
      <c r="L42" s="133" t="str">
        <f>IF(Base_de_donnée_clients!P42="","",Base_de_donnée_clients!P42)</f>
        <v/>
      </c>
      <c r="M42" s="133" t="str">
        <f>IF(Base_de_donnée_clients!Q42="","",Base_de_donnée_clients!Q42)</f>
        <v/>
      </c>
      <c r="N42" s="132" t="str">
        <f>IF(Base_de_donnée_clients!R42="","",Base_de_donnée_clients!R42)</f>
        <v/>
      </c>
    </row>
    <row r="43" spans="1:14" ht="24" customHeight="1" x14ac:dyDescent="0.45">
      <c r="A43" s="131" t="str">
        <f>IF(Base_de_donnée_clients!A43="","",Base_de_donnée_clients!A43)</f>
        <v/>
      </c>
      <c r="B43" s="132" t="str">
        <f>IF(Base_de_donnée_clients!B43="","",Base_de_donnée_clients!B43)</f>
        <v/>
      </c>
      <c r="C43" s="132" t="str">
        <f>IF(Base_de_donnée_clients!C43="","",Base_de_donnée_clients!C43)</f>
        <v/>
      </c>
      <c r="D43" s="132" t="str">
        <f>IF(Base_de_donnée_clients!H43="","",Base_de_donnée_clients!H43)</f>
        <v/>
      </c>
      <c r="E43" s="132" t="str">
        <f>IF(Base_de_donnée_clients!I43="","",Base_de_donnée_clients!I43)</f>
        <v/>
      </c>
      <c r="F43" s="133" t="str">
        <f>IF(Base_de_donnée_clients!J43="","",Base_de_donnée_clients!J43)</f>
        <v/>
      </c>
      <c r="G43" s="133" t="str">
        <f>IF(Base_de_donnée_clients!K43="","",Base_de_donnée_clients!K43)</f>
        <v/>
      </c>
      <c r="H43" s="132" t="str">
        <f>IF(Base_de_donnée_clients!L43="","",Base_de_donnée_clients!L43)</f>
        <v/>
      </c>
      <c r="I43" s="132" t="str">
        <f>IF(Base_de_donnée_clients!M43="","",Base_de_donnée_clients!M43)</f>
        <v/>
      </c>
      <c r="J43" s="132" t="str">
        <f>IF(Base_de_donnée_clients!N43="","",Base_de_donnée_clients!N43)</f>
        <v/>
      </c>
      <c r="K43" s="133" t="str">
        <f>IF(Base_de_donnée_clients!O43="","",Base_de_donnée_clients!O43)</f>
        <v/>
      </c>
      <c r="L43" s="133" t="str">
        <f>IF(Base_de_donnée_clients!P43="","",Base_de_donnée_clients!P43)</f>
        <v/>
      </c>
      <c r="M43" s="133" t="str">
        <f>IF(Base_de_donnée_clients!Q43="","",Base_de_donnée_clients!Q43)</f>
        <v/>
      </c>
      <c r="N43" s="132" t="str">
        <f>IF(Base_de_donnée_clients!R43="","",Base_de_donnée_clients!R43)</f>
        <v/>
      </c>
    </row>
    <row r="44" spans="1:14" ht="24" customHeight="1" x14ac:dyDescent="0.45">
      <c r="A44" s="131" t="str">
        <f>IF(Base_de_donnée_clients!A44="","",Base_de_donnée_clients!A44)</f>
        <v/>
      </c>
      <c r="B44" s="132" t="str">
        <f>IF(Base_de_donnée_clients!B44="","",Base_de_donnée_clients!B44)</f>
        <v/>
      </c>
      <c r="C44" s="132" t="str">
        <f>IF(Base_de_donnée_clients!C44="","",Base_de_donnée_clients!C44)</f>
        <v/>
      </c>
      <c r="D44" s="132" t="str">
        <f>IF(Base_de_donnée_clients!H44="","",Base_de_donnée_clients!H44)</f>
        <v/>
      </c>
      <c r="E44" s="132" t="str">
        <f>IF(Base_de_donnée_clients!I44="","",Base_de_donnée_clients!I44)</f>
        <v/>
      </c>
      <c r="F44" s="133" t="str">
        <f>IF(Base_de_donnée_clients!J44="","",Base_de_donnée_clients!J44)</f>
        <v/>
      </c>
      <c r="G44" s="133" t="str">
        <f>IF(Base_de_donnée_clients!K44="","",Base_de_donnée_clients!K44)</f>
        <v/>
      </c>
      <c r="H44" s="132" t="str">
        <f>IF(Base_de_donnée_clients!L44="","",Base_de_donnée_clients!L44)</f>
        <v/>
      </c>
      <c r="I44" s="132" t="str">
        <f>IF(Base_de_donnée_clients!M44="","",Base_de_donnée_clients!M44)</f>
        <v/>
      </c>
      <c r="J44" s="132" t="str">
        <f>IF(Base_de_donnée_clients!N44="","",Base_de_donnée_clients!N44)</f>
        <v/>
      </c>
      <c r="K44" s="133" t="str">
        <f>IF(Base_de_donnée_clients!O44="","",Base_de_donnée_clients!O44)</f>
        <v/>
      </c>
      <c r="L44" s="133" t="str">
        <f>IF(Base_de_donnée_clients!P44="","",Base_de_donnée_clients!P44)</f>
        <v/>
      </c>
      <c r="M44" s="133" t="str">
        <f>IF(Base_de_donnée_clients!Q44="","",Base_de_donnée_clients!Q44)</f>
        <v/>
      </c>
      <c r="N44" s="132" t="str">
        <f>IF(Base_de_donnée_clients!R44="","",Base_de_donnée_clients!R44)</f>
        <v/>
      </c>
    </row>
    <row r="45" spans="1:14" ht="24" customHeight="1" x14ac:dyDescent="0.45">
      <c r="A45" s="131" t="str">
        <f>IF(Base_de_donnée_clients!A45="","",Base_de_donnée_clients!A45)</f>
        <v/>
      </c>
      <c r="B45" s="132" t="str">
        <f>IF(Base_de_donnée_clients!B45="","",Base_de_donnée_clients!B45)</f>
        <v/>
      </c>
      <c r="C45" s="132" t="str">
        <f>IF(Base_de_donnée_clients!C45="","",Base_de_donnée_clients!C45)</f>
        <v/>
      </c>
      <c r="D45" s="132" t="str">
        <f>IF(Base_de_donnée_clients!H45="","",Base_de_donnée_clients!H45)</f>
        <v/>
      </c>
      <c r="E45" s="132" t="str">
        <f>IF(Base_de_donnée_clients!I45="","",Base_de_donnée_clients!I45)</f>
        <v/>
      </c>
      <c r="F45" s="133" t="str">
        <f>IF(Base_de_donnée_clients!J45="","",Base_de_donnée_clients!J45)</f>
        <v/>
      </c>
      <c r="G45" s="133" t="str">
        <f>IF(Base_de_donnée_clients!K45="","",Base_de_donnée_clients!K45)</f>
        <v/>
      </c>
      <c r="H45" s="132" t="str">
        <f>IF(Base_de_donnée_clients!L45="","",Base_de_donnée_clients!L45)</f>
        <v/>
      </c>
      <c r="I45" s="132" t="str">
        <f>IF(Base_de_donnée_clients!M45="","",Base_de_donnée_clients!M45)</f>
        <v/>
      </c>
      <c r="J45" s="132" t="str">
        <f>IF(Base_de_donnée_clients!N45="","",Base_de_donnée_clients!N45)</f>
        <v/>
      </c>
      <c r="K45" s="133" t="str">
        <f>IF(Base_de_donnée_clients!O45="","",Base_de_donnée_clients!O45)</f>
        <v/>
      </c>
      <c r="L45" s="133" t="str">
        <f>IF(Base_de_donnée_clients!P45="","",Base_de_donnée_clients!P45)</f>
        <v/>
      </c>
      <c r="M45" s="133" t="str">
        <f>IF(Base_de_donnée_clients!Q45="","",Base_de_donnée_clients!Q45)</f>
        <v/>
      </c>
      <c r="N45" s="132" t="str">
        <f>IF(Base_de_donnée_clients!R45="","",Base_de_donnée_clients!R45)</f>
        <v/>
      </c>
    </row>
    <row r="46" spans="1:14" ht="24" customHeight="1" x14ac:dyDescent="0.45">
      <c r="A46" s="131" t="str">
        <f>IF(Base_de_donnée_clients!A46="","",Base_de_donnée_clients!A46)</f>
        <v/>
      </c>
      <c r="B46" s="132" t="str">
        <f>IF(Base_de_donnée_clients!B46="","",Base_de_donnée_clients!B46)</f>
        <v/>
      </c>
      <c r="C46" s="132" t="str">
        <f>IF(Base_de_donnée_clients!C46="","",Base_de_donnée_clients!C46)</f>
        <v/>
      </c>
      <c r="D46" s="132" t="str">
        <f>IF(Base_de_donnée_clients!H46="","",Base_de_donnée_clients!H46)</f>
        <v/>
      </c>
      <c r="E46" s="132" t="str">
        <f>IF(Base_de_donnée_clients!I46="","",Base_de_donnée_clients!I46)</f>
        <v/>
      </c>
      <c r="F46" s="133" t="str">
        <f>IF(Base_de_donnée_clients!J46="","",Base_de_donnée_clients!J46)</f>
        <v/>
      </c>
      <c r="G46" s="133" t="str">
        <f>IF(Base_de_donnée_clients!K46="","",Base_de_donnée_clients!K46)</f>
        <v/>
      </c>
      <c r="H46" s="132" t="str">
        <f>IF(Base_de_donnée_clients!L46="","",Base_de_donnée_clients!L46)</f>
        <v/>
      </c>
      <c r="I46" s="132" t="str">
        <f>IF(Base_de_donnée_clients!M46="","",Base_de_donnée_clients!M46)</f>
        <v/>
      </c>
      <c r="J46" s="132" t="str">
        <f>IF(Base_de_donnée_clients!N46="","",Base_de_donnée_clients!N46)</f>
        <v/>
      </c>
      <c r="K46" s="133" t="str">
        <f>IF(Base_de_donnée_clients!O46="","",Base_de_donnée_clients!O46)</f>
        <v/>
      </c>
      <c r="L46" s="133" t="str">
        <f>IF(Base_de_donnée_clients!P46="","",Base_de_donnée_clients!P46)</f>
        <v/>
      </c>
      <c r="M46" s="133" t="str">
        <f>IF(Base_de_donnée_clients!Q46="","",Base_de_donnée_clients!Q46)</f>
        <v/>
      </c>
      <c r="N46" s="132" t="str">
        <f>IF(Base_de_donnée_clients!R46="","",Base_de_donnée_clients!R46)</f>
        <v/>
      </c>
    </row>
    <row r="47" spans="1:14" ht="24" customHeight="1" x14ac:dyDescent="0.45">
      <c r="A47" s="131" t="str">
        <f>IF(Base_de_donnée_clients!A47="","",Base_de_donnée_clients!A47)</f>
        <v/>
      </c>
      <c r="B47" s="132" t="str">
        <f>IF(Base_de_donnée_clients!B47="","",Base_de_donnée_clients!B47)</f>
        <v/>
      </c>
      <c r="C47" s="132" t="str">
        <f>IF(Base_de_donnée_clients!C47="","",Base_de_donnée_clients!C47)</f>
        <v/>
      </c>
      <c r="D47" s="132" t="str">
        <f>IF(Base_de_donnée_clients!H47="","",Base_de_donnée_clients!H47)</f>
        <v/>
      </c>
      <c r="E47" s="132" t="str">
        <f>IF(Base_de_donnée_clients!I47="","",Base_de_donnée_clients!I47)</f>
        <v/>
      </c>
      <c r="F47" s="133" t="str">
        <f>IF(Base_de_donnée_clients!J47="","",Base_de_donnée_clients!J47)</f>
        <v/>
      </c>
      <c r="G47" s="133" t="str">
        <f>IF(Base_de_donnée_clients!K47="","",Base_de_donnée_clients!K47)</f>
        <v/>
      </c>
      <c r="H47" s="132" t="str">
        <f>IF(Base_de_donnée_clients!L47="","",Base_de_donnée_clients!L47)</f>
        <v/>
      </c>
      <c r="I47" s="132" t="str">
        <f>IF(Base_de_donnée_clients!M47="","",Base_de_donnée_clients!M47)</f>
        <v/>
      </c>
      <c r="J47" s="132" t="str">
        <f>IF(Base_de_donnée_clients!N47="","",Base_de_donnée_clients!N47)</f>
        <v/>
      </c>
      <c r="K47" s="133" t="str">
        <f>IF(Base_de_donnée_clients!O47="","",Base_de_donnée_clients!O47)</f>
        <v/>
      </c>
      <c r="L47" s="133" t="str">
        <f>IF(Base_de_donnée_clients!P47="","",Base_de_donnée_clients!P47)</f>
        <v/>
      </c>
      <c r="M47" s="133" t="str">
        <f>IF(Base_de_donnée_clients!Q47="","",Base_de_donnée_clients!Q47)</f>
        <v/>
      </c>
      <c r="N47" s="132" t="str">
        <f>IF(Base_de_donnée_clients!R47="","",Base_de_donnée_clients!R47)</f>
        <v/>
      </c>
    </row>
    <row r="48" spans="1:14" ht="24" customHeight="1" x14ac:dyDescent="0.45">
      <c r="A48" s="131" t="str">
        <f>IF(Base_de_donnée_clients!A48="","",Base_de_donnée_clients!A48)</f>
        <v/>
      </c>
      <c r="B48" s="132" t="str">
        <f>IF(Base_de_donnée_clients!B48="","",Base_de_donnée_clients!B48)</f>
        <v/>
      </c>
      <c r="C48" s="132" t="str">
        <f>IF(Base_de_donnée_clients!C48="","",Base_de_donnée_clients!C48)</f>
        <v/>
      </c>
      <c r="D48" s="132" t="str">
        <f>IF(Base_de_donnée_clients!H48="","",Base_de_donnée_clients!H48)</f>
        <v/>
      </c>
      <c r="E48" s="132" t="str">
        <f>IF(Base_de_donnée_clients!I48="","",Base_de_donnée_clients!I48)</f>
        <v/>
      </c>
      <c r="F48" s="133" t="str">
        <f>IF(Base_de_donnée_clients!J48="","",Base_de_donnée_clients!J48)</f>
        <v/>
      </c>
      <c r="G48" s="133" t="str">
        <f>IF(Base_de_donnée_clients!K48="","",Base_de_donnée_clients!K48)</f>
        <v/>
      </c>
      <c r="H48" s="132" t="str">
        <f>IF(Base_de_donnée_clients!L48="","",Base_de_donnée_clients!L48)</f>
        <v/>
      </c>
      <c r="I48" s="132" t="str">
        <f>IF(Base_de_donnée_clients!M48="","",Base_de_donnée_clients!M48)</f>
        <v/>
      </c>
      <c r="J48" s="132" t="str">
        <f>IF(Base_de_donnée_clients!N48="","",Base_de_donnée_clients!N48)</f>
        <v/>
      </c>
      <c r="K48" s="133" t="str">
        <f>IF(Base_de_donnée_clients!O48="","",Base_de_donnée_clients!O48)</f>
        <v/>
      </c>
      <c r="L48" s="133" t="str">
        <f>IF(Base_de_donnée_clients!P48="","",Base_de_donnée_clients!P48)</f>
        <v/>
      </c>
      <c r="M48" s="133" t="str">
        <f>IF(Base_de_donnée_clients!Q48="","",Base_de_donnée_clients!Q48)</f>
        <v/>
      </c>
      <c r="N48" s="132" t="str">
        <f>IF(Base_de_donnée_clients!R48="","",Base_de_donnée_clients!R48)</f>
        <v/>
      </c>
    </row>
    <row r="49" spans="1:14" ht="24" customHeight="1" x14ac:dyDescent="0.45">
      <c r="A49" s="131" t="str">
        <f>IF(Base_de_donnée_clients!A49="","",Base_de_donnée_clients!A49)</f>
        <v/>
      </c>
      <c r="B49" s="132" t="str">
        <f>IF(Base_de_donnée_clients!B49="","",Base_de_donnée_clients!B49)</f>
        <v/>
      </c>
      <c r="C49" s="132" t="str">
        <f>IF(Base_de_donnée_clients!C49="","",Base_de_donnée_clients!C49)</f>
        <v/>
      </c>
      <c r="D49" s="132" t="str">
        <f>IF(Base_de_donnée_clients!H49="","",Base_de_donnée_clients!H49)</f>
        <v/>
      </c>
      <c r="E49" s="132" t="str">
        <f>IF(Base_de_donnée_clients!I49="","",Base_de_donnée_clients!I49)</f>
        <v/>
      </c>
      <c r="F49" s="133" t="str">
        <f>IF(Base_de_donnée_clients!J49="","",Base_de_donnée_clients!J49)</f>
        <v/>
      </c>
      <c r="G49" s="133" t="str">
        <f>IF(Base_de_donnée_clients!K49="","",Base_de_donnée_clients!K49)</f>
        <v/>
      </c>
      <c r="H49" s="132" t="str">
        <f>IF(Base_de_donnée_clients!L49="","",Base_de_donnée_clients!L49)</f>
        <v/>
      </c>
      <c r="I49" s="132" t="str">
        <f>IF(Base_de_donnée_clients!M49="","",Base_de_donnée_clients!M49)</f>
        <v/>
      </c>
      <c r="J49" s="132" t="str">
        <f>IF(Base_de_donnée_clients!N49="","",Base_de_donnée_clients!N49)</f>
        <v/>
      </c>
      <c r="K49" s="133" t="str">
        <f>IF(Base_de_donnée_clients!O49="","",Base_de_donnée_clients!O49)</f>
        <v/>
      </c>
      <c r="L49" s="133" t="str">
        <f>IF(Base_de_donnée_clients!P49="","",Base_de_donnée_clients!P49)</f>
        <v/>
      </c>
      <c r="M49" s="133" t="str">
        <f>IF(Base_de_donnée_clients!Q49="","",Base_de_donnée_clients!Q49)</f>
        <v/>
      </c>
      <c r="N49" s="132" t="str">
        <f>IF(Base_de_donnée_clients!R49="","",Base_de_donnée_clients!R49)</f>
        <v/>
      </c>
    </row>
    <row r="50" spans="1:14" ht="24" customHeight="1" x14ac:dyDescent="0.45">
      <c r="A50" s="131" t="str">
        <f>IF(Base_de_donnée_clients!A50="","",Base_de_donnée_clients!A50)</f>
        <v/>
      </c>
      <c r="B50" s="132" t="str">
        <f>IF(Base_de_donnée_clients!B50="","",Base_de_donnée_clients!B50)</f>
        <v/>
      </c>
      <c r="C50" s="132" t="str">
        <f>IF(Base_de_donnée_clients!C50="","",Base_de_donnée_clients!C50)</f>
        <v/>
      </c>
      <c r="D50" s="132" t="str">
        <f>IF(Base_de_donnée_clients!H50="","",Base_de_donnée_clients!H50)</f>
        <v/>
      </c>
      <c r="E50" s="132" t="str">
        <f>IF(Base_de_donnée_clients!I50="","",Base_de_donnée_clients!I50)</f>
        <v/>
      </c>
      <c r="F50" s="133" t="str">
        <f>IF(Base_de_donnée_clients!J50="","",Base_de_donnée_clients!J50)</f>
        <v/>
      </c>
      <c r="G50" s="133" t="str">
        <f>IF(Base_de_donnée_clients!K50="","",Base_de_donnée_clients!K50)</f>
        <v/>
      </c>
      <c r="H50" s="132" t="str">
        <f>IF(Base_de_donnée_clients!L50="","",Base_de_donnée_clients!L50)</f>
        <v/>
      </c>
      <c r="I50" s="132" t="str">
        <f>IF(Base_de_donnée_clients!M50="","",Base_de_donnée_clients!M50)</f>
        <v/>
      </c>
      <c r="J50" s="132" t="str">
        <f>IF(Base_de_donnée_clients!N50="","",Base_de_donnée_clients!N50)</f>
        <v/>
      </c>
      <c r="K50" s="133" t="str">
        <f>IF(Base_de_donnée_clients!O50="","",Base_de_donnée_clients!O50)</f>
        <v/>
      </c>
      <c r="L50" s="133" t="str">
        <f>IF(Base_de_donnée_clients!P50="","",Base_de_donnée_clients!P50)</f>
        <v/>
      </c>
      <c r="M50" s="133" t="str">
        <f>IF(Base_de_donnée_clients!Q50="","",Base_de_donnée_clients!Q50)</f>
        <v/>
      </c>
      <c r="N50" s="132" t="str">
        <f>IF(Base_de_donnée_clients!R50="","",Base_de_donnée_clients!R50)</f>
        <v/>
      </c>
    </row>
    <row r="51" spans="1:14" ht="24" customHeight="1" x14ac:dyDescent="0.45">
      <c r="A51" s="131" t="str">
        <f>IF(Base_de_donnée_clients!A51="","",Base_de_donnée_clients!A51)</f>
        <v/>
      </c>
      <c r="B51" s="132" t="str">
        <f>IF(Base_de_donnée_clients!B51="","",Base_de_donnée_clients!B51)</f>
        <v/>
      </c>
      <c r="C51" s="132" t="str">
        <f>IF(Base_de_donnée_clients!C51="","",Base_de_donnée_clients!C51)</f>
        <v/>
      </c>
      <c r="D51" s="132" t="str">
        <f>IF(Base_de_donnée_clients!H51="","",Base_de_donnée_clients!H51)</f>
        <v/>
      </c>
      <c r="E51" s="132" t="str">
        <f>IF(Base_de_donnée_clients!I51="","",Base_de_donnée_clients!I51)</f>
        <v/>
      </c>
      <c r="F51" s="133" t="str">
        <f>IF(Base_de_donnée_clients!J51="","",Base_de_donnée_clients!J51)</f>
        <v/>
      </c>
      <c r="G51" s="133" t="str">
        <f>IF(Base_de_donnée_clients!K51="","",Base_de_donnée_clients!K51)</f>
        <v/>
      </c>
      <c r="H51" s="132" t="str">
        <f>IF(Base_de_donnée_clients!L51="","",Base_de_donnée_clients!L51)</f>
        <v/>
      </c>
      <c r="I51" s="132" t="str">
        <f>IF(Base_de_donnée_clients!M51="","",Base_de_donnée_clients!M51)</f>
        <v/>
      </c>
      <c r="J51" s="132" t="str">
        <f>IF(Base_de_donnée_clients!N51="","",Base_de_donnée_clients!N51)</f>
        <v/>
      </c>
      <c r="K51" s="133" t="str">
        <f>IF(Base_de_donnée_clients!O51="","",Base_de_donnée_clients!O51)</f>
        <v/>
      </c>
      <c r="L51" s="133" t="str">
        <f>IF(Base_de_donnée_clients!P51="","",Base_de_donnée_clients!P51)</f>
        <v/>
      </c>
      <c r="M51" s="133" t="str">
        <f>IF(Base_de_donnée_clients!Q51="","",Base_de_donnée_clients!Q51)</f>
        <v/>
      </c>
      <c r="N51" s="132" t="str">
        <f>IF(Base_de_donnée_clients!R51="","",Base_de_donnée_clients!R51)</f>
        <v/>
      </c>
    </row>
    <row r="52" spans="1:14" ht="24" customHeight="1" x14ac:dyDescent="0.45">
      <c r="A52" s="131" t="str">
        <f>IF(Base_de_donnée_clients!A52="","",Base_de_donnée_clients!A52)</f>
        <v/>
      </c>
      <c r="B52" s="132" t="str">
        <f>IF(Base_de_donnée_clients!B52="","",Base_de_donnée_clients!B52)</f>
        <v/>
      </c>
      <c r="C52" s="132" t="str">
        <f>IF(Base_de_donnée_clients!C52="","",Base_de_donnée_clients!C52)</f>
        <v/>
      </c>
      <c r="D52" s="132" t="str">
        <f>IF(Base_de_donnée_clients!H52="","",Base_de_donnée_clients!H52)</f>
        <v/>
      </c>
      <c r="E52" s="132" t="str">
        <f>IF(Base_de_donnée_clients!I52="","",Base_de_donnée_clients!I52)</f>
        <v/>
      </c>
      <c r="F52" s="133" t="str">
        <f>IF(Base_de_donnée_clients!J52="","",Base_de_donnée_clients!J52)</f>
        <v/>
      </c>
      <c r="G52" s="133" t="str">
        <f>IF(Base_de_donnée_clients!K52="","",Base_de_donnée_clients!K52)</f>
        <v/>
      </c>
      <c r="H52" s="132" t="str">
        <f>IF(Base_de_donnée_clients!L52="","",Base_de_donnée_clients!L52)</f>
        <v/>
      </c>
      <c r="I52" s="132" t="str">
        <f>IF(Base_de_donnée_clients!M52="","",Base_de_donnée_clients!M52)</f>
        <v/>
      </c>
      <c r="J52" s="132" t="str">
        <f>IF(Base_de_donnée_clients!N52="","",Base_de_donnée_clients!N52)</f>
        <v/>
      </c>
      <c r="K52" s="133" t="str">
        <f>IF(Base_de_donnée_clients!O52="","",Base_de_donnée_clients!O52)</f>
        <v/>
      </c>
      <c r="L52" s="133" t="str">
        <f>IF(Base_de_donnée_clients!P52="","",Base_de_donnée_clients!P52)</f>
        <v/>
      </c>
      <c r="M52" s="133" t="str">
        <f>IF(Base_de_donnée_clients!Q52="","",Base_de_donnée_clients!Q52)</f>
        <v/>
      </c>
      <c r="N52" s="132" t="str">
        <f>IF(Base_de_donnée_clients!R52="","",Base_de_donnée_clients!R52)</f>
        <v/>
      </c>
    </row>
    <row r="53" spans="1:14" ht="24" customHeight="1" x14ac:dyDescent="0.45">
      <c r="A53" s="131" t="str">
        <f>IF(Base_de_donnée_clients!A53="","",Base_de_donnée_clients!A53)</f>
        <v/>
      </c>
      <c r="B53" s="132" t="str">
        <f>IF(Base_de_donnée_clients!B53="","",Base_de_donnée_clients!B53)</f>
        <v/>
      </c>
      <c r="C53" s="132" t="str">
        <f>IF(Base_de_donnée_clients!C53="","",Base_de_donnée_clients!C53)</f>
        <v/>
      </c>
      <c r="D53" s="132" t="str">
        <f>IF(Base_de_donnée_clients!H53="","",Base_de_donnée_clients!H53)</f>
        <v/>
      </c>
      <c r="E53" s="132" t="str">
        <f>IF(Base_de_donnée_clients!I53="","",Base_de_donnée_clients!I53)</f>
        <v/>
      </c>
      <c r="F53" s="133" t="str">
        <f>IF(Base_de_donnée_clients!J53="","",Base_de_donnée_clients!J53)</f>
        <v/>
      </c>
      <c r="G53" s="133" t="str">
        <f>IF(Base_de_donnée_clients!K53="","",Base_de_donnée_clients!K53)</f>
        <v/>
      </c>
      <c r="H53" s="132" t="str">
        <f>IF(Base_de_donnée_clients!L53="","",Base_de_donnée_clients!L53)</f>
        <v/>
      </c>
      <c r="I53" s="132" t="str">
        <f>IF(Base_de_donnée_clients!M53="","",Base_de_donnée_clients!M53)</f>
        <v/>
      </c>
      <c r="J53" s="132" t="str">
        <f>IF(Base_de_donnée_clients!N53="","",Base_de_donnée_clients!N53)</f>
        <v/>
      </c>
      <c r="K53" s="133" t="str">
        <f>IF(Base_de_donnée_clients!O53="","",Base_de_donnée_clients!O53)</f>
        <v/>
      </c>
      <c r="L53" s="133" t="str">
        <f>IF(Base_de_donnée_clients!P53="","",Base_de_donnée_clients!P53)</f>
        <v/>
      </c>
      <c r="M53" s="133" t="str">
        <f>IF(Base_de_donnée_clients!Q53="","",Base_de_donnée_clients!Q53)</f>
        <v/>
      </c>
      <c r="N53" s="132" t="str">
        <f>IF(Base_de_donnée_clients!R53="","",Base_de_donnée_clients!R53)</f>
        <v/>
      </c>
    </row>
    <row r="54" spans="1:14" ht="24" customHeight="1" x14ac:dyDescent="0.45">
      <c r="A54" s="131" t="str">
        <f>IF(Base_de_donnée_clients!A54="","",Base_de_donnée_clients!A54)</f>
        <v/>
      </c>
      <c r="B54" s="132" t="str">
        <f>IF(Base_de_donnée_clients!B54="","",Base_de_donnée_clients!B54)</f>
        <v/>
      </c>
      <c r="C54" s="132" t="str">
        <f>IF(Base_de_donnée_clients!C54="","",Base_de_donnée_clients!C54)</f>
        <v/>
      </c>
      <c r="D54" s="132" t="str">
        <f>IF(Base_de_donnée_clients!H54="","",Base_de_donnée_clients!H54)</f>
        <v/>
      </c>
      <c r="E54" s="132" t="str">
        <f>IF(Base_de_donnée_clients!I54="","",Base_de_donnée_clients!I54)</f>
        <v/>
      </c>
      <c r="F54" s="133" t="str">
        <f>IF(Base_de_donnée_clients!J54="","",Base_de_donnée_clients!J54)</f>
        <v/>
      </c>
      <c r="G54" s="133" t="str">
        <f>IF(Base_de_donnée_clients!K54="","",Base_de_donnée_clients!K54)</f>
        <v/>
      </c>
      <c r="H54" s="132" t="str">
        <f>IF(Base_de_donnée_clients!L54="","",Base_de_donnée_clients!L54)</f>
        <v/>
      </c>
      <c r="I54" s="132" t="str">
        <f>IF(Base_de_donnée_clients!M54="","",Base_de_donnée_clients!M54)</f>
        <v/>
      </c>
      <c r="J54" s="132" t="str">
        <f>IF(Base_de_donnée_clients!N54="","",Base_de_donnée_clients!N54)</f>
        <v/>
      </c>
      <c r="K54" s="133" t="str">
        <f>IF(Base_de_donnée_clients!O54="","",Base_de_donnée_clients!O54)</f>
        <v/>
      </c>
      <c r="L54" s="133" t="str">
        <f>IF(Base_de_donnée_clients!P54="","",Base_de_donnée_clients!P54)</f>
        <v/>
      </c>
      <c r="M54" s="133" t="str">
        <f>IF(Base_de_donnée_clients!Q54="","",Base_de_donnée_clients!Q54)</f>
        <v/>
      </c>
      <c r="N54" s="132" t="str">
        <f>IF(Base_de_donnée_clients!R54="","",Base_de_donnée_clients!R54)</f>
        <v/>
      </c>
    </row>
    <row r="55" spans="1:14" ht="24" customHeight="1" x14ac:dyDescent="0.45">
      <c r="A55" s="131" t="str">
        <f>IF(Base_de_donnée_clients!A55="","",Base_de_donnée_clients!A55)</f>
        <v/>
      </c>
      <c r="B55" s="132" t="str">
        <f>IF(Base_de_donnée_clients!B55="","",Base_de_donnée_clients!B55)</f>
        <v/>
      </c>
      <c r="C55" s="132" t="str">
        <f>IF(Base_de_donnée_clients!C55="","",Base_de_donnée_clients!C55)</f>
        <v/>
      </c>
      <c r="D55" s="132" t="str">
        <f>IF(Base_de_donnée_clients!H55="","",Base_de_donnée_clients!H55)</f>
        <v/>
      </c>
      <c r="E55" s="132" t="str">
        <f>IF(Base_de_donnée_clients!I55="","",Base_de_donnée_clients!I55)</f>
        <v/>
      </c>
      <c r="F55" s="133" t="str">
        <f>IF(Base_de_donnée_clients!J55="","",Base_de_donnée_clients!J55)</f>
        <v/>
      </c>
      <c r="G55" s="133" t="str">
        <f>IF(Base_de_donnée_clients!K55="","",Base_de_donnée_clients!K55)</f>
        <v/>
      </c>
      <c r="H55" s="132" t="str">
        <f>IF(Base_de_donnée_clients!L55="","",Base_de_donnée_clients!L55)</f>
        <v/>
      </c>
      <c r="I55" s="132" t="str">
        <f>IF(Base_de_donnée_clients!M55="","",Base_de_donnée_clients!M55)</f>
        <v/>
      </c>
      <c r="J55" s="132" t="str">
        <f>IF(Base_de_donnée_clients!N55="","",Base_de_donnée_clients!N55)</f>
        <v/>
      </c>
      <c r="K55" s="133" t="str">
        <f>IF(Base_de_donnée_clients!O55="","",Base_de_donnée_clients!O55)</f>
        <v/>
      </c>
      <c r="L55" s="133" t="str">
        <f>IF(Base_de_donnée_clients!P55="","",Base_de_donnée_clients!P55)</f>
        <v/>
      </c>
      <c r="M55" s="133" t="str">
        <f>IF(Base_de_donnée_clients!Q55="","",Base_de_donnée_clients!Q55)</f>
        <v/>
      </c>
      <c r="N55" s="132" t="str">
        <f>IF(Base_de_donnée_clients!R55="","",Base_de_donnée_clients!R55)</f>
        <v/>
      </c>
    </row>
    <row r="56" spans="1:14" ht="24" customHeight="1" x14ac:dyDescent="0.45">
      <c r="A56" s="131" t="str">
        <f>IF(Base_de_donnée_clients!A56="","",Base_de_donnée_clients!A56)</f>
        <v/>
      </c>
      <c r="B56" s="132" t="str">
        <f>IF(Base_de_donnée_clients!B56="","",Base_de_donnée_clients!B56)</f>
        <v/>
      </c>
      <c r="C56" s="132" t="str">
        <f>IF(Base_de_donnée_clients!C56="","",Base_de_donnée_clients!C56)</f>
        <v/>
      </c>
      <c r="D56" s="132" t="str">
        <f>IF(Base_de_donnée_clients!H56="","",Base_de_donnée_clients!H56)</f>
        <v/>
      </c>
      <c r="E56" s="132" t="str">
        <f>IF(Base_de_donnée_clients!I56="","",Base_de_donnée_clients!I56)</f>
        <v/>
      </c>
      <c r="F56" s="133" t="str">
        <f>IF(Base_de_donnée_clients!J56="","",Base_de_donnée_clients!J56)</f>
        <v/>
      </c>
      <c r="G56" s="133" t="str">
        <f>IF(Base_de_donnée_clients!K56="","",Base_de_donnée_clients!K56)</f>
        <v/>
      </c>
      <c r="H56" s="132" t="str">
        <f>IF(Base_de_donnée_clients!L56="","",Base_de_donnée_clients!L56)</f>
        <v/>
      </c>
      <c r="I56" s="132" t="str">
        <f>IF(Base_de_donnée_clients!M56="","",Base_de_donnée_clients!M56)</f>
        <v/>
      </c>
      <c r="J56" s="132" t="str">
        <f>IF(Base_de_donnée_clients!N56="","",Base_de_donnée_clients!N56)</f>
        <v/>
      </c>
      <c r="K56" s="133" t="str">
        <f>IF(Base_de_donnée_clients!O56="","",Base_de_donnée_clients!O56)</f>
        <v/>
      </c>
      <c r="L56" s="133" t="str">
        <f>IF(Base_de_donnée_clients!P56="","",Base_de_donnée_clients!P56)</f>
        <v/>
      </c>
      <c r="M56" s="133" t="str">
        <f>IF(Base_de_donnée_clients!Q56="","",Base_de_donnée_clients!Q56)</f>
        <v/>
      </c>
      <c r="N56" s="132" t="str">
        <f>IF(Base_de_donnée_clients!R56="","",Base_de_donnée_clients!R56)</f>
        <v/>
      </c>
    </row>
    <row r="57" spans="1:14" ht="24" customHeight="1" x14ac:dyDescent="0.45">
      <c r="A57" s="131" t="str">
        <f>IF(Base_de_donnée_clients!A57="","",Base_de_donnée_clients!A57)</f>
        <v/>
      </c>
      <c r="B57" s="132" t="str">
        <f>IF(Base_de_donnée_clients!B57="","",Base_de_donnée_clients!B57)</f>
        <v/>
      </c>
      <c r="C57" s="132" t="str">
        <f>IF(Base_de_donnée_clients!C57="","",Base_de_donnée_clients!C57)</f>
        <v/>
      </c>
      <c r="D57" s="132" t="str">
        <f>IF(Base_de_donnée_clients!H57="","",Base_de_donnée_clients!H57)</f>
        <v/>
      </c>
      <c r="E57" s="132" t="str">
        <f>IF(Base_de_donnée_clients!I57="","",Base_de_donnée_clients!I57)</f>
        <v/>
      </c>
      <c r="F57" s="133" t="str">
        <f>IF(Base_de_donnée_clients!J57="","",Base_de_donnée_clients!J57)</f>
        <v/>
      </c>
      <c r="G57" s="133" t="str">
        <f>IF(Base_de_donnée_clients!K57="","",Base_de_donnée_clients!K57)</f>
        <v/>
      </c>
      <c r="H57" s="132" t="str">
        <f>IF(Base_de_donnée_clients!L57="","",Base_de_donnée_clients!L57)</f>
        <v/>
      </c>
      <c r="I57" s="132" t="str">
        <f>IF(Base_de_donnée_clients!M57="","",Base_de_donnée_clients!M57)</f>
        <v/>
      </c>
      <c r="J57" s="132" t="str">
        <f>IF(Base_de_donnée_clients!N57="","",Base_de_donnée_clients!N57)</f>
        <v/>
      </c>
      <c r="K57" s="133" t="str">
        <f>IF(Base_de_donnée_clients!O57="","",Base_de_donnée_clients!O57)</f>
        <v/>
      </c>
      <c r="L57" s="133" t="str">
        <f>IF(Base_de_donnée_clients!P57="","",Base_de_donnée_clients!P57)</f>
        <v/>
      </c>
      <c r="M57" s="133" t="str">
        <f>IF(Base_de_donnée_clients!Q57="","",Base_de_donnée_clients!Q57)</f>
        <v/>
      </c>
      <c r="N57" s="132" t="str">
        <f>IF(Base_de_donnée_clients!R57="","",Base_de_donnée_clients!R57)</f>
        <v/>
      </c>
    </row>
    <row r="58" spans="1:14" ht="24" customHeight="1" x14ac:dyDescent="0.45">
      <c r="A58" s="131" t="str">
        <f>IF(Base_de_donnée_clients!A58="","",Base_de_donnée_clients!A58)</f>
        <v/>
      </c>
      <c r="B58" s="132" t="str">
        <f>IF(Base_de_donnée_clients!B58="","",Base_de_donnée_clients!B58)</f>
        <v/>
      </c>
      <c r="C58" s="132" t="str">
        <f>IF(Base_de_donnée_clients!C58="","",Base_de_donnée_clients!C58)</f>
        <v/>
      </c>
      <c r="D58" s="132" t="str">
        <f>IF(Base_de_donnée_clients!H58="","",Base_de_donnée_clients!H58)</f>
        <v/>
      </c>
      <c r="E58" s="132" t="str">
        <f>IF(Base_de_donnée_clients!I58="","",Base_de_donnée_clients!I58)</f>
        <v/>
      </c>
      <c r="F58" s="133" t="str">
        <f>IF(Base_de_donnée_clients!J58="","",Base_de_donnée_clients!J58)</f>
        <v/>
      </c>
      <c r="G58" s="133" t="str">
        <f>IF(Base_de_donnée_clients!K58="","",Base_de_donnée_clients!K58)</f>
        <v/>
      </c>
      <c r="H58" s="132" t="str">
        <f>IF(Base_de_donnée_clients!L58="","",Base_de_donnée_clients!L58)</f>
        <v/>
      </c>
      <c r="I58" s="132" t="str">
        <f>IF(Base_de_donnée_clients!M58="","",Base_de_donnée_clients!M58)</f>
        <v/>
      </c>
      <c r="J58" s="132" t="str">
        <f>IF(Base_de_donnée_clients!N58="","",Base_de_donnée_clients!N58)</f>
        <v/>
      </c>
      <c r="K58" s="133" t="str">
        <f>IF(Base_de_donnée_clients!O58="","",Base_de_donnée_clients!O58)</f>
        <v/>
      </c>
      <c r="L58" s="133" t="str">
        <f>IF(Base_de_donnée_clients!P58="","",Base_de_donnée_clients!P58)</f>
        <v/>
      </c>
      <c r="M58" s="133" t="str">
        <f>IF(Base_de_donnée_clients!Q58="","",Base_de_donnée_clients!Q58)</f>
        <v/>
      </c>
      <c r="N58" s="132" t="str">
        <f>IF(Base_de_donnée_clients!R58="","",Base_de_donnée_clients!R58)</f>
        <v/>
      </c>
    </row>
    <row r="59" spans="1:14" ht="24" customHeight="1" x14ac:dyDescent="0.45">
      <c r="A59" s="131" t="str">
        <f>IF(Base_de_donnée_clients!A59="","",Base_de_donnée_clients!A59)</f>
        <v/>
      </c>
      <c r="B59" s="132" t="str">
        <f>IF(Base_de_donnée_clients!B59="","",Base_de_donnée_clients!B59)</f>
        <v/>
      </c>
      <c r="C59" s="132" t="str">
        <f>IF(Base_de_donnée_clients!C59="","",Base_de_donnée_clients!C59)</f>
        <v/>
      </c>
      <c r="D59" s="132" t="str">
        <f>IF(Base_de_donnée_clients!H59="","",Base_de_donnée_clients!H59)</f>
        <v/>
      </c>
      <c r="E59" s="132" t="str">
        <f>IF(Base_de_donnée_clients!I59="","",Base_de_donnée_clients!I59)</f>
        <v/>
      </c>
      <c r="F59" s="133" t="str">
        <f>IF(Base_de_donnée_clients!J59="","",Base_de_donnée_clients!J59)</f>
        <v/>
      </c>
      <c r="G59" s="133" t="str">
        <f>IF(Base_de_donnée_clients!K59="","",Base_de_donnée_clients!K59)</f>
        <v/>
      </c>
      <c r="H59" s="132" t="str">
        <f>IF(Base_de_donnée_clients!L59="","",Base_de_donnée_clients!L59)</f>
        <v/>
      </c>
      <c r="I59" s="132" t="str">
        <f>IF(Base_de_donnée_clients!M59="","",Base_de_donnée_clients!M59)</f>
        <v/>
      </c>
      <c r="J59" s="132" t="str">
        <f>IF(Base_de_donnée_clients!N59="","",Base_de_donnée_clients!N59)</f>
        <v/>
      </c>
      <c r="K59" s="133" t="str">
        <f>IF(Base_de_donnée_clients!O59="","",Base_de_donnée_clients!O59)</f>
        <v/>
      </c>
      <c r="L59" s="133" t="str">
        <f>IF(Base_de_donnée_clients!P59="","",Base_de_donnée_clients!P59)</f>
        <v/>
      </c>
      <c r="M59" s="133" t="str">
        <f>IF(Base_de_donnée_clients!Q59="","",Base_de_donnée_clients!Q59)</f>
        <v/>
      </c>
      <c r="N59" s="132" t="str">
        <f>IF(Base_de_donnée_clients!R59="","",Base_de_donnée_clients!R59)</f>
        <v/>
      </c>
    </row>
    <row r="60" spans="1:14" ht="24" customHeight="1" x14ac:dyDescent="0.45">
      <c r="A60" s="131" t="str">
        <f>IF(Base_de_donnée_clients!A60="","",Base_de_donnée_clients!A60)</f>
        <v/>
      </c>
      <c r="B60" s="132" t="str">
        <f>IF(Base_de_donnée_clients!B60="","",Base_de_donnée_clients!B60)</f>
        <v/>
      </c>
      <c r="C60" s="132" t="str">
        <f>IF(Base_de_donnée_clients!C60="","",Base_de_donnée_clients!C60)</f>
        <v/>
      </c>
      <c r="D60" s="132" t="str">
        <f>IF(Base_de_donnée_clients!H60="","",Base_de_donnée_clients!H60)</f>
        <v/>
      </c>
      <c r="E60" s="132" t="str">
        <f>IF(Base_de_donnée_clients!I60="","",Base_de_donnée_clients!I60)</f>
        <v/>
      </c>
      <c r="F60" s="133" t="str">
        <f>IF(Base_de_donnée_clients!J60="","",Base_de_donnée_clients!J60)</f>
        <v/>
      </c>
      <c r="G60" s="133" t="str">
        <f>IF(Base_de_donnée_clients!K60="","",Base_de_donnée_clients!K60)</f>
        <v/>
      </c>
      <c r="H60" s="132" t="str">
        <f>IF(Base_de_donnée_clients!L60="","",Base_de_donnée_clients!L60)</f>
        <v/>
      </c>
      <c r="I60" s="132" t="str">
        <f>IF(Base_de_donnée_clients!M60="","",Base_de_donnée_clients!M60)</f>
        <v/>
      </c>
      <c r="J60" s="132" t="str">
        <f>IF(Base_de_donnée_clients!N60="","",Base_de_donnée_clients!N60)</f>
        <v/>
      </c>
      <c r="K60" s="133" t="str">
        <f>IF(Base_de_donnée_clients!O60="","",Base_de_donnée_clients!O60)</f>
        <v/>
      </c>
      <c r="L60" s="133" t="str">
        <f>IF(Base_de_donnée_clients!P60="","",Base_de_donnée_clients!P60)</f>
        <v/>
      </c>
      <c r="M60" s="133" t="str">
        <f>IF(Base_de_donnée_clients!Q60="","",Base_de_donnée_clients!Q60)</f>
        <v/>
      </c>
      <c r="N60" s="132" t="str">
        <f>IF(Base_de_donnée_clients!R60="","",Base_de_donnée_clients!R60)</f>
        <v/>
      </c>
    </row>
    <row r="61" spans="1:14" ht="24" customHeight="1" x14ac:dyDescent="0.45">
      <c r="A61" s="131" t="str">
        <f>IF(Base_de_donnée_clients!A61="","",Base_de_donnée_clients!A61)</f>
        <v/>
      </c>
      <c r="B61" s="132" t="str">
        <f>IF(Base_de_donnée_clients!B61="","",Base_de_donnée_clients!B61)</f>
        <v/>
      </c>
      <c r="C61" s="132" t="str">
        <f>IF(Base_de_donnée_clients!C61="","",Base_de_donnée_clients!C61)</f>
        <v/>
      </c>
      <c r="D61" s="132" t="str">
        <f>IF(Base_de_donnée_clients!H61="","",Base_de_donnée_clients!H61)</f>
        <v/>
      </c>
      <c r="E61" s="132" t="str">
        <f>IF(Base_de_donnée_clients!I61="","",Base_de_donnée_clients!I61)</f>
        <v/>
      </c>
      <c r="F61" s="133" t="str">
        <f>IF(Base_de_donnée_clients!J61="","",Base_de_donnée_clients!J61)</f>
        <v/>
      </c>
      <c r="G61" s="133" t="str">
        <f>IF(Base_de_donnée_clients!K61="","",Base_de_donnée_clients!K61)</f>
        <v/>
      </c>
      <c r="H61" s="132" t="str">
        <f>IF(Base_de_donnée_clients!L61="","",Base_de_donnée_clients!L61)</f>
        <v/>
      </c>
      <c r="I61" s="132" t="str">
        <f>IF(Base_de_donnée_clients!M61="","",Base_de_donnée_clients!M61)</f>
        <v/>
      </c>
      <c r="J61" s="132" t="str">
        <f>IF(Base_de_donnée_clients!N61="","",Base_de_donnée_clients!N61)</f>
        <v/>
      </c>
      <c r="K61" s="133" t="str">
        <f>IF(Base_de_donnée_clients!O61="","",Base_de_donnée_clients!O61)</f>
        <v/>
      </c>
      <c r="L61" s="133" t="str">
        <f>IF(Base_de_donnée_clients!P61="","",Base_de_donnée_clients!P61)</f>
        <v/>
      </c>
      <c r="M61" s="133" t="str">
        <f>IF(Base_de_donnée_clients!Q61="","",Base_de_donnée_clients!Q61)</f>
        <v/>
      </c>
      <c r="N61" s="132" t="str">
        <f>IF(Base_de_donnée_clients!R61="","",Base_de_donnée_clients!R61)</f>
        <v/>
      </c>
    </row>
    <row r="62" spans="1:14" ht="24" customHeight="1" x14ac:dyDescent="0.45">
      <c r="A62" s="131" t="str">
        <f>IF(Base_de_donnée_clients!A62="","",Base_de_donnée_clients!A62)</f>
        <v/>
      </c>
      <c r="B62" s="132" t="str">
        <f>IF(Base_de_donnée_clients!B62="","",Base_de_donnée_clients!B62)</f>
        <v/>
      </c>
      <c r="C62" s="132" t="str">
        <f>IF(Base_de_donnée_clients!C62="","",Base_de_donnée_clients!C62)</f>
        <v/>
      </c>
      <c r="D62" s="132" t="str">
        <f>IF(Base_de_donnée_clients!H62="","",Base_de_donnée_clients!H62)</f>
        <v/>
      </c>
      <c r="E62" s="132" t="str">
        <f>IF(Base_de_donnée_clients!I62="","",Base_de_donnée_clients!I62)</f>
        <v/>
      </c>
      <c r="F62" s="133" t="str">
        <f>IF(Base_de_donnée_clients!J62="","",Base_de_donnée_clients!J62)</f>
        <v/>
      </c>
      <c r="G62" s="133" t="str">
        <f>IF(Base_de_donnée_clients!K62="","",Base_de_donnée_clients!K62)</f>
        <v/>
      </c>
      <c r="H62" s="132" t="str">
        <f>IF(Base_de_donnée_clients!L62="","",Base_de_donnée_clients!L62)</f>
        <v/>
      </c>
      <c r="I62" s="132" t="str">
        <f>IF(Base_de_donnée_clients!M62="","",Base_de_donnée_clients!M62)</f>
        <v/>
      </c>
      <c r="J62" s="132" t="str">
        <f>IF(Base_de_donnée_clients!N62="","",Base_de_donnée_clients!N62)</f>
        <v/>
      </c>
      <c r="K62" s="133" t="str">
        <f>IF(Base_de_donnée_clients!O62="","",Base_de_donnée_clients!O62)</f>
        <v/>
      </c>
      <c r="L62" s="133" t="str">
        <f>IF(Base_de_donnée_clients!P62="","",Base_de_donnée_clients!P62)</f>
        <v/>
      </c>
      <c r="M62" s="133" t="str">
        <f>IF(Base_de_donnée_clients!Q62="","",Base_de_donnée_clients!Q62)</f>
        <v/>
      </c>
      <c r="N62" s="132" t="str">
        <f>IF(Base_de_donnée_clients!R62="","",Base_de_donnée_clients!R62)</f>
        <v/>
      </c>
    </row>
    <row r="63" spans="1:14" ht="24" customHeight="1" x14ac:dyDescent="0.45">
      <c r="A63" s="131" t="str">
        <f>IF(Base_de_donnée_clients!A63="","",Base_de_donnée_clients!A63)</f>
        <v/>
      </c>
      <c r="B63" s="132" t="str">
        <f>IF(Base_de_donnée_clients!B63="","",Base_de_donnée_clients!B63)</f>
        <v/>
      </c>
      <c r="C63" s="132" t="str">
        <f>IF(Base_de_donnée_clients!C63="","",Base_de_donnée_clients!C63)</f>
        <v/>
      </c>
      <c r="D63" s="132" t="str">
        <f>IF(Base_de_donnée_clients!H63="","",Base_de_donnée_clients!H63)</f>
        <v/>
      </c>
      <c r="E63" s="132" t="str">
        <f>IF(Base_de_donnée_clients!I63="","",Base_de_donnée_clients!I63)</f>
        <v/>
      </c>
      <c r="F63" s="133" t="str">
        <f>IF(Base_de_donnée_clients!J63="","",Base_de_donnée_clients!J63)</f>
        <v/>
      </c>
      <c r="G63" s="133" t="str">
        <f>IF(Base_de_donnée_clients!K63="","",Base_de_donnée_clients!K63)</f>
        <v/>
      </c>
      <c r="H63" s="132" t="str">
        <f>IF(Base_de_donnée_clients!L63="","",Base_de_donnée_clients!L63)</f>
        <v/>
      </c>
      <c r="I63" s="132" t="str">
        <f>IF(Base_de_donnée_clients!M63="","",Base_de_donnée_clients!M63)</f>
        <v/>
      </c>
      <c r="J63" s="132" t="str">
        <f>IF(Base_de_donnée_clients!N63="","",Base_de_donnée_clients!N63)</f>
        <v/>
      </c>
      <c r="K63" s="133" t="str">
        <f>IF(Base_de_donnée_clients!O63="","",Base_de_donnée_clients!O63)</f>
        <v/>
      </c>
      <c r="L63" s="133" t="str">
        <f>IF(Base_de_donnée_clients!P63="","",Base_de_donnée_clients!P63)</f>
        <v/>
      </c>
      <c r="M63" s="133" t="str">
        <f>IF(Base_de_donnée_clients!Q63="","",Base_de_donnée_clients!Q63)</f>
        <v/>
      </c>
      <c r="N63" s="132" t="str">
        <f>IF(Base_de_donnée_clients!R63="","",Base_de_donnée_clients!R63)</f>
        <v/>
      </c>
    </row>
    <row r="64" spans="1:14" ht="24" customHeight="1" x14ac:dyDescent="0.45">
      <c r="A64" s="131" t="str">
        <f>IF(Base_de_donnée_clients!A64="","",Base_de_donnée_clients!A64)</f>
        <v/>
      </c>
      <c r="B64" s="132" t="str">
        <f>IF(Base_de_donnée_clients!B64="","",Base_de_donnée_clients!B64)</f>
        <v/>
      </c>
      <c r="C64" s="132" t="str">
        <f>IF(Base_de_donnée_clients!C64="","",Base_de_donnée_clients!C64)</f>
        <v/>
      </c>
      <c r="D64" s="132" t="str">
        <f>IF(Base_de_donnée_clients!H64="","",Base_de_donnée_clients!H64)</f>
        <v/>
      </c>
      <c r="E64" s="132" t="str">
        <f>IF(Base_de_donnée_clients!I64="","",Base_de_donnée_clients!I64)</f>
        <v/>
      </c>
      <c r="F64" s="133" t="str">
        <f>IF(Base_de_donnée_clients!J64="","",Base_de_donnée_clients!J64)</f>
        <v/>
      </c>
      <c r="G64" s="133" t="str">
        <f>IF(Base_de_donnée_clients!K64="","",Base_de_donnée_clients!K64)</f>
        <v/>
      </c>
      <c r="H64" s="132" t="str">
        <f>IF(Base_de_donnée_clients!L64="","",Base_de_donnée_clients!L64)</f>
        <v/>
      </c>
      <c r="I64" s="132" t="str">
        <f>IF(Base_de_donnée_clients!M64="","",Base_de_donnée_clients!M64)</f>
        <v/>
      </c>
      <c r="J64" s="132" t="str">
        <f>IF(Base_de_donnée_clients!N64="","",Base_de_donnée_clients!N64)</f>
        <v/>
      </c>
      <c r="K64" s="133" t="str">
        <f>IF(Base_de_donnée_clients!O64="","",Base_de_donnée_clients!O64)</f>
        <v/>
      </c>
      <c r="L64" s="133" t="str">
        <f>IF(Base_de_donnée_clients!P64="","",Base_de_donnée_clients!P64)</f>
        <v/>
      </c>
      <c r="M64" s="133" t="str">
        <f>IF(Base_de_donnée_clients!Q64="","",Base_de_donnée_clients!Q64)</f>
        <v/>
      </c>
      <c r="N64" s="132" t="str">
        <f>IF(Base_de_donnée_clients!R64="","",Base_de_donnée_clients!R64)</f>
        <v/>
      </c>
    </row>
    <row r="65" spans="1:14" ht="24" customHeight="1" x14ac:dyDescent="0.45">
      <c r="A65" s="131" t="str">
        <f>IF(Base_de_donnée_clients!A65="","",Base_de_donnée_clients!A65)</f>
        <v/>
      </c>
      <c r="B65" s="132" t="str">
        <f>IF(Base_de_donnée_clients!B65="","",Base_de_donnée_clients!B65)</f>
        <v/>
      </c>
      <c r="C65" s="132" t="str">
        <f>IF(Base_de_donnée_clients!C65="","",Base_de_donnée_clients!C65)</f>
        <v/>
      </c>
      <c r="D65" s="132" t="str">
        <f>IF(Base_de_donnée_clients!H65="","",Base_de_donnée_clients!H65)</f>
        <v/>
      </c>
      <c r="E65" s="132" t="str">
        <f>IF(Base_de_donnée_clients!I65="","",Base_de_donnée_clients!I65)</f>
        <v/>
      </c>
      <c r="F65" s="133" t="str">
        <f>IF(Base_de_donnée_clients!J65="","",Base_de_donnée_clients!J65)</f>
        <v/>
      </c>
      <c r="G65" s="133" t="str">
        <f>IF(Base_de_donnée_clients!K65="","",Base_de_donnée_clients!K65)</f>
        <v/>
      </c>
      <c r="H65" s="132" t="str">
        <f>IF(Base_de_donnée_clients!L65="","",Base_de_donnée_clients!L65)</f>
        <v/>
      </c>
      <c r="I65" s="132" t="str">
        <f>IF(Base_de_donnée_clients!M65="","",Base_de_donnée_clients!M65)</f>
        <v/>
      </c>
      <c r="J65" s="132" t="str">
        <f>IF(Base_de_donnée_clients!N65="","",Base_de_donnée_clients!N65)</f>
        <v/>
      </c>
      <c r="K65" s="133" t="str">
        <f>IF(Base_de_donnée_clients!O65="","",Base_de_donnée_clients!O65)</f>
        <v/>
      </c>
      <c r="L65" s="133" t="str">
        <f>IF(Base_de_donnée_clients!P65="","",Base_de_donnée_clients!P65)</f>
        <v/>
      </c>
      <c r="M65" s="133" t="str">
        <f>IF(Base_de_donnée_clients!Q65="","",Base_de_donnée_clients!Q65)</f>
        <v/>
      </c>
      <c r="N65" s="132" t="str">
        <f>IF(Base_de_donnée_clients!R65="","",Base_de_donnée_clients!R65)</f>
        <v/>
      </c>
    </row>
    <row r="66" spans="1:14" ht="24" customHeight="1" x14ac:dyDescent="0.45">
      <c r="A66" s="131" t="str">
        <f>IF(Base_de_donnée_clients!A66="","",Base_de_donnée_clients!A66)</f>
        <v/>
      </c>
      <c r="B66" s="132" t="str">
        <f>IF(Base_de_donnée_clients!B66="","",Base_de_donnée_clients!B66)</f>
        <v/>
      </c>
      <c r="C66" s="132" t="str">
        <f>IF(Base_de_donnée_clients!C66="","",Base_de_donnée_clients!C66)</f>
        <v/>
      </c>
      <c r="D66" s="132" t="str">
        <f>IF(Base_de_donnée_clients!H66="","",Base_de_donnée_clients!H66)</f>
        <v/>
      </c>
      <c r="E66" s="132" t="str">
        <f>IF(Base_de_donnée_clients!I66="","",Base_de_donnée_clients!I66)</f>
        <v/>
      </c>
      <c r="F66" s="133" t="str">
        <f>IF(Base_de_donnée_clients!J66="","",Base_de_donnée_clients!J66)</f>
        <v/>
      </c>
      <c r="G66" s="133" t="str">
        <f>IF(Base_de_donnée_clients!K66="","",Base_de_donnée_clients!K66)</f>
        <v/>
      </c>
      <c r="H66" s="132" t="str">
        <f>IF(Base_de_donnée_clients!L66="","",Base_de_donnée_clients!L66)</f>
        <v/>
      </c>
      <c r="I66" s="132" t="str">
        <f>IF(Base_de_donnée_clients!M66="","",Base_de_donnée_clients!M66)</f>
        <v/>
      </c>
      <c r="J66" s="132" t="str">
        <f>IF(Base_de_donnée_clients!N66="","",Base_de_donnée_clients!N66)</f>
        <v/>
      </c>
      <c r="K66" s="133" t="str">
        <f>IF(Base_de_donnée_clients!O66="","",Base_de_donnée_clients!O66)</f>
        <v/>
      </c>
      <c r="L66" s="133" t="str">
        <f>IF(Base_de_donnée_clients!P66="","",Base_de_donnée_clients!P66)</f>
        <v/>
      </c>
      <c r="M66" s="133" t="str">
        <f>IF(Base_de_donnée_clients!Q66="","",Base_de_donnée_clients!Q66)</f>
        <v/>
      </c>
      <c r="N66" s="132" t="str">
        <f>IF(Base_de_donnée_clients!R66="","",Base_de_donnée_clients!R66)</f>
        <v/>
      </c>
    </row>
    <row r="67" spans="1:14" ht="24" customHeight="1" x14ac:dyDescent="0.45">
      <c r="A67" s="131" t="str">
        <f>IF(Base_de_donnée_clients!A67="","",Base_de_donnée_clients!A67)</f>
        <v/>
      </c>
      <c r="B67" s="132" t="str">
        <f>IF(Base_de_donnée_clients!B67="","",Base_de_donnée_clients!B67)</f>
        <v/>
      </c>
      <c r="C67" s="132" t="str">
        <f>IF(Base_de_donnée_clients!C67="","",Base_de_donnée_clients!C67)</f>
        <v/>
      </c>
      <c r="D67" s="132" t="str">
        <f>IF(Base_de_donnée_clients!H67="","",Base_de_donnée_clients!H67)</f>
        <v/>
      </c>
      <c r="E67" s="132" t="str">
        <f>IF(Base_de_donnée_clients!I67="","",Base_de_donnée_clients!I67)</f>
        <v/>
      </c>
      <c r="F67" s="133" t="str">
        <f>IF(Base_de_donnée_clients!J67="","",Base_de_donnée_clients!J67)</f>
        <v/>
      </c>
      <c r="G67" s="133" t="str">
        <f>IF(Base_de_donnée_clients!K67="","",Base_de_donnée_clients!K67)</f>
        <v/>
      </c>
      <c r="H67" s="132" t="str">
        <f>IF(Base_de_donnée_clients!L67="","",Base_de_donnée_clients!L67)</f>
        <v/>
      </c>
      <c r="I67" s="132" t="str">
        <f>IF(Base_de_donnée_clients!M67="","",Base_de_donnée_clients!M67)</f>
        <v/>
      </c>
      <c r="J67" s="132" t="str">
        <f>IF(Base_de_donnée_clients!N67="","",Base_de_donnée_clients!N67)</f>
        <v/>
      </c>
      <c r="K67" s="133" t="str">
        <f>IF(Base_de_donnée_clients!O67="","",Base_de_donnée_clients!O67)</f>
        <v/>
      </c>
      <c r="L67" s="133" t="str">
        <f>IF(Base_de_donnée_clients!P67="","",Base_de_donnée_clients!P67)</f>
        <v/>
      </c>
      <c r="M67" s="133" t="str">
        <f>IF(Base_de_donnée_clients!Q67="","",Base_de_donnée_clients!Q67)</f>
        <v/>
      </c>
      <c r="N67" s="132" t="str">
        <f>IF(Base_de_donnée_clients!R67="","",Base_de_donnée_clients!R67)</f>
        <v/>
      </c>
    </row>
    <row r="68" spans="1:14" ht="24" customHeight="1" x14ac:dyDescent="0.45">
      <c r="A68" s="131" t="str">
        <f>IF(Base_de_donnée_clients!A68="","",Base_de_donnée_clients!A68)</f>
        <v/>
      </c>
      <c r="B68" s="132" t="str">
        <f>IF(Base_de_donnée_clients!B68="","",Base_de_donnée_clients!B68)</f>
        <v/>
      </c>
      <c r="C68" s="132" t="str">
        <f>IF(Base_de_donnée_clients!C68="","",Base_de_donnée_clients!C68)</f>
        <v/>
      </c>
      <c r="D68" s="132" t="str">
        <f>IF(Base_de_donnée_clients!H68="","",Base_de_donnée_clients!H68)</f>
        <v/>
      </c>
      <c r="E68" s="132" t="str">
        <f>IF(Base_de_donnée_clients!I68="","",Base_de_donnée_clients!I68)</f>
        <v/>
      </c>
      <c r="F68" s="133" t="str">
        <f>IF(Base_de_donnée_clients!J68="","",Base_de_donnée_clients!J68)</f>
        <v/>
      </c>
      <c r="G68" s="133" t="str">
        <f>IF(Base_de_donnée_clients!K68="","",Base_de_donnée_clients!K68)</f>
        <v/>
      </c>
      <c r="H68" s="132" t="str">
        <f>IF(Base_de_donnée_clients!L68="","",Base_de_donnée_clients!L68)</f>
        <v/>
      </c>
      <c r="I68" s="132" t="str">
        <f>IF(Base_de_donnée_clients!M68="","",Base_de_donnée_clients!M68)</f>
        <v/>
      </c>
      <c r="J68" s="132" t="str">
        <f>IF(Base_de_donnée_clients!N68="","",Base_de_donnée_clients!N68)</f>
        <v/>
      </c>
      <c r="K68" s="133" t="str">
        <f>IF(Base_de_donnée_clients!O68="","",Base_de_donnée_clients!O68)</f>
        <v/>
      </c>
      <c r="L68" s="133" t="str">
        <f>IF(Base_de_donnée_clients!P68="","",Base_de_donnée_clients!P68)</f>
        <v/>
      </c>
      <c r="M68" s="133" t="str">
        <f>IF(Base_de_donnée_clients!Q68="","",Base_de_donnée_clients!Q68)</f>
        <v/>
      </c>
      <c r="N68" s="132" t="str">
        <f>IF(Base_de_donnée_clients!R68="","",Base_de_donnée_clients!R68)</f>
        <v/>
      </c>
    </row>
    <row r="69" spans="1:14" ht="24" customHeight="1" x14ac:dyDescent="0.45">
      <c r="A69" s="131" t="str">
        <f>IF(Base_de_donnée_clients!A69="","",Base_de_donnée_clients!A69)</f>
        <v/>
      </c>
      <c r="B69" s="132" t="str">
        <f>IF(Base_de_donnée_clients!B69="","",Base_de_donnée_clients!B69)</f>
        <v/>
      </c>
      <c r="C69" s="132" t="str">
        <f>IF(Base_de_donnée_clients!C69="","",Base_de_donnée_clients!C69)</f>
        <v/>
      </c>
      <c r="D69" s="132" t="str">
        <f>IF(Base_de_donnée_clients!H69="","",Base_de_donnée_clients!H69)</f>
        <v/>
      </c>
      <c r="E69" s="132" t="str">
        <f>IF(Base_de_donnée_clients!I69="","",Base_de_donnée_clients!I69)</f>
        <v/>
      </c>
      <c r="F69" s="133" t="str">
        <f>IF(Base_de_donnée_clients!J69="","",Base_de_donnée_clients!J69)</f>
        <v/>
      </c>
      <c r="G69" s="133" t="str">
        <f>IF(Base_de_donnée_clients!K69="","",Base_de_donnée_clients!K69)</f>
        <v/>
      </c>
      <c r="H69" s="132" t="str">
        <f>IF(Base_de_donnée_clients!L69="","",Base_de_donnée_clients!L69)</f>
        <v/>
      </c>
      <c r="I69" s="132" t="str">
        <f>IF(Base_de_donnée_clients!M69="","",Base_de_donnée_clients!M69)</f>
        <v/>
      </c>
      <c r="J69" s="132" t="str">
        <f>IF(Base_de_donnée_clients!N69="","",Base_de_donnée_clients!N69)</f>
        <v/>
      </c>
      <c r="K69" s="133" t="str">
        <f>IF(Base_de_donnée_clients!O69="","",Base_de_donnée_clients!O69)</f>
        <v/>
      </c>
      <c r="L69" s="133" t="str">
        <f>IF(Base_de_donnée_clients!P69="","",Base_de_donnée_clients!P69)</f>
        <v/>
      </c>
      <c r="M69" s="133" t="str">
        <f>IF(Base_de_donnée_clients!Q69="","",Base_de_donnée_clients!Q69)</f>
        <v/>
      </c>
      <c r="N69" s="132" t="str">
        <f>IF(Base_de_donnée_clients!R69="","",Base_de_donnée_clients!R69)</f>
        <v/>
      </c>
    </row>
    <row r="70" spans="1:14" ht="24" customHeight="1" x14ac:dyDescent="0.45">
      <c r="A70" s="131" t="str">
        <f>IF(Base_de_donnée_clients!A70="","",Base_de_donnée_clients!A70)</f>
        <v/>
      </c>
      <c r="B70" s="132" t="str">
        <f>IF(Base_de_donnée_clients!B70="","",Base_de_donnée_clients!B70)</f>
        <v/>
      </c>
      <c r="C70" s="132" t="str">
        <f>IF(Base_de_donnée_clients!C70="","",Base_de_donnée_clients!C70)</f>
        <v/>
      </c>
      <c r="D70" s="132" t="str">
        <f>IF(Base_de_donnée_clients!H70="","",Base_de_donnée_clients!H70)</f>
        <v/>
      </c>
      <c r="E70" s="132" t="str">
        <f>IF(Base_de_donnée_clients!I70="","",Base_de_donnée_clients!I70)</f>
        <v/>
      </c>
      <c r="F70" s="133" t="str">
        <f>IF(Base_de_donnée_clients!J70="","",Base_de_donnée_clients!J70)</f>
        <v/>
      </c>
      <c r="G70" s="133" t="str">
        <f>IF(Base_de_donnée_clients!K70="","",Base_de_donnée_clients!K70)</f>
        <v/>
      </c>
      <c r="H70" s="132" t="str">
        <f>IF(Base_de_donnée_clients!L70="","",Base_de_donnée_clients!L70)</f>
        <v/>
      </c>
      <c r="I70" s="132" t="str">
        <f>IF(Base_de_donnée_clients!M70="","",Base_de_donnée_clients!M70)</f>
        <v/>
      </c>
      <c r="J70" s="132" t="str">
        <f>IF(Base_de_donnée_clients!N70="","",Base_de_donnée_clients!N70)</f>
        <v/>
      </c>
      <c r="K70" s="133" t="str">
        <f>IF(Base_de_donnée_clients!O70="","",Base_de_donnée_clients!O70)</f>
        <v/>
      </c>
      <c r="L70" s="133" t="str">
        <f>IF(Base_de_donnée_clients!P70="","",Base_de_donnée_clients!P70)</f>
        <v/>
      </c>
      <c r="M70" s="133" t="str">
        <f>IF(Base_de_donnée_clients!Q70="","",Base_de_donnée_clients!Q70)</f>
        <v/>
      </c>
      <c r="N70" s="132" t="str">
        <f>IF(Base_de_donnée_clients!R70="","",Base_de_donnée_clients!R70)</f>
        <v/>
      </c>
    </row>
    <row r="71" spans="1:14" ht="24" customHeight="1" x14ac:dyDescent="0.45">
      <c r="A71" s="131" t="str">
        <f>IF(Base_de_donnée_clients!A71="","",Base_de_donnée_clients!A71)</f>
        <v/>
      </c>
      <c r="B71" s="132" t="str">
        <f>IF(Base_de_donnée_clients!B71="","",Base_de_donnée_clients!B71)</f>
        <v/>
      </c>
      <c r="C71" s="132" t="str">
        <f>IF(Base_de_donnée_clients!C71="","",Base_de_donnée_clients!C71)</f>
        <v/>
      </c>
      <c r="D71" s="132" t="str">
        <f>IF(Base_de_donnée_clients!H71="","",Base_de_donnée_clients!H71)</f>
        <v/>
      </c>
      <c r="E71" s="132" t="str">
        <f>IF(Base_de_donnée_clients!I71="","",Base_de_donnée_clients!I71)</f>
        <v/>
      </c>
      <c r="F71" s="133" t="str">
        <f>IF(Base_de_donnée_clients!J71="","",Base_de_donnée_clients!J71)</f>
        <v/>
      </c>
      <c r="G71" s="133" t="str">
        <f>IF(Base_de_donnée_clients!K71="","",Base_de_donnée_clients!K71)</f>
        <v/>
      </c>
      <c r="H71" s="132" t="str">
        <f>IF(Base_de_donnée_clients!L71="","",Base_de_donnée_clients!L71)</f>
        <v/>
      </c>
      <c r="I71" s="132" t="str">
        <f>IF(Base_de_donnée_clients!M71="","",Base_de_donnée_clients!M71)</f>
        <v/>
      </c>
      <c r="J71" s="132" t="str">
        <f>IF(Base_de_donnée_clients!N71="","",Base_de_donnée_clients!N71)</f>
        <v/>
      </c>
      <c r="K71" s="133" t="str">
        <f>IF(Base_de_donnée_clients!O71="","",Base_de_donnée_clients!O71)</f>
        <v/>
      </c>
      <c r="L71" s="133" t="str">
        <f>IF(Base_de_donnée_clients!P71="","",Base_de_donnée_clients!P71)</f>
        <v/>
      </c>
      <c r="M71" s="133" t="str">
        <f>IF(Base_de_donnée_clients!Q71="","",Base_de_donnée_clients!Q71)</f>
        <v/>
      </c>
      <c r="N71" s="132" t="str">
        <f>IF(Base_de_donnée_clients!R71="","",Base_de_donnée_clients!R71)</f>
        <v/>
      </c>
    </row>
    <row r="72" spans="1:14" ht="24" customHeight="1" x14ac:dyDescent="0.45">
      <c r="A72" s="131" t="str">
        <f>IF(Base_de_donnée_clients!A72="","",Base_de_donnée_clients!A72)</f>
        <v/>
      </c>
      <c r="B72" s="132" t="str">
        <f>IF(Base_de_donnée_clients!B72="","",Base_de_donnée_clients!B72)</f>
        <v/>
      </c>
      <c r="C72" s="132" t="str">
        <f>IF(Base_de_donnée_clients!C72="","",Base_de_donnée_clients!C72)</f>
        <v/>
      </c>
      <c r="D72" s="132" t="str">
        <f>IF(Base_de_donnée_clients!H72="","",Base_de_donnée_clients!H72)</f>
        <v/>
      </c>
      <c r="E72" s="132" t="str">
        <f>IF(Base_de_donnée_clients!I72="","",Base_de_donnée_clients!I72)</f>
        <v/>
      </c>
      <c r="F72" s="133" t="str">
        <f>IF(Base_de_donnée_clients!J72="","",Base_de_donnée_clients!J72)</f>
        <v/>
      </c>
      <c r="G72" s="133" t="str">
        <f>IF(Base_de_donnée_clients!K72="","",Base_de_donnée_clients!K72)</f>
        <v/>
      </c>
      <c r="H72" s="132" t="str">
        <f>IF(Base_de_donnée_clients!L72="","",Base_de_donnée_clients!L72)</f>
        <v/>
      </c>
      <c r="I72" s="132" t="str">
        <f>IF(Base_de_donnée_clients!M72="","",Base_de_donnée_clients!M72)</f>
        <v/>
      </c>
      <c r="J72" s="132" t="str">
        <f>IF(Base_de_donnée_clients!N72="","",Base_de_donnée_clients!N72)</f>
        <v/>
      </c>
      <c r="K72" s="133" t="str">
        <f>IF(Base_de_donnée_clients!O72="","",Base_de_donnée_clients!O72)</f>
        <v/>
      </c>
      <c r="L72" s="133" t="str">
        <f>IF(Base_de_donnée_clients!P72="","",Base_de_donnée_clients!P72)</f>
        <v/>
      </c>
      <c r="M72" s="133" t="str">
        <f>IF(Base_de_donnée_clients!Q72="","",Base_de_donnée_clients!Q72)</f>
        <v/>
      </c>
      <c r="N72" s="132" t="str">
        <f>IF(Base_de_donnée_clients!R72="","",Base_de_donnée_clients!R72)</f>
        <v/>
      </c>
    </row>
    <row r="73" spans="1:14" ht="24" customHeight="1" x14ac:dyDescent="0.45">
      <c r="A73" s="131" t="str">
        <f>IF(Base_de_donnée_clients!A73="","",Base_de_donnée_clients!A73)</f>
        <v/>
      </c>
      <c r="B73" s="132" t="str">
        <f>IF(Base_de_donnée_clients!B73="","",Base_de_donnée_clients!B73)</f>
        <v/>
      </c>
      <c r="C73" s="132" t="str">
        <f>IF(Base_de_donnée_clients!C73="","",Base_de_donnée_clients!C73)</f>
        <v/>
      </c>
      <c r="D73" s="132" t="str">
        <f>IF(Base_de_donnée_clients!H73="","",Base_de_donnée_clients!H73)</f>
        <v/>
      </c>
      <c r="E73" s="132" t="str">
        <f>IF(Base_de_donnée_clients!I73="","",Base_de_donnée_clients!I73)</f>
        <v/>
      </c>
      <c r="F73" s="133" t="str">
        <f>IF(Base_de_donnée_clients!J73="","",Base_de_donnée_clients!J73)</f>
        <v/>
      </c>
      <c r="G73" s="133" t="str">
        <f>IF(Base_de_donnée_clients!K73="","",Base_de_donnée_clients!K73)</f>
        <v/>
      </c>
      <c r="H73" s="132" t="str">
        <f>IF(Base_de_donnée_clients!L73="","",Base_de_donnée_clients!L73)</f>
        <v/>
      </c>
      <c r="I73" s="132" t="str">
        <f>IF(Base_de_donnée_clients!M73="","",Base_de_donnée_clients!M73)</f>
        <v/>
      </c>
      <c r="J73" s="132" t="str">
        <f>IF(Base_de_donnée_clients!N73="","",Base_de_donnée_clients!N73)</f>
        <v/>
      </c>
      <c r="K73" s="133" t="str">
        <f>IF(Base_de_donnée_clients!O73="","",Base_de_donnée_clients!O73)</f>
        <v/>
      </c>
      <c r="L73" s="133" t="str">
        <f>IF(Base_de_donnée_clients!P73="","",Base_de_donnée_clients!P73)</f>
        <v/>
      </c>
      <c r="M73" s="133" t="str">
        <f>IF(Base_de_donnée_clients!Q73="","",Base_de_donnée_clients!Q73)</f>
        <v/>
      </c>
      <c r="N73" s="132" t="str">
        <f>IF(Base_de_donnée_clients!R73="","",Base_de_donnée_clients!R73)</f>
        <v/>
      </c>
    </row>
    <row r="74" spans="1:14" ht="24" customHeight="1" x14ac:dyDescent="0.45">
      <c r="A74" s="131" t="str">
        <f>IF(Base_de_donnée_clients!A74="","",Base_de_donnée_clients!A74)</f>
        <v/>
      </c>
      <c r="B74" s="132" t="str">
        <f>IF(Base_de_donnée_clients!B74="","",Base_de_donnée_clients!B74)</f>
        <v/>
      </c>
      <c r="C74" s="132" t="str">
        <f>IF(Base_de_donnée_clients!C74="","",Base_de_donnée_clients!C74)</f>
        <v/>
      </c>
      <c r="D74" s="132" t="str">
        <f>IF(Base_de_donnée_clients!H74="","",Base_de_donnée_clients!H74)</f>
        <v/>
      </c>
      <c r="E74" s="132" t="str">
        <f>IF(Base_de_donnée_clients!I74="","",Base_de_donnée_clients!I74)</f>
        <v/>
      </c>
      <c r="F74" s="133" t="str">
        <f>IF(Base_de_donnée_clients!J74="","",Base_de_donnée_clients!J74)</f>
        <v/>
      </c>
      <c r="G74" s="133" t="str">
        <f>IF(Base_de_donnée_clients!K74="","",Base_de_donnée_clients!K74)</f>
        <v/>
      </c>
      <c r="H74" s="132" t="str">
        <f>IF(Base_de_donnée_clients!L74="","",Base_de_donnée_clients!L74)</f>
        <v/>
      </c>
      <c r="I74" s="132" t="str">
        <f>IF(Base_de_donnée_clients!M74="","",Base_de_donnée_clients!M74)</f>
        <v/>
      </c>
      <c r="J74" s="132" t="str">
        <f>IF(Base_de_donnée_clients!N74="","",Base_de_donnée_clients!N74)</f>
        <v/>
      </c>
      <c r="K74" s="133" t="str">
        <f>IF(Base_de_donnée_clients!O74="","",Base_de_donnée_clients!O74)</f>
        <v/>
      </c>
      <c r="L74" s="133" t="str">
        <f>IF(Base_de_donnée_clients!P74="","",Base_de_donnée_clients!P74)</f>
        <v/>
      </c>
      <c r="M74" s="133" t="str">
        <f>IF(Base_de_donnée_clients!Q74="","",Base_de_donnée_clients!Q74)</f>
        <v/>
      </c>
      <c r="N74" s="132" t="str">
        <f>IF(Base_de_donnée_clients!R74="","",Base_de_donnée_clients!R74)</f>
        <v/>
      </c>
    </row>
    <row r="75" spans="1:14" ht="24" customHeight="1" x14ac:dyDescent="0.45">
      <c r="A75" s="131" t="str">
        <f>IF(Base_de_donnée_clients!A75="","",Base_de_donnée_clients!A75)</f>
        <v/>
      </c>
      <c r="B75" s="132" t="str">
        <f>IF(Base_de_donnée_clients!B75="","",Base_de_donnée_clients!B75)</f>
        <v/>
      </c>
      <c r="C75" s="132" t="str">
        <f>IF(Base_de_donnée_clients!C75="","",Base_de_donnée_clients!C75)</f>
        <v/>
      </c>
      <c r="D75" s="132" t="str">
        <f>IF(Base_de_donnée_clients!H75="","",Base_de_donnée_clients!H75)</f>
        <v/>
      </c>
      <c r="E75" s="132" t="str">
        <f>IF(Base_de_donnée_clients!I75="","",Base_de_donnée_clients!I75)</f>
        <v/>
      </c>
      <c r="F75" s="133" t="str">
        <f>IF(Base_de_donnée_clients!J75="","",Base_de_donnée_clients!J75)</f>
        <v/>
      </c>
      <c r="G75" s="133" t="str">
        <f>IF(Base_de_donnée_clients!K75="","",Base_de_donnée_clients!K75)</f>
        <v/>
      </c>
      <c r="H75" s="132" t="str">
        <f>IF(Base_de_donnée_clients!L75="","",Base_de_donnée_clients!L75)</f>
        <v/>
      </c>
      <c r="I75" s="132" t="str">
        <f>IF(Base_de_donnée_clients!M75="","",Base_de_donnée_clients!M75)</f>
        <v/>
      </c>
      <c r="J75" s="132" t="str">
        <f>IF(Base_de_donnée_clients!N75="","",Base_de_donnée_clients!N75)</f>
        <v/>
      </c>
      <c r="K75" s="133" t="str">
        <f>IF(Base_de_donnée_clients!O75="","",Base_de_donnée_clients!O75)</f>
        <v/>
      </c>
      <c r="L75" s="133" t="str">
        <f>IF(Base_de_donnée_clients!P75="","",Base_de_donnée_clients!P75)</f>
        <v/>
      </c>
      <c r="M75" s="133" t="str">
        <f>IF(Base_de_donnée_clients!Q75="","",Base_de_donnée_clients!Q75)</f>
        <v/>
      </c>
      <c r="N75" s="132" t="str">
        <f>IF(Base_de_donnée_clients!R75="","",Base_de_donnée_clients!R75)</f>
        <v/>
      </c>
    </row>
    <row r="76" spans="1:14" ht="24" customHeight="1" x14ac:dyDescent="0.45">
      <c r="A76" s="131" t="str">
        <f>IF(Base_de_donnée_clients!A76="","",Base_de_donnée_clients!A76)</f>
        <v/>
      </c>
      <c r="B76" s="132" t="str">
        <f>IF(Base_de_donnée_clients!B76="","",Base_de_donnée_clients!B76)</f>
        <v/>
      </c>
      <c r="C76" s="132" t="str">
        <f>IF(Base_de_donnée_clients!C76="","",Base_de_donnée_clients!C76)</f>
        <v/>
      </c>
      <c r="D76" s="132" t="str">
        <f>IF(Base_de_donnée_clients!H76="","",Base_de_donnée_clients!H76)</f>
        <v/>
      </c>
      <c r="E76" s="132" t="str">
        <f>IF(Base_de_donnée_clients!I76="","",Base_de_donnée_clients!I76)</f>
        <v/>
      </c>
      <c r="F76" s="133" t="str">
        <f>IF(Base_de_donnée_clients!J76="","",Base_de_donnée_clients!J76)</f>
        <v/>
      </c>
      <c r="G76" s="133" t="str">
        <f>IF(Base_de_donnée_clients!K76="","",Base_de_donnée_clients!K76)</f>
        <v/>
      </c>
      <c r="H76" s="132" t="str">
        <f>IF(Base_de_donnée_clients!L76="","",Base_de_donnée_clients!L76)</f>
        <v/>
      </c>
      <c r="I76" s="132" t="str">
        <f>IF(Base_de_donnée_clients!M76="","",Base_de_donnée_clients!M76)</f>
        <v/>
      </c>
      <c r="J76" s="132" t="str">
        <f>IF(Base_de_donnée_clients!N76="","",Base_de_donnée_clients!N76)</f>
        <v/>
      </c>
      <c r="K76" s="133" t="str">
        <f>IF(Base_de_donnée_clients!O76="","",Base_de_donnée_clients!O76)</f>
        <v/>
      </c>
      <c r="L76" s="133" t="str">
        <f>IF(Base_de_donnée_clients!P76="","",Base_de_donnée_clients!P76)</f>
        <v/>
      </c>
      <c r="M76" s="133" t="str">
        <f>IF(Base_de_donnée_clients!Q76="","",Base_de_donnée_clients!Q76)</f>
        <v/>
      </c>
      <c r="N76" s="132" t="str">
        <f>IF(Base_de_donnée_clients!R76="","",Base_de_donnée_clients!R76)</f>
        <v/>
      </c>
    </row>
    <row r="77" spans="1:14" ht="24" customHeight="1" x14ac:dyDescent="0.45">
      <c r="A77" s="131" t="str">
        <f>IF(Base_de_donnée_clients!A77="","",Base_de_donnée_clients!A77)</f>
        <v/>
      </c>
      <c r="B77" s="132" t="str">
        <f>IF(Base_de_donnée_clients!B77="","",Base_de_donnée_clients!B77)</f>
        <v/>
      </c>
      <c r="C77" s="132" t="str">
        <f>IF(Base_de_donnée_clients!C77="","",Base_de_donnée_clients!C77)</f>
        <v/>
      </c>
      <c r="D77" s="132" t="str">
        <f>IF(Base_de_donnée_clients!H77="","",Base_de_donnée_clients!H77)</f>
        <v/>
      </c>
      <c r="E77" s="132" t="str">
        <f>IF(Base_de_donnée_clients!I77="","",Base_de_donnée_clients!I77)</f>
        <v/>
      </c>
      <c r="F77" s="133" t="str">
        <f>IF(Base_de_donnée_clients!J77="","",Base_de_donnée_clients!J77)</f>
        <v/>
      </c>
      <c r="G77" s="133" t="str">
        <f>IF(Base_de_donnée_clients!K77="","",Base_de_donnée_clients!K77)</f>
        <v/>
      </c>
      <c r="H77" s="132" t="str">
        <f>IF(Base_de_donnée_clients!L77="","",Base_de_donnée_clients!L77)</f>
        <v/>
      </c>
      <c r="I77" s="132" t="str">
        <f>IF(Base_de_donnée_clients!M77="","",Base_de_donnée_clients!M77)</f>
        <v/>
      </c>
      <c r="J77" s="132" t="str">
        <f>IF(Base_de_donnée_clients!N77="","",Base_de_donnée_clients!N77)</f>
        <v/>
      </c>
      <c r="K77" s="133" t="str">
        <f>IF(Base_de_donnée_clients!O77="","",Base_de_donnée_clients!O77)</f>
        <v/>
      </c>
      <c r="L77" s="133" t="str">
        <f>IF(Base_de_donnée_clients!P77="","",Base_de_donnée_clients!P77)</f>
        <v/>
      </c>
      <c r="M77" s="133" t="str">
        <f>IF(Base_de_donnée_clients!Q77="","",Base_de_donnée_clients!Q77)</f>
        <v/>
      </c>
      <c r="N77" s="132" t="str">
        <f>IF(Base_de_donnée_clients!R77="","",Base_de_donnée_clients!R77)</f>
        <v/>
      </c>
    </row>
    <row r="78" spans="1:14" ht="24" customHeight="1" x14ac:dyDescent="0.45">
      <c r="A78" s="131" t="str">
        <f>IF(Base_de_donnée_clients!A78="","",Base_de_donnée_clients!A78)</f>
        <v/>
      </c>
      <c r="B78" s="132" t="str">
        <f>IF(Base_de_donnée_clients!B78="","",Base_de_donnée_clients!B78)</f>
        <v/>
      </c>
      <c r="C78" s="132" t="str">
        <f>IF(Base_de_donnée_clients!C78="","",Base_de_donnée_clients!C78)</f>
        <v/>
      </c>
      <c r="D78" s="132" t="str">
        <f>IF(Base_de_donnée_clients!H78="","",Base_de_donnée_clients!H78)</f>
        <v/>
      </c>
      <c r="E78" s="132" t="str">
        <f>IF(Base_de_donnée_clients!I78="","",Base_de_donnée_clients!I78)</f>
        <v/>
      </c>
      <c r="F78" s="133" t="str">
        <f>IF(Base_de_donnée_clients!J78="","",Base_de_donnée_clients!J78)</f>
        <v/>
      </c>
      <c r="G78" s="133" t="str">
        <f>IF(Base_de_donnée_clients!K78="","",Base_de_donnée_clients!K78)</f>
        <v/>
      </c>
      <c r="H78" s="132" t="str">
        <f>IF(Base_de_donnée_clients!L78="","",Base_de_donnée_clients!L78)</f>
        <v/>
      </c>
      <c r="I78" s="132" t="str">
        <f>IF(Base_de_donnée_clients!M78="","",Base_de_donnée_clients!M78)</f>
        <v/>
      </c>
      <c r="J78" s="132" t="str">
        <f>IF(Base_de_donnée_clients!N78="","",Base_de_donnée_clients!N78)</f>
        <v/>
      </c>
      <c r="K78" s="133" t="str">
        <f>IF(Base_de_donnée_clients!O78="","",Base_de_donnée_clients!O78)</f>
        <v/>
      </c>
      <c r="L78" s="133" t="str">
        <f>IF(Base_de_donnée_clients!P78="","",Base_de_donnée_clients!P78)</f>
        <v/>
      </c>
      <c r="M78" s="133" t="str">
        <f>IF(Base_de_donnée_clients!Q78="","",Base_de_donnée_clients!Q78)</f>
        <v/>
      </c>
      <c r="N78" s="132" t="str">
        <f>IF(Base_de_donnée_clients!R78="","",Base_de_donnée_clients!R78)</f>
        <v/>
      </c>
    </row>
    <row r="79" spans="1:14" ht="24" customHeight="1" x14ac:dyDescent="0.45">
      <c r="A79" s="131" t="str">
        <f>IF(Base_de_donnée_clients!A79="","",Base_de_donnée_clients!A79)</f>
        <v/>
      </c>
      <c r="B79" s="132" t="str">
        <f>IF(Base_de_donnée_clients!B79="","",Base_de_donnée_clients!B79)</f>
        <v/>
      </c>
      <c r="C79" s="132" t="str">
        <f>IF(Base_de_donnée_clients!C79="","",Base_de_donnée_clients!C79)</f>
        <v/>
      </c>
      <c r="D79" s="132" t="str">
        <f>IF(Base_de_donnée_clients!H79="","",Base_de_donnée_clients!H79)</f>
        <v/>
      </c>
      <c r="E79" s="132" t="str">
        <f>IF(Base_de_donnée_clients!I79="","",Base_de_donnée_clients!I79)</f>
        <v/>
      </c>
      <c r="F79" s="133" t="str">
        <f>IF(Base_de_donnée_clients!J79="","",Base_de_donnée_clients!J79)</f>
        <v/>
      </c>
      <c r="G79" s="133" t="str">
        <f>IF(Base_de_donnée_clients!K79="","",Base_de_donnée_clients!K79)</f>
        <v/>
      </c>
      <c r="H79" s="132" t="str">
        <f>IF(Base_de_donnée_clients!L79="","",Base_de_donnée_clients!L79)</f>
        <v/>
      </c>
      <c r="I79" s="132" t="str">
        <f>IF(Base_de_donnée_clients!M79="","",Base_de_donnée_clients!M79)</f>
        <v/>
      </c>
      <c r="J79" s="132" t="str">
        <f>IF(Base_de_donnée_clients!N79="","",Base_de_donnée_clients!N79)</f>
        <v/>
      </c>
      <c r="K79" s="133" t="str">
        <f>IF(Base_de_donnée_clients!O79="","",Base_de_donnée_clients!O79)</f>
        <v/>
      </c>
      <c r="L79" s="133" t="str">
        <f>IF(Base_de_donnée_clients!P79="","",Base_de_donnée_clients!P79)</f>
        <v/>
      </c>
      <c r="M79" s="133" t="str">
        <f>IF(Base_de_donnée_clients!Q79="","",Base_de_donnée_clients!Q79)</f>
        <v/>
      </c>
      <c r="N79" s="132" t="str">
        <f>IF(Base_de_donnée_clients!R79="","",Base_de_donnée_clients!R79)</f>
        <v/>
      </c>
    </row>
    <row r="80" spans="1:14" ht="24" customHeight="1" x14ac:dyDescent="0.45">
      <c r="A80" s="131" t="str">
        <f>IF(Base_de_donnée_clients!A80="","",Base_de_donnée_clients!A80)</f>
        <v/>
      </c>
      <c r="B80" s="132" t="str">
        <f>IF(Base_de_donnée_clients!B80="","",Base_de_donnée_clients!B80)</f>
        <v/>
      </c>
      <c r="C80" s="132" t="str">
        <f>IF(Base_de_donnée_clients!C80="","",Base_de_donnée_clients!C80)</f>
        <v/>
      </c>
      <c r="D80" s="132" t="str">
        <f>IF(Base_de_donnée_clients!H80="","",Base_de_donnée_clients!H80)</f>
        <v/>
      </c>
      <c r="E80" s="132" t="str">
        <f>IF(Base_de_donnée_clients!I80="","",Base_de_donnée_clients!I80)</f>
        <v/>
      </c>
      <c r="F80" s="133" t="str">
        <f>IF(Base_de_donnée_clients!J80="","",Base_de_donnée_clients!J80)</f>
        <v/>
      </c>
      <c r="G80" s="133" t="str">
        <f>IF(Base_de_donnée_clients!K80="","",Base_de_donnée_clients!K80)</f>
        <v/>
      </c>
      <c r="H80" s="132" t="str">
        <f>IF(Base_de_donnée_clients!L80="","",Base_de_donnée_clients!L80)</f>
        <v/>
      </c>
      <c r="I80" s="132" t="str">
        <f>IF(Base_de_donnée_clients!M80="","",Base_de_donnée_clients!M80)</f>
        <v/>
      </c>
      <c r="J80" s="132" t="str">
        <f>IF(Base_de_donnée_clients!N80="","",Base_de_donnée_clients!N80)</f>
        <v/>
      </c>
      <c r="K80" s="133" t="str">
        <f>IF(Base_de_donnée_clients!O80="","",Base_de_donnée_clients!O80)</f>
        <v/>
      </c>
      <c r="L80" s="133" t="str">
        <f>IF(Base_de_donnée_clients!P80="","",Base_de_donnée_clients!P80)</f>
        <v/>
      </c>
      <c r="M80" s="133" t="str">
        <f>IF(Base_de_donnée_clients!Q80="","",Base_de_donnée_clients!Q80)</f>
        <v/>
      </c>
      <c r="N80" s="132" t="str">
        <f>IF(Base_de_donnée_clients!R80="","",Base_de_donnée_clients!R80)</f>
        <v/>
      </c>
    </row>
    <row r="81" spans="1:14" ht="24" customHeight="1" x14ac:dyDescent="0.45">
      <c r="A81" s="131" t="str">
        <f>IF(Base_de_donnée_clients!A81="","",Base_de_donnée_clients!A81)</f>
        <v/>
      </c>
      <c r="B81" s="132" t="str">
        <f>IF(Base_de_donnée_clients!B81="","",Base_de_donnée_clients!B81)</f>
        <v/>
      </c>
      <c r="C81" s="132" t="str">
        <f>IF(Base_de_donnée_clients!C81="","",Base_de_donnée_clients!C81)</f>
        <v/>
      </c>
      <c r="D81" s="132" t="str">
        <f>IF(Base_de_donnée_clients!H81="","",Base_de_donnée_clients!H81)</f>
        <v/>
      </c>
      <c r="E81" s="132" t="str">
        <f>IF(Base_de_donnée_clients!I81="","",Base_de_donnée_clients!I81)</f>
        <v/>
      </c>
      <c r="F81" s="133" t="str">
        <f>IF(Base_de_donnée_clients!J81="","",Base_de_donnée_clients!J81)</f>
        <v/>
      </c>
      <c r="G81" s="133" t="str">
        <f>IF(Base_de_donnée_clients!K81="","",Base_de_donnée_clients!K81)</f>
        <v/>
      </c>
      <c r="H81" s="132" t="str">
        <f>IF(Base_de_donnée_clients!L81="","",Base_de_donnée_clients!L81)</f>
        <v/>
      </c>
      <c r="I81" s="132" t="str">
        <f>IF(Base_de_donnée_clients!M81="","",Base_de_donnée_clients!M81)</f>
        <v/>
      </c>
      <c r="J81" s="132" t="str">
        <f>IF(Base_de_donnée_clients!N81="","",Base_de_donnée_clients!N81)</f>
        <v/>
      </c>
      <c r="K81" s="133" t="str">
        <f>IF(Base_de_donnée_clients!O81="","",Base_de_donnée_clients!O81)</f>
        <v/>
      </c>
      <c r="L81" s="133" t="str">
        <f>IF(Base_de_donnée_clients!P81="","",Base_de_donnée_clients!P81)</f>
        <v/>
      </c>
      <c r="M81" s="133" t="str">
        <f>IF(Base_de_donnée_clients!Q81="","",Base_de_donnée_clients!Q81)</f>
        <v/>
      </c>
      <c r="N81" s="132" t="str">
        <f>IF(Base_de_donnée_clients!R81="","",Base_de_donnée_clients!R81)</f>
        <v/>
      </c>
    </row>
    <row r="82" spans="1:14" ht="24" customHeight="1" x14ac:dyDescent="0.45">
      <c r="A82" s="131" t="str">
        <f>IF(Base_de_donnée_clients!A82="","",Base_de_donnée_clients!A82)</f>
        <v/>
      </c>
      <c r="B82" s="132" t="str">
        <f>IF(Base_de_donnée_clients!B82="","",Base_de_donnée_clients!B82)</f>
        <v/>
      </c>
      <c r="C82" s="132" t="str">
        <f>IF(Base_de_donnée_clients!C82="","",Base_de_donnée_clients!C82)</f>
        <v/>
      </c>
      <c r="D82" s="132" t="str">
        <f>IF(Base_de_donnée_clients!H82="","",Base_de_donnée_clients!H82)</f>
        <v/>
      </c>
      <c r="E82" s="132" t="str">
        <f>IF(Base_de_donnée_clients!I82="","",Base_de_donnée_clients!I82)</f>
        <v/>
      </c>
      <c r="F82" s="133" t="str">
        <f>IF(Base_de_donnée_clients!J82="","",Base_de_donnée_clients!J82)</f>
        <v/>
      </c>
      <c r="G82" s="133" t="str">
        <f>IF(Base_de_donnée_clients!K82="","",Base_de_donnée_clients!K82)</f>
        <v/>
      </c>
      <c r="H82" s="132" t="str">
        <f>IF(Base_de_donnée_clients!L82="","",Base_de_donnée_clients!L82)</f>
        <v/>
      </c>
      <c r="I82" s="132" t="str">
        <f>IF(Base_de_donnée_clients!M82="","",Base_de_donnée_clients!M82)</f>
        <v/>
      </c>
      <c r="J82" s="132" t="str">
        <f>IF(Base_de_donnée_clients!N82="","",Base_de_donnée_clients!N82)</f>
        <v/>
      </c>
      <c r="K82" s="133" t="str">
        <f>IF(Base_de_donnée_clients!O82="","",Base_de_donnée_clients!O82)</f>
        <v/>
      </c>
      <c r="L82" s="133" t="str">
        <f>IF(Base_de_donnée_clients!P82="","",Base_de_donnée_clients!P82)</f>
        <v/>
      </c>
      <c r="M82" s="133" t="str">
        <f>IF(Base_de_donnée_clients!Q82="","",Base_de_donnée_clients!Q82)</f>
        <v/>
      </c>
      <c r="N82" s="132" t="str">
        <f>IF(Base_de_donnée_clients!R82="","",Base_de_donnée_clients!R82)</f>
        <v/>
      </c>
    </row>
    <row r="83" spans="1:14" ht="24" customHeight="1" x14ac:dyDescent="0.45">
      <c r="A83" s="131" t="str">
        <f>IF(Base_de_donnée_clients!A83="","",Base_de_donnée_clients!A83)</f>
        <v/>
      </c>
      <c r="B83" s="132" t="str">
        <f>IF(Base_de_donnée_clients!B83="","",Base_de_donnée_clients!B83)</f>
        <v/>
      </c>
      <c r="C83" s="132" t="str">
        <f>IF(Base_de_donnée_clients!C83="","",Base_de_donnée_clients!C83)</f>
        <v/>
      </c>
      <c r="D83" s="132" t="str">
        <f>IF(Base_de_donnée_clients!H83="","",Base_de_donnée_clients!H83)</f>
        <v/>
      </c>
      <c r="E83" s="132" t="str">
        <f>IF(Base_de_donnée_clients!I83="","",Base_de_donnée_clients!I83)</f>
        <v/>
      </c>
      <c r="F83" s="133" t="str">
        <f>IF(Base_de_donnée_clients!J83="","",Base_de_donnée_clients!J83)</f>
        <v/>
      </c>
      <c r="G83" s="133" t="str">
        <f>IF(Base_de_donnée_clients!K83="","",Base_de_donnée_clients!K83)</f>
        <v/>
      </c>
      <c r="H83" s="132" t="str">
        <f>IF(Base_de_donnée_clients!L83="","",Base_de_donnée_clients!L83)</f>
        <v/>
      </c>
      <c r="I83" s="132" t="str">
        <f>IF(Base_de_donnée_clients!M83="","",Base_de_donnée_clients!M83)</f>
        <v/>
      </c>
      <c r="J83" s="132" t="str">
        <f>IF(Base_de_donnée_clients!N83="","",Base_de_donnée_clients!N83)</f>
        <v/>
      </c>
      <c r="K83" s="133" t="str">
        <f>IF(Base_de_donnée_clients!O83="","",Base_de_donnée_clients!O83)</f>
        <v/>
      </c>
      <c r="L83" s="133" t="str">
        <f>IF(Base_de_donnée_clients!P83="","",Base_de_donnée_clients!P83)</f>
        <v/>
      </c>
      <c r="M83" s="133" t="str">
        <f>IF(Base_de_donnée_clients!Q83="","",Base_de_donnée_clients!Q83)</f>
        <v/>
      </c>
      <c r="N83" s="132" t="str">
        <f>IF(Base_de_donnée_clients!R83="","",Base_de_donnée_clients!R83)</f>
        <v/>
      </c>
    </row>
    <row r="84" spans="1:14" ht="24" customHeight="1" x14ac:dyDescent="0.45">
      <c r="A84" s="131" t="str">
        <f>IF(Base_de_donnée_clients!A84="","",Base_de_donnée_clients!A84)</f>
        <v/>
      </c>
      <c r="B84" s="132" t="str">
        <f>IF(Base_de_donnée_clients!B84="","",Base_de_donnée_clients!B84)</f>
        <v/>
      </c>
      <c r="C84" s="132" t="str">
        <f>IF(Base_de_donnée_clients!C84="","",Base_de_donnée_clients!C84)</f>
        <v/>
      </c>
      <c r="D84" s="132" t="str">
        <f>IF(Base_de_donnée_clients!H84="","",Base_de_donnée_clients!H84)</f>
        <v/>
      </c>
      <c r="E84" s="132" t="str">
        <f>IF(Base_de_donnée_clients!I84="","",Base_de_donnée_clients!I84)</f>
        <v/>
      </c>
      <c r="F84" s="133" t="str">
        <f>IF(Base_de_donnée_clients!J84="","",Base_de_donnée_clients!J84)</f>
        <v/>
      </c>
      <c r="G84" s="133" t="str">
        <f>IF(Base_de_donnée_clients!K84="","",Base_de_donnée_clients!K84)</f>
        <v/>
      </c>
      <c r="H84" s="132" t="str">
        <f>IF(Base_de_donnée_clients!L84="","",Base_de_donnée_clients!L84)</f>
        <v/>
      </c>
      <c r="I84" s="132" t="str">
        <f>IF(Base_de_donnée_clients!M84="","",Base_de_donnée_clients!M84)</f>
        <v/>
      </c>
      <c r="J84" s="132" t="str">
        <f>IF(Base_de_donnée_clients!N84="","",Base_de_donnée_clients!N84)</f>
        <v/>
      </c>
      <c r="K84" s="133" t="str">
        <f>IF(Base_de_donnée_clients!O84="","",Base_de_donnée_clients!O84)</f>
        <v/>
      </c>
      <c r="L84" s="133" t="str">
        <f>IF(Base_de_donnée_clients!P84="","",Base_de_donnée_clients!P84)</f>
        <v/>
      </c>
      <c r="M84" s="133" t="str">
        <f>IF(Base_de_donnée_clients!Q84="","",Base_de_donnée_clients!Q84)</f>
        <v/>
      </c>
      <c r="N84" s="132" t="str">
        <f>IF(Base_de_donnée_clients!R84="","",Base_de_donnée_clients!R84)</f>
        <v/>
      </c>
    </row>
    <row r="85" spans="1:14" ht="24" customHeight="1" x14ac:dyDescent="0.45">
      <c r="A85" s="131" t="str">
        <f>IF(Base_de_donnée_clients!A85="","",Base_de_donnée_clients!A85)</f>
        <v/>
      </c>
      <c r="B85" s="132" t="str">
        <f>IF(Base_de_donnée_clients!B85="","",Base_de_donnée_clients!B85)</f>
        <v/>
      </c>
      <c r="C85" s="132" t="str">
        <f>IF(Base_de_donnée_clients!C85="","",Base_de_donnée_clients!C85)</f>
        <v/>
      </c>
      <c r="D85" s="132" t="str">
        <f>IF(Base_de_donnée_clients!H85="","",Base_de_donnée_clients!H85)</f>
        <v/>
      </c>
      <c r="E85" s="132" t="str">
        <f>IF(Base_de_donnée_clients!I85="","",Base_de_donnée_clients!I85)</f>
        <v/>
      </c>
      <c r="F85" s="133" t="str">
        <f>IF(Base_de_donnée_clients!J85="","",Base_de_donnée_clients!J85)</f>
        <v/>
      </c>
      <c r="G85" s="133" t="str">
        <f>IF(Base_de_donnée_clients!K85="","",Base_de_donnée_clients!K85)</f>
        <v/>
      </c>
      <c r="H85" s="132" t="str">
        <f>IF(Base_de_donnée_clients!L85="","",Base_de_donnée_clients!L85)</f>
        <v/>
      </c>
      <c r="I85" s="132" t="str">
        <f>IF(Base_de_donnée_clients!M85="","",Base_de_donnée_clients!M85)</f>
        <v/>
      </c>
      <c r="J85" s="132" t="str">
        <f>IF(Base_de_donnée_clients!N85="","",Base_de_donnée_clients!N85)</f>
        <v/>
      </c>
      <c r="K85" s="133" t="str">
        <f>IF(Base_de_donnée_clients!O85="","",Base_de_donnée_clients!O85)</f>
        <v/>
      </c>
      <c r="L85" s="133" t="str">
        <f>IF(Base_de_donnée_clients!P85="","",Base_de_donnée_clients!P85)</f>
        <v/>
      </c>
      <c r="M85" s="133" t="str">
        <f>IF(Base_de_donnée_clients!Q85="","",Base_de_donnée_clients!Q85)</f>
        <v/>
      </c>
      <c r="N85" s="132" t="str">
        <f>IF(Base_de_donnée_clients!R85="","",Base_de_donnée_clients!R85)</f>
        <v/>
      </c>
    </row>
    <row r="86" spans="1:14" ht="24" customHeight="1" x14ac:dyDescent="0.45">
      <c r="A86" s="131" t="str">
        <f>IF(Base_de_donnée_clients!A86="","",Base_de_donnée_clients!A86)</f>
        <v/>
      </c>
      <c r="B86" s="132" t="str">
        <f>IF(Base_de_donnée_clients!B86="","",Base_de_donnée_clients!B86)</f>
        <v/>
      </c>
      <c r="C86" s="132" t="str">
        <f>IF(Base_de_donnée_clients!C86="","",Base_de_donnée_clients!C86)</f>
        <v/>
      </c>
      <c r="D86" s="132" t="str">
        <f>IF(Base_de_donnée_clients!H86="","",Base_de_donnée_clients!H86)</f>
        <v/>
      </c>
      <c r="E86" s="132" t="str">
        <f>IF(Base_de_donnée_clients!I86="","",Base_de_donnée_clients!I86)</f>
        <v/>
      </c>
      <c r="F86" s="133" t="str">
        <f>IF(Base_de_donnée_clients!J86="","",Base_de_donnée_clients!J86)</f>
        <v/>
      </c>
      <c r="G86" s="133" t="str">
        <f>IF(Base_de_donnée_clients!K86="","",Base_de_donnée_clients!K86)</f>
        <v/>
      </c>
      <c r="H86" s="132" t="str">
        <f>IF(Base_de_donnée_clients!L86="","",Base_de_donnée_clients!L86)</f>
        <v/>
      </c>
      <c r="I86" s="132" t="str">
        <f>IF(Base_de_donnée_clients!M86="","",Base_de_donnée_clients!M86)</f>
        <v/>
      </c>
      <c r="J86" s="132" t="str">
        <f>IF(Base_de_donnée_clients!N86="","",Base_de_donnée_clients!N86)</f>
        <v/>
      </c>
      <c r="K86" s="133" t="str">
        <f>IF(Base_de_donnée_clients!O86="","",Base_de_donnée_clients!O86)</f>
        <v/>
      </c>
      <c r="L86" s="133" t="str">
        <f>IF(Base_de_donnée_clients!P86="","",Base_de_donnée_clients!P86)</f>
        <v/>
      </c>
      <c r="M86" s="133" t="str">
        <f>IF(Base_de_donnée_clients!Q86="","",Base_de_donnée_clients!Q86)</f>
        <v/>
      </c>
      <c r="N86" s="132" t="str">
        <f>IF(Base_de_donnée_clients!R86="","",Base_de_donnée_clients!R86)</f>
        <v/>
      </c>
    </row>
    <row r="87" spans="1:14" ht="24" customHeight="1" x14ac:dyDescent="0.45">
      <c r="A87" s="131" t="str">
        <f>IF(Base_de_donnée_clients!A87="","",Base_de_donnée_clients!A87)</f>
        <v/>
      </c>
      <c r="B87" s="132" t="str">
        <f>IF(Base_de_donnée_clients!B87="","",Base_de_donnée_clients!B87)</f>
        <v/>
      </c>
      <c r="C87" s="132" t="str">
        <f>IF(Base_de_donnée_clients!C87="","",Base_de_donnée_clients!C87)</f>
        <v/>
      </c>
      <c r="D87" s="132" t="str">
        <f>IF(Base_de_donnée_clients!H87="","",Base_de_donnée_clients!H87)</f>
        <v/>
      </c>
      <c r="E87" s="132" t="str">
        <f>IF(Base_de_donnée_clients!I87="","",Base_de_donnée_clients!I87)</f>
        <v/>
      </c>
      <c r="F87" s="133" t="str">
        <f>IF(Base_de_donnée_clients!J87="","",Base_de_donnée_clients!J87)</f>
        <v/>
      </c>
      <c r="G87" s="133" t="str">
        <f>IF(Base_de_donnée_clients!K87="","",Base_de_donnée_clients!K87)</f>
        <v/>
      </c>
      <c r="H87" s="132" t="str">
        <f>IF(Base_de_donnée_clients!L87="","",Base_de_donnée_clients!L87)</f>
        <v/>
      </c>
      <c r="I87" s="132" t="str">
        <f>IF(Base_de_donnée_clients!M87="","",Base_de_donnée_clients!M87)</f>
        <v/>
      </c>
      <c r="J87" s="132" t="str">
        <f>IF(Base_de_donnée_clients!N87="","",Base_de_donnée_clients!N87)</f>
        <v/>
      </c>
      <c r="K87" s="133" t="str">
        <f>IF(Base_de_donnée_clients!O87="","",Base_de_donnée_clients!O87)</f>
        <v/>
      </c>
      <c r="L87" s="133" t="str">
        <f>IF(Base_de_donnée_clients!P87="","",Base_de_donnée_clients!P87)</f>
        <v/>
      </c>
      <c r="M87" s="133" t="str">
        <f>IF(Base_de_donnée_clients!Q87="","",Base_de_donnée_clients!Q87)</f>
        <v/>
      </c>
      <c r="N87" s="132" t="str">
        <f>IF(Base_de_donnée_clients!R87="","",Base_de_donnée_clients!R87)</f>
        <v/>
      </c>
    </row>
    <row r="88" spans="1:14" ht="24" customHeight="1" x14ac:dyDescent="0.45">
      <c r="A88" s="131" t="str">
        <f>IF(Base_de_donnée_clients!A88="","",Base_de_donnée_clients!A88)</f>
        <v/>
      </c>
      <c r="B88" s="132" t="str">
        <f>IF(Base_de_donnée_clients!B88="","",Base_de_donnée_clients!B88)</f>
        <v/>
      </c>
      <c r="C88" s="132" t="str">
        <f>IF(Base_de_donnée_clients!C88="","",Base_de_donnée_clients!C88)</f>
        <v/>
      </c>
      <c r="D88" s="132" t="str">
        <f>IF(Base_de_donnée_clients!H88="","",Base_de_donnée_clients!H88)</f>
        <v/>
      </c>
      <c r="E88" s="132" t="str">
        <f>IF(Base_de_donnée_clients!I88="","",Base_de_donnée_clients!I88)</f>
        <v/>
      </c>
      <c r="F88" s="133" t="str">
        <f>IF(Base_de_donnée_clients!J88="","",Base_de_donnée_clients!J88)</f>
        <v/>
      </c>
      <c r="G88" s="133" t="str">
        <f>IF(Base_de_donnée_clients!K88="","",Base_de_donnée_clients!K88)</f>
        <v/>
      </c>
      <c r="H88" s="132" t="str">
        <f>IF(Base_de_donnée_clients!L88="","",Base_de_donnée_clients!L88)</f>
        <v/>
      </c>
      <c r="I88" s="132" t="str">
        <f>IF(Base_de_donnée_clients!M88="","",Base_de_donnée_clients!M88)</f>
        <v/>
      </c>
      <c r="J88" s="132" t="str">
        <f>IF(Base_de_donnée_clients!N88="","",Base_de_donnée_clients!N88)</f>
        <v/>
      </c>
      <c r="K88" s="133" t="str">
        <f>IF(Base_de_donnée_clients!O88="","",Base_de_donnée_clients!O88)</f>
        <v/>
      </c>
      <c r="L88" s="133" t="str">
        <f>IF(Base_de_donnée_clients!P88="","",Base_de_donnée_clients!P88)</f>
        <v/>
      </c>
      <c r="M88" s="133" t="str">
        <f>IF(Base_de_donnée_clients!Q88="","",Base_de_donnée_clients!Q88)</f>
        <v/>
      </c>
      <c r="N88" s="132" t="str">
        <f>IF(Base_de_donnée_clients!R88="","",Base_de_donnée_clients!R88)</f>
        <v/>
      </c>
    </row>
    <row r="89" spans="1:14" ht="24" customHeight="1" x14ac:dyDescent="0.45">
      <c r="A89" s="131" t="str">
        <f>IF(Base_de_donnée_clients!A89="","",Base_de_donnée_clients!A89)</f>
        <v/>
      </c>
      <c r="B89" s="132" t="str">
        <f>IF(Base_de_donnée_clients!B89="","",Base_de_donnée_clients!B89)</f>
        <v/>
      </c>
      <c r="C89" s="132" t="str">
        <f>IF(Base_de_donnée_clients!C89="","",Base_de_donnée_clients!C89)</f>
        <v/>
      </c>
      <c r="D89" s="132" t="str">
        <f>IF(Base_de_donnée_clients!H89="","",Base_de_donnée_clients!H89)</f>
        <v/>
      </c>
      <c r="E89" s="132" t="str">
        <f>IF(Base_de_donnée_clients!I89="","",Base_de_donnée_clients!I89)</f>
        <v/>
      </c>
      <c r="F89" s="133" t="str">
        <f>IF(Base_de_donnée_clients!J89="","",Base_de_donnée_clients!J89)</f>
        <v/>
      </c>
      <c r="G89" s="133" t="str">
        <f>IF(Base_de_donnée_clients!K89="","",Base_de_donnée_clients!K89)</f>
        <v/>
      </c>
      <c r="H89" s="132" t="str">
        <f>IF(Base_de_donnée_clients!L89="","",Base_de_donnée_clients!L89)</f>
        <v/>
      </c>
      <c r="I89" s="132" t="str">
        <f>IF(Base_de_donnée_clients!M89="","",Base_de_donnée_clients!M89)</f>
        <v/>
      </c>
      <c r="J89" s="132" t="str">
        <f>IF(Base_de_donnée_clients!N89="","",Base_de_donnée_clients!N89)</f>
        <v/>
      </c>
      <c r="K89" s="133" t="str">
        <f>IF(Base_de_donnée_clients!O89="","",Base_de_donnée_clients!O89)</f>
        <v/>
      </c>
      <c r="L89" s="133" t="str">
        <f>IF(Base_de_donnée_clients!P89="","",Base_de_donnée_clients!P89)</f>
        <v/>
      </c>
      <c r="M89" s="133" t="str">
        <f>IF(Base_de_donnée_clients!Q89="","",Base_de_donnée_clients!Q89)</f>
        <v/>
      </c>
      <c r="N89" s="132" t="str">
        <f>IF(Base_de_donnée_clients!R89="","",Base_de_donnée_clients!R89)</f>
        <v/>
      </c>
    </row>
    <row r="90" spans="1:14" ht="24" customHeight="1" x14ac:dyDescent="0.45">
      <c r="A90" s="131" t="str">
        <f>IF(Base_de_donnée_clients!A90="","",Base_de_donnée_clients!A90)</f>
        <v/>
      </c>
      <c r="B90" s="132" t="str">
        <f>IF(Base_de_donnée_clients!B90="","",Base_de_donnée_clients!B90)</f>
        <v/>
      </c>
      <c r="C90" s="132" t="str">
        <f>IF(Base_de_donnée_clients!C90="","",Base_de_donnée_clients!C90)</f>
        <v/>
      </c>
      <c r="D90" s="132" t="str">
        <f>IF(Base_de_donnée_clients!H90="","",Base_de_donnée_clients!H90)</f>
        <v/>
      </c>
      <c r="E90" s="132" t="str">
        <f>IF(Base_de_donnée_clients!I90="","",Base_de_donnée_clients!I90)</f>
        <v/>
      </c>
      <c r="F90" s="133" t="str">
        <f>IF(Base_de_donnée_clients!J90="","",Base_de_donnée_clients!J90)</f>
        <v/>
      </c>
      <c r="G90" s="133" t="str">
        <f>IF(Base_de_donnée_clients!K90="","",Base_de_donnée_clients!K90)</f>
        <v/>
      </c>
      <c r="H90" s="132" t="str">
        <f>IF(Base_de_donnée_clients!L90="","",Base_de_donnée_clients!L90)</f>
        <v/>
      </c>
      <c r="I90" s="132" t="str">
        <f>IF(Base_de_donnée_clients!M90="","",Base_de_donnée_clients!M90)</f>
        <v/>
      </c>
      <c r="J90" s="132" t="str">
        <f>IF(Base_de_donnée_clients!N90="","",Base_de_donnée_clients!N90)</f>
        <v/>
      </c>
      <c r="K90" s="133" t="str">
        <f>IF(Base_de_donnée_clients!O90="","",Base_de_donnée_clients!O90)</f>
        <v/>
      </c>
      <c r="L90" s="133" t="str">
        <f>IF(Base_de_donnée_clients!P90="","",Base_de_donnée_clients!P90)</f>
        <v/>
      </c>
      <c r="M90" s="133" t="str">
        <f>IF(Base_de_donnée_clients!Q90="","",Base_de_donnée_clients!Q90)</f>
        <v/>
      </c>
      <c r="N90" s="132" t="str">
        <f>IF(Base_de_donnée_clients!R90="","",Base_de_donnée_clients!R90)</f>
        <v/>
      </c>
    </row>
    <row r="91" spans="1:14" ht="24" customHeight="1" x14ac:dyDescent="0.45">
      <c r="A91" s="131" t="str">
        <f>IF(Base_de_donnée_clients!A91="","",Base_de_donnée_clients!A91)</f>
        <v/>
      </c>
      <c r="B91" s="132" t="str">
        <f>IF(Base_de_donnée_clients!B91="","",Base_de_donnée_clients!B91)</f>
        <v/>
      </c>
      <c r="C91" s="132" t="str">
        <f>IF(Base_de_donnée_clients!C91="","",Base_de_donnée_clients!C91)</f>
        <v/>
      </c>
      <c r="D91" s="132" t="str">
        <f>IF(Base_de_donnée_clients!H91="","",Base_de_donnée_clients!H91)</f>
        <v/>
      </c>
      <c r="E91" s="132" t="str">
        <f>IF(Base_de_donnée_clients!I91="","",Base_de_donnée_clients!I91)</f>
        <v/>
      </c>
      <c r="F91" s="133" t="str">
        <f>IF(Base_de_donnée_clients!J91="","",Base_de_donnée_clients!J91)</f>
        <v/>
      </c>
      <c r="G91" s="133" t="str">
        <f>IF(Base_de_donnée_clients!K91="","",Base_de_donnée_clients!K91)</f>
        <v/>
      </c>
      <c r="H91" s="132" t="str">
        <f>IF(Base_de_donnée_clients!L91="","",Base_de_donnée_clients!L91)</f>
        <v/>
      </c>
      <c r="I91" s="132" t="str">
        <f>IF(Base_de_donnée_clients!M91="","",Base_de_donnée_clients!M91)</f>
        <v/>
      </c>
      <c r="J91" s="132" t="str">
        <f>IF(Base_de_donnée_clients!N91="","",Base_de_donnée_clients!N91)</f>
        <v/>
      </c>
      <c r="K91" s="133" t="str">
        <f>IF(Base_de_donnée_clients!O91="","",Base_de_donnée_clients!O91)</f>
        <v/>
      </c>
      <c r="L91" s="133" t="str">
        <f>IF(Base_de_donnée_clients!P91="","",Base_de_donnée_clients!P91)</f>
        <v/>
      </c>
      <c r="M91" s="133" t="str">
        <f>IF(Base_de_donnée_clients!Q91="","",Base_de_donnée_clients!Q91)</f>
        <v/>
      </c>
      <c r="N91" s="132" t="str">
        <f>IF(Base_de_donnée_clients!R91="","",Base_de_donnée_clients!R91)</f>
        <v/>
      </c>
    </row>
    <row r="92" spans="1:14" ht="24" customHeight="1" x14ac:dyDescent="0.45">
      <c r="A92" s="131" t="str">
        <f>IF(Base_de_donnée_clients!A92="","",Base_de_donnée_clients!A92)</f>
        <v/>
      </c>
      <c r="B92" s="132" t="str">
        <f>IF(Base_de_donnée_clients!B92="","",Base_de_donnée_clients!B92)</f>
        <v/>
      </c>
      <c r="C92" s="132" t="str">
        <f>IF(Base_de_donnée_clients!C92="","",Base_de_donnée_clients!C92)</f>
        <v/>
      </c>
      <c r="D92" s="132" t="str">
        <f>IF(Base_de_donnée_clients!H92="","",Base_de_donnée_clients!H92)</f>
        <v/>
      </c>
      <c r="E92" s="132" t="str">
        <f>IF(Base_de_donnée_clients!I92="","",Base_de_donnée_clients!I92)</f>
        <v/>
      </c>
      <c r="F92" s="133" t="str">
        <f>IF(Base_de_donnée_clients!J92="","",Base_de_donnée_clients!J92)</f>
        <v/>
      </c>
      <c r="G92" s="133" t="str">
        <f>IF(Base_de_donnée_clients!K92="","",Base_de_donnée_clients!K92)</f>
        <v/>
      </c>
      <c r="H92" s="132" t="str">
        <f>IF(Base_de_donnée_clients!L92="","",Base_de_donnée_clients!L92)</f>
        <v/>
      </c>
      <c r="I92" s="132" t="str">
        <f>IF(Base_de_donnée_clients!M92="","",Base_de_donnée_clients!M92)</f>
        <v/>
      </c>
      <c r="J92" s="132" t="str">
        <f>IF(Base_de_donnée_clients!N92="","",Base_de_donnée_clients!N92)</f>
        <v/>
      </c>
      <c r="K92" s="133" t="str">
        <f>IF(Base_de_donnée_clients!O92="","",Base_de_donnée_clients!O92)</f>
        <v/>
      </c>
      <c r="L92" s="133" t="str">
        <f>IF(Base_de_donnée_clients!P92="","",Base_de_donnée_clients!P92)</f>
        <v/>
      </c>
      <c r="M92" s="133" t="str">
        <f>IF(Base_de_donnée_clients!Q92="","",Base_de_donnée_clients!Q92)</f>
        <v/>
      </c>
      <c r="N92" s="132" t="str">
        <f>IF(Base_de_donnée_clients!R92="","",Base_de_donnée_clients!R92)</f>
        <v/>
      </c>
    </row>
    <row r="93" spans="1:14" ht="24" customHeight="1" x14ac:dyDescent="0.45">
      <c r="A93" s="131" t="str">
        <f>IF(Base_de_donnée_clients!A93="","",Base_de_donnée_clients!A93)</f>
        <v/>
      </c>
      <c r="B93" s="132" t="str">
        <f>IF(Base_de_donnée_clients!B93="","",Base_de_donnée_clients!B93)</f>
        <v/>
      </c>
      <c r="C93" s="132" t="str">
        <f>IF(Base_de_donnée_clients!C93="","",Base_de_donnée_clients!C93)</f>
        <v/>
      </c>
      <c r="D93" s="132" t="str">
        <f>IF(Base_de_donnée_clients!H93="","",Base_de_donnée_clients!H93)</f>
        <v/>
      </c>
      <c r="E93" s="132" t="str">
        <f>IF(Base_de_donnée_clients!I93="","",Base_de_donnée_clients!I93)</f>
        <v/>
      </c>
      <c r="F93" s="133" t="str">
        <f>IF(Base_de_donnée_clients!J93="","",Base_de_donnée_clients!J93)</f>
        <v/>
      </c>
      <c r="G93" s="133" t="str">
        <f>IF(Base_de_donnée_clients!K93="","",Base_de_donnée_clients!K93)</f>
        <v/>
      </c>
      <c r="H93" s="132" t="str">
        <f>IF(Base_de_donnée_clients!L93="","",Base_de_donnée_clients!L93)</f>
        <v/>
      </c>
      <c r="I93" s="132" t="str">
        <f>IF(Base_de_donnée_clients!M93="","",Base_de_donnée_clients!M93)</f>
        <v/>
      </c>
      <c r="J93" s="132" t="str">
        <f>IF(Base_de_donnée_clients!N93="","",Base_de_donnée_clients!N93)</f>
        <v/>
      </c>
      <c r="K93" s="133" t="str">
        <f>IF(Base_de_donnée_clients!O93="","",Base_de_donnée_clients!O93)</f>
        <v/>
      </c>
      <c r="L93" s="133" t="str">
        <f>IF(Base_de_donnée_clients!P93="","",Base_de_donnée_clients!P93)</f>
        <v/>
      </c>
      <c r="M93" s="133" t="str">
        <f>IF(Base_de_donnée_clients!Q93="","",Base_de_donnée_clients!Q93)</f>
        <v/>
      </c>
      <c r="N93" s="132" t="str">
        <f>IF(Base_de_donnée_clients!R93="","",Base_de_donnée_clients!R93)</f>
        <v/>
      </c>
    </row>
    <row r="94" spans="1:14" ht="24" customHeight="1" x14ac:dyDescent="0.45">
      <c r="A94" s="131" t="str">
        <f>IF(Base_de_donnée_clients!A94="","",Base_de_donnée_clients!A94)</f>
        <v/>
      </c>
      <c r="B94" s="132" t="str">
        <f>IF(Base_de_donnée_clients!B94="","",Base_de_donnée_clients!B94)</f>
        <v/>
      </c>
      <c r="C94" s="132" t="str">
        <f>IF(Base_de_donnée_clients!C94="","",Base_de_donnée_clients!C94)</f>
        <v/>
      </c>
      <c r="D94" s="132" t="str">
        <f>IF(Base_de_donnée_clients!H94="","",Base_de_donnée_clients!H94)</f>
        <v/>
      </c>
      <c r="E94" s="132" t="str">
        <f>IF(Base_de_donnée_clients!I94="","",Base_de_donnée_clients!I94)</f>
        <v/>
      </c>
      <c r="F94" s="133" t="str">
        <f>IF(Base_de_donnée_clients!J94="","",Base_de_donnée_clients!J94)</f>
        <v/>
      </c>
      <c r="G94" s="133" t="str">
        <f>IF(Base_de_donnée_clients!K94="","",Base_de_donnée_clients!K94)</f>
        <v/>
      </c>
      <c r="H94" s="132" t="str">
        <f>IF(Base_de_donnée_clients!L94="","",Base_de_donnée_clients!L94)</f>
        <v/>
      </c>
      <c r="I94" s="132" t="str">
        <f>IF(Base_de_donnée_clients!M94="","",Base_de_donnée_clients!M94)</f>
        <v/>
      </c>
      <c r="J94" s="132" t="str">
        <f>IF(Base_de_donnée_clients!N94="","",Base_de_donnée_clients!N94)</f>
        <v/>
      </c>
      <c r="K94" s="133" t="str">
        <f>IF(Base_de_donnée_clients!O94="","",Base_de_donnée_clients!O94)</f>
        <v/>
      </c>
      <c r="L94" s="133" t="str">
        <f>IF(Base_de_donnée_clients!P94="","",Base_de_donnée_clients!P94)</f>
        <v/>
      </c>
      <c r="M94" s="133" t="str">
        <f>IF(Base_de_donnée_clients!Q94="","",Base_de_donnée_clients!Q94)</f>
        <v/>
      </c>
      <c r="N94" s="132" t="str">
        <f>IF(Base_de_donnée_clients!R94="","",Base_de_donnée_clients!R94)</f>
        <v/>
      </c>
    </row>
    <row r="95" spans="1:14" ht="24" customHeight="1" x14ac:dyDescent="0.45">
      <c r="A95" s="131" t="str">
        <f>IF(Base_de_donnée_clients!A95="","",Base_de_donnée_clients!A95)</f>
        <v/>
      </c>
      <c r="B95" s="132" t="str">
        <f>IF(Base_de_donnée_clients!B95="","",Base_de_donnée_clients!B95)</f>
        <v/>
      </c>
      <c r="C95" s="132" t="str">
        <f>IF(Base_de_donnée_clients!C95="","",Base_de_donnée_clients!C95)</f>
        <v/>
      </c>
      <c r="D95" s="132" t="str">
        <f>IF(Base_de_donnée_clients!H95="","",Base_de_donnée_clients!H95)</f>
        <v/>
      </c>
      <c r="E95" s="132" t="str">
        <f>IF(Base_de_donnée_clients!I95="","",Base_de_donnée_clients!I95)</f>
        <v/>
      </c>
      <c r="F95" s="133" t="str">
        <f>IF(Base_de_donnée_clients!J95="","",Base_de_donnée_clients!J95)</f>
        <v/>
      </c>
      <c r="G95" s="133" t="str">
        <f>IF(Base_de_donnée_clients!K95="","",Base_de_donnée_clients!K95)</f>
        <v/>
      </c>
      <c r="H95" s="132" t="str">
        <f>IF(Base_de_donnée_clients!L95="","",Base_de_donnée_clients!L95)</f>
        <v/>
      </c>
      <c r="I95" s="132" t="str">
        <f>IF(Base_de_donnée_clients!M95="","",Base_de_donnée_clients!M95)</f>
        <v/>
      </c>
      <c r="J95" s="132" t="str">
        <f>IF(Base_de_donnée_clients!N95="","",Base_de_donnée_clients!N95)</f>
        <v/>
      </c>
      <c r="K95" s="133" t="str">
        <f>IF(Base_de_donnée_clients!O95="","",Base_de_donnée_clients!O95)</f>
        <v/>
      </c>
      <c r="L95" s="133" t="str">
        <f>IF(Base_de_donnée_clients!P95="","",Base_de_donnée_clients!P95)</f>
        <v/>
      </c>
      <c r="M95" s="133" t="str">
        <f>IF(Base_de_donnée_clients!Q95="","",Base_de_donnée_clients!Q95)</f>
        <v/>
      </c>
      <c r="N95" s="132" t="str">
        <f>IF(Base_de_donnée_clients!R95="","",Base_de_donnée_clients!R95)</f>
        <v/>
      </c>
    </row>
    <row r="96" spans="1:14" ht="24" customHeight="1" x14ac:dyDescent="0.45">
      <c r="A96" s="131" t="str">
        <f>IF(Base_de_donnée_clients!A96="","",Base_de_donnée_clients!A96)</f>
        <v/>
      </c>
      <c r="B96" s="132" t="str">
        <f>IF(Base_de_donnée_clients!B96="","",Base_de_donnée_clients!B96)</f>
        <v/>
      </c>
      <c r="C96" s="132" t="str">
        <f>IF(Base_de_donnée_clients!C96="","",Base_de_donnée_clients!C96)</f>
        <v/>
      </c>
      <c r="D96" s="132" t="str">
        <f>IF(Base_de_donnée_clients!H96="","",Base_de_donnée_clients!H96)</f>
        <v/>
      </c>
      <c r="E96" s="132" t="str">
        <f>IF(Base_de_donnée_clients!I96="","",Base_de_donnée_clients!I96)</f>
        <v/>
      </c>
      <c r="F96" s="133" t="str">
        <f>IF(Base_de_donnée_clients!J96="","",Base_de_donnée_clients!J96)</f>
        <v/>
      </c>
      <c r="G96" s="133" t="str">
        <f>IF(Base_de_donnée_clients!K96="","",Base_de_donnée_clients!K96)</f>
        <v/>
      </c>
      <c r="H96" s="132" t="str">
        <f>IF(Base_de_donnée_clients!L96="","",Base_de_donnée_clients!L96)</f>
        <v/>
      </c>
      <c r="I96" s="132" t="str">
        <f>IF(Base_de_donnée_clients!M96="","",Base_de_donnée_clients!M96)</f>
        <v/>
      </c>
      <c r="J96" s="132" t="str">
        <f>IF(Base_de_donnée_clients!N96="","",Base_de_donnée_clients!N96)</f>
        <v/>
      </c>
      <c r="K96" s="133" t="str">
        <f>IF(Base_de_donnée_clients!O96="","",Base_de_donnée_clients!O96)</f>
        <v/>
      </c>
      <c r="L96" s="133" t="str">
        <f>IF(Base_de_donnée_clients!P96="","",Base_de_donnée_clients!P96)</f>
        <v/>
      </c>
      <c r="M96" s="133" t="str">
        <f>IF(Base_de_donnée_clients!Q96="","",Base_de_donnée_clients!Q96)</f>
        <v/>
      </c>
      <c r="N96" s="132" t="str">
        <f>IF(Base_de_donnée_clients!R96="","",Base_de_donnée_clients!R96)</f>
        <v/>
      </c>
    </row>
    <row r="97" spans="1:14" ht="24" customHeight="1" x14ac:dyDescent="0.45">
      <c r="A97" s="131" t="str">
        <f>IF(Base_de_donnée_clients!A97="","",Base_de_donnée_clients!A97)</f>
        <v/>
      </c>
      <c r="B97" s="132" t="str">
        <f>IF(Base_de_donnée_clients!B97="","",Base_de_donnée_clients!B97)</f>
        <v/>
      </c>
      <c r="C97" s="132" t="str">
        <f>IF(Base_de_donnée_clients!C97="","",Base_de_donnée_clients!C97)</f>
        <v/>
      </c>
      <c r="D97" s="132" t="str">
        <f>IF(Base_de_donnée_clients!H97="","",Base_de_donnée_clients!H97)</f>
        <v/>
      </c>
      <c r="E97" s="132" t="str">
        <f>IF(Base_de_donnée_clients!I97="","",Base_de_donnée_clients!I97)</f>
        <v/>
      </c>
      <c r="F97" s="133" t="str">
        <f>IF(Base_de_donnée_clients!J97="","",Base_de_donnée_clients!J97)</f>
        <v/>
      </c>
      <c r="G97" s="133" t="str">
        <f>IF(Base_de_donnée_clients!K97="","",Base_de_donnée_clients!K97)</f>
        <v/>
      </c>
      <c r="H97" s="132" t="str">
        <f>IF(Base_de_donnée_clients!L97="","",Base_de_donnée_clients!L97)</f>
        <v/>
      </c>
      <c r="I97" s="132" t="str">
        <f>IF(Base_de_donnée_clients!M97="","",Base_de_donnée_clients!M97)</f>
        <v/>
      </c>
      <c r="J97" s="132" t="str">
        <f>IF(Base_de_donnée_clients!N97="","",Base_de_donnée_clients!N97)</f>
        <v/>
      </c>
      <c r="K97" s="133" t="str">
        <f>IF(Base_de_donnée_clients!O97="","",Base_de_donnée_clients!O97)</f>
        <v/>
      </c>
      <c r="L97" s="133" t="str">
        <f>IF(Base_de_donnée_clients!P97="","",Base_de_donnée_clients!P97)</f>
        <v/>
      </c>
      <c r="M97" s="133" t="str">
        <f>IF(Base_de_donnée_clients!Q97="","",Base_de_donnée_clients!Q97)</f>
        <v/>
      </c>
      <c r="N97" s="132" t="str">
        <f>IF(Base_de_donnée_clients!R97="","",Base_de_donnée_clients!R97)</f>
        <v/>
      </c>
    </row>
    <row r="98" spans="1:14" ht="24" customHeight="1" x14ac:dyDescent="0.45">
      <c r="A98" s="131" t="str">
        <f>IF(Base_de_donnée_clients!A98="","",Base_de_donnée_clients!A98)</f>
        <v/>
      </c>
      <c r="B98" s="132" t="str">
        <f>IF(Base_de_donnée_clients!B98="","",Base_de_donnée_clients!B98)</f>
        <v/>
      </c>
      <c r="C98" s="132" t="str">
        <f>IF(Base_de_donnée_clients!C98="","",Base_de_donnée_clients!C98)</f>
        <v/>
      </c>
      <c r="D98" s="132" t="str">
        <f>IF(Base_de_donnée_clients!H98="","",Base_de_donnée_clients!H98)</f>
        <v/>
      </c>
      <c r="E98" s="132" t="str">
        <f>IF(Base_de_donnée_clients!I98="","",Base_de_donnée_clients!I98)</f>
        <v/>
      </c>
      <c r="F98" s="133" t="str">
        <f>IF(Base_de_donnée_clients!J98="","",Base_de_donnée_clients!J98)</f>
        <v/>
      </c>
      <c r="G98" s="133" t="str">
        <f>IF(Base_de_donnée_clients!K98="","",Base_de_donnée_clients!K98)</f>
        <v/>
      </c>
      <c r="H98" s="132" t="str">
        <f>IF(Base_de_donnée_clients!L98="","",Base_de_donnée_clients!L98)</f>
        <v/>
      </c>
      <c r="I98" s="132" t="str">
        <f>IF(Base_de_donnée_clients!M98="","",Base_de_donnée_clients!M98)</f>
        <v/>
      </c>
      <c r="J98" s="132" t="str">
        <f>IF(Base_de_donnée_clients!N98="","",Base_de_donnée_clients!N98)</f>
        <v/>
      </c>
      <c r="K98" s="133" t="str">
        <f>IF(Base_de_donnée_clients!O98="","",Base_de_donnée_clients!O98)</f>
        <v/>
      </c>
      <c r="L98" s="133" t="str">
        <f>IF(Base_de_donnée_clients!P98="","",Base_de_donnée_clients!P98)</f>
        <v/>
      </c>
      <c r="M98" s="133" t="str">
        <f>IF(Base_de_donnée_clients!Q98="","",Base_de_donnée_clients!Q98)</f>
        <v/>
      </c>
      <c r="N98" s="132" t="str">
        <f>IF(Base_de_donnée_clients!R98="","",Base_de_donnée_clients!R98)</f>
        <v/>
      </c>
    </row>
    <row r="99" spans="1:14" ht="24" customHeight="1" x14ac:dyDescent="0.45">
      <c r="A99" s="131" t="str">
        <f>IF(Base_de_donnée_clients!A99="","",Base_de_donnée_clients!A99)</f>
        <v/>
      </c>
      <c r="B99" s="132" t="str">
        <f>IF(Base_de_donnée_clients!B99="","",Base_de_donnée_clients!B99)</f>
        <v/>
      </c>
      <c r="C99" s="132" t="str">
        <f>IF(Base_de_donnée_clients!C99="","",Base_de_donnée_clients!C99)</f>
        <v/>
      </c>
      <c r="D99" s="132" t="str">
        <f>IF(Base_de_donnée_clients!H99="","",Base_de_donnée_clients!H99)</f>
        <v/>
      </c>
      <c r="E99" s="132" t="str">
        <f>IF(Base_de_donnée_clients!I99="","",Base_de_donnée_clients!I99)</f>
        <v/>
      </c>
      <c r="F99" s="133" t="str">
        <f>IF(Base_de_donnée_clients!J99="","",Base_de_donnée_clients!J99)</f>
        <v/>
      </c>
      <c r="G99" s="133" t="str">
        <f>IF(Base_de_donnée_clients!K99="","",Base_de_donnée_clients!K99)</f>
        <v/>
      </c>
      <c r="H99" s="132" t="str">
        <f>IF(Base_de_donnée_clients!L99="","",Base_de_donnée_clients!L99)</f>
        <v/>
      </c>
      <c r="I99" s="132" t="str">
        <f>IF(Base_de_donnée_clients!M99="","",Base_de_donnée_clients!M99)</f>
        <v/>
      </c>
      <c r="J99" s="132" t="str">
        <f>IF(Base_de_donnée_clients!N99="","",Base_de_donnée_clients!N99)</f>
        <v/>
      </c>
      <c r="K99" s="133" t="str">
        <f>IF(Base_de_donnée_clients!O99="","",Base_de_donnée_clients!O99)</f>
        <v/>
      </c>
      <c r="L99" s="133" t="str">
        <f>IF(Base_de_donnée_clients!P99="","",Base_de_donnée_clients!P99)</f>
        <v/>
      </c>
      <c r="M99" s="133" t="str">
        <f>IF(Base_de_donnée_clients!Q99="","",Base_de_donnée_clients!Q99)</f>
        <v/>
      </c>
      <c r="N99" s="132" t="str">
        <f>IF(Base_de_donnée_clients!R99="","",Base_de_donnée_clients!R99)</f>
        <v/>
      </c>
    </row>
    <row r="100" spans="1:14" ht="24" customHeight="1" x14ac:dyDescent="0.45">
      <c r="A100" s="131" t="str">
        <f>IF(Base_de_donnée_clients!A100="","",Base_de_donnée_clients!A100)</f>
        <v/>
      </c>
      <c r="B100" s="132" t="str">
        <f>IF(Base_de_donnée_clients!B100="","",Base_de_donnée_clients!B100)</f>
        <v/>
      </c>
      <c r="C100" s="132" t="str">
        <f>IF(Base_de_donnée_clients!C100="","",Base_de_donnée_clients!C100)</f>
        <v/>
      </c>
      <c r="D100" s="132" t="str">
        <f>IF(Base_de_donnée_clients!H100="","",Base_de_donnée_clients!H100)</f>
        <v/>
      </c>
      <c r="E100" s="132" t="str">
        <f>IF(Base_de_donnée_clients!I100="","",Base_de_donnée_clients!I100)</f>
        <v/>
      </c>
      <c r="F100" s="133" t="str">
        <f>IF(Base_de_donnée_clients!J100="","",Base_de_donnée_clients!J100)</f>
        <v/>
      </c>
      <c r="G100" s="133" t="str">
        <f>IF(Base_de_donnée_clients!K100="","",Base_de_donnée_clients!K100)</f>
        <v/>
      </c>
      <c r="H100" s="132" t="str">
        <f>IF(Base_de_donnée_clients!L100="","",Base_de_donnée_clients!L100)</f>
        <v/>
      </c>
      <c r="I100" s="132" t="str">
        <f>IF(Base_de_donnée_clients!M100="","",Base_de_donnée_clients!M100)</f>
        <v/>
      </c>
      <c r="J100" s="132" t="str">
        <f>IF(Base_de_donnée_clients!N100="","",Base_de_donnée_clients!N100)</f>
        <v/>
      </c>
      <c r="K100" s="133" t="str">
        <f>IF(Base_de_donnée_clients!O100="","",Base_de_donnée_clients!O100)</f>
        <v/>
      </c>
      <c r="L100" s="133" t="str">
        <f>IF(Base_de_donnée_clients!P100="","",Base_de_donnée_clients!P100)</f>
        <v/>
      </c>
      <c r="M100" s="133" t="str">
        <f>IF(Base_de_donnée_clients!Q100="","",Base_de_donnée_clients!Q100)</f>
        <v/>
      </c>
      <c r="N100" s="132" t="str">
        <f>IF(Base_de_donnée_clients!R100="","",Base_de_donnée_clients!R100)</f>
        <v/>
      </c>
    </row>
    <row r="101" spans="1:14" ht="24" customHeight="1" x14ac:dyDescent="0.45">
      <c r="A101" s="131" t="str">
        <f>IF(Base_de_donnée_clients!A101="","",Base_de_donnée_clients!A101)</f>
        <v/>
      </c>
      <c r="B101" s="132" t="str">
        <f>IF(Base_de_donnée_clients!B101="","",Base_de_donnée_clients!B101)</f>
        <v/>
      </c>
      <c r="C101" s="132" t="str">
        <f>IF(Base_de_donnée_clients!C101="","",Base_de_donnée_clients!C101)</f>
        <v/>
      </c>
      <c r="D101" s="132" t="str">
        <f>IF(Base_de_donnée_clients!H101="","",Base_de_donnée_clients!H101)</f>
        <v/>
      </c>
      <c r="E101" s="132" t="str">
        <f>IF(Base_de_donnée_clients!I101="","",Base_de_donnée_clients!I101)</f>
        <v/>
      </c>
      <c r="F101" s="133" t="str">
        <f>IF(Base_de_donnée_clients!J101="","",Base_de_donnée_clients!J101)</f>
        <v/>
      </c>
      <c r="G101" s="133" t="str">
        <f>IF(Base_de_donnée_clients!K101="","",Base_de_donnée_clients!K101)</f>
        <v/>
      </c>
      <c r="H101" s="132" t="str">
        <f>IF(Base_de_donnée_clients!L101="","",Base_de_donnée_clients!L101)</f>
        <v/>
      </c>
      <c r="I101" s="132" t="str">
        <f>IF(Base_de_donnée_clients!M101="","",Base_de_donnée_clients!M101)</f>
        <v/>
      </c>
      <c r="J101" s="132" t="str">
        <f>IF(Base_de_donnée_clients!N101="","",Base_de_donnée_clients!N101)</f>
        <v/>
      </c>
      <c r="K101" s="133" t="str">
        <f>IF(Base_de_donnée_clients!O101="","",Base_de_donnée_clients!O101)</f>
        <v/>
      </c>
      <c r="L101" s="133" t="str">
        <f>IF(Base_de_donnée_clients!P101="","",Base_de_donnée_clients!P101)</f>
        <v/>
      </c>
      <c r="M101" s="133" t="str">
        <f>IF(Base_de_donnée_clients!Q101="","",Base_de_donnée_clients!Q101)</f>
        <v/>
      </c>
      <c r="N101" s="132" t="str">
        <f>IF(Base_de_donnée_clients!R101="","",Base_de_donnée_clients!R101)</f>
        <v/>
      </c>
    </row>
    <row r="102" spans="1:14" ht="24" customHeight="1" x14ac:dyDescent="0.45">
      <c r="A102" s="131" t="str">
        <f>IF(Base_de_donnée_clients!A102="","",Base_de_donnée_clients!A102)</f>
        <v/>
      </c>
      <c r="B102" s="132" t="str">
        <f>IF(Base_de_donnée_clients!B102="","",Base_de_donnée_clients!B102)</f>
        <v/>
      </c>
      <c r="C102" s="132" t="str">
        <f>IF(Base_de_donnée_clients!C102="","",Base_de_donnée_clients!C102)</f>
        <v/>
      </c>
      <c r="D102" s="132" t="str">
        <f>IF(Base_de_donnée_clients!H102="","",Base_de_donnée_clients!H102)</f>
        <v/>
      </c>
      <c r="E102" s="132" t="str">
        <f>IF(Base_de_donnée_clients!I102="","",Base_de_donnée_clients!I102)</f>
        <v/>
      </c>
      <c r="F102" s="133" t="str">
        <f>IF(Base_de_donnée_clients!J102="","",Base_de_donnée_clients!J102)</f>
        <v/>
      </c>
      <c r="G102" s="133" t="str">
        <f>IF(Base_de_donnée_clients!K102="","",Base_de_donnée_clients!K102)</f>
        <v/>
      </c>
      <c r="H102" s="132" t="str">
        <f>IF(Base_de_donnée_clients!L102="","",Base_de_donnée_clients!L102)</f>
        <v/>
      </c>
      <c r="I102" s="132" t="str">
        <f>IF(Base_de_donnée_clients!M102="","",Base_de_donnée_clients!M102)</f>
        <v/>
      </c>
      <c r="J102" s="132" t="str">
        <f>IF(Base_de_donnée_clients!N102="","",Base_de_donnée_clients!N102)</f>
        <v/>
      </c>
      <c r="K102" s="133" t="str">
        <f>IF(Base_de_donnée_clients!O102="","",Base_de_donnée_clients!O102)</f>
        <v/>
      </c>
      <c r="L102" s="133" t="str">
        <f>IF(Base_de_donnée_clients!P102="","",Base_de_donnée_clients!P102)</f>
        <v/>
      </c>
      <c r="M102" s="133" t="str">
        <f>IF(Base_de_donnée_clients!Q102="","",Base_de_donnée_clients!Q102)</f>
        <v/>
      </c>
      <c r="N102" s="132" t="str">
        <f>IF(Base_de_donnée_clients!R102="","",Base_de_donnée_clients!R102)</f>
        <v/>
      </c>
    </row>
    <row r="103" spans="1:14" ht="24" customHeight="1" x14ac:dyDescent="0.45">
      <c r="A103" s="131" t="str">
        <f>IF(Base_de_donnée_clients!A103="","",Base_de_donnée_clients!A103)</f>
        <v/>
      </c>
      <c r="B103" s="132" t="str">
        <f>IF(Base_de_donnée_clients!B103="","",Base_de_donnée_clients!B103)</f>
        <v/>
      </c>
      <c r="C103" s="132" t="str">
        <f>IF(Base_de_donnée_clients!C103="","",Base_de_donnée_clients!C103)</f>
        <v/>
      </c>
      <c r="D103" s="132" t="str">
        <f>IF(Base_de_donnée_clients!H103="","",Base_de_donnée_clients!H103)</f>
        <v/>
      </c>
      <c r="E103" s="132" t="str">
        <f>IF(Base_de_donnée_clients!I103="","",Base_de_donnée_clients!I103)</f>
        <v/>
      </c>
      <c r="F103" s="133" t="str">
        <f>IF(Base_de_donnée_clients!J103="","",Base_de_donnée_clients!J103)</f>
        <v/>
      </c>
      <c r="G103" s="133" t="str">
        <f>IF(Base_de_donnée_clients!K103="","",Base_de_donnée_clients!K103)</f>
        <v/>
      </c>
      <c r="H103" s="132" t="str">
        <f>IF(Base_de_donnée_clients!L103="","",Base_de_donnée_clients!L103)</f>
        <v/>
      </c>
      <c r="I103" s="132" t="str">
        <f>IF(Base_de_donnée_clients!M103="","",Base_de_donnée_clients!M103)</f>
        <v/>
      </c>
      <c r="J103" s="132" t="str">
        <f>IF(Base_de_donnée_clients!N103="","",Base_de_donnée_clients!N103)</f>
        <v/>
      </c>
      <c r="K103" s="133" t="str">
        <f>IF(Base_de_donnée_clients!O103="","",Base_de_donnée_clients!O103)</f>
        <v/>
      </c>
      <c r="L103" s="133" t="str">
        <f>IF(Base_de_donnée_clients!P103="","",Base_de_donnée_clients!P103)</f>
        <v/>
      </c>
      <c r="M103" s="133" t="str">
        <f>IF(Base_de_donnée_clients!Q103="","",Base_de_donnée_clients!Q103)</f>
        <v/>
      </c>
      <c r="N103" s="132" t="str">
        <f>IF(Base_de_donnée_clients!R103="","",Base_de_donnée_clients!R103)</f>
        <v/>
      </c>
    </row>
    <row r="104" spans="1:14" ht="24" customHeight="1" x14ac:dyDescent="0.45">
      <c r="A104" s="131" t="str">
        <f>IF(Base_de_donnée_clients!A104="","",Base_de_donnée_clients!A104)</f>
        <v/>
      </c>
      <c r="B104" s="132" t="str">
        <f>IF(Base_de_donnée_clients!B104="","",Base_de_donnée_clients!B104)</f>
        <v/>
      </c>
      <c r="C104" s="132" t="str">
        <f>IF(Base_de_donnée_clients!C104="","",Base_de_donnée_clients!C104)</f>
        <v/>
      </c>
      <c r="D104" s="132" t="str">
        <f>IF(Base_de_donnée_clients!H104="","",Base_de_donnée_clients!H104)</f>
        <v/>
      </c>
      <c r="E104" s="132" t="str">
        <f>IF(Base_de_donnée_clients!I104="","",Base_de_donnée_clients!I104)</f>
        <v/>
      </c>
      <c r="F104" s="133" t="str">
        <f>IF(Base_de_donnée_clients!J104="","",Base_de_donnée_clients!J104)</f>
        <v/>
      </c>
      <c r="G104" s="133" t="str">
        <f>IF(Base_de_donnée_clients!K104="","",Base_de_donnée_clients!K104)</f>
        <v/>
      </c>
      <c r="H104" s="132" t="str">
        <f>IF(Base_de_donnée_clients!L104="","",Base_de_donnée_clients!L104)</f>
        <v/>
      </c>
      <c r="I104" s="132" t="str">
        <f>IF(Base_de_donnée_clients!M104="","",Base_de_donnée_clients!M104)</f>
        <v/>
      </c>
      <c r="J104" s="132" t="str">
        <f>IF(Base_de_donnée_clients!N104="","",Base_de_donnée_clients!N104)</f>
        <v/>
      </c>
      <c r="K104" s="133" t="str">
        <f>IF(Base_de_donnée_clients!O104="","",Base_de_donnée_clients!O104)</f>
        <v/>
      </c>
      <c r="L104" s="133" t="str">
        <f>IF(Base_de_donnée_clients!P104="","",Base_de_donnée_clients!P104)</f>
        <v/>
      </c>
      <c r="M104" s="133" t="str">
        <f>IF(Base_de_donnée_clients!Q104="","",Base_de_donnée_clients!Q104)</f>
        <v/>
      </c>
      <c r="N104" s="132" t="str">
        <f>IF(Base_de_donnée_clients!R104="","",Base_de_donnée_clients!R104)</f>
        <v/>
      </c>
    </row>
    <row r="105" spans="1:14" ht="24" customHeight="1" x14ac:dyDescent="0.45">
      <c r="A105" s="131" t="str">
        <f>IF(Base_de_donnée_clients!A105="","",Base_de_donnée_clients!A105)</f>
        <v/>
      </c>
      <c r="B105" s="132" t="str">
        <f>IF(Base_de_donnée_clients!B105="","",Base_de_donnée_clients!B105)</f>
        <v/>
      </c>
      <c r="C105" s="132" t="str">
        <f>IF(Base_de_donnée_clients!C105="","",Base_de_donnée_clients!C105)</f>
        <v/>
      </c>
      <c r="D105" s="132" t="str">
        <f>IF(Base_de_donnée_clients!H105="","",Base_de_donnée_clients!H105)</f>
        <v/>
      </c>
      <c r="E105" s="132" t="str">
        <f>IF(Base_de_donnée_clients!I105="","",Base_de_donnée_clients!I105)</f>
        <v/>
      </c>
      <c r="F105" s="133" t="str">
        <f>IF(Base_de_donnée_clients!J105="","",Base_de_donnée_clients!J105)</f>
        <v/>
      </c>
      <c r="G105" s="133" t="str">
        <f>IF(Base_de_donnée_clients!K105="","",Base_de_donnée_clients!K105)</f>
        <v/>
      </c>
      <c r="H105" s="132" t="str">
        <f>IF(Base_de_donnée_clients!L105="","",Base_de_donnée_clients!L105)</f>
        <v/>
      </c>
      <c r="I105" s="132" t="str">
        <f>IF(Base_de_donnée_clients!M105="","",Base_de_donnée_clients!M105)</f>
        <v/>
      </c>
      <c r="J105" s="132" t="str">
        <f>IF(Base_de_donnée_clients!N105="","",Base_de_donnée_clients!N105)</f>
        <v/>
      </c>
      <c r="K105" s="133" t="str">
        <f>IF(Base_de_donnée_clients!O105="","",Base_de_donnée_clients!O105)</f>
        <v/>
      </c>
      <c r="L105" s="133" t="str">
        <f>IF(Base_de_donnée_clients!P105="","",Base_de_donnée_clients!P105)</f>
        <v/>
      </c>
      <c r="M105" s="133" t="str">
        <f>IF(Base_de_donnée_clients!Q105="","",Base_de_donnée_clients!Q105)</f>
        <v/>
      </c>
      <c r="N105" s="132" t="str">
        <f>IF(Base_de_donnée_clients!R105="","",Base_de_donnée_clients!R105)</f>
        <v/>
      </c>
    </row>
    <row r="106" spans="1:14" ht="24" customHeight="1" x14ac:dyDescent="0.45">
      <c r="A106" s="131" t="str">
        <f>IF(Base_de_donnée_clients!A106="","",Base_de_donnée_clients!A106)</f>
        <v/>
      </c>
      <c r="B106" s="132" t="str">
        <f>IF(Base_de_donnée_clients!B106="","",Base_de_donnée_clients!B106)</f>
        <v/>
      </c>
      <c r="C106" s="132" t="str">
        <f>IF(Base_de_donnée_clients!C106="","",Base_de_donnée_clients!C106)</f>
        <v/>
      </c>
      <c r="D106" s="132" t="str">
        <f>IF(Base_de_donnée_clients!H106="","",Base_de_donnée_clients!H106)</f>
        <v/>
      </c>
      <c r="E106" s="132" t="str">
        <f>IF(Base_de_donnée_clients!I106="","",Base_de_donnée_clients!I106)</f>
        <v/>
      </c>
      <c r="F106" s="133" t="str">
        <f>IF(Base_de_donnée_clients!J106="","",Base_de_donnée_clients!J106)</f>
        <v/>
      </c>
      <c r="G106" s="133" t="str">
        <f>IF(Base_de_donnée_clients!K106="","",Base_de_donnée_clients!K106)</f>
        <v/>
      </c>
      <c r="H106" s="132" t="str">
        <f>IF(Base_de_donnée_clients!L106="","",Base_de_donnée_clients!L106)</f>
        <v/>
      </c>
      <c r="I106" s="132" t="str">
        <f>IF(Base_de_donnée_clients!M106="","",Base_de_donnée_clients!M106)</f>
        <v/>
      </c>
      <c r="J106" s="132" t="str">
        <f>IF(Base_de_donnée_clients!N106="","",Base_de_donnée_clients!N106)</f>
        <v/>
      </c>
      <c r="K106" s="133" t="str">
        <f>IF(Base_de_donnée_clients!O106="","",Base_de_donnée_clients!O106)</f>
        <v/>
      </c>
      <c r="L106" s="133" t="str">
        <f>IF(Base_de_donnée_clients!P106="","",Base_de_donnée_clients!P106)</f>
        <v/>
      </c>
      <c r="M106" s="133" t="str">
        <f>IF(Base_de_donnée_clients!Q106="","",Base_de_donnée_clients!Q106)</f>
        <v/>
      </c>
      <c r="N106" s="132" t="str">
        <f>IF(Base_de_donnée_clients!R106="","",Base_de_donnée_clients!R106)</f>
        <v/>
      </c>
    </row>
    <row r="107" spans="1:14" ht="24" customHeight="1" x14ac:dyDescent="0.45">
      <c r="A107" s="131" t="str">
        <f>IF(Base_de_donnée_clients!A107="","",Base_de_donnée_clients!A107)</f>
        <v/>
      </c>
      <c r="B107" s="132" t="str">
        <f>IF(Base_de_donnée_clients!B107="","",Base_de_donnée_clients!B107)</f>
        <v/>
      </c>
      <c r="C107" s="132" t="str">
        <f>IF(Base_de_donnée_clients!C107="","",Base_de_donnée_clients!C107)</f>
        <v/>
      </c>
      <c r="D107" s="132" t="str">
        <f>IF(Base_de_donnée_clients!H107="","",Base_de_donnée_clients!H107)</f>
        <v/>
      </c>
      <c r="E107" s="132" t="str">
        <f>IF(Base_de_donnée_clients!I107="","",Base_de_donnée_clients!I107)</f>
        <v/>
      </c>
      <c r="F107" s="133" t="str">
        <f>IF(Base_de_donnée_clients!J107="","",Base_de_donnée_clients!J107)</f>
        <v/>
      </c>
      <c r="G107" s="133" t="str">
        <f>IF(Base_de_donnée_clients!K107="","",Base_de_donnée_clients!K107)</f>
        <v/>
      </c>
      <c r="H107" s="132" t="str">
        <f>IF(Base_de_donnée_clients!L107="","",Base_de_donnée_clients!L107)</f>
        <v/>
      </c>
      <c r="I107" s="132" t="str">
        <f>IF(Base_de_donnée_clients!M107="","",Base_de_donnée_clients!M107)</f>
        <v/>
      </c>
      <c r="J107" s="132" t="str">
        <f>IF(Base_de_donnée_clients!N107="","",Base_de_donnée_clients!N107)</f>
        <v/>
      </c>
      <c r="K107" s="133" t="str">
        <f>IF(Base_de_donnée_clients!O107="","",Base_de_donnée_clients!O107)</f>
        <v/>
      </c>
      <c r="L107" s="133" t="str">
        <f>IF(Base_de_donnée_clients!P107="","",Base_de_donnée_clients!P107)</f>
        <v/>
      </c>
      <c r="M107" s="133" t="str">
        <f>IF(Base_de_donnée_clients!Q107="","",Base_de_donnée_clients!Q107)</f>
        <v/>
      </c>
      <c r="N107" s="132" t="str">
        <f>IF(Base_de_donnée_clients!R107="","",Base_de_donnée_clients!R107)</f>
        <v/>
      </c>
    </row>
    <row r="108" spans="1:14" ht="24" customHeight="1" x14ac:dyDescent="0.45">
      <c r="A108" s="131" t="str">
        <f>IF(Base_de_donnée_clients!A108="","",Base_de_donnée_clients!A108)</f>
        <v/>
      </c>
      <c r="B108" s="132" t="str">
        <f>IF(Base_de_donnée_clients!B108="","",Base_de_donnée_clients!B108)</f>
        <v/>
      </c>
      <c r="C108" s="132" t="str">
        <f>IF(Base_de_donnée_clients!C108="","",Base_de_donnée_clients!C108)</f>
        <v/>
      </c>
      <c r="D108" s="132" t="str">
        <f>IF(Base_de_donnée_clients!H108="","",Base_de_donnée_clients!H108)</f>
        <v/>
      </c>
      <c r="E108" s="132" t="str">
        <f>IF(Base_de_donnée_clients!I108="","",Base_de_donnée_clients!I108)</f>
        <v/>
      </c>
      <c r="F108" s="133" t="str">
        <f>IF(Base_de_donnée_clients!J108="","",Base_de_donnée_clients!J108)</f>
        <v/>
      </c>
      <c r="G108" s="133" t="str">
        <f>IF(Base_de_donnée_clients!K108="","",Base_de_donnée_clients!K108)</f>
        <v/>
      </c>
      <c r="H108" s="132" t="str">
        <f>IF(Base_de_donnée_clients!L108="","",Base_de_donnée_clients!L108)</f>
        <v/>
      </c>
      <c r="I108" s="132" t="str">
        <f>IF(Base_de_donnée_clients!M108="","",Base_de_donnée_clients!M108)</f>
        <v/>
      </c>
      <c r="J108" s="132" t="str">
        <f>IF(Base_de_donnée_clients!N108="","",Base_de_donnée_clients!N108)</f>
        <v/>
      </c>
      <c r="K108" s="133" t="str">
        <f>IF(Base_de_donnée_clients!O108="","",Base_de_donnée_clients!O108)</f>
        <v/>
      </c>
      <c r="L108" s="133" t="str">
        <f>IF(Base_de_donnée_clients!P108="","",Base_de_donnée_clients!P108)</f>
        <v/>
      </c>
      <c r="M108" s="133" t="str">
        <f>IF(Base_de_donnée_clients!Q108="","",Base_de_donnée_clients!Q108)</f>
        <v/>
      </c>
      <c r="N108" s="132" t="str">
        <f>IF(Base_de_donnée_clients!R108="","",Base_de_donnée_clients!R108)</f>
        <v/>
      </c>
    </row>
    <row r="109" spans="1:14" ht="24" customHeight="1" x14ac:dyDescent="0.45">
      <c r="A109" s="131" t="str">
        <f>IF(Base_de_donnée_clients!A109="","",Base_de_donnée_clients!A109)</f>
        <v/>
      </c>
      <c r="B109" s="132" t="str">
        <f>IF(Base_de_donnée_clients!B109="","",Base_de_donnée_clients!B109)</f>
        <v/>
      </c>
      <c r="C109" s="132" t="str">
        <f>IF(Base_de_donnée_clients!C109="","",Base_de_donnée_clients!C109)</f>
        <v/>
      </c>
      <c r="D109" s="132" t="str">
        <f>IF(Base_de_donnée_clients!H109="","",Base_de_donnée_clients!H109)</f>
        <v/>
      </c>
      <c r="E109" s="132" t="str">
        <f>IF(Base_de_donnée_clients!I109="","",Base_de_donnée_clients!I109)</f>
        <v/>
      </c>
      <c r="F109" s="133" t="str">
        <f>IF(Base_de_donnée_clients!J109="","",Base_de_donnée_clients!J109)</f>
        <v/>
      </c>
      <c r="G109" s="133" t="str">
        <f>IF(Base_de_donnée_clients!K109="","",Base_de_donnée_clients!K109)</f>
        <v/>
      </c>
      <c r="H109" s="132" t="str">
        <f>IF(Base_de_donnée_clients!L109="","",Base_de_donnée_clients!L109)</f>
        <v/>
      </c>
      <c r="I109" s="132" t="str">
        <f>IF(Base_de_donnée_clients!M109="","",Base_de_donnée_clients!M109)</f>
        <v/>
      </c>
      <c r="J109" s="132" t="str">
        <f>IF(Base_de_donnée_clients!N109="","",Base_de_donnée_clients!N109)</f>
        <v/>
      </c>
      <c r="K109" s="133" t="str">
        <f>IF(Base_de_donnée_clients!O109="","",Base_de_donnée_clients!O109)</f>
        <v/>
      </c>
      <c r="L109" s="133" t="str">
        <f>IF(Base_de_donnée_clients!P109="","",Base_de_donnée_clients!P109)</f>
        <v/>
      </c>
      <c r="M109" s="133" t="str">
        <f>IF(Base_de_donnée_clients!Q109="","",Base_de_donnée_clients!Q109)</f>
        <v/>
      </c>
      <c r="N109" s="132" t="str">
        <f>IF(Base_de_donnée_clients!R109="","",Base_de_donnée_clients!R109)</f>
        <v/>
      </c>
    </row>
    <row r="110" spans="1:14" ht="24" customHeight="1" x14ac:dyDescent="0.45">
      <c r="A110" s="131" t="str">
        <f>IF(Base_de_donnée_clients!A110="","",Base_de_donnée_clients!A110)</f>
        <v/>
      </c>
      <c r="B110" s="132" t="str">
        <f>IF(Base_de_donnée_clients!B110="","",Base_de_donnée_clients!B110)</f>
        <v/>
      </c>
      <c r="C110" s="132" t="str">
        <f>IF(Base_de_donnée_clients!C110="","",Base_de_donnée_clients!C110)</f>
        <v/>
      </c>
      <c r="D110" s="132" t="str">
        <f>IF(Base_de_donnée_clients!H110="","",Base_de_donnée_clients!H110)</f>
        <v/>
      </c>
      <c r="E110" s="132" t="str">
        <f>IF(Base_de_donnée_clients!I110="","",Base_de_donnée_clients!I110)</f>
        <v/>
      </c>
      <c r="F110" s="133" t="str">
        <f>IF(Base_de_donnée_clients!J110="","",Base_de_donnée_clients!J110)</f>
        <v/>
      </c>
      <c r="G110" s="133" t="str">
        <f>IF(Base_de_donnée_clients!K110="","",Base_de_donnée_clients!K110)</f>
        <v/>
      </c>
      <c r="H110" s="132" t="str">
        <f>IF(Base_de_donnée_clients!L110="","",Base_de_donnée_clients!L110)</f>
        <v/>
      </c>
      <c r="I110" s="132" t="str">
        <f>IF(Base_de_donnée_clients!M110="","",Base_de_donnée_clients!M110)</f>
        <v/>
      </c>
      <c r="J110" s="132" t="str">
        <f>IF(Base_de_donnée_clients!N110="","",Base_de_donnée_clients!N110)</f>
        <v/>
      </c>
      <c r="K110" s="133" t="str">
        <f>IF(Base_de_donnée_clients!O110="","",Base_de_donnée_clients!O110)</f>
        <v/>
      </c>
      <c r="L110" s="133" t="str">
        <f>IF(Base_de_donnée_clients!P110="","",Base_de_donnée_clients!P110)</f>
        <v/>
      </c>
      <c r="M110" s="133" t="str">
        <f>IF(Base_de_donnée_clients!Q110="","",Base_de_donnée_clients!Q110)</f>
        <v/>
      </c>
      <c r="N110" s="132" t="str">
        <f>IF(Base_de_donnée_clients!R110="","",Base_de_donnée_clients!R110)</f>
        <v/>
      </c>
    </row>
    <row r="111" spans="1:14" ht="24" customHeight="1" x14ac:dyDescent="0.45">
      <c r="A111" s="131" t="str">
        <f>IF(Base_de_donnée_clients!A111="","",Base_de_donnée_clients!A111)</f>
        <v/>
      </c>
      <c r="B111" s="132" t="str">
        <f>IF(Base_de_donnée_clients!B111="","",Base_de_donnée_clients!B111)</f>
        <v/>
      </c>
      <c r="C111" s="132" t="str">
        <f>IF(Base_de_donnée_clients!C111="","",Base_de_donnée_clients!C111)</f>
        <v/>
      </c>
      <c r="D111" s="132" t="str">
        <f>IF(Base_de_donnée_clients!H111="","",Base_de_donnée_clients!H111)</f>
        <v/>
      </c>
      <c r="E111" s="132" t="str">
        <f>IF(Base_de_donnée_clients!I111="","",Base_de_donnée_clients!I111)</f>
        <v/>
      </c>
      <c r="F111" s="133" t="str">
        <f>IF(Base_de_donnée_clients!J111="","",Base_de_donnée_clients!J111)</f>
        <v/>
      </c>
      <c r="G111" s="133" t="str">
        <f>IF(Base_de_donnée_clients!K111="","",Base_de_donnée_clients!K111)</f>
        <v/>
      </c>
      <c r="H111" s="132" t="str">
        <f>IF(Base_de_donnée_clients!L111="","",Base_de_donnée_clients!L111)</f>
        <v/>
      </c>
      <c r="I111" s="132" t="str">
        <f>IF(Base_de_donnée_clients!M111="","",Base_de_donnée_clients!M111)</f>
        <v/>
      </c>
      <c r="J111" s="132" t="str">
        <f>IF(Base_de_donnée_clients!N111="","",Base_de_donnée_clients!N111)</f>
        <v/>
      </c>
      <c r="K111" s="133" t="str">
        <f>IF(Base_de_donnée_clients!O111="","",Base_de_donnée_clients!O111)</f>
        <v/>
      </c>
      <c r="L111" s="133" t="str">
        <f>IF(Base_de_donnée_clients!P111="","",Base_de_donnée_clients!P111)</f>
        <v/>
      </c>
      <c r="M111" s="133" t="str">
        <f>IF(Base_de_donnée_clients!Q111="","",Base_de_donnée_clients!Q111)</f>
        <v/>
      </c>
      <c r="N111" s="132" t="str">
        <f>IF(Base_de_donnée_clients!R111="","",Base_de_donnée_clients!R111)</f>
        <v/>
      </c>
    </row>
    <row r="112" spans="1:14" ht="24" customHeight="1" x14ac:dyDescent="0.45">
      <c r="A112" s="131" t="str">
        <f>IF(Base_de_donnée_clients!A112="","",Base_de_donnée_clients!A112)</f>
        <v/>
      </c>
      <c r="B112" s="132" t="str">
        <f>IF(Base_de_donnée_clients!B112="","",Base_de_donnée_clients!B112)</f>
        <v/>
      </c>
      <c r="C112" s="132" t="str">
        <f>IF(Base_de_donnée_clients!C112="","",Base_de_donnée_clients!C112)</f>
        <v/>
      </c>
      <c r="D112" s="132" t="str">
        <f>IF(Base_de_donnée_clients!H112="","",Base_de_donnée_clients!H112)</f>
        <v/>
      </c>
      <c r="E112" s="132" t="str">
        <f>IF(Base_de_donnée_clients!I112="","",Base_de_donnée_clients!I112)</f>
        <v/>
      </c>
      <c r="F112" s="133" t="str">
        <f>IF(Base_de_donnée_clients!J112="","",Base_de_donnée_clients!J112)</f>
        <v/>
      </c>
      <c r="G112" s="133" t="str">
        <f>IF(Base_de_donnée_clients!K112="","",Base_de_donnée_clients!K112)</f>
        <v/>
      </c>
      <c r="H112" s="132" t="str">
        <f>IF(Base_de_donnée_clients!L112="","",Base_de_donnée_clients!L112)</f>
        <v/>
      </c>
      <c r="I112" s="132" t="str">
        <f>IF(Base_de_donnée_clients!M112="","",Base_de_donnée_clients!M112)</f>
        <v/>
      </c>
      <c r="J112" s="132" t="str">
        <f>IF(Base_de_donnée_clients!N112="","",Base_de_donnée_clients!N112)</f>
        <v/>
      </c>
      <c r="K112" s="133" t="str">
        <f>IF(Base_de_donnée_clients!O112="","",Base_de_donnée_clients!O112)</f>
        <v/>
      </c>
      <c r="L112" s="133" t="str">
        <f>IF(Base_de_donnée_clients!P112="","",Base_de_donnée_clients!P112)</f>
        <v/>
      </c>
      <c r="M112" s="133" t="str">
        <f>IF(Base_de_donnée_clients!Q112="","",Base_de_donnée_clients!Q112)</f>
        <v/>
      </c>
      <c r="N112" s="132" t="str">
        <f>IF(Base_de_donnée_clients!R112="","",Base_de_donnée_clients!R112)</f>
        <v/>
      </c>
    </row>
    <row r="113" spans="1:14" ht="24" customHeight="1" x14ac:dyDescent="0.45">
      <c r="A113" s="131" t="str">
        <f>IF(Base_de_donnée_clients!A113="","",Base_de_donnée_clients!A113)</f>
        <v/>
      </c>
      <c r="B113" s="132" t="str">
        <f>IF(Base_de_donnée_clients!B113="","",Base_de_donnée_clients!B113)</f>
        <v/>
      </c>
      <c r="C113" s="132" t="str">
        <f>IF(Base_de_donnée_clients!C113="","",Base_de_donnée_clients!C113)</f>
        <v/>
      </c>
      <c r="D113" s="132" t="str">
        <f>IF(Base_de_donnée_clients!H113="","",Base_de_donnée_clients!H113)</f>
        <v/>
      </c>
      <c r="E113" s="132" t="str">
        <f>IF(Base_de_donnée_clients!I113="","",Base_de_donnée_clients!I113)</f>
        <v/>
      </c>
      <c r="F113" s="133" t="str">
        <f>IF(Base_de_donnée_clients!J113="","",Base_de_donnée_clients!J113)</f>
        <v/>
      </c>
      <c r="G113" s="133" t="str">
        <f>IF(Base_de_donnée_clients!K113="","",Base_de_donnée_clients!K113)</f>
        <v/>
      </c>
      <c r="H113" s="132" t="str">
        <f>IF(Base_de_donnée_clients!L113="","",Base_de_donnée_clients!L113)</f>
        <v/>
      </c>
      <c r="I113" s="132" t="str">
        <f>IF(Base_de_donnée_clients!M113="","",Base_de_donnée_clients!M113)</f>
        <v/>
      </c>
      <c r="J113" s="132" t="str">
        <f>IF(Base_de_donnée_clients!N113="","",Base_de_donnée_clients!N113)</f>
        <v/>
      </c>
      <c r="K113" s="133" t="str">
        <f>IF(Base_de_donnée_clients!O113="","",Base_de_donnée_clients!O113)</f>
        <v/>
      </c>
      <c r="L113" s="133" t="str">
        <f>IF(Base_de_donnée_clients!P113="","",Base_de_donnée_clients!P113)</f>
        <v/>
      </c>
      <c r="M113" s="133" t="str">
        <f>IF(Base_de_donnée_clients!Q113="","",Base_de_donnée_clients!Q113)</f>
        <v/>
      </c>
      <c r="N113" s="132" t="str">
        <f>IF(Base_de_donnée_clients!R113="","",Base_de_donnée_clients!R113)</f>
        <v/>
      </c>
    </row>
    <row r="114" spans="1:14" ht="24" customHeight="1" x14ac:dyDescent="0.45">
      <c r="A114" s="16" t="str">
        <f>IF(Base_de_donnée_clients!A114="","",Base_de_donnée_clients!A114)</f>
        <v/>
      </c>
      <c r="B114" s="8" t="str">
        <f>IF(Base_de_donnée_clients!B114="","",Base_de_donnée_clients!B114)</f>
        <v/>
      </c>
      <c r="C114" s="8" t="str">
        <f>IF(Base_de_donnée_clients!C114="","",Base_de_donnée_clients!C114)</f>
        <v/>
      </c>
      <c r="D114" s="8" t="str">
        <f>IF(Base_de_donnée_clients!H114="","",Base_de_donnée_clients!H114)</f>
        <v/>
      </c>
      <c r="E114" s="8" t="str">
        <f>IF(Base_de_donnée_clients!I114="","",Base_de_donnée_clients!I114)</f>
        <v/>
      </c>
      <c r="F114" s="9" t="str">
        <f>IF(Base_de_donnée_clients!J114="","",Base_de_donnée_clients!J114)</f>
        <v/>
      </c>
      <c r="G114" s="9" t="str">
        <f>IF(Base_de_donnée_clients!K114="","",Base_de_donnée_clients!K114)</f>
        <v/>
      </c>
      <c r="H114" s="8" t="str">
        <f>IF(Base_de_donnée_clients!L114="","",Base_de_donnée_clients!L114)</f>
        <v/>
      </c>
      <c r="I114" s="8" t="str">
        <f>IF(Base_de_donnée_clients!M114="","",Base_de_donnée_clients!M114)</f>
        <v/>
      </c>
      <c r="J114" s="8" t="str">
        <f>IF(Base_de_donnée_clients!N114="","",Base_de_donnée_clients!N114)</f>
        <v/>
      </c>
      <c r="K114" s="9" t="str">
        <f>IF(Base_de_donnée_clients!O114="","",Base_de_donnée_clients!O114)</f>
        <v/>
      </c>
      <c r="L114" s="9" t="str">
        <f>IF(Base_de_donnée_clients!P114="","",Base_de_donnée_clients!P114)</f>
        <v/>
      </c>
      <c r="M114" s="9" t="str">
        <f>IF(Base_de_donnée_clients!Q114="","",Base_de_donnée_clients!Q114)</f>
        <v/>
      </c>
      <c r="N114" s="8" t="str">
        <f>IF(Base_de_donnée_clients!R114="","",Base_de_donnée_clients!R114)</f>
        <v/>
      </c>
    </row>
    <row r="115" spans="1:14" ht="24" customHeight="1" x14ac:dyDescent="0.45">
      <c r="A115" s="16" t="str">
        <f>IF(Base_de_donnée_clients!A115="","",Base_de_donnée_clients!A115)</f>
        <v/>
      </c>
      <c r="B115" s="8" t="str">
        <f>IF(Base_de_donnée_clients!B115="","",Base_de_donnée_clients!B115)</f>
        <v/>
      </c>
      <c r="C115" s="8" t="str">
        <f>IF(Base_de_donnée_clients!C115="","",Base_de_donnée_clients!C115)</f>
        <v/>
      </c>
      <c r="D115" s="8" t="str">
        <f>IF(Base_de_donnée_clients!H115="","",Base_de_donnée_clients!H115)</f>
        <v/>
      </c>
      <c r="E115" s="8" t="str">
        <f>IF(Base_de_donnée_clients!I115="","",Base_de_donnée_clients!I115)</f>
        <v/>
      </c>
      <c r="F115" s="9" t="str">
        <f>IF(Base_de_donnée_clients!J115="","",Base_de_donnée_clients!J115)</f>
        <v/>
      </c>
      <c r="G115" s="9" t="str">
        <f>IF(Base_de_donnée_clients!K115="","",Base_de_donnée_clients!K115)</f>
        <v/>
      </c>
      <c r="H115" s="8" t="str">
        <f>IF(Base_de_donnée_clients!L115="","",Base_de_donnée_clients!L115)</f>
        <v/>
      </c>
      <c r="I115" s="8" t="str">
        <f>IF(Base_de_donnée_clients!M115="","",Base_de_donnée_clients!M115)</f>
        <v/>
      </c>
      <c r="J115" s="8" t="str">
        <f>IF(Base_de_donnée_clients!N115="","",Base_de_donnée_clients!N115)</f>
        <v/>
      </c>
      <c r="K115" s="9" t="str">
        <f>IF(Base_de_donnée_clients!O115="","",Base_de_donnée_clients!O115)</f>
        <v/>
      </c>
      <c r="L115" s="9" t="str">
        <f>IF(Base_de_donnée_clients!P115="","",Base_de_donnée_clients!P115)</f>
        <v/>
      </c>
      <c r="M115" s="9" t="str">
        <f>IF(Base_de_donnée_clients!Q115="","",Base_de_donnée_clients!Q115)</f>
        <v/>
      </c>
      <c r="N115" s="8" t="str">
        <f>IF(Base_de_donnée_clients!R115="","",Base_de_donnée_clients!R115)</f>
        <v/>
      </c>
    </row>
    <row r="116" spans="1:14" ht="24" customHeight="1" x14ac:dyDescent="0.45">
      <c r="A116" s="16" t="str">
        <f>IF(Base_de_donnée_clients!A116="","",Base_de_donnée_clients!A116)</f>
        <v/>
      </c>
      <c r="B116" s="8" t="str">
        <f>IF(Base_de_donnée_clients!B116="","",Base_de_donnée_clients!B116)</f>
        <v/>
      </c>
      <c r="C116" s="8" t="str">
        <f>IF(Base_de_donnée_clients!C116="","",Base_de_donnée_clients!C116)</f>
        <v/>
      </c>
      <c r="D116" s="8" t="str">
        <f>IF(Base_de_donnée_clients!H116="","",Base_de_donnée_clients!H116)</f>
        <v/>
      </c>
      <c r="E116" s="8" t="str">
        <f>IF(Base_de_donnée_clients!I116="","",Base_de_donnée_clients!I116)</f>
        <v/>
      </c>
      <c r="F116" s="9" t="str">
        <f>IF(Base_de_donnée_clients!J116="","",Base_de_donnée_clients!J116)</f>
        <v/>
      </c>
      <c r="G116" s="9" t="str">
        <f>IF(Base_de_donnée_clients!K116="","",Base_de_donnée_clients!K116)</f>
        <v/>
      </c>
      <c r="H116" s="8" t="str">
        <f>IF(Base_de_donnée_clients!L116="","",Base_de_donnée_clients!L116)</f>
        <v/>
      </c>
      <c r="I116" s="8" t="str">
        <f>IF(Base_de_donnée_clients!M116="","",Base_de_donnée_clients!M116)</f>
        <v/>
      </c>
      <c r="J116" s="8" t="str">
        <f>IF(Base_de_donnée_clients!N116="","",Base_de_donnée_clients!N116)</f>
        <v/>
      </c>
      <c r="K116" s="9" t="str">
        <f>IF(Base_de_donnée_clients!O116="","",Base_de_donnée_clients!O116)</f>
        <v/>
      </c>
      <c r="L116" s="9" t="str">
        <f>IF(Base_de_donnée_clients!P116="","",Base_de_donnée_clients!P116)</f>
        <v/>
      </c>
      <c r="M116" s="9" t="str">
        <f>IF(Base_de_donnée_clients!Q116="","",Base_de_donnée_clients!Q116)</f>
        <v/>
      </c>
      <c r="N116" s="8" t="str">
        <f>IF(Base_de_donnée_clients!R116="","",Base_de_donnée_clients!R116)</f>
        <v/>
      </c>
    </row>
    <row r="117" spans="1:14" ht="24" customHeight="1" x14ac:dyDescent="0.45">
      <c r="A117" s="16" t="str">
        <f>IF(Base_de_donnée_clients!A117="","",Base_de_donnée_clients!A117)</f>
        <v/>
      </c>
      <c r="B117" s="8" t="str">
        <f>IF(Base_de_donnée_clients!B117="","",Base_de_donnée_clients!B117)</f>
        <v/>
      </c>
      <c r="C117" s="8" t="str">
        <f>IF(Base_de_donnée_clients!C117="","",Base_de_donnée_clients!C117)</f>
        <v/>
      </c>
      <c r="D117" s="8" t="str">
        <f>IF(Base_de_donnée_clients!H117="","",Base_de_donnée_clients!H117)</f>
        <v/>
      </c>
      <c r="E117" s="8" t="str">
        <f>IF(Base_de_donnée_clients!I117="","",Base_de_donnée_clients!I117)</f>
        <v/>
      </c>
      <c r="F117" s="9" t="str">
        <f>IF(Base_de_donnée_clients!J117="","",Base_de_donnée_clients!J117)</f>
        <v/>
      </c>
      <c r="G117" s="9" t="str">
        <f>IF(Base_de_donnée_clients!K117="","",Base_de_donnée_clients!K117)</f>
        <v/>
      </c>
      <c r="H117" s="8" t="str">
        <f>IF(Base_de_donnée_clients!L117="","",Base_de_donnée_clients!L117)</f>
        <v/>
      </c>
      <c r="I117" s="8" t="str">
        <f>IF(Base_de_donnée_clients!M117="","",Base_de_donnée_clients!M117)</f>
        <v/>
      </c>
      <c r="J117" s="8" t="str">
        <f>IF(Base_de_donnée_clients!N117="","",Base_de_donnée_clients!N117)</f>
        <v/>
      </c>
      <c r="K117" s="9" t="str">
        <f>IF(Base_de_donnée_clients!O117="","",Base_de_donnée_clients!O117)</f>
        <v/>
      </c>
      <c r="L117" s="9" t="str">
        <f>IF(Base_de_donnée_clients!P117="","",Base_de_donnée_clients!P117)</f>
        <v/>
      </c>
      <c r="M117" s="9" t="str">
        <f>IF(Base_de_donnée_clients!Q117="","",Base_de_donnée_clients!Q117)</f>
        <v/>
      </c>
      <c r="N117" s="8" t="str">
        <f>IF(Base_de_donnée_clients!R117="","",Base_de_donnée_clients!R117)</f>
        <v/>
      </c>
    </row>
    <row r="118" spans="1:14" ht="24" customHeight="1" x14ac:dyDescent="0.45">
      <c r="A118" s="16" t="str">
        <f>IF(Base_de_donnée_clients!A118="","",Base_de_donnée_clients!A118)</f>
        <v/>
      </c>
      <c r="B118" s="8" t="str">
        <f>IF(Base_de_donnée_clients!B118="","",Base_de_donnée_clients!B118)</f>
        <v/>
      </c>
      <c r="C118" s="8" t="str">
        <f>IF(Base_de_donnée_clients!C118="","",Base_de_donnée_clients!C118)</f>
        <v/>
      </c>
      <c r="D118" s="8" t="str">
        <f>IF(Base_de_donnée_clients!H118="","",Base_de_donnée_clients!H118)</f>
        <v/>
      </c>
      <c r="E118" s="8" t="str">
        <f>IF(Base_de_donnée_clients!I118="","",Base_de_donnée_clients!I118)</f>
        <v/>
      </c>
      <c r="F118" s="9" t="str">
        <f>IF(Base_de_donnée_clients!J118="","",Base_de_donnée_clients!J118)</f>
        <v/>
      </c>
      <c r="G118" s="9" t="str">
        <f>IF(Base_de_donnée_clients!K118="","",Base_de_donnée_clients!K118)</f>
        <v/>
      </c>
      <c r="H118" s="8" t="str">
        <f>IF(Base_de_donnée_clients!L118="","",Base_de_donnée_clients!L118)</f>
        <v/>
      </c>
      <c r="I118" s="8" t="str">
        <f>IF(Base_de_donnée_clients!M118="","",Base_de_donnée_clients!M118)</f>
        <v/>
      </c>
      <c r="J118" s="8" t="str">
        <f>IF(Base_de_donnée_clients!N118="","",Base_de_donnée_clients!N118)</f>
        <v/>
      </c>
      <c r="K118" s="9" t="str">
        <f>IF(Base_de_donnée_clients!O118="","",Base_de_donnée_clients!O118)</f>
        <v/>
      </c>
      <c r="L118" s="9" t="str">
        <f>IF(Base_de_donnée_clients!P118="","",Base_de_donnée_clients!P118)</f>
        <v/>
      </c>
      <c r="M118" s="9" t="str">
        <f>IF(Base_de_donnée_clients!Q118="","",Base_de_donnée_clients!Q118)</f>
        <v/>
      </c>
      <c r="N118" s="8" t="str">
        <f>IF(Base_de_donnée_clients!R118="","",Base_de_donnée_clients!R118)</f>
        <v/>
      </c>
    </row>
    <row r="119" spans="1:14" ht="24" customHeight="1" x14ac:dyDescent="0.45">
      <c r="A119" s="16" t="str">
        <f>IF(Base_de_donnée_clients!A119="","",Base_de_donnée_clients!A119)</f>
        <v/>
      </c>
      <c r="B119" s="8" t="str">
        <f>IF(Base_de_donnée_clients!B119="","",Base_de_donnée_clients!B119)</f>
        <v/>
      </c>
      <c r="C119" s="8" t="str">
        <f>IF(Base_de_donnée_clients!C119="","",Base_de_donnée_clients!C119)</f>
        <v/>
      </c>
      <c r="D119" s="8" t="str">
        <f>IF(Base_de_donnée_clients!H119="","",Base_de_donnée_clients!H119)</f>
        <v/>
      </c>
      <c r="E119" s="8" t="str">
        <f>IF(Base_de_donnée_clients!I119="","",Base_de_donnée_clients!I119)</f>
        <v/>
      </c>
      <c r="F119" s="9" t="str">
        <f>IF(Base_de_donnée_clients!J119="","",Base_de_donnée_clients!J119)</f>
        <v/>
      </c>
      <c r="G119" s="9" t="str">
        <f>IF(Base_de_donnée_clients!K119="","",Base_de_donnée_clients!K119)</f>
        <v/>
      </c>
      <c r="H119" s="8" t="str">
        <f>IF(Base_de_donnée_clients!L119="","",Base_de_donnée_clients!L119)</f>
        <v/>
      </c>
      <c r="I119" s="8" t="str">
        <f>IF(Base_de_donnée_clients!M119="","",Base_de_donnée_clients!M119)</f>
        <v/>
      </c>
      <c r="J119" s="8" t="str">
        <f>IF(Base_de_donnée_clients!N119="","",Base_de_donnée_clients!N119)</f>
        <v/>
      </c>
      <c r="K119" s="9" t="str">
        <f>IF(Base_de_donnée_clients!O119="","",Base_de_donnée_clients!O119)</f>
        <v/>
      </c>
      <c r="L119" s="9" t="str">
        <f>IF(Base_de_donnée_clients!P119="","",Base_de_donnée_clients!P119)</f>
        <v/>
      </c>
      <c r="M119" s="9" t="str">
        <f>IF(Base_de_donnée_clients!Q119="","",Base_de_donnée_clients!Q119)</f>
        <v/>
      </c>
      <c r="N119" s="8" t="str">
        <f>IF(Base_de_donnée_clients!R119="","",Base_de_donnée_clients!R119)</f>
        <v/>
      </c>
    </row>
    <row r="120" spans="1:14" ht="24" customHeight="1" x14ac:dyDescent="0.45">
      <c r="A120" s="16" t="str">
        <f>IF(Base_de_donnée_clients!A120="","",Base_de_donnée_clients!A120)</f>
        <v/>
      </c>
      <c r="B120" s="8" t="str">
        <f>IF(Base_de_donnée_clients!B120="","",Base_de_donnée_clients!B120)</f>
        <v/>
      </c>
      <c r="C120" s="8" t="str">
        <f>IF(Base_de_donnée_clients!C120="","",Base_de_donnée_clients!C120)</f>
        <v/>
      </c>
      <c r="D120" s="8" t="str">
        <f>IF(Base_de_donnée_clients!H120="","",Base_de_donnée_clients!H120)</f>
        <v/>
      </c>
      <c r="E120" s="8" t="str">
        <f>IF(Base_de_donnée_clients!I120="","",Base_de_donnée_clients!I120)</f>
        <v/>
      </c>
      <c r="F120" s="9" t="str">
        <f>IF(Base_de_donnée_clients!J120="","",Base_de_donnée_clients!J120)</f>
        <v/>
      </c>
      <c r="G120" s="9" t="str">
        <f>IF(Base_de_donnée_clients!K120="","",Base_de_donnée_clients!K120)</f>
        <v/>
      </c>
      <c r="H120" s="8" t="str">
        <f>IF(Base_de_donnée_clients!L120="","",Base_de_donnée_clients!L120)</f>
        <v/>
      </c>
      <c r="I120" s="8" t="str">
        <f>IF(Base_de_donnée_clients!M120="","",Base_de_donnée_clients!M120)</f>
        <v/>
      </c>
      <c r="J120" s="8" t="str">
        <f>IF(Base_de_donnée_clients!N120="","",Base_de_donnée_clients!N120)</f>
        <v/>
      </c>
      <c r="K120" s="9" t="str">
        <f>IF(Base_de_donnée_clients!O120="","",Base_de_donnée_clients!O120)</f>
        <v/>
      </c>
      <c r="L120" s="9" t="str">
        <f>IF(Base_de_donnée_clients!P120="","",Base_de_donnée_clients!P120)</f>
        <v/>
      </c>
      <c r="M120" s="9" t="str">
        <f>IF(Base_de_donnée_clients!Q120="","",Base_de_donnée_clients!Q120)</f>
        <v/>
      </c>
      <c r="N120" s="8" t="str">
        <f>IF(Base_de_donnée_clients!R120="","",Base_de_donnée_clients!R120)</f>
        <v/>
      </c>
    </row>
    <row r="121" spans="1:14" ht="24" customHeight="1" x14ac:dyDescent="0.45">
      <c r="A121" s="16" t="str">
        <f>IF(Base_de_donnée_clients!A121="","",Base_de_donnée_clients!A121)</f>
        <v/>
      </c>
      <c r="B121" s="8" t="str">
        <f>IF(Base_de_donnée_clients!B121="","",Base_de_donnée_clients!B121)</f>
        <v/>
      </c>
      <c r="C121" s="8" t="str">
        <f>IF(Base_de_donnée_clients!C121="","",Base_de_donnée_clients!C121)</f>
        <v/>
      </c>
      <c r="D121" s="8" t="str">
        <f>IF(Base_de_donnée_clients!H121="","",Base_de_donnée_clients!H121)</f>
        <v/>
      </c>
      <c r="E121" s="8" t="str">
        <f>IF(Base_de_donnée_clients!I121="","",Base_de_donnée_clients!I121)</f>
        <v/>
      </c>
      <c r="F121" s="9" t="str">
        <f>IF(Base_de_donnée_clients!J121="","",Base_de_donnée_clients!J121)</f>
        <v/>
      </c>
      <c r="G121" s="9" t="str">
        <f>IF(Base_de_donnée_clients!K121="","",Base_de_donnée_clients!K121)</f>
        <v/>
      </c>
      <c r="H121" s="8" t="str">
        <f>IF(Base_de_donnée_clients!L121="","",Base_de_donnée_clients!L121)</f>
        <v/>
      </c>
      <c r="I121" s="8" t="str">
        <f>IF(Base_de_donnée_clients!M121="","",Base_de_donnée_clients!M121)</f>
        <v/>
      </c>
      <c r="J121" s="8" t="str">
        <f>IF(Base_de_donnée_clients!N121="","",Base_de_donnée_clients!N121)</f>
        <v/>
      </c>
      <c r="K121" s="9" t="str">
        <f>IF(Base_de_donnée_clients!O121="","",Base_de_donnée_clients!O121)</f>
        <v/>
      </c>
      <c r="L121" s="9" t="str">
        <f>IF(Base_de_donnée_clients!P121="","",Base_de_donnée_clients!P121)</f>
        <v/>
      </c>
      <c r="M121" s="9" t="str">
        <f>IF(Base_de_donnée_clients!Q121="","",Base_de_donnée_clients!Q121)</f>
        <v/>
      </c>
      <c r="N121" s="8" t="str">
        <f>IF(Base_de_donnée_clients!R121="","",Base_de_donnée_clients!R121)</f>
        <v/>
      </c>
    </row>
    <row r="122" spans="1:14" ht="24" customHeight="1" x14ac:dyDescent="0.45">
      <c r="A122" s="16" t="str">
        <f>IF(Base_de_donnée_clients!A122="","",Base_de_donnée_clients!A122)</f>
        <v/>
      </c>
      <c r="B122" s="8" t="str">
        <f>IF(Base_de_donnée_clients!B122="","",Base_de_donnée_clients!B122)</f>
        <v/>
      </c>
      <c r="C122" s="8" t="str">
        <f>IF(Base_de_donnée_clients!C122="","",Base_de_donnée_clients!C122)</f>
        <v/>
      </c>
      <c r="D122" s="8" t="str">
        <f>IF(Base_de_donnée_clients!H122="","",Base_de_donnée_clients!H122)</f>
        <v/>
      </c>
      <c r="E122" s="8" t="str">
        <f>IF(Base_de_donnée_clients!I122="","",Base_de_donnée_clients!I122)</f>
        <v/>
      </c>
      <c r="F122" s="9" t="str">
        <f>IF(Base_de_donnée_clients!J122="","",Base_de_donnée_clients!J122)</f>
        <v/>
      </c>
      <c r="G122" s="9" t="str">
        <f>IF(Base_de_donnée_clients!K122="","",Base_de_donnée_clients!K122)</f>
        <v/>
      </c>
      <c r="H122" s="8" t="str">
        <f>IF(Base_de_donnée_clients!L122="","",Base_de_donnée_clients!L122)</f>
        <v/>
      </c>
      <c r="I122" s="8" t="str">
        <f>IF(Base_de_donnée_clients!M122="","",Base_de_donnée_clients!M122)</f>
        <v/>
      </c>
      <c r="J122" s="8" t="str">
        <f>IF(Base_de_donnée_clients!N122="","",Base_de_donnée_clients!N122)</f>
        <v/>
      </c>
      <c r="K122" s="9" t="str">
        <f>IF(Base_de_donnée_clients!O122="","",Base_de_donnée_clients!O122)</f>
        <v/>
      </c>
      <c r="L122" s="9" t="str">
        <f>IF(Base_de_donnée_clients!P122="","",Base_de_donnée_clients!P122)</f>
        <v/>
      </c>
      <c r="M122" s="9" t="str">
        <f>IF(Base_de_donnée_clients!Q122="","",Base_de_donnée_clients!Q122)</f>
        <v/>
      </c>
      <c r="N122" s="8" t="str">
        <f>IF(Base_de_donnée_clients!R122="","",Base_de_donnée_clients!R122)</f>
        <v/>
      </c>
    </row>
    <row r="123" spans="1:14" ht="24" customHeight="1" x14ac:dyDescent="0.45">
      <c r="A123" s="16" t="str">
        <f>IF(Base_de_donnée_clients!A123="","",Base_de_donnée_clients!A123)</f>
        <v/>
      </c>
      <c r="B123" s="8" t="str">
        <f>IF(Base_de_donnée_clients!B123="","",Base_de_donnée_clients!B123)</f>
        <v/>
      </c>
      <c r="C123" s="8" t="str">
        <f>IF(Base_de_donnée_clients!C123="","",Base_de_donnée_clients!C123)</f>
        <v/>
      </c>
      <c r="D123" s="8" t="str">
        <f>IF(Base_de_donnée_clients!H123="","",Base_de_donnée_clients!H123)</f>
        <v/>
      </c>
      <c r="E123" s="8" t="str">
        <f>IF(Base_de_donnée_clients!I123="","",Base_de_donnée_clients!I123)</f>
        <v/>
      </c>
      <c r="F123" s="9" t="str">
        <f>IF(Base_de_donnée_clients!J123="","",Base_de_donnée_clients!J123)</f>
        <v/>
      </c>
      <c r="G123" s="9" t="str">
        <f>IF(Base_de_donnée_clients!K123="","",Base_de_donnée_clients!K123)</f>
        <v/>
      </c>
      <c r="H123" s="8" t="str">
        <f>IF(Base_de_donnée_clients!L123="","",Base_de_donnée_clients!L123)</f>
        <v/>
      </c>
      <c r="I123" s="8" t="str">
        <f>IF(Base_de_donnée_clients!M123="","",Base_de_donnée_clients!M123)</f>
        <v/>
      </c>
      <c r="J123" s="8" t="str">
        <f>IF(Base_de_donnée_clients!N123="","",Base_de_donnée_clients!N123)</f>
        <v/>
      </c>
      <c r="K123" s="9" t="str">
        <f>IF(Base_de_donnée_clients!O123="","",Base_de_donnée_clients!O123)</f>
        <v/>
      </c>
      <c r="L123" s="9" t="str">
        <f>IF(Base_de_donnée_clients!P123="","",Base_de_donnée_clients!P123)</f>
        <v/>
      </c>
      <c r="M123" s="9" t="str">
        <f>IF(Base_de_donnée_clients!Q123="","",Base_de_donnée_clients!Q123)</f>
        <v/>
      </c>
      <c r="N123" s="8" t="str">
        <f>IF(Base_de_donnée_clients!R123="","",Base_de_donnée_clients!R123)</f>
        <v/>
      </c>
    </row>
    <row r="124" spans="1:14" ht="24" customHeight="1" x14ac:dyDescent="0.45">
      <c r="A124" s="16" t="str">
        <f>IF(Base_de_donnée_clients!A124="","",Base_de_donnée_clients!A124)</f>
        <v/>
      </c>
      <c r="B124" s="8" t="str">
        <f>IF(Base_de_donnée_clients!B124="","",Base_de_donnée_clients!B124)</f>
        <v/>
      </c>
      <c r="C124" s="8" t="str">
        <f>IF(Base_de_donnée_clients!C124="","",Base_de_donnée_clients!C124)</f>
        <v/>
      </c>
      <c r="D124" s="8" t="str">
        <f>IF(Base_de_donnée_clients!H124="","",Base_de_donnée_clients!H124)</f>
        <v/>
      </c>
      <c r="E124" s="8" t="str">
        <f>IF(Base_de_donnée_clients!I124="","",Base_de_donnée_clients!I124)</f>
        <v/>
      </c>
      <c r="F124" s="9" t="str">
        <f>IF(Base_de_donnée_clients!J124="","",Base_de_donnée_clients!J124)</f>
        <v/>
      </c>
      <c r="G124" s="9" t="str">
        <f>IF(Base_de_donnée_clients!K124="","",Base_de_donnée_clients!K124)</f>
        <v/>
      </c>
      <c r="H124" s="8" t="str">
        <f>IF(Base_de_donnée_clients!L124="","",Base_de_donnée_clients!L124)</f>
        <v/>
      </c>
      <c r="I124" s="8" t="str">
        <f>IF(Base_de_donnée_clients!M124="","",Base_de_donnée_clients!M124)</f>
        <v/>
      </c>
      <c r="J124" s="8" t="str">
        <f>IF(Base_de_donnée_clients!N124="","",Base_de_donnée_clients!N124)</f>
        <v/>
      </c>
      <c r="K124" s="9" t="str">
        <f>IF(Base_de_donnée_clients!O124="","",Base_de_donnée_clients!O124)</f>
        <v/>
      </c>
      <c r="L124" s="9" t="str">
        <f>IF(Base_de_donnée_clients!P124="","",Base_de_donnée_clients!P124)</f>
        <v/>
      </c>
      <c r="M124" s="9" t="str">
        <f>IF(Base_de_donnée_clients!Q124="","",Base_de_donnée_clients!Q124)</f>
        <v/>
      </c>
      <c r="N124" s="8" t="str">
        <f>IF(Base_de_donnée_clients!R124="","",Base_de_donnée_clients!R124)</f>
        <v/>
      </c>
    </row>
    <row r="125" spans="1:14" ht="24" customHeight="1" x14ac:dyDescent="0.45">
      <c r="A125" s="16" t="str">
        <f>IF(Base_de_donnée_clients!A125="","",Base_de_donnée_clients!A125)</f>
        <v/>
      </c>
      <c r="B125" s="8" t="str">
        <f>IF(Base_de_donnée_clients!B125="","",Base_de_donnée_clients!B125)</f>
        <v/>
      </c>
      <c r="C125" s="8" t="str">
        <f>IF(Base_de_donnée_clients!C125="","",Base_de_donnée_clients!C125)</f>
        <v/>
      </c>
      <c r="D125" s="8" t="str">
        <f>IF(Base_de_donnée_clients!H125="","",Base_de_donnée_clients!H125)</f>
        <v/>
      </c>
      <c r="E125" s="8" t="str">
        <f>IF(Base_de_donnée_clients!I125="","",Base_de_donnée_clients!I125)</f>
        <v/>
      </c>
      <c r="F125" s="9" t="str">
        <f>IF(Base_de_donnée_clients!J125="","",Base_de_donnée_clients!J125)</f>
        <v/>
      </c>
      <c r="G125" s="9" t="str">
        <f>IF(Base_de_donnée_clients!K125="","",Base_de_donnée_clients!K125)</f>
        <v/>
      </c>
      <c r="H125" s="8" t="str">
        <f>IF(Base_de_donnée_clients!L125="","",Base_de_donnée_clients!L125)</f>
        <v/>
      </c>
      <c r="I125" s="8" t="str">
        <f>IF(Base_de_donnée_clients!M125="","",Base_de_donnée_clients!M125)</f>
        <v/>
      </c>
      <c r="J125" s="8" t="str">
        <f>IF(Base_de_donnée_clients!N125="","",Base_de_donnée_clients!N125)</f>
        <v/>
      </c>
      <c r="K125" s="9" t="str">
        <f>IF(Base_de_donnée_clients!O125="","",Base_de_donnée_clients!O125)</f>
        <v/>
      </c>
      <c r="L125" s="9" t="str">
        <f>IF(Base_de_donnée_clients!P125="","",Base_de_donnée_clients!P125)</f>
        <v/>
      </c>
      <c r="M125" s="9" t="str">
        <f>IF(Base_de_donnée_clients!Q125="","",Base_de_donnée_clients!Q125)</f>
        <v/>
      </c>
      <c r="N125" s="8" t="str">
        <f>IF(Base_de_donnée_clients!R125="","",Base_de_donnée_clients!R125)</f>
        <v/>
      </c>
    </row>
    <row r="126" spans="1:14" ht="24" customHeight="1" x14ac:dyDescent="0.45">
      <c r="A126" s="16" t="str">
        <f>IF(Base_de_donnée_clients!A126="","",Base_de_donnée_clients!A126)</f>
        <v/>
      </c>
      <c r="B126" s="8" t="str">
        <f>IF(Base_de_donnée_clients!B126="","",Base_de_donnée_clients!B126)</f>
        <v/>
      </c>
      <c r="C126" s="8" t="str">
        <f>IF(Base_de_donnée_clients!C126="","",Base_de_donnée_clients!C126)</f>
        <v/>
      </c>
      <c r="D126" s="8" t="str">
        <f>IF(Base_de_donnée_clients!H126="","",Base_de_donnée_clients!H126)</f>
        <v/>
      </c>
      <c r="E126" s="8" t="str">
        <f>IF(Base_de_donnée_clients!I126="","",Base_de_donnée_clients!I126)</f>
        <v/>
      </c>
      <c r="F126" s="9" t="str">
        <f>IF(Base_de_donnée_clients!J126="","",Base_de_donnée_clients!J126)</f>
        <v/>
      </c>
      <c r="G126" s="9" t="str">
        <f>IF(Base_de_donnée_clients!K126="","",Base_de_donnée_clients!K126)</f>
        <v/>
      </c>
      <c r="H126" s="8" t="str">
        <f>IF(Base_de_donnée_clients!L126="","",Base_de_donnée_clients!L126)</f>
        <v/>
      </c>
      <c r="I126" s="8" t="str">
        <f>IF(Base_de_donnée_clients!M126="","",Base_de_donnée_clients!M126)</f>
        <v/>
      </c>
      <c r="J126" s="8" t="str">
        <f>IF(Base_de_donnée_clients!N126="","",Base_de_donnée_clients!N126)</f>
        <v/>
      </c>
      <c r="K126" s="9" t="str">
        <f>IF(Base_de_donnée_clients!O126="","",Base_de_donnée_clients!O126)</f>
        <v/>
      </c>
      <c r="L126" s="9" t="str">
        <f>IF(Base_de_donnée_clients!P126="","",Base_de_donnée_clients!P126)</f>
        <v/>
      </c>
      <c r="M126" s="9" t="str">
        <f>IF(Base_de_donnée_clients!Q126="","",Base_de_donnée_clients!Q126)</f>
        <v/>
      </c>
      <c r="N126" s="8" t="str">
        <f>IF(Base_de_donnée_clients!R126="","",Base_de_donnée_clients!R126)</f>
        <v/>
      </c>
    </row>
    <row r="127" spans="1:14" ht="24" customHeight="1" x14ac:dyDescent="0.45">
      <c r="A127" s="16" t="str">
        <f>IF(Base_de_donnée_clients!A127="","",Base_de_donnée_clients!A127)</f>
        <v/>
      </c>
      <c r="B127" s="8" t="str">
        <f>IF(Base_de_donnée_clients!B127="","",Base_de_donnée_clients!B127)</f>
        <v/>
      </c>
      <c r="C127" s="8" t="str">
        <f>IF(Base_de_donnée_clients!C127="","",Base_de_donnée_clients!C127)</f>
        <v/>
      </c>
      <c r="D127" s="8" t="str">
        <f>IF(Base_de_donnée_clients!H127="","",Base_de_donnée_clients!H127)</f>
        <v/>
      </c>
      <c r="E127" s="8" t="str">
        <f>IF(Base_de_donnée_clients!I127="","",Base_de_donnée_clients!I127)</f>
        <v/>
      </c>
      <c r="F127" s="9" t="str">
        <f>IF(Base_de_donnée_clients!J127="","",Base_de_donnée_clients!J127)</f>
        <v/>
      </c>
      <c r="G127" s="9" t="str">
        <f>IF(Base_de_donnée_clients!K127="","",Base_de_donnée_clients!K127)</f>
        <v/>
      </c>
      <c r="H127" s="8" t="str">
        <f>IF(Base_de_donnée_clients!L127="","",Base_de_donnée_clients!L127)</f>
        <v/>
      </c>
      <c r="I127" s="8" t="str">
        <f>IF(Base_de_donnée_clients!M127="","",Base_de_donnée_clients!M127)</f>
        <v/>
      </c>
      <c r="J127" s="8" t="str">
        <f>IF(Base_de_donnée_clients!N127="","",Base_de_donnée_clients!N127)</f>
        <v/>
      </c>
      <c r="K127" s="9" t="str">
        <f>IF(Base_de_donnée_clients!O127="","",Base_de_donnée_clients!O127)</f>
        <v/>
      </c>
      <c r="L127" s="9" t="str">
        <f>IF(Base_de_donnée_clients!P127="","",Base_de_donnée_clients!P127)</f>
        <v/>
      </c>
      <c r="M127" s="9" t="str">
        <f>IF(Base_de_donnée_clients!Q127="","",Base_de_donnée_clients!Q127)</f>
        <v/>
      </c>
      <c r="N127" s="8" t="str">
        <f>IF(Base_de_donnée_clients!R127="","",Base_de_donnée_clients!R127)</f>
        <v/>
      </c>
    </row>
    <row r="128" spans="1:14" ht="24" customHeight="1" x14ac:dyDescent="0.45">
      <c r="A128" s="16" t="str">
        <f>IF(Base_de_donnée_clients!A128="","",Base_de_donnée_clients!A128)</f>
        <v/>
      </c>
      <c r="B128" s="8" t="str">
        <f>IF(Base_de_donnée_clients!B128="","",Base_de_donnée_clients!B128)</f>
        <v/>
      </c>
      <c r="C128" s="8" t="str">
        <f>IF(Base_de_donnée_clients!C128="","",Base_de_donnée_clients!C128)</f>
        <v/>
      </c>
      <c r="D128" s="8" t="str">
        <f>IF(Base_de_donnée_clients!H128="","",Base_de_donnée_clients!H128)</f>
        <v/>
      </c>
      <c r="E128" s="8" t="str">
        <f>IF(Base_de_donnée_clients!I128="","",Base_de_donnée_clients!I128)</f>
        <v/>
      </c>
      <c r="F128" s="9" t="str">
        <f>IF(Base_de_donnée_clients!J128="","",Base_de_donnée_clients!J128)</f>
        <v/>
      </c>
      <c r="G128" s="9" t="str">
        <f>IF(Base_de_donnée_clients!K128="","",Base_de_donnée_clients!K128)</f>
        <v/>
      </c>
      <c r="H128" s="8" t="str">
        <f>IF(Base_de_donnée_clients!L128="","",Base_de_donnée_clients!L128)</f>
        <v/>
      </c>
      <c r="I128" s="8" t="str">
        <f>IF(Base_de_donnée_clients!M128="","",Base_de_donnée_clients!M128)</f>
        <v/>
      </c>
      <c r="J128" s="8" t="str">
        <f>IF(Base_de_donnée_clients!N128="","",Base_de_donnée_clients!N128)</f>
        <v/>
      </c>
      <c r="K128" s="9" t="str">
        <f>IF(Base_de_donnée_clients!O128="","",Base_de_donnée_clients!O128)</f>
        <v/>
      </c>
      <c r="L128" s="9" t="str">
        <f>IF(Base_de_donnée_clients!P128="","",Base_de_donnée_clients!P128)</f>
        <v/>
      </c>
      <c r="M128" s="9" t="str">
        <f>IF(Base_de_donnée_clients!Q128="","",Base_de_donnée_clients!Q128)</f>
        <v/>
      </c>
      <c r="N128" s="8" t="str">
        <f>IF(Base_de_donnée_clients!R128="","",Base_de_donnée_clients!R128)</f>
        <v/>
      </c>
    </row>
    <row r="129" spans="1:14" ht="24" customHeight="1" x14ac:dyDescent="0.45">
      <c r="A129" s="16" t="str">
        <f>IF(Base_de_donnée_clients!A129="","",Base_de_donnée_clients!A129)</f>
        <v/>
      </c>
      <c r="B129" s="8" t="str">
        <f>IF(Base_de_donnée_clients!B129="","",Base_de_donnée_clients!B129)</f>
        <v/>
      </c>
      <c r="C129" s="8" t="str">
        <f>IF(Base_de_donnée_clients!C129="","",Base_de_donnée_clients!C129)</f>
        <v/>
      </c>
      <c r="D129" s="8" t="str">
        <f>IF(Base_de_donnée_clients!H129="","",Base_de_donnée_clients!H129)</f>
        <v/>
      </c>
      <c r="E129" s="8" t="str">
        <f>IF(Base_de_donnée_clients!I129="","",Base_de_donnée_clients!I129)</f>
        <v/>
      </c>
      <c r="F129" s="9" t="str">
        <f>IF(Base_de_donnée_clients!J129="","",Base_de_donnée_clients!J129)</f>
        <v/>
      </c>
      <c r="G129" s="9" t="str">
        <f>IF(Base_de_donnée_clients!K129="","",Base_de_donnée_clients!K129)</f>
        <v/>
      </c>
      <c r="H129" s="8" t="str">
        <f>IF(Base_de_donnée_clients!L129="","",Base_de_donnée_clients!L129)</f>
        <v/>
      </c>
      <c r="I129" s="8" t="str">
        <f>IF(Base_de_donnée_clients!M129="","",Base_de_donnée_clients!M129)</f>
        <v/>
      </c>
      <c r="J129" s="8" t="str">
        <f>IF(Base_de_donnée_clients!N129="","",Base_de_donnée_clients!N129)</f>
        <v/>
      </c>
      <c r="K129" s="9" t="str">
        <f>IF(Base_de_donnée_clients!O129="","",Base_de_donnée_clients!O129)</f>
        <v/>
      </c>
      <c r="L129" s="9" t="str">
        <f>IF(Base_de_donnée_clients!P129="","",Base_de_donnée_clients!P129)</f>
        <v/>
      </c>
      <c r="M129" s="9" t="str">
        <f>IF(Base_de_donnée_clients!Q129="","",Base_de_donnée_clients!Q129)</f>
        <v/>
      </c>
      <c r="N129" s="8" t="str">
        <f>IF(Base_de_donnée_clients!R129="","",Base_de_donnée_clients!R129)</f>
        <v/>
      </c>
    </row>
    <row r="130" spans="1:14" ht="24" customHeight="1" x14ac:dyDescent="0.45">
      <c r="A130" s="16" t="str">
        <f>IF(Base_de_donnée_clients!A130="","",Base_de_donnée_clients!A130)</f>
        <v/>
      </c>
      <c r="B130" s="8" t="str">
        <f>IF(Base_de_donnée_clients!B130="","",Base_de_donnée_clients!B130)</f>
        <v/>
      </c>
      <c r="C130" s="8" t="str">
        <f>IF(Base_de_donnée_clients!C130="","",Base_de_donnée_clients!C130)</f>
        <v/>
      </c>
      <c r="D130" s="8" t="str">
        <f>IF(Base_de_donnée_clients!H130="","",Base_de_donnée_clients!H130)</f>
        <v/>
      </c>
      <c r="E130" s="8" t="str">
        <f>IF(Base_de_donnée_clients!I130="","",Base_de_donnée_clients!I130)</f>
        <v/>
      </c>
      <c r="F130" s="9" t="str">
        <f>IF(Base_de_donnée_clients!J130="","",Base_de_donnée_clients!J130)</f>
        <v/>
      </c>
      <c r="G130" s="9" t="str">
        <f>IF(Base_de_donnée_clients!K130="","",Base_de_donnée_clients!K130)</f>
        <v/>
      </c>
      <c r="H130" s="8" t="str">
        <f>IF(Base_de_donnée_clients!L130="","",Base_de_donnée_clients!L130)</f>
        <v/>
      </c>
      <c r="I130" s="8" t="str">
        <f>IF(Base_de_donnée_clients!M130="","",Base_de_donnée_clients!M130)</f>
        <v/>
      </c>
      <c r="J130" s="8" t="str">
        <f>IF(Base_de_donnée_clients!N130="","",Base_de_donnée_clients!N130)</f>
        <v/>
      </c>
      <c r="K130" s="9" t="str">
        <f>IF(Base_de_donnée_clients!O130="","",Base_de_donnée_clients!O130)</f>
        <v/>
      </c>
      <c r="L130" s="9" t="str">
        <f>IF(Base_de_donnée_clients!P130="","",Base_de_donnée_clients!P130)</f>
        <v/>
      </c>
      <c r="M130" s="9" t="str">
        <f>IF(Base_de_donnée_clients!Q130="","",Base_de_donnée_clients!Q130)</f>
        <v/>
      </c>
      <c r="N130" s="8" t="str">
        <f>IF(Base_de_donnée_clients!R130="","",Base_de_donnée_clients!R130)</f>
        <v/>
      </c>
    </row>
    <row r="131" spans="1:14" ht="24" customHeight="1" x14ac:dyDescent="0.45">
      <c r="A131" s="16" t="str">
        <f>IF(Base_de_donnée_clients!A131="","",Base_de_donnée_clients!A131)</f>
        <v/>
      </c>
      <c r="B131" s="8" t="str">
        <f>IF(Base_de_donnée_clients!B131="","",Base_de_donnée_clients!B131)</f>
        <v/>
      </c>
      <c r="C131" s="8" t="str">
        <f>IF(Base_de_donnée_clients!C131="","",Base_de_donnée_clients!C131)</f>
        <v/>
      </c>
      <c r="D131" s="8" t="str">
        <f>IF(Base_de_donnée_clients!H131="","",Base_de_donnée_clients!H131)</f>
        <v/>
      </c>
      <c r="E131" s="8" t="str">
        <f>IF(Base_de_donnée_clients!I131="","",Base_de_donnée_clients!I131)</f>
        <v/>
      </c>
      <c r="F131" s="9" t="str">
        <f>IF(Base_de_donnée_clients!J131="","",Base_de_donnée_clients!J131)</f>
        <v/>
      </c>
      <c r="G131" s="9" t="str">
        <f>IF(Base_de_donnée_clients!K131="","",Base_de_donnée_clients!K131)</f>
        <v/>
      </c>
      <c r="H131" s="8" t="str">
        <f>IF(Base_de_donnée_clients!L131="","",Base_de_donnée_clients!L131)</f>
        <v/>
      </c>
      <c r="I131" s="8" t="str">
        <f>IF(Base_de_donnée_clients!M131="","",Base_de_donnée_clients!M131)</f>
        <v/>
      </c>
      <c r="J131" s="8" t="str">
        <f>IF(Base_de_donnée_clients!N131="","",Base_de_donnée_clients!N131)</f>
        <v/>
      </c>
      <c r="K131" s="9" t="str">
        <f>IF(Base_de_donnée_clients!O131="","",Base_de_donnée_clients!O131)</f>
        <v/>
      </c>
      <c r="L131" s="9" t="str">
        <f>IF(Base_de_donnée_clients!P131="","",Base_de_donnée_clients!P131)</f>
        <v/>
      </c>
      <c r="M131" s="9" t="str">
        <f>IF(Base_de_donnée_clients!Q131="","",Base_de_donnée_clients!Q131)</f>
        <v/>
      </c>
      <c r="N131" s="8" t="str">
        <f>IF(Base_de_donnée_clients!R131="","",Base_de_donnée_clients!R131)</f>
        <v/>
      </c>
    </row>
    <row r="132" spans="1:14" ht="24" customHeight="1" x14ac:dyDescent="0.45">
      <c r="A132" s="16" t="str">
        <f>IF(Base_de_donnée_clients!A132="","",Base_de_donnée_clients!A132)</f>
        <v/>
      </c>
      <c r="B132" s="8" t="str">
        <f>IF(Base_de_donnée_clients!B132="","",Base_de_donnée_clients!B132)</f>
        <v/>
      </c>
      <c r="C132" s="8" t="str">
        <f>IF(Base_de_donnée_clients!C132="","",Base_de_donnée_clients!C132)</f>
        <v/>
      </c>
      <c r="D132" s="8" t="str">
        <f>IF(Base_de_donnée_clients!H132="","",Base_de_donnée_clients!H132)</f>
        <v/>
      </c>
      <c r="E132" s="8" t="str">
        <f>IF(Base_de_donnée_clients!I132="","",Base_de_donnée_clients!I132)</f>
        <v/>
      </c>
      <c r="F132" s="9" t="str">
        <f>IF(Base_de_donnée_clients!J132="","",Base_de_donnée_clients!J132)</f>
        <v/>
      </c>
      <c r="G132" s="9" t="str">
        <f>IF(Base_de_donnée_clients!K132="","",Base_de_donnée_clients!K132)</f>
        <v/>
      </c>
      <c r="H132" s="8" t="str">
        <f>IF(Base_de_donnée_clients!L132="","",Base_de_donnée_clients!L132)</f>
        <v/>
      </c>
      <c r="I132" s="8" t="str">
        <f>IF(Base_de_donnée_clients!M132="","",Base_de_donnée_clients!M132)</f>
        <v/>
      </c>
      <c r="J132" s="8" t="str">
        <f>IF(Base_de_donnée_clients!N132="","",Base_de_donnée_clients!N132)</f>
        <v/>
      </c>
      <c r="K132" s="9" t="str">
        <f>IF(Base_de_donnée_clients!O132="","",Base_de_donnée_clients!O132)</f>
        <v/>
      </c>
      <c r="L132" s="9" t="str">
        <f>IF(Base_de_donnée_clients!P132="","",Base_de_donnée_clients!P132)</f>
        <v/>
      </c>
      <c r="M132" s="9" t="str">
        <f>IF(Base_de_donnée_clients!Q132="","",Base_de_donnée_clients!Q132)</f>
        <v/>
      </c>
      <c r="N132" s="8" t="str">
        <f>IF(Base_de_donnée_clients!R132="","",Base_de_donnée_clients!R132)</f>
        <v/>
      </c>
    </row>
    <row r="133" spans="1:14" ht="24" customHeight="1" x14ac:dyDescent="0.45">
      <c r="A133" s="16" t="str">
        <f>IF(Base_de_donnée_clients!A133="","",Base_de_donnée_clients!A133)</f>
        <v/>
      </c>
      <c r="B133" s="8" t="str">
        <f>IF(Base_de_donnée_clients!B133="","",Base_de_donnée_clients!B133)</f>
        <v/>
      </c>
      <c r="C133" s="8" t="str">
        <f>IF(Base_de_donnée_clients!C133="","",Base_de_donnée_clients!C133)</f>
        <v/>
      </c>
      <c r="D133" s="8" t="str">
        <f>IF(Base_de_donnée_clients!H133="","",Base_de_donnée_clients!H133)</f>
        <v/>
      </c>
      <c r="E133" s="8" t="str">
        <f>IF(Base_de_donnée_clients!I133="","",Base_de_donnée_clients!I133)</f>
        <v/>
      </c>
      <c r="F133" s="9" t="str">
        <f>IF(Base_de_donnée_clients!J133="","",Base_de_donnée_clients!J133)</f>
        <v/>
      </c>
      <c r="G133" s="9" t="str">
        <f>IF(Base_de_donnée_clients!K133="","",Base_de_donnée_clients!K133)</f>
        <v/>
      </c>
      <c r="H133" s="8" t="str">
        <f>IF(Base_de_donnée_clients!L133="","",Base_de_donnée_clients!L133)</f>
        <v/>
      </c>
      <c r="I133" s="8" t="str">
        <f>IF(Base_de_donnée_clients!M133="","",Base_de_donnée_clients!M133)</f>
        <v/>
      </c>
      <c r="J133" s="8" t="str">
        <f>IF(Base_de_donnée_clients!N133="","",Base_de_donnée_clients!N133)</f>
        <v/>
      </c>
      <c r="K133" s="9" t="str">
        <f>IF(Base_de_donnée_clients!O133="","",Base_de_donnée_clients!O133)</f>
        <v/>
      </c>
      <c r="L133" s="9" t="str">
        <f>IF(Base_de_donnée_clients!P133="","",Base_de_donnée_clients!P133)</f>
        <v/>
      </c>
      <c r="M133" s="9" t="str">
        <f>IF(Base_de_donnée_clients!Q133="","",Base_de_donnée_clients!Q133)</f>
        <v/>
      </c>
      <c r="N133" s="8" t="str">
        <f>IF(Base_de_donnée_clients!R133="","",Base_de_donnée_clients!R133)</f>
        <v/>
      </c>
    </row>
    <row r="134" spans="1:14" ht="24" customHeight="1" x14ac:dyDescent="0.45">
      <c r="A134" s="16" t="str">
        <f>IF(Base_de_donnée_clients!A134="","",Base_de_donnée_clients!A134)</f>
        <v/>
      </c>
      <c r="B134" s="8" t="str">
        <f>IF(Base_de_donnée_clients!B134="","",Base_de_donnée_clients!B134)</f>
        <v/>
      </c>
      <c r="C134" s="8" t="str">
        <f>IF(Base_de_donnée_clients!C134="","",Base_de_donnée_clients!C134)</f>
        <v/>
      </c>
      <c r="D134" s="8" t="str">
        <f>IF(Base_de_donnée_clients!H134="","",Base_de_donnée_clients!H134)</f>
        <v/>
      </c>
      <c r="E134" s="8" t="str">
        <f>IF(Base_de_donnée_clients!I134="","",Base_de_donnée_clients!I134)</f>
        <v/>
      </c>
      <c r="F134" s="9" t="str">
        <f>IF(Base_de_donnée_clients!J134="","",Base_de_donnée_clients!J134)</f>
        <v/>
      </c>
      <c r="G134" s="9" t="str">
        <f>IF(Base_de_donnée_clients!K134="","",Base_de_donnée_clients!K134)</f>
        <v/>
      </c>
      <c r="H134" s="8" t="str">
        <f>IF(Base_de_donnée_clients!L134="","",Base_de_donnée_clients!L134)</f>
        <v/>
      </c>
      <c r="I134" s="8" t="str">
        <f>IF(Base_de_donnée_clients!M134="","",Base_de_donnée_clients!M134)</f>
        <v/>
      </c>
      <c r="J134" s="8" t="str">
        <f>IF(Base_de_donnée_clients!N134="","",Base_de_donnée_clients!N134)</f>
        <v/>
      </c>
      <c r="K134" s="9" t="str">
        <f>IF(Base_de_donnée_clients!O134="","",Base_de_donnée_clients!O134)</f>
        <v/>
      </c>
      <c r="L134" s="9" t="str">
        <f>IF(Base_de_donnée_clients!P134="","",Base_de_donnée_clients!P134)</f>
        <v/>
      </c>
      <c r="M134" s="9" t="str">
        <f>IF(Base_de_donnée_clients!Q134="","",Base_de_donnée_clients!Q134)</f>
        <v/>
      </c>
      <c r="N134" s="8" t="str">
        <f>IF(Base_de_donnée_clients!R134="","",Base_de_donnée_clients!R134)</f>
        <v/>
      </c>
    </row>
    <row r="135" spans="1:14" ht="24" customHeight="1" x14ac:dyDescent="0.45">
      <c r="A135" s="16" t="str">
        <f>IF(Base_de_donnée_clients!A135="","",Base_de_donnée_clients!A135)</f>
        <v/>
      </c>
      <c r="B135" s="8" t="str">
        <f>IF(Base_de_donnée_clients!B135="","",Base_de_donnée_clients!B135)</f>
        <v/>
      </c>
      <c r="C135" s="8" t="str">
        <f>IF(Base_de_donnée_clients!C135="","",Base_de_donnée_clients!C135)</f>
        <v/>
      </c>
      <c r="D135" s="8" t="str">
        <f>IF(Base_de_donnée_clients!H135="","",Base_de_donnée_clients!H135)</f>
        <v/>
      </c>
      <c r="E135" s="8" t="str">
        <f>IF(Base_de_donnée_clients!I135="","",Base_de_donnée_clients!I135)</f>
        <v/>
      </c>
      <c r="F135" s="9" t="str">
        <f>IF(Base_de_donnée_clients!J135="","",Base_de_donnée_clients!J135)</f>
        <v/>
      </c>
      <c r="G135" s="9" t="str">
        <f>IF(Base_de_donnée_clients!K135="","",Base_de_donnée_clients!K135)</f>
        <v/>
      </c>
      <c r="H135" s="8" t="str">
        <f>IF(Base_de_donnée_clients!L135="","",Base_de_donnée_clients!L135)</f>
        <v/>
      </c>
      <c r="I135" s="8" t="str">
        <f>IF(Base_de_donnée_clients!M135="","",Base_de_donnée_clients!M135)</f>
        <v/>
      </c>
      <c r="J135" s="8" t="str">
        <f>IF(Base_de_donnée_clients!N135="","",Base_de_donnée_clients!N135)</f>
        <v/>
      </c>
      <c r="K135" s="9" t="str">
        <f>IF(Base_de_donnée_clients!O135="","",Base_de_donnée_clients!O135)</f>
        <v/>
      </c>
      <c r="L135" s="9" t="str">
        <f>IF(Base_de_donnée_clients!P135="","",Base_de_donnée_clients!P135)</f>
        <v/>
      </c>
      <c r="M135" s="9" t="str">
        <f>IF(Base_de_donnée_clients!Q135="","",Base_de_donnée_clients!Q135)</f>
        <v/>
      </c>
      <c r="N135" s="8" t="str">
        <f>IF(Base_de_donnée_clients!R135="","",Base_de_donnée_clients!R135)</f>
        <v/>
      </c>
    </row>
    <row r="136" spans="1:14" ht="24" customHeight="1" x14ac:dyDescent="0.45">
      <c r="A136" s="16" t="str">
        <f>IF(Base_de_donnée_clients!A136="","",Base_de_donnée_clients!A136)</f>
        <v/>
      </c>
      <c r="B136" s="8" t="str">
        <f>IF(Base_de_donnée_clients!B136="","",Base_de_donnée_clients!B136)</f>
        <v/>
      </c>
      <c r="C136" s="8" t="str">
        <f>IF(Base_de_donnée_clients!C136="","",Base_de_donnée_clients!C136)</f>
        <v/>
      </c>
      <c r="D136" s="8" t="str">
        <f>IF(Base_de_donnée_clients!H136="","",Base_de_donnée_clients!H136)</f>
        <v/>
      </c>
      <c r="E136" s="8" t="str">
        <f>IF(Base_de_donnée_clients!I136="","",Base_de_donnée_clients!I136)</f>
        <v/>
      </c>
      <c r="F136" s="9" t="str">
        <f>IF(Base_de_donnée_clients!J136="","",Base_de_donnée_clients!J136)</f>
        <v/>
      </c>
      <c r="G136" s="9" t="str">
        <f>IF(Base_de_donnée_clients!K136="","",Base_de_donnée_clients!K136)</f>
        <v/>
      </c>
      <c r="H136" s="8" t="str">
        <f>IF(Base_de_donnée_clients!L136="","",Base_de_donnée_clients!L136)</f>
        <v/>
      </c>
      <c r="I136" s="8" t="str">
        <f>IF(Base_de_donnée_clients!M136="","",Base_de_donnée_clients!M136)</f>
        <v/>
      </c>
      <c r="J136" s="8" t="str">
        <f>IF(Base_de_donnée_clients!N136="","",Base_de_donnée_clients!N136)</f>
        <v/>
      </c>
      <c r="K136" s="9" t="str">
        <f>IF(Base_de_donnée_clients!O136="","",Base_de_donnée_clients!O136)</f>
        <v/>
      </c>
      <c r="L136" s="9" t="str">
        <f>IF(Base_de_donnée_clients!P136="","",Base_de_donnée_clients!P136)</f>
        <v/>
      </c>
      <c r="M136" s="9" t="str">
        <f>IF(Base_de_donnée_clients!Q136="","",Base_de_donnée_clients!Q136)</f>
        <v/>
      </c>
      <c r="N136" s="8" t="str">
        <f>IF(Base_de_donnée_clients!R136="","",Base_de_donnée_clients!R136)</f>
        <v/>
      </c>
    </row>
    <row r="137" spans="1:14" ht="24" customHeight="1" x14ac:dyDescent="0.45">
      <c r="A137" s="16" t="str">
        <f>IF(Base_de_donnée_clients!A137="","",Base_de_donnée_clients!A137)</f>
        <v/>
      </c>
      <c r="B137" s="8" t="str">
        <f>IF(Base_de_donnée_clients!B137="","",Base_de_donnée_clients!B137)</f>
        <v/>
      </c>
      <c r="C137" s="8" t="str">
        <f>IF(Base_de_donnée_clients!C137="","",Base_de_donnée_clients!C137)</f>
        <v/>
      </c>
      <c r="D137" s="8" t="str">
        <f>IF(Base_de_donnée_clients!H137="","",Base_de_donnée_clients!H137)</f>
        <v/>
      </c>
      <c r="E137" s="8" t="str">
        <f>IF(Base_de_donnée_clients!I137="","",Base_de_donnée_clients!I137)</f>
        <v/>
      </c>
      <c r="F137" s="9" t="str">
        <f>IF(Base_de_donnée_clients!J137="","",Base_de_donnée_clients!J137)</f>
        <v/>
      </c>
      <c r="G137" s="9" t="str">
        <f>IF(Base_de_donnée_clients!K137="","",Base_de_donnée_clients!K137)</f>
        <v/>
      </c>
      <c r="H137" s="8" t="str">
        <f>IF(Base_de_donnée_clients!L137="","",Base_de_donnée_clients!L137)</f>
        <v/>
      </c>
      <c r="I137" s="8" t="str">
        <f>IF(Base_de_donnée_clients!M137="","",Base_de_donnée_clients!M137)</f>
        <v/>
      </c>
      <c r="J137" s="8" t="str">
        <f>IF(Base_de_donnée_clients!N137="","",Base_de_donnée_clients!N137)</f>
        <v/>
      </c>
      <c r="K137" s="9" t="str">
        <f>IF(Base_de_donnée_clients!O137="","",Base_de_donnée_clients!O137)</f>
        <v/>
      </c>
      <c r="L137" s="9" t="str">
        <f>IF(Base_de_donnée_clients!P137="","",Base_de_donnée_clients!P137)</f>
        <v/>
      </c>
      <c r="M137" s="9" t="str">
        <f>IF(Base_de_donnée_clients!Q137="","",Base_de_donnée_clients!Q137)</f>
        <v/>
      </c>
      <c r="N137" s="8" t="str">
        <f>IF(Base_de_donnée_clients!R137="","",Base_de_donnée_clients!R137)</f>
        <v/>
      </c>
    </row>
    <row r="138" spans="1:14" ht="24" customHeight="1" x14ac:dyDescent="0.45">
      <c r="A138" s="16" t="str">
        <f>IF(Base_de_donnée_clients!A138="","",Base_de_donnée_clients!A138)</f>
        <v/>
      </c>
      <c r="B138" s="8" t="str">
        <f>IF(Base_de_donnée_clients!B138="","",Base_de_donnée_clients!B138)</f>
        <v/>
      </c>
      <c r="C138" s="8" t="str">
        <f>IF(Base_de_donnée_clients!C138="","",Base_de_donnée_clients!C138)</f>
        <v/>
      </c>
      <c r="D138" s="8" t="str">
        <f>IF(Base_de_donnée_clients!H138="","",Base_de_donnée_clients!H138)</f>
        <v/>
      </c>
      <c r="E138" s="8" t="str">
        <f>IF(Base_de_donnée_clients!I138="","",Base_de_donnée_clients!I138)</f>
        <v/>
      </c>
      <c r="F138" s="9" t="str">
        <f>IF(Base_de_donnée_clients!J138="","",Base_de_donnée_clients!J138)</f>
        <v/>
      </c>
      <c r="G138" s="9" t="str">
        <f>IF(Base_de_donnée_clients!K138="","",Base_de_donnée_clients!K138)</f>
        <v/>
      </c>
      <c r="H138" s="8" t="str">
        <f>IF(Base_de_donnée_clients!L138="","",Base_de_donnée_clients!L138)</f>
        <v/>
      </c>
      <c r="I138" s="8" t="str">
        <f>IF(Base_de_donnée_clients!M138="","",Base_de_donnée_clients!M138)</f>
        <v/>
      </c>
      <c r="J138" s="8" t="str">
        <f>IF(Base_de_donnée_clients!N138="","",Base_de_donnée_clients!N138)</f>
        <v/>
      </c>
      <c r="K138" s="9" t="str">
        <f>IF(Base_de_donnée_clients!O138="","",Base_de_donnée_clients!O138)</f>
        <v/>
      </c>
      <c r="L138" s="9" t="str">
        <f>IF(Base_de_donnée_clients!P138="","",Base_de_donnée_clients!P138)</f>
        <v/>
      </c>
      <c r="M138" s="9" t="str">
        <f>IF(Base_de_donnée_clients!Q138="","",Base_de_donnée_clients!Q138)</f>
        <v/>
      </c>
      <c r="N138" s="8" t="str">
        <f>IF(Base_de_donnée_clients!R138="","",Base_de_donnée_clients!R138)</f>
        <v/>
      </c>
    </row>
    <row r="139" spans="1:14" ht="24" customHeight="1" x14ac:dyDescent="0.45">
      <c r="A139" s="16" t="str">
        <f>IF(Base_de_donnée_clients!A139="","",Base_de_donnée_clients!A139)</f>
        <v/>
      </c>
      <c r="B139" s="8" t="str">
        <f>IF(Base_de_donnée_clients!B139="","",Base_de_donnée_clients!B139)</f>
        <v/>
      </c>
      <c r="C139" s="8" t="str">
        <f>IF(Base_de_donnée_clients!C139="","",Base_de_donnée_clients!C139)</f>
        <v/>
      </c>
      <c r="D139" s="8" t="str">
        <f>IF(Base_de_donnée_clients!H139="","",Base_de_donnée_clients!H139)</f>
        <v/>
      </c>
      <c r="E139" s="8" t="str">
        <f>IF(Base_de_donnée_clients!I139="","",Base_de_donnée_clients!I139)</f>
        <v/>
      </c>
      <c r="F139" s="9" t="str">
        <f>IF(Base_de_donnée_clients!J139="","",Base_de_donnée_clients!J139)</f>
        <v/>
      </c>
      <c r="G139" s="9" t="str">
        <f>IF(Base_de_donnée_clients!K139="","",Base_de_donnée_clients!K139)</f>
        <v/>
      </c>
      <c r="H139" s="8" t="str">
        <f>IF(Base_de_donnée_clients!L139="","",Base_de_donnée_clients!L139)</f>
        <v/>
      </c>
      <c r="I139" s="8" t="str">
        <f>IF(Base_de_donnée_clients!M139="","",Base_de_donnée_clients!M139)</f>
        <v/>
      </c>
      <c r="J139" s="8" t="str">
        <f>IF(Base_de_donnée_clients!N139="","",Base_de_donnée_clients!N139)</f>
        <v/>
      </c>
      <c r="K139" s="9" t="str">
        <f>IF(Base_de_donnée_clients!O139="","",Base_de_donnée_clients!O139)</f>
        <v/>
      </c>
      <c r="L139" s="9" t="str">
        <f>IF(Base_de_donnée_clients!P139="","",Base_de_donnée_clients!P139)</f>
        <v/>
      </c>
      <c r="M139" s="9" t="str">
        <f>IF(Base_de_donnée_clients!Q139="","",Base_de_donnée_clients!Q139)</f>
        <v/>
      </c>
      <c r="N139" s="8" t="str">
        <f>IF(Base_de_donnée_clients!R139="","",Base_de_donnée_clients!R139)</f>
        <v/>
      </c>
    </row>
    <row r="140" spans="1:14" ht="24" customHeight="1" x14ac:dyDescent="0.45">
      <c r="A140" s="16" t="str">
        <f>IF(Base_de_donnée_clients!A140="","",Base_de_donnée_clients!A140)</f>
        <v/>
      </c>
      <c r="B140" s="8" t="str">
        <f>IF(Base_de_donnée_clients!B140="","",Base_de_donnée_clients!B140)</f>
        <v/>
      </c>
      <c r="C140" s="8" t="str">
        <f>IF(Base_de_donnée_clients!C140="","",Base_de_donnée_clients!C140)</f>
        <v/>
      </c>
      <c r="D140" s="8" t="str">
        <f>IF(Base_de_donnée_clients!H140="","",Base_de_donnée_clients!H140)</f>
        <v/>
      </c>
      <c r="E140" s="8" t="str">
        <f>IF(Base_de_donnée_clients!I140="","",Base_de_donnée_clients!I140)</f>
        <v/>
      </c>
      <c r="F140" s="9" t="str">
        <f>IF(Base_de_donnée_clients!J140="","",Base_de_donnée_clients!J140)</f>
        <v/>
      </c>
      <c r="G140" s="9" t="str">
        <f>IF(Base_de_donnée_clients!K140="","",Base_de_donnée_clients!K140)</f>
        <v/>
      </c>
      <c r="H140" s="8" t="str">
        <f>IF(Base_de_donnée_clients!L140="","",Base_de_donnée_clients!L140)</f>
        <v/>
      </c>
      <c r="I140" s="8" t="str">
        <f>IF(Base_de_donnée_clients!M140="","",Base_de_donnée_clients!M140)</f>
        <v/>
      </c>
      <c r="J140" s="8" t="str">
        <f>IF(Base_de_donnée_clients!N140="","",Base_de_donnée_clients!N140)</f>
        <v/>
      </c>
      <c r="K140" s="9" t="str">
        <f>IF(Base_de_donnée_clients!O140="","",Base_de_donnée_clients!O140)</f>
        <v/>
      </c>
      <c r="L140" s="9" t="str">
        <f>IF(Base_de_donnée_clients!P140="","",Base_de_donnée_clients!P140)</f>
        <v/>
      </c>
      <c r="M140" s="9" t="str">
        <f>IF(Base_de_donnée_clients!Q140="","",Base_de_donnée_clients!Q140)</f>
        <v/>
      </c>
      <c r="N140" s="8" t="str">
        <f>IF(Base_de_donnée_clients!R140="","",Base_de_donnée_clients!R140)</f>
        <v/>
      </c>
    </row>
    <row r="141" spans="1:14" ht="24" customHeight="1" x14ac:dyDescent="0.45">
      <c r="A141" s="16" t="str">
        <f>IF(Base_de_donnée_clients!A141="","",Base_de_donnée_clients!A141)</f>
        <v/>
      </c>
      <c r="B141" s="8" t="str">
        <f>IF(Base_de_donnée_clients!B141="","",Base_de_donnée_clients!B141)</f>
        <v/>
      </c>
      <c r="C141" s="8" t="str">
        <f>IF(Base_de_donnée_clients!C141="","",Base_de_donnée_clients!C141)</f>
        <v/>
      </c>
      <c r="D141" s="8" t="str">
        <f>IF(Base_de_donnée_clients!H141="","",Base_de_donnée_clients!H141)</f>
        <v/>
      </c>
      <c r="E141" s="8" t="str">
        <f>IF(Base_de_donnée_clients!I141="","",Base_de_donnée_clients!I141)</f>
        <v/>
      </c>
      <c r="F141" s="9" t="str">
        <f>IF(Base_de_donnée_clients!J141="","",Base_de_donnée_clients!J141)</f>
        <v/>
      </c>
      <c r="G141" s="9" t="str">
        <f>IF(Base_de_donnée_clients!K141="","",Base_de_donnée_clients!K141)</f>
        <v/>
      </c>
      <c r="H141" s="8" t="str">
        <f>IF(Base_de_donnée_clients!L141="","",Base_de_donnée_clients!L141)</f>
        <v/>
      </c>
      <c r="I141" s="8" t="str">
        <f>IF(Base_de_donnée_clients!M141="","",Base_de_donnée_clients!M141)</f>
        <v/>
      </c>
      <c r="J141" s="8" t="str">
        <f>IF(Base_de_donnée_clients!N141="","",Base_de_donnée_clients!N141)</f>
        <v/>
      </c>
      <c r="K141" s="9" t="str">
        <f>IF(Base_de_donnée_clients!O141="","",Base_de_donnée_clients!O141)</f>
        <v/>
      </c>
      <c r="L141" s="9" t="str">
        <f>IF(Base_de_donnée_clients!P141="","",Base_de_donnée_clients!P141)</f>
        <v/>
      </c>
      <c r="M141" s="9" t="str">
        <f>IF(Base_de_donnée_clients!Q141="","",Base_de_donnée_clients!Q141)</f>
        <v/>
      </c>
      <c r="N141" s="8" t="str">
        <f>IF(Base_de_donnée_clients!R141="","",Base_de_donnée_clients!R141)</f>
        <v/>
      </c>
    </row>
    <row r="142" spans="1:14" ht="24" customHeight="1" x14ac:dyDescent="0.45">
      <c r="A142" s="16" t="str">
        <f>IF(Base_de_donnée_clients!A142="","",Base_de_donnée_clients!A142)</f>
        <v/>
      </c>
      <c r="B142" s="8" t="str">
        <f>IF(Base_de_donnée_clients!B142="","",Base_de_donnée_clients!B142)</f>
        <v/>
      </c>
      <c r="C142" s="8" t="str">
        <f>IF(Base_de_donnée_clients!C142="","",Base_de_donnée_clients!C142)</f>
        <v/>
      </c>
      <c r="D142" s="8" t="str">
        <f>IF(Base_de_donnée_clients!H142="","",Base_de_donnée_clients!H142)</f>
        <v/>
      </c>
      <c r="E142" s="8" t="str">
        <f>IF(Base_de_donnée_clients!I142="","",Base_de_donnée_clients!I142)</f>
        <v/>
      </c>
      <c r="F142" s="9" t="str">
        <f>IF(Base_de_donnée_clients!J142="","",Base_de_donnée_clients!J142)</f>
        <v/>
      </c>
      <c r="G142" s="9" t="str">
        <f>IF(Base_de_donnée_clients!K142="","",Base_de_donnée_clients!K142)</f>
        <v/>
      </c>
      <c r="H142" s="8" t="str">
        <f>IF(Base_de_donnée_clients!L142="","",Base_de_donnée_clients!L142)</f>
        <v/>
      </c>
      <c r="I142" s="8" t="str">
        <f>IF(Base_de_donnée_clients!M142="","",Base_de_donnée_clients!M142)</f>
        <v/>
      </c>
      <c r="J142" s="8" t="str">
        <f>IF(Base_de_donnée_clients!N142="","",Base_de_donnée_clients!N142)</f>
        <v/>
      </c>
      <c r="K142" s="9" t="str">
        <f>IF(Base_de_donnée_clients!O142="","",Base_de_donnée_clients!O142)</f>
        <v/>
      </c>
      <c r="L142" s="9" t="str">
        <f>IF(Base_de_donnée_clients!P142="","",Base_de_donnée_clients!P142)</f>
        <v/>
      </c>
      <c r="M142" s="9" t="str">
        <f>IF(Base_de_donnée_clients!Q142="","",Base_de_donnée_clients!Q142)</f>
        <v/>
      </c>
      <c r="N142" s="8" t="str">
        <f>IF(Base_de_donnée_clients!R142="","",Base_de_donnée_clients!R142)</f>
        <v/>
      </c>
    </row>
    <row r="143" spans="1:14" ht="24" customHeight="1" x14ac:dyDescent="0.45">
      <c r="A143" s="16" t="str">
        <f>IF(Base_de_donnée_clients!A143="","",Base_de_donnée_clients!A143)</f>
        <v/>
      </c>
      <c r="B143" s="8" t="str">
        <f>IF(Base_de_donnée_clients!B143="","",Base_de_donnée_clients!B143)</f>
        <v/>
      </c>
      <c r="C143" s="8" t="str">
        <f>IF(Base_de_donnée_clients!C143="","",Base_de_donnée_clients!C143)</f>
        <v/>
      </c>
      <c r="D143" s="8" t="str">
        <f>IF(Base_de_donnée_clients!H143="","",Base_de_donnée_clients!H143)</f>
        <v/>
      </c>
      <c r="E143" s="8" t="str">
        <f>IF(Base_de_donnée_clients!I143="","",Base_de_donnée_clients!I143)</f>
        <v/>
      </c>
      <c r="F143" s="9" t="str">
        <f>IF(Base_de_donnée_clients!J143="","",Base_de_donnée_clients!J143)</f>
        <v/>
      </c>
      <c r="G143" s="9" t="str">
        <f>IF(Base_de_donnée_clients!K143="","",Base_de_donnée_clients!K143)</f>
        <v/>
      </c>
      <c r="H143" s="8" t="str">
        <f>IF(Base_de_donnée_clients!L143="","",Base_de_donnée_clients!L143)</f>
        <v/>
      </c>
      <c r="I143" s="8" t="str">
        <f>IF(Base_de_donnée_clients!M143="","",Base_de_donnée_clients!M143)</f>
        <v/>
      </c>
      <c r="J143" s="8" t="str">
        <f>IF(Base_de_donnée_clients!N143="","",Base_de_donnée_clients!N143)</f>
        <v/>
      </c>
      <c r="K143" s="9" t="str">
        <f>IF(Base_de_donnée_clients!O143="","",Base_de_donnée_clients!O143)</f>
        <v/>
      </c>
      <c r="L143" s="9" t="str">
        <f>IF(Base_de_donnée_clients!P143="","",Base_de_donnée_clients!P143)</f>
        <v/>
      </c>
      <c r="M143" s="9" t="str">
        <f>IF(Base_de_donnée_clients!Q143="","",Base_de_donnée_clients!Q143)</f>
        <v/>
      </c>
      <c r="N143" s="8" t="str">
        <f>IF(Base_de_donnée_clients!R143="","",Base_de_donnée_clients!R143)</f>
        <v/>
      </c>
    </row>
    <row r="144" spans="1:14" ht="24" customHeight="1" x14ac:dyDescent="0.45">
      <c r="A144" s="16" t="str">
        <f>IF(Base_de_donnée_clients!A144="","",Base_de_donnée_clients!A144)</f>
        <v/>
      </c>
      <c r="B144" s="8" t="str">
        <f>IF(Base_de_donnée_clients!B144="","",Base_de_donnée_clients!B144)</f>
        <v/>
      </c>
      <c r="C144" s="8" t="str">
        <f>IF(Base_de_donnée_clients!C144="","",Base_de_donnée_clients!C144)</f>
        <v/>
      </c>
      <c r="D144" s="8" t="str">
        <f>IF(Base_de_donnée_clients!H144="","",Base_de_donnée_clients!H144)</f>
        <v/>
      </c>
      <c r="E144" s="8" t="str">
        <f>IF(Base_de_donnée_clients!I144="","",Base_de_donnée_clients!I144)</f>
        <v/>
      </c>
      <c r="F144" s="9" t="str">
        <f>IF(Base_de_donnée_clients!J144="","",Base_de_donnée_clients!J144)</f>
        <v/>
      </c>
      <c r="G144" s="9" t="str">
        <f>IF(Base_de_donnée_clients!K144="","",Base_de_donnée_clients!K144)</f>
        <v/>
      </c>
      <c r="H144" s="8" t="str">
        <f>IF(Base_de_donnée_clients!L144="","",Base_de_donnée_clients!L144)</f>
        <v/>
      </c>
      <c r="I144" s="8" t="str">
        <f>IF(Base_de_donnée_clients!M144="","",Base_de_donnée_clients!M144)</f>
        <v/>
      </c>
      <c r="J144" s="8" t="str">
        <f>IF(Base_de_donnée_clients!N144="","",Base_de_donnée_clients!N144)</f>
        <v/>
      </c>
      <c r="K144" s="9" t="str">
        <f>IF(Base_de_donnée_clients!O144="","",Base_de_donnée_clients!O144)</f>
        <v/>
      </c>
      <c r="L144" s="9" t="str">
        <f>IF(Base_de_donnée_clients!P144="","",Base_de_donnée_clients!P144)</f>
        <v/>
      </c>
      <c r="M144" s="9" t="str">
        <f>IF(Base_de_donnée_clients!Q144="","",Base_de_donnée_clients!Q144)</f>
        <v/>
      </c>
      <c r="N144" s="8" t="str">
        <f>IF(Base_de_donnée_clients!R144="","",Base_de_donnée_clients!R144)</f>
        <v/>
      </c>
    </row>
    <row r="145" spans="1:14" ht="24" customHeight="1" x14ac:dyDescent="0.45">
      <c r="A145" s="16" t="str">
        <f>IF(Base_de_donnée_clients!A145="","",Base_de_donnée_clients!A145)</f>
        <v/>
      </c>
      <c r="B145" s="8" t="str">
        <f>IF(Base_de_donnée_clients!B145="","",Base_de_donnée_clients!B145)</f>
        <v/>
      </c>
      <c r="C145" s="8" t="str">
        <f>IF(Base_de_donnée_clients!C145="","",Base_de_donnée_clients!C145)</f>
        <v/>
      </c>
      <c r="D145" s="8" t="str">
        <f>IF(Base_de_donnée_clients!H145="","",Base_de_donnée_clients!H145)</f>
        <v/>
      </c>
      <c r="E145" s="8" t="str">
        <f>IF(Base_de_donnée_clients!I145="","",Base_de_donnée_clients!I145)</f>
        <v/>
      </c>
      <c r="F145" s="9" t="str">
        <f>IF(Base_de_donnée_clients!J145="","",Base_de_donnée_clients!J145)</f>
        <v/>
      </c>
      <c r="G145" s="9" t="str">
        <f>IF(Base_de_donnée_clients!K145="","",Base_de_donnée_clients!K145)</f>
        <v/>
      </c>
      <c r="H145" s="8" t="str">
        <f>IF(Base_de_donnée_clients!L145="","",Base_de_donnée_clients!L145)</f>
        <v/>
      </c>
      <c r="I145" s="8" t="str">
        <f>IF(Base_de_donnée_clients!M145="","",Base_de_donnée_clients!M145)</f>
        <v/>
      </c>
      <c r="J145" s="8" t="str">
        <f>IF(Base_de_donnée_clients!N145="","",Base_de_donnée_clients!N145)</f>
        <v/>
      </c>
      <c r="K145" s="9" t="str">
        <f>IF(Base_de_donnée_clients!O145="","",Base_de_donnée_clients!O145)</f>
        <v/>
      </c>
      <c r="L145" s="9" t="str">
        <f>IF(Base_de_donnée_clients!P145="","",Base_de_donnée_clients!P145)</f>
        <v/>
      </c>
      <c r="M145" s="9" t="str">
        <f>IF(Base_de_donnée_clients!Q145="","",Base_de_donnée_clients!Q145)</f>
        <v/>
      </c>
      <c r="N145" s="8" t="str">
        <f>IF(Base_de_donnée_clients!R145="","",Base_de_donnée_clients!R145)</f>
        <v/>
      </c>
    </row>
    <row r="146" spans="1:14" ht="24" customHeight="1" x14ac:dyDescent="0.45">
      <c r="A146" s="16" t="str">
        <f>IF(Base_de_donnée_clients!A146="","",Base_de_donnée_clients!A146)</f>
        <v/>
      </c>
      <c r="B146" s="8" t="str">
        <f>IF(Base_de_donnée_clients!B146="","",Base_de_donnée_clients!B146)</f>
        <v/>
      </c>
      <c r="C146" s="8" t="str">
        <f>IF(Base_de_donnée_clients!C146="","",Base_de_donnée_clients!C146)</f>
        <v/>
      </c>
      <c r="D146" s="8" t="str">
        <f>IF(Base_de_donnée_clients!H146="","",Base_de_donnée_clients!H146)</f>
        <v/>
      </c>
      <c r="E146" s="8" t="str">
        <f>IF(Base_de_donnée_clients!I146="","",Base_de_donnée_clients!I146)</f>
        <v/>
      </c>
      <c r="F146" s="9" t="str">
        <f>IF(Base_de_donnée_clients!J146="","",Base_de_donnée_clients!J146)</f>
        <v/>
      </c>
      <c r="G146" s="9" t="str">
        <f>IF(Base_de_donnée_clients!K146="","",Base_de_donnée_clients!K146)</f>
        <v/>
      </c>
      <c r="H146" s="8" t="str">
        <f>IF(Base_de_donnée_clients!L146="","",Base_de_donnée_clients!L146)</f>
        <v/>
      </c>
      <c r="I146" s="8" t="str">
        <f>IF(Base_de_donnée_clients!M146="","",Base_de_donnée_clients!M146)</f>
        <v/>
      </c>
      <c r="J146" s="8" t="str">
        <f>IF(Base_de_donnée_clients!N146="","",Base_de_donnée_clients!N146)</f>
        <v/>
      </c>
      <c r="K146" s="9" t="str">
        <f>IF(Base_de_donnée_clients!O146="","",Base_de_donnée_clients!O146)</f>
        <v/>
      </c>
      <c r="L146" s="9" t="str">
        <f>IF(Base_de_donnée_clients!P146="","",Base_de_donnée_clients!P146)</f>
        <v/>
      </c>
      <c r="M146" s="9" t="str">
        <f>IF(Base_de_donnée_clients!Q146="","",Base_de_donnée_clients!Q146)</f>
        <v/>
      </c>
      <c r="N146" s="8" t="str">
        <f>IF(Base_de_donnée_clients!R146="","",Base_de_donnée_clients!R146)</f>
        <v/>
      </c>
    </row>
    <row r="147" spans="1:14" ht="24" customHeight="1" x14ac:dyDescent="0.45">
      <c r="A147" s="16" t="str">
        <f>IF(Base_de_donnée_clients!A147="","",Base_de_donnée_clients!A147)</f>
        <v/>
      </c>
      <c r="B147" s="8" t="str">
        <f>IF(Base_de_donnée_clients!B147="","",Base_de_donnée_clients!B147)</f>
        <v/>
      </c>
      <c r="C147" s="8" t="str">
        <f>IF(Base_de_donnée_clients!C147="","",Base_de_donnée_clients!C147)</f>
        <v/>
      </c>
      <c r="D147" s="8" t="str">
        <f>IF(Base_de_donnée_clients!H147="","",Base_de_donnée_clients!H147)</f>
        <v/>
      </c>
      <c r="E147" s="8" t="str">
        <f>IF(Base_de_donnée_clients!I147="","",Base_de_donnée_clients!I147)</f>
        <v/>
      </c>
      <c r="F147" s="9" t="str">
        <f>IF(Base_de_donnée_clients!J147="","",Base_de_donnée_clients!J147)</f>
        <v/>
      </c>
      <c r="G147" s="9" t="str">
        <f>IF(Base_de_donnée_clients!K147="","",Base_de_donnée_clients!K147)</f>
        <v/>
      </c>
      <c r="H147" s="8" t="str">
        <f>IF(Base_de_donnée_clients!L147="","",Base_de_donnée_clients!L147)</f>
        <v/>
      </c>
      <c r="I147" s="8" t="str">
        <f>IF(Base_de_donnée_clients!M147="","",Base_de_donnée_clients!M147)</f>
        <v/>
      </c>
      <c r="J147" s="8" t="str">
        <f>IF(Base_de_donnée_clients!N147="","",Base_de_donnée_clients!N147)</f>
        <v/>
      </c>
      <c r="K147" s="9" t="str">
        <f>IF(Base_de_donnée_clients!O147="","",Base_de_donnée_clients!O147)</f>
        <v/>
      </c>
      <c r="L147" s="9" t="str">
        <f>IF(Base_de_donnée_clients!P147="","",Base_de_donnée_clients!P147)</f>
        <v/>
      </c>
      <c r="M147" s="9" t="str">
        <f>IF(Base_de_donnée_clients!Q147="","",Base_de_donnée_clients!Q147)</f>
        <v/>
      </c>
      <c r="N147" s="8" t="str">
        <f>IF(Base_de_donnée_clients!R147="","",Base_de_donnée_clients!R147)</f>
        <v/>
      </c>
    </row>
    <row r="148" spans="1:14" ht="24" customHeight="1" x14ac:dyDescent="0.45">
      <c r="A148" s="16" t="str">
        <f>IF(Base_de_donnée_clients!A148="","",Base_de_donnée_clients!A148)</f>
        <v/>
      </c>
      <c r="B148" s="8" t="str">
        <f>IF(Base_de_donnée_clients!B148="","",Base_de_donnée_clients!B148)</f>
        <v/>
      </c>
      <c r="C148" s="8" t="str">
        <f>IF(Base_de_donnée_clients!C148="","",Base_de_donnée_clients!C148)</f>
        <v/>
      </c>
      <c r="D148" s="8" t="str">
        <f>IF(Base_de_donnée_clients!H148="","",Base_de_donnée_clients!H148)</f>
        <v/>
      </c>
      <c r="E148" s="8" t="str">
        <f>IF(Base_de_donnée_clients!I148="","",Base_de_donnée_clients!I148)</f>
        <v/>
      </c>
      <c r="F148" s="9" t="str">
        <f>IF(Base_de_donnée_clients!J148="","",Base_de_donnée_clients!J148)</f>
        <v/>
      </c>
      <c r="G148" s="9" t="str">
        <f>IF(Base_de_donnée_clients!K148="","",Base_de_donnée_clients!K148)</f>
        <v/>
      </c>
      <c r="H148" s="8" t="str">
        <f>IF(Base_de_donnée_clients!L148="","",Base_de_donnée_clients!L148)</f>
        <v/>
      </c>
      <c r="I148" s="8" t="str">
        <f>IF(Base_de_donnée_clients!M148="","",Base_de_donnée_clients!M148)</f>
        <v/>
      </c>
      <c r="J148" s="8" t="str">
        <f>IF(Base_de_donnée_clients!N148="","",Base_de_donnée_clients!N148)</f>
        <v/>
      </c>
      <c r="K148" s="9" t="str">
        <f>IF(Base_de_donnée_clients!O148="","",Base_de_donnée_clients!O148)</f>
        <v/>
      </c>
      <c r="L148" s="9" t="str">
        <f>IF(Base_de_donnée_clients!P148="","",Base_de_donnée_clients!P148)</f>
        <v/>
      </c>
      <c r="M148" s="9" t="str">
        <f>IF(Base_de_donnée_clients!Q148="","",Base_de_donnée_clients!Q148)</f>
        <v/>
      </c>
      <c r="N148" s="8" t="str">
        <f>IF(Base_de_donnée_clients!R148="","",Base_de_donnée_clients!R148)</f>
        <v/>
      </c>
    </row>
    <row r="149" spans="1:14" ht="24" customHeight="1" x14ac:dyDescent="0.45">
      <c r="A149" s="16" t="str">
        <f>IF(Base_de_donnée_clients!A149="","",Base_de_donnée_clients!A149)</f>
        <v/>
      </c>
      <c r="B149" s="8" t="str">
        <f>IF(Base_de_donnée_clients!B149="","",Base_de_donnée_clients!B149)</f>
        <v/>
      </c>
      <c r="C149" s="8" t="str">
        <f>IF(Base_de_donnée_clients!C149="","",Base_de_donnée_clients!C149)</f>
        <v/>
      </c>
      <c r="D149" s="8" t="str">
        <f>IF(Base_de_donnée_clients!H149="","",Base_de_donnée_clients!H149)</f>
        <v/>
      </c>
      <c r="E149" s="8" t="str">
        <f>IF(Base_de_donnée_clients!I149="","",Base_de_donnée_clients!I149)</f>
        <v/>
      </c>
      <c r="F149" s="9" t="str">
        <f>IF(Base_de_donnée_clients!J149="","",Base_de_donnée_clients!J149)</f>
        <v/>
      </c>
      <c r="G149" s="9" t="str">
        <f>IF(Base_de_donnée_clients!K149="","",Base_de_donnée_clients!K149)</f>
        <v/>
      </c>
      <c r="H149" s="8" t="str">
        <f>IF(Base_de_donnée_clients!L149="","",Base_de_donnée_clients!L149)</f>
        <v/>
      </c>
      <c r="I149" s="8" t="str">
        <f>IF(Base_de_donnée_clients!M149="","",Base_de_donnée_clients!M149)</f>
        <v/>
      </c>
      <c r="J149" s="8" t="str">
        <f>IF(Base_de_donnée_clients!N149="","",Base_de_donnée_clients!N149)</f>
        <v/>
      </c>
      <c r="K149" s="9" t="str">
        <f>IF(Base_de_donnée_clients!O149="","",Base_de_donnée_clients!O149)</f>
        <v/>
      </c>
      <c r="L149" s="9" t="str">
        <f>IF(Base_de_donnée_clients!P149="","",Base_de_donnée_clients!P149)</f>
        <v/>
      </c>
      <c r="M149" s="9" t="str">
        <f>IF(Base_de_donnée_clients!Q149="","",Base_de_donnée_clients!Q149)</f>
        <v/>
      </c>
      <c r="N149" s="8" t="str">
        <f>IF(Base_de_donnée_clients!R149="","",Base_de_donnée_clients!R149)</f>
        <v/>
      </c>
    </row>
    <row r="150" spans="1:14" ht="24" customHeight="1" x14ac:dyDescent="0.45">
      <c r="A150" s="16" t="str">
        <f>IF(Base_de_donnée_clients!A150="","",Base_de_donnée_clients!A150)</f>
        <v/>
      </c>
      <c r="B150" s="8" t="str">
        <f>IF(Base_de_donnée_clients!B150="","",Base_de_donnée_clients!B150)</f>
        <v/>
      </c>
      <c r="C150" s="8" t="str">
        <f>IF(Base_de_donnée_clients!C150="","",Base_de_donnée_clients!C150)</f>
        <v/>
      </c>
      <c r="D150" s="8" t="str">
        <f>IF(Base_de_donnée_clients!H150="","",Base_de_donnée_clients!H150)</f>
        <v/>
      </c>
      <c r="E150" s="8" t="str">
        <f>IF(Base_de_donnée_clients!I150="","",Base_de_donnée_clients!I150)</f>
        <v/>
      </c>
      <c r="F150" s="9" t="str">
        <f>IF(Base_de_donnée_clients!J150="","",Base_de_donnée_clients!J150)</f>
        <v/>
      </c>
      <c r="G150" s="9" t="str">
        <f>IF(Base_de_donnée_clients!K150="","",Base_de_donnée_clients!K150)</f>
        <v/>
      </c>
      <c r="H150" s="8" t="str">
        <f>IF(Base_de_donnée_clients!L150="","",Base_de_donnée_clients!L150)</f>
        <v/>
      </c>
      <c r="I150" s="8" t="str">
        <f>IF(Base_de_donnée_clients!M150="","",Base_de_donnée_clients!M150)</f>
        <v/>
      </c>
      <c r="J150" s="8" t="str">
        <f>IF(Base_de_donnée_clients!N150="","",Base_de_donnée_clients!N150)</f>
        <v/>
      </c>
      <c r="K150" s="9" t="str">
        <f>IF(Base_de_donnée_clients!O150="","",Base_de_donnée_clients!O150)</f>
        <v/>
      </c>
      <c r="L150" s="9" t="str">
        <f>IF(Base_de_donnée_clients!P150="","",Base_de_donnée_clients!P150)</f>
        <v/>
      </c>
      <c r="M150" s="9" t="str">
        <f>IF(Base_de_donnée_clients!Q150="","",Base_de_donnée_clients!Q150)</f>
        <v/>
      </c>
      <c r="N150" s="8" t="str">
        <f>IF(Base_de_donnée_clients!R150="","",Base_de_donnée_clients!R150)</f>
        <v/>
      </c>
    </row>
    <row r="151" spans="1:14" ht="24" customHeight="1" x14ac:dyDescent="0.45">
      <c r="A151" s="16" t="str">
        <f>IF(Base_de_donnée_clients!A151="","",Base_de_donnée_clients!A151)</f>
        <v/>
      </c>
      <c r="B151" s="8" t="str">
        <f>IF(Base_de_donnée_clients!B151="","",Base_de_donnée_clients!B151)</f>
        <v/>
      </c>
      <c r="C151" s="8" t="str">
        <f>IF(Base_de_donnée_clients!C151="","",Base_de_donnée_clients!C151)</f>
        <v/>
      </c>
      <c r="D151" s="8" t="str">
        <f>IF(Base_de_donnée_clients!H151="","",Base_de_donnée_clients!H151)</f>
        <v/>
      </c>
      <c r="E151" s="8" t="str">
        <f>IF(Base_de_donnée_clients!I151="","",Base_de_donnée_clients!I151)</f>
        <v/>
      </c>
      <c r="F151" s="9" t="str">
        <f>IF(Base_de_donnée_clients!J151="","",Base_de_donnée_clients!J151)</f>
        <v/>
      </c>
      <c r="G151" s="9" t="str">
        <f>IF(Base_de_donnée_clients!K151="","",Base_de_donnée_clients!K151)</f>
        <v/>
      </c>
      <c r="H151" s="8" t="str">
        <f>IF(Base_de_donnée_clients!L151="","",Base_de_donnée_clients!L151)</f>
        <v/>
      </c>
      <c r="I151" s="8" t="str">
        <f>IF(Base_de_donnée_clients!M151="","",Base_de_donnée_clients!M151)</f>
        <v/>
      </c>
      <c r="J151" s="8" t="str">
        <f>IF(Base_de_donnée_clients!N151="","",Base_de_donnée_clients!N151)</f>
        <v/>
      </c>
      <c r="K151" s="9" t="str">
        <f>IF(Base_de_donnée_clients!O151="","",Base_de_donnée_clients!O151)</f>
        <v/>
      </c>
      <c r="L151" s="9" t="str">
        <f>IF(Base_de_donnée_clients!P151="","",Base_de_donnée_clients!P151)</f>
        <v/>
      </c>
      <c r="M151" s="9" t="str">
        <f>IF(Base_de_donnée_clients!Q151="","",Base_de_donnée_clients!Q151)</f>
        <v/>
      </c>
      <c r="N151" s="8" t="str">
        <f>IF(Base_de_donnée_clients!R151="","",Base_de_donnée_clients!R151)</f>
        <v/>
      </c>
    </row>
    <row r="152" spans="1:14" ht="24" customHeight="1" x14ac:dyDescent="0.45">
      <c r="A152" s="16" t="str">
        <f>IF(Base_de_donnée_clients!A152="","",Base_de_donnée_clients!A152)</f>
        <v/>
      </c>
      <c r="B152" s="8" t="str">
        <f>IF(Base_de_donnée_clients!B152="","",Base_de_donnée_clients!B152)</f>
        <v/>
      </c>
      <c r="C152" s="8" t="str">
        <f>IF(Base_de_donnée_clients!C152="","",Base_de_donnée_clients!C152)</f>
        <v/>
      </c>
      <c r="D152" s="8" t="str">
        <f>IF(Base_de_donnée_clients!H152="","",Base_de_donnée_clients!H152)</f>
        <v/>
      </c>
      <c r="E152" s="8" t="str">
        <f>IF(Base_de_donnée_clients!I152="","",Base_de_donnée_clients!I152)</f>
        <v/>
      </c>
      <c r="F152" s="9" t="str">
        <f>IF(Base_de_donnée_clients!J152="","",Base_de_donnée_clients!J152)</f>
        <v/>
      </c>
      <c r="G152" s="9" t="str">
        <f>IF(Base_de_donnée_clients!K152="","",Base_de_donnée_clients!K152)</f>
        <v/>
      </c>
      <c r="H152" s="8" t="str">
        <f>IF(Base_de_donnée_clients!L152="","",Base_de_donnée_clients!L152)</f>
        <v/>
      </c>
      <c r="I152" s="8" t="str">
        <f>IF(Base_de_donnée_clients!M152="","",Base_de_donnée_clients!M152)</f>
        <v/>
      </c>
      <c r="J152" s="8" t="str">
        <f>IF(Base_de_donnée_clients!N152="","",Base_de_donnée_clients!N152)</f>
        <v/>
      </c>
      <c r="K152" s="9" t="str">
        <f>IF(Base_de_donnée_clients!O152="","",Base_de_donnée_clients!O152)</f>
        <v/>
      </c>
      <c r="L152" s="9" t="str">
        <f>IF(Base_de_donnée_clients!P152="","",Base_de_donnée_clients!P152)</f>
        <v/>
      </c>
      <c r="M152" s="9" t="str">
        <f>IF(Base_de_donnée_clients!Q152="","",Base_de_donnée_clients!Q152)</f>
        <v/>
      </c>
      <c r="N152" s="8" t="str">
        <f>IF(Base_de_donnée_clients!R152="","",Base_de_donnée_clients!R152)</f>
        <v/>
      </c>
    </row>
    <row r="153" spans="1:14" ht="24" customHeight="1" x14ac:dyDescent="0.45">
      <c r="A153" s="16" t="str">
        <f>IF(Base_de_donnée_clients!A153="","",Base_de_donnée_clients!A153)</f>
        <v/>
      </c>
      <c r="B153" s="8" t="str">
        <f>IF(Base_de_donnée_clients!B153="","",Base_de_donnée_clients!B153)</f>
        <v/>
      </c>
      <c r="C153" s="8" t="str">
        <f>IF(Base_de_donnée_clients!C153="","",Base_de_donnée_clients!C153)</f>
        <v/>
      </c>
      <c r="D153" s="8" t="str">
        <f>IF(Base_de_donnée_clients!H153="","",Base_de_donnée_clients!H153)</f>
        <v/>
      </c>
      <c r="E153" s="8" t="str">
        <f>IF(Base_de_donnée_clients!I153="","",Base_de_donnée_clients!I153)</f>
        <v/>
      </c>
      <c r="F153" s="9" t="str">
        <f>IF(Base_de_donnée_clients!J153="","",Base_de_donnée_clients!J153)</f>
        <v/>
      </c>
      <c r="G153" s="9" t="str">
        <f>IF(Base_de_donnée_clients!K153="","",Base_de_donnée_clients!K153)</f>
        <v/>
      </c>
      <c r="H153" s="8" t="str">
        <f>IF(Base_de_donnée_clients!L153="","",Base_de_donnée_clients!L153)</f>
        <v/>
      </c>
      <c r="I153" s="8" t="str">
        <f>IF(Base_de_donnée_clients!M153="","",Base_de_donnée_clients!M153)</f>
        <v/>
      </c>
      <c r="J153" s="8" t="str">
        <f>IF(Base_de_donnée_clients!N153="","",Base_de_donnée_clients!N153)</f>
        <v/>
      </c>
      <c r="K153" s="9" t="str">
        <f>IF(Base_de_donnée_clients!O153="","",Base_de_donnée_clients!O153)</f>
        <v/>
      </c>
      <c r="L153" s="9" t="str">
        <f>IF(Base_de_donnée_clients!P153="","",Base_de_donnée_clients!P153)</f>
        <v/>
      </c>
      <c r="M153" s="9" t="str">
        <f>IF(Base_de_donnée_clients!Q153="","",Base_de_donnée_clients!Q153)</f>
        <v/>
      </c>
      <c r="N153" s="8" t="str">
        <f>IF(Base_de_donnée_clients!R153="","",Base_de_donnée_clients!R153)</f>
        <v/>
      </c>
    </row>
    <row r="154" spans="1:14" ht="24" customHeight="1" x14ac:dyDescent="0.45">
      <c r="A154" s="16" t="str">
        <f>IF(Base_de_donnée_clients!A154="","",Base_de_donnée_clients!A154)</f>
        <v/>
      </c>
      <c r="B154" s="8" t="str">
        <f>IF(Base_de_donnée_clients!B154="","",Base_de_donnée_clients!B154)</f>
        <v/>
      </c>
      <c r="C154" s="8" t="str">
        <f>IF(Base_de_donnée_clients!C154="","",Base_de_donnée_clients!C154)</f>
        <v/>
      </c>
      <c r="D154" s="8" t="str">
        <f>IF(Base_de_donnée_clients!H154="","",Base_de_donnée_clients!H154)</f>
        <v/>
      </c>
      <c r="E154" s="8" t="str">
        <f>IF(Base_de_donnée_clients!I154="","",Base_de_donnée_clients!I154)</f>
        <v/>
      </c>
      <c r="F154" s="9" t="str">
        <f>IF(Base_de_donnée_clients!J154="","",Base_de_donnée_clients!J154)</f>
        <v/>
      </c>
      <c r="G154" s="9" t="str">
        <f>IF(Base_de_donnée_clients!K154="","",Base_de_donnée_clients!K154)</f>
        <v/>
      </c>
      <c r="H154" s="8" t="str">
        <f>IF(Base_de_donnée_clients!L154="","",Base_de_donnée_clients!L154)</f>
        <v/>
      </c>
      <c r="I154" s="8" t="str">
        <f>IF(Base_de_donnée_clients!M154="","",Base_de_donnée_clients!M154)</f>
        <v/>
      </c>
      <c r="J154" s="8" t="str">
        <f>IF(Base_de_donnée_clients!N154="","",Base_de_donnée_clients!N154)</f>
        <v/>
      </c>
      <c r="K154" s="9" t="str">
        <f>IF(Base_de_donnée_clients!O154="","",Base_de_donnée_clients!O154)</f>
        <v/>
      </c>
      <c r="L154" s="9" t="str">
        <f>IF(Base_de_donnée_clients!P154="","",Base_de_donnée_clients!P154)</f>
        <v/>
      </c>
      <c r="M154" s="9" t="str">
        <f>IF(Base_de_donnée_clients!Q154="","",Base_de_donnée_clients!Q154)</f>
        <v/>
      </c>
      <c r="N154" s="8" t="str">
        <f>IF(Base_de_donnée_clients!R154="","",Base_de_donnée_clients!R154)</f>
        <v/>
      </c>
    </row>
    <row r="155" spans="1:14" ht="24" customHeight="1" x14ac:dyDescent="0.45">
      <c r="A155" s="16" t="str">
        <f>IF(Base_de_donnée_clients!A155="","",Base_de_donnée_clients!A155)</f>
        <v/>
      </c>
      <c r="B155" s="8" t="str">
        <f>IF(Base_de_donnée_clients!B155="","",Base_de_donnée_clients!B155)</f>
        <v/>
      </c>
      <c r="C155" s="8" t="str">
        <f>IF(Base_de_donnée_clients!C155="","",Base_de_donnée_clients!C155)</f>
        <v/>
      </c>
      <c r="D155" s="8" t="str">
        <f>IF(Base_de_donnée_clients!H155="","",Base_de_donnée_clients!H155)</f>
        <v/>
      </c>
      <c r="E155" s="8" t="str">
        <f>IF(Base_de_donnée_clients!I155="","",Base_de_donnée_clients!I155)</f>
        <v/>
      </c>
      <c r="F155" s="9" t="str">
        <f>IF(Base_de_donnée_clients!J155="","",Base_de_donnée_clients!J155)</f>
        <v/>
      </c>
      <c r="G155" s="9" t="str">
        <f>IF(Base_de_donnée_clients!K155="","",Base_de_donnée_clients!K155)</f>
        <v/>
      </c>
      <c r="H155" s="8" t="str">
        <f>IF(Base_de_donnée_clients!L155="","",Base_de_donnée_clients!L155)</f>
        <v/>
      </c>
      <c r="I155" s="8" t="str">
        <f>IF(Base_de_donnée_clients!M155="","",Base_de_donnée_clients!M155)</f>
        <v/>
      </c>
      <c r="J155" s="8" t="str">
        <f>IF(Base_de_donnée_clients!N155="","",Base_de_donnée_clients!N155)</f>
        <v/>
      </c>
      <c r="K155" s="9" t="str">
        <f>IF(Base_de_donnée_clients!O155="","",Base_de_donnée_clients!O155)</f>
        <v/>
      </c>
      <c r="L155" s="9" t="str">
        <f>IF(Base_de_donnée_clients!P155="","",Base_de_donnée_clients!P155)</f>
        <v/>
      </c>
      <c r="M155" s="9" t="str">
        <f>IF(Base_de_donnée_clients!Q155="","",Base_de_donnée_clients!Q155)</f>
        <v/>
      </c>
      <c r="N155" s="8" t="str">
        <f>IF(Base_de_donnée_clients!R155="","",Base_de_donnée_clients!R155)</f>
        <v/>
      </c>
    </row>
    <row r="156" spans="1:14" ht="24" customHeight="1" x14ac:dyDescent="0.45">
      <c r="A156" s="16" t="str">
        <f>IF(Base_de_donnée_clients!A156="","",Base_de_donnée_clients!A156)</f>
        <v/>
      </c>
      <c r="B156" s="8" t="str">
        <f>IF(Base_de_donnée_clients!B156="","",Base_de_donnée_clients!B156)</f>
        <v/>
      </c>
      <c r="C156" s="8" t="str">
        <f>IF(Base_de_donnée_clients!C156="","",Base_de_donnée_clients!C156)</f>
        <v/>
      </c>
      <c r="D156" s="8" t="str">
        <f>IF(Base_de_donnée_clients!H156="","",Base_de_donnée_clients!H156)</f>
        <v/>
      </c>
      <c r="E156" s="8" t="str">
        <f>IF(Base_de_donnée_clients!I156="","",Base_de_donnée_clients!I156)</f>
        <v/>
      </c>
      <c r="F156" s="9" t="str">
        <f>IF(Base_de_donnée_clients!J156="","",Base_de_donnée_clients!J156)</f>
        <v/>
      </c>
      <c r="G156" s="9" t="str">
        <f>IF(Base_de_donnée_clients!K156="","",Base_de_donnée_clients!K156)</f>
        <v/>
      </c>
      <c r="H156" s="8" t="str">
        <f>IF(Base_de_donnée_clients!L156="","",Base_de_donnée_clients!L156)</f>
        <v/>
      </c>
      <c r="I156" s="8" t="str">
        <f>IF(Base_de_donnée_clients!M156="","",Base_de_donnée_clients!M156)</f>
        <v/>
      </c>
      <c r="J156" s="8" t="str">
        <f>IF(Base_de_donnée_clients!N156="","",Base_de_donnée_clients!N156)</f>
        <v/>
      </c>
      <c r="K156" s="9" t="str">
        <f>IF(Base_de_donnée_clients!O156="","",Base_de_donnée_clients!O156)</f>
        <v/>
      </c>
      <c r="L156" s="9" t="str">
        <f>IF(Base_de_donnée_clients!P156="","",Base_de_donnée_clients!P156)</f>
        <v/>
      </c>
      <c r="M156" s="9" t="str">
        <f>IF(Base_de_donnée_clients!Q156="","",Base_de_donnée_clients!Q156)</f>
        <v/>
      </c>
      <c r="N156" s="8" t="str">
        <f>IF(Base_de_donnée_clients!R156="","",Base_de_donnée_clients!R156)</f>
        <v/>
      </c>
    </row>
    <row r="157" spans="1:14" ht="24" customHeight="1" x14ac:dyDescent="0.45">
      <c r="A157" s="16" t="str">
        <f>IF(Base_de_donnée_clients!A157="","",Base_de_donnée_clients!A157)</f>
        <v/>
      </c>
      <c r="B157" s="8" t="str">
        <f>IF(Base_de_donnée_clients!B157="","",Base_de_donnée_clients!B157)</f>
        <v/>
      </c>
      <c r="C157" s="8" t="str">
        <f>IF(Base_de_donnée_clients!C157="","",Base_de_donnée_clients!C157)</f>
        <v/>
      </c>
      <c r="D157" s="8" t="str">
        <f>IF(Base_de_donnée_clients!H157="","",Base_de_donnée_clients!H157)</f>
        <v/>
      </c>
      <c r="E157" s="8" t="str">
        <f>IF(Base_de_donnée_clients!I157="","",Base_de_donnée_clients!I157)</f>
        <v/>
      </c>
      <c r="F157" s="9" t="str">
        <f>IF(Base_de_donnée_clients!J157="","",Base_de_donnée_clients!J157)</f>
        <v/>
      </c>
      <c r="G157" s="9" t="str">
        <f>IF(Base_de_donnée_clients!K157="","",Base_de_donnée_clients!K157)</f>
        <v/>
      </c>
      <c r="H157" s="8" t="str">
        <f>IF(Base_de_donnée_clients!L157="","",Base_de_donnée_clients!L157)</f>
        <v/>
      </c>
      <c r="I157" s="8" t="str">
        <f>IF(Base_de_donnée_clients!M157="","",Base_de_donnée_clients!M157)</f>
        <v/>
      </c>
      <c r="J157" s="8" t="str">
        <f>IF(Base_de_donnée_clients!N157="","",Base_de_donnée_clients!N157)</f>
        <v/>
      </c>
      <c r="K157" s="9" t="str">
        <f>IF(Base_de_donnée_clients!O157="","",Base_de_donnée_clients!O157)</f>
        <v/>
      </c>
      <c r="L157" s="9" t="str">
        <f>IF(Base_de_donnée_clients!P157="","",Base_de_donnée_clients!P157)</f>
        <v/>
      </c>
      <c r="M157" s="9" t="str">
        <f>IF(Base_de_donnée_clients!Q157="","",Base_de_donnée_clients!Q157)</f>
        <v/>
      </c>
      <c r="N157" s="8" t="str">
        <f>IF(Base_de_donnée_clients!R157="","",Base_de_donnée_clients!R157)</f>
        <v/>
      </c>
    </row>
    <row r="158" spans="1:14" ht="24" customHeight="1" x14ac:dyDescent="0.45">
      <c r="A158" s="16" t="str">
        <f>IF(Base_de_donnée_clients!A158="","",Base_de_donnée_clients!A158)</f>
        <v/>
      </c>
      <c r="B158" s="8" t="str">
        <f>IF(Base_de_donnée_clients!B158="","",Base_de_donnée_clients!B158)</f>
        <v/>
      </c>
      <c r="C158" s="8" t="str">
        <f>IF(Base_de_donnée_clients!C158="","",Base_de_donnée_clients!C158)</f>
        <v/>
      </c>
      <c r="D158" s="8" t="str">
        <f>IF(Base_de_donnée_clients!H158="","",Base_de_donnée_clients!H158)</f>
        <v/>
      </c>
      <c r="E158" s="8" t="str">
        <f>IF(Base_de_donnée_clients!I158="","",Base_de_donnée_clients!I158)</f>
        <v/>
      </c>
      <c r="F158" s="9" t="str">
        <f>IF(Base_de_donnée_clients!J158="","",Base_de_donnée_clients!J158)</f>
        <v/>
      </c>
      <c r="G158" s="9" t="str">
        <f>IF(Base_de_donnée_clients!K158="","",Base_de_donnée_clients!K158)</f>
        <v/>
      </c>
      <c r="H158" s="8" t="str">
        <f>IF(Base_de_donnée_clients!L158="","",Base_de_donnée_clients!L158)</f>
        <v/>
      </c>
      <c r="I158" s="8" t="str">
        <f>IF(Base_de_donnée_clients!M158="","",Base_de_donnée_clients!M158)</f>
        <v/>
      </c>
      <c r="J158" s="8" t="str">
        <f>IF(Base_de_donnée_clients!N158="","",Base_de_donnée_clients!N158)</f>
        <v/>
      </c>
      <c r="K158" s="9" t="str">
        <f>IF(Base_de_donnée_clients!O158="","",Base_de_donnée_clients!O158)</f>
        <v/>
      </c>
      <c r="L158" s="9" t="str">
        <f>IF(Base_de_donnée_clients!P158="","",Base_de_donnée_clients!P158)</f>
        <v/>
      </c>
      <c r="M158" s="9" t="str">
        <f>IF(Base_de_donnée_clients!Q158="","",Base_de_donnée_clients!Q158)</f>
        <v/>
      </c>
      <c r="N158" s="8" t="str">
        <f>IF(Base_de_donnée_clients!R158="","",Base_de_donnée_clients!R158)</f>
        <v/>
      </c>
    </row>
    <row r="159" spans="1:14" ht="24" customHeight="1" x14ac:dyDescent="0.45">
      <c r="A159" s="16" t="str">
        <f>IF(Base_de_donnée_clients!A159="","",Base_de_donnée_clients!A159)</f>
        <v/>
      </c>
      <c r="B159" s="8" t="str">
        <f>IF(Base_de_donnée_clients!B159="","",Base_de_donnée_clients!B159)</f>
        <v/>
      </c>
      <c r="C159" s="8" t="str">
        <f>IF(Base_de_donnée_clients!C159="","",Base_de_donnée_clients!C159)</f>
        <v/>
      </c>
      <c r="D159" s="8" t="str">
        <f>IF(Base_de_donnée_clients!H159="","",Base_de_donnée_clients!H159)</f>
        <v/>
      </c>
      <c r="E159" s="8" t="str">
        <f>IF(Base_de_donnée_clients!I159="","",Base_de_donnée_clients!I159)</f>
        <v/>
      </c>
      <c r="F159" s="9" t="str">
        <f>IF(Base_de_donnée_clients!J159="","",Base_de_donnée_clients!J159)</f>
        <v/>
      </c>
      <c r="G159" s="9" t="str">
        <f>IF(Base_de_donnée_clients!K159="","",Base_de_donnée_clients!K159)</f>
        <v/>
      </c>
      <c r="H159" s="8" t="str">
        <f>IF(Base_de_donnée_clients!L159="","",Base_de_donnée_clients!L159)</f>
        <v/>
      </c>
      <c r="I159" s="8" t="str">
        <f>IF(Base_de_donnée_clients!M159="","",Base_de_donnée_clients!M159)</f>
        <v/>
      </c>
      <c r="J159" s="8" t="str">
        <f>IF(Base_de_donnée_clients!N159="","",Base_de_donnée_clients!N159)</f>
        <v/>
      </c>
      <c r="K159" s="9" t="str">
        <f>IF(Base_de_donnée_clients!O159="","",Base_de_donnée_clients!O159)</f>
        <v/>
      </c>
      <c r="L159" s="9" t="str">
        <f>IF(Base_de_donnée_clients!P159="","",Base_de_donnée_clients!P159)</f>
        <v/>
      </c>
      <c r="M159" s="9" t="str">
        <f>IF(Base_de_donnée_clients!Q159="","",Base_de_donnée_clients!Q159)</f>
        <v/>
      </c>
      <c r="N159" s="8" t="str">
        <f>IF(Base_de_donnée_clients!R159="","",Base_de_donnée_clients!R159)</f>
        <v/>
      </c>
    </row>
    <row r="160" spans="1:14" ht="24" customHeight="1" x14ac:dyDescent="0.45">
      <c r="A160" s="16" t="str">
        <f>IF(Base_de_donnée_clients!A160="","",Base_de_donnée_clients!A160)</f>
        <v/>
      </c>
      <c r="B160" s="8" t="str">
        <f>IF(Base_de_donnée_clients!B160="","",Base_de_donnée_clients!B160)</f>
        <v/>
      </c>
      <c r="C160" s="8" t="str">
        <f>IF(Base_de_donnée_clients!C160="","",Base_de_donnée_clients!C160)</f>
        <v/>
      </c>
      <c r="D160" s="8" t="str">
        <f>IF(Base_de_donnée_clients!H160="","",Base_de_donnée_clients!H160)</f>
        <v/>
      </c>
      <c r="E160" s="8" t="str">
        <f>IF(Base_de_donnée_clients!I160="","",Base_de_donnée_clients!I160)</f>
        <v/>
      </c>
      <c r="F160" s="9" t="str">
        <f>IF(Base_de_donnée_clients!J160="","",Base_de_donnée_clients!J160)</f>
        <v/>
      </c>
      <c r="G160" s="9" t="str">
        <f>IF(Base_de_donnée_clients!K160="","",Base_de_donnée_clients!K160)</f>
        <v/>
      </c>
      <c r="H160" s="8" t="str">
        <f>IF(Base_de_donnée_clients!L160="","",Base_de_donnée_clients!L160)</f>
        <v/>
      </c>
      <c r="I160" s="8" t="str">
        <f>IF(Base_de_donnée_clients!M160="","",Base_de_donnée_clients!M160)</f>
        <v/>
      </c>
      <c r="J160" s="8" t="str">
        <f>IF(Base_de_donnée_clients!N160="","",Base_de_donnée_clients!N160)</f>
        <v/>
      </c>
      <c r="K160" s="9" t="str">
        <f>IF(Base_de_donnée_clients!O160="","",Base_de_donnée_clients!O160)</f>
        <v/>
      </c>
      <c r="L160" s="9" t="str">
        <f>IF(Base_de_donnée_clients!P160="","",Base_de_donnée_clients!P160)</f>
        <v/>
      </c>
      <c r="M160" s="9" t="str">
        <f>IF(Base_de_donnée_clients!Q160="","",Base_de_donnée_clients!Q160)</f>
        <v/>
      </c>
      <c r="N160" s="8" t="str">
        <f>IF(Base_de_donnée_clients!R160="","",Base_de_donnée_clients!R160)</f>
        <v/>
      </c>
    </row>
    <row r="161" spans="1:14" ht="24" customHeight="1" x14ac:dyDescent="0.45">
      <c r="A161" s="16" t="str">
        <f>IF(Base_de_donnée_clients!A161="","",Base_de_donnée_clients!A161)</f>
        <v/>
      </c>
      <c r="B161" s="8" t="str">
        <f>IF(Base_de_donnée_clients!B161="","",Base_de_donnée_clients!B161)</f>
        <v/>
      </c>
      <c r="C161" s="8" t="str">
        <f>IF(Base_de_donnée_clients!C161="","",Base_de_donnée_clients!C161)</f>
        <v/>
      </c>
      <c r="D161" s="8" t="str">
        <f>IF(Base_de_donnée_clients!H161="","",Base_de_donnée_clients!H161)</f>
        <v/>
      </c>
      <c r="E161" s="8" t="str">
        <f>IF(Base_de_donnée_clients!I161="","",Base_de_donnée_clients!I161)</f>
        <v/>
      </c>
      <c r="F161" s="9" t="str">
        <f>IF(Base_de_donnée_clients!J161="","",Base_de_donnée_clients!J161)</f>
        <v/>
      </c>
      <c r="G161" s="9" t="str">
        <f>IF(Base_de_donnée_clients!K161="","",Base_de_donnée_clients!K161)</f>
        <v/>
      </c>
      <c r="H161" s="8" t="str">
        <f>IF(Base_de_donnée_clients!L161="","",Base_de_donnée_clients!L161)</f>
        <v/>
      </c>
      <c r="I161" s="8" t="str">
        <f>IF(Base_de_donnée_clients!M161="","",Base_de_donnée_clients!M161)</f>
        <v/>
      </c>
      <c r="J161" s="8" t="str">
        <f>IF(Base_de_donnée_clients!N161="","",Base_de_donnée_clients!N161)</f>
        <v/>
      </c>
      <c r="K161" s="9" t="str">
        <f>IF(Base_de_donnée_clients!O161="","",Base_de_donnée_clients!O161)</f>
        <v/>
      </c>
      <c r="L161" s="9" t="str">
        <f>IF(Base_de_donnée_clients!P161="","",Base_de_donnée_clients!P161)</f>
        <v/>
      </c>
      <c r="M161" s="9" t="str">
        <f>IF(Base_de_donnée_clients!Q161="","",Base_de_donnée_clients!Q161)</f>
        <v/>
      </c>
      <c r="N161" s="8" t="str">
        <f>IF(Base_de_donnée_clients!R161="","",Base_de_donnée_clients!R161)</f>
        <v/>
      </c>
    </row>
    <row r="162" spans="1:14" ht="24" customHeight="1" x14ac:dyDescent="0.45">
      <c r="A162" s="16" t="str">
        <f>IF(Base_de_donnée_clients!A162="","",Base_de_donnée_clients!A162)</f>
        <v/>
      </c>
      <c r="B162" s="8" t="str">
        <f>IF(Base_de_donnée_clients!B162="","",Base_de_donnée_clients!B162)</f>
        <v/>
      </c>
      <c r="C162" s="8" t="str">
        <f>IF(Base_de_donnée_clients!C162="","",Base_de_donnée_clients!C162)</f>
        <v/>
      </c>
      <c r="D162" s="8" t="str">
        <f>IF(Base_de_donnée_clients!H162="","",Base_de_donnée_clients!H162)</f>
        <v/>
      </c>
      <c r="E162" s="8" t="str">
        <f>IF(Base_de_donnée_clients!I162="","",Base_de_donnée_clients!I162)</f>
        <v/>
      </c>
      <c r="F162" s="9" t="str">
        <f>IF(Base_de_donnée_clients!J162="","",Base_de_donnée_clients!J162)</f>
        <v/>
      </c>
      <c r="G162" s="9" t="str">
        <f>IF(Base_de_donnée_clients!K162="","",Base_de_donnée_clients!K162)</f>
        <v/>
      </c>
      <c r="H162" s="8" t="str">
        <f>IF(Base_de_donnée_clients!L162="","",Base_de_donnée_clients!L162)</f>
        <v/>
      </c>
      <c r="I162" s="8" t="str">
        <f>IF(Base_de_donnée_clients!M162="","",Base_de_donnée_clients!M162)</f>
        <v/>
      </c>
      <c r="J162" s="8" t="str">
        <f>IF(Base_de_donnée_clients!N162="","",Base_de_donnée_clients!N162)</f>
        <v/>
      </c>
      <c r="K162" s="9" t="str">
        <f>IF(Base_de_donnée_clients!O162="","",Base_de_donnée_clients!O162)</f>
        <v/>
      </c>
      <c r="L162" s="9" t="str">
        <f>IF(Base_de_donnée_clients!P162="","",Base_de_donnée_clients!P162)</f>
        <v/>
      </c>
      <c r="M162" s="9" t="str">
        <f>IF(Base_de_donnée_clients!Q162="","",Base_de_donnée_clients!Q162)</f>
        <v/>
      </c>
      <c r="N162" s="8" t="str">
        <f>IF(Base_de_donnée_clients!R162="","",Base_de_donnée_clients!R162)</f>
        <v/>
      </c>
    </row>
    <row r="163" spans="1:14" ht="24" customHeight="1" x14ac:dyDescent="0.45">
      <c r="A163" s="16" t="str">
        <f>IF(Base_de_donnée_clients!A163="","",Base_de_donnée_clients!A163)</f>
        <v/>
      </c>
      <c r="B163" s="8" t="str">
        <f>IF(Base_de_donnée_clients!B163="","",Base_de_donnée_clients!B163)</f>
        <v/>
      </c>
      <c r="C163" s="8" t="str">
        <f>IF(Base_de_donnée_clients!C163="","",Base_de_donnée_clients!C163)</f>
        <v/>
      </c>
      <c r="D163" s="8" t="str">
        <f>IF(Base_de_donnée_clients!H163="","",Base_de_donnée_clients!H163)</f>
        <v/>
      </c>
      <c r="E163" s="8" t="str">
        <f>IF(Base_de_donnée_clients!I163="","",Base_de_donnée_clients!I163)</f>
        <v/>
      </c>
      <c r="F163" s="9" t="str">
        <f>IF(Base_de_donnée_clients!J163="","",Base_de_donnée_clients!J163)</f>
        <v/>
      </c>
      <c r="G163" s="9" t="str">
        <f>IF(Base_de_donnée_clients!K163="","",Base_de_donnée_clients!K163)</f>
        <v/>
      </c>
      <c r="H163" s="8" t="str">
        <f>IF(Base_de_donnée_clients!L163="","",Base_de_donnée_clients!L163)</f>
        <v/>
      </c>
      <c r="I163" s="8" t="str">
        <f>IF(Base_de_donnée_clients!M163="","",Base_de_donnée_clients!M163)</f>
        <v/>
      </c>
      <c r="J163" s="8" t="str">
        <f>IF(Base_de_donnée_clients!N163="","",Base_de_donnée_clients!N163)</f>
        <v/>
      </c>
      <c r="K163" s="9" t="str">
        <f>IF(Base_de_donnée_clients!O163="","",Base_de_donnée_clients!O163)</f>
        <v/>
      </c>
      <c r="L163" s="9" t="str">
        <f>IF(Base_de_donnée_clients!P163="","",Base_de_donnée_clients!P163)</f>
        <v/>
      </c>
      <c r="M163" s="9" t="str">
        <f>IF(Base_de_donnée_clients!Q163="","",Base_de_donnée_clients!Q163)</f>
        <v/>
      </c>
      <c r="N163" s="8" t="str">
        <f>IF(Base_de_donnée_clients!R163="","",Base_de_donnée_clients!R163)</f>
        <v/>
      </c>
    </row>
    <row r="164" spans="1:14" ht="24" customHeight="1" x14ac:dyDescent="0.45">
      <c r="A164" s="16" t="str">
        <f>IF(Base_de_donnée_clients!A164="","",Base_de_donnée_clients!A164)</f>
        <v/>
      </c>
      <c r="B164" s="8" t="str">
        <f>IF(Base_de_donnée_clients!B164="","",Base_de_donnée_clients!B164)</f>
        <v/>
      </c>
      <c r="C164" s="8" t="str">
        <f>IF(Base_de_donnée_clients!C164="","",Base_de_donnée_clients!C164)</f>
        <v/>
      </c>
      <c r="D164" s="8" t="str">
        <f>IF(Base_de_donnée_clients!H164="","",Base_de_donnée_clients!H164)</f>
        <v/>
      </c>
      <c r="E164" s="8" t="str">
        <f>IF(Base_de_donnée_clients!I164="","",Base_de_donnée_clients!I164)</f>
        <v/>
      </c>
      <c r="F164" s="9" t="str">
        <f>IF(Base_de_donnée_clients!J164="","",Base_de_donnée_clients!J164)</f>
        <v/>
      </c>
      <c r="G164" s="9" t="str">
        <f>IF(Base_de_donnée_clients!K164="","",Base_de_donnée_clients!K164)</f>
        <v/>
      </c>
      <c r="H164" s="8" t="str">
        <f>IF(Base_de_donnée_clients!L164="","",Base_de_donnée_clients!L164)</f>
        <v/>
      </c>
      <c r="I164" s="8" t="str">
        <f>IF(Base_de_donnée_clients!M164="","",Base_de_donnée_clients!M164)</f>
        <v/>
      </c>
      <c r="J164" s="8" t="str">
        <f>IF(Base_de_donnée_clients!N164="","",Base_de_donnée_clients!N164)</f>
        <v/>
      </c>
      <c r="K164" s="9" t="str">
        <f>IF(Base_de_donnée_clients!O164="","",Base_de_donnée_clients!O164)</f>
        <v/>
      </c>
      <c r="L164" s="9" t="str">
        <f>IF(Base_de_donnée_clients!P164="","",Base_de_donnée_clients!P164)</f>
        <v/>
      </c>
      <c r="M164" s="9" t="str">
        <f>IF(Base_de_donnée_clients!Q164="","",Base_de_donnée_clients!Q164)</f>
        <v/>
      </c>
      <c r="N164" s="8" t="str">
        <f>IF(Base_de_donnée_clients!R164="","",Base_de_donnée_clients!R164)</f>
        <v/>
      </c>
    </row>
    <row r="165" spans="1:14" ht="24" customHeight="1" x14ac:dyDescent="0.45">
      <c r="A165" s="16" t="str">
        <f>IF(Base_de_donnée_clients!A165="","",Base_de_donnée_clients!A165)</f>
        <v/>
      </c>
      <c r="B165" s="8" t="str">
        <f>IF(Base_de_donnée_clients!B165="","",Base_de_donnée_clients!B165)</f>
        <v/>
      </c>
      <c r="C165" s="8" t="str">
        <f>IF(Base_de_donnée_clients!C165="","",Base_de_donnée_clients!C165)</f>
        <v/>
      </c>
      <c r="D165" s="8" t="str">
        <f>IF(Base_de_donnée_clients!H165="","",Base_de_donnée_clients!H165)</f>
        <v/>
      </c>
      <c r="E165" s="8" t="str">
        <f>IF(Base_de_donnée_clients!I165="","",Base_de_donnée_clients!I165)</f>
        <v/>
      </c>
      <c r="F165" s="9" t="str">
        <f>IF(Base_de_donnée_clients!J165="","",Base_de_donnée_clients!J165)</f>
        <v/>
      </c>
      <c r="G165" s="9" t="str">
        <f>IF(Base_de_donnée_clients!K165="","",Base_de_donnée_clients!K165)</f>
        <v/>
      </c>
      <c r="H165" s="8" t="str">
        <f>IF(Base_de_donnée_clients!L165="","",Base_de_donnée_clients!L165)</f>
        <v/>
      </c>
      <c r="I165" s="8" t="str">
        <f>IF(Base_de_donnée_clients!M165="","",Base_de_donnée_clients!M165)</f>
        <v/>
      </c>
      <c r="J165" s="8" t="str">
        <f>IF(Base_de_donnée_clients!N165="","",Base_de_donnée_clients!N165)</f>
        <v/>
      </c>
      <c r="K165" s="9" t="str">
        <f>IF(Base_de_donnée_clients!O165="","",Base_de_donnée_clients!O165)</f>
        <v/>
      </c>
      <c r="L165" s="9" t="str">
        <f>IF(Base_de_donnée_clients!P165="","",Base_de_donnée_clients!P165)</f>
        <v/>
      </c>
      <c r="M165" s="9" t="str">
        <f>IF(Base_de_donnée_clients!Q165="","",Base_de_donnée_clients!Q165)</f>
        <v/>
      </c>
      <c r="N165" s="8" t="str">
        <f>IF(Base_de_donnée_clients!R165="","",Base_de_donnée_clients!R165)</f>
        <v/>
      </c>
    </row>
    <row r="166" spans="1:14" ht="24" customHeight="1" x14ac:dyDescent="0.45">
      <c r="A166" s="16" t="str">
        <f>IF(Base_de_donnée_clients!A166="","",Base_de_donnée_clients!A166)</f>
        <v/>
      </c>
      <c r="B166" s="8" t="str">
        <f>IF(Base_de_donnée_clients!B166="","",Base_de_donnée_clients!B166)</f>
        <v/>
      </c>
      <c r="C166" s="8" t="str">
        <f>IF(Base_de_donnée_clients!C166="","",Base_de_donnée_clients!C166)</f>
        <v/>
      </c>
      <c r="D166" s="8" t="str">
        <f>IF(Base_de_donnée_clients!H166="","",Base_de_donnée_clients!H166)</f>
        <v/>
      </c>
      <c r="E166" s="8" t="str">
        <f>IF(Base_de_donnée_clients!I166="","",Base_de_donnée_clients!I166)</f>
        <v/>
      </c>
      <c r="F166" s="9" t="str">
        <f>IF(Base_de_donnée_clients!J166="","",Base_de_donnée_clients!J166)</f>
        <v/>
      </c>
      <c r="G166" s="9" t="str">
        <f>IF(Base_de_donnée_clients!K166="","",Base_de_donnée_clients!K166)</f>
        <v/>
      </c>
      <c r="H166" s="8" t="str">
        <f>IF(Base_de_donnée_clients!L166="","",Base_de_donnée_clients!L166)</f>
        <v/>
      </c>
      <c r="I166" s="8" t="str">
        <f>IF(Base_de_donnée_clients!M166="","",Base_de_donnée_clients!M166)</f>
        <v/>
      </c>
      <c r="J166" s="8" t="str">
        <f>IF(Base_de_donnée_clients!N166="","",Base_de_donnée_clients!N166)</f>
        <v/>
      </c>
      <c r="K166" s="9" t="str">
        <f>IF(Base_de_donnée_clients!O166="","",Base_de_donnée_clients!O166)</f>
        <v/>
      </c>
      <c r="L166" s="9" t="str">
        <f>IF(Base_de_donnée_clients!P166="","",Base_de_donnée_clients!P166)</f>
        <v/>
      </c>
      <c r="M166" s="9" t="str">
        <f>IF(Base_de_donnée_clients!Q166="","",Base_de_donnée_clients!Q166)</f>
        <v/>
      </c>
      <c r="N166" s="8" t="str">
        <f>IF(Base_de_donnée_clients!R166="","",Base_de_donnée_clients!R166)</f>
        <v/>
      </c>
    </row>
    <row r="167" spans="1:14" ht="24" customHeight="1" x14ac:dyDescent="0.45">
      <c r="A167" s="16" t="str">
        <f>IF(Base_de_donnée_clients!A167="","",Base_de_donnée_clients!A167)</f>
        <v/>
      </c>
      <c r="B167" s="8" t="str">
        <f>IF(Base_de_donnée_clients!B167="","",Base_de_donnée_clients!B167)</f>
        <v/>
      </c>
      <c r="C167" s="8" t="str">
        <f>IF(Base_de_donnée_clients!C167="","",Base_de_donnée_clients!C167)</f>
        <v/>
      </c>
      <c r="D167" s="8" t="str">
        <f>IF(Base_de_donnée_clients!H167="","",Base_de_donnée_clients!H167)</f>
        <v/>
      </c>
      <c r="E167" s="8" t="str">
        <f>IF(Base_de_donnée_clients!I167="","",Base_de_donnée_clients!I167)</f>
        <v/>
      </c>
      <c r="F167" s="9" t="str">
        <f>IF(Base_de_donnée_clients!J167="","",Base_de_donnée_clients!J167)</f>
        <v/>
      </c>
      <c r="G167" s="9" t="str">
        <f>IF(Base_de_donnée_clients!K167="","",Base_de_donnée_clients!K167)</f>
        <v/>
      </c>
      <c r="H167" s="8" t="str">
        <f>IF(Base_de_donnée_clients!L167="","",Base_de_donnée_clients!L167)</f>
        <v/>
      </c>
      <c r="I167" s="8" t="str">
        <f>IF(Base_de_donnée_clients!M167="","",Base_de_donnée_clients!M167)</f>
        <v/>
      </c>
      <c r="J167" s="8" t="str">
        <f>IF(Base_de_donnée_clients!N167="","",Base_de_donnée_clients!N167)</f>
        <v/>
      </c>
      <c r="K167" s="9" t="str">
        <f>IF(Base_de_donnée_clients!O167="","",Base_de_donnée_clients!O167)</f>
        <v/>
      </c>
      <c r="L167" s="9" t="str">
        <f>IF(Base_de_donnée_clients!P167="","",Base_de_donnée_clients!P167)</f>
        <v/>
      </c>
      <c r="M167" s="9" t="str">
        <f>IF(Base_de_donnée_clients!Q167="","",Base_de_donnée_clients!Q167)</f>
        <v/>
      </c>
      <c r="N167" s="8" t="str">
        <f>IF(Base_de_donnée_clients!R167="","",Base_de_donnée_clients!R167)</f>
        <v/>
      </c>
    </row>
    <row r="168" spans="1:14" ht="24" customHeight="1" x14ac:dyDescent="0.45">
      <c r="A168" s="16" t="str">
        <f>IF(Base_de_donnée_clients!A168="","",Base_de_donnée_clients!A168)</f>
        <v/>
      </c>
      <c r="B168" s="8" t="str">
        <f>IF(Base_de_donnée_clients!B168="","",Base_de_donnée_clients!B168)</f>
        <v/>
      </c>
      <c r="C168" s="8" t="str">
        <f>IF(Base_de_donnée_clients!C168="","",Base_de_donnée_clients!C168)</f>
        <v/>
      </c>
      <c r="D168" s="8" t="str">
        <f>IF(Base_de_donnée_clients!H168="","",Base_de_donnée_clients!H168)</f>
        <v/>
      </c>
      <c r="E168" s="8" t="str">
        <f>IF(Base_de_donnée_clients!I168="","",Base_de_donnée_clients!I168)</f>
        <v/>
      </c>
      <c r="F168" s="9" t="str">
        <f>IF(Base_de_donnée_clients!J168="","",Base_de_donnée_clients!J168)</f>
        <v/>
      </c>
      <c r="G168" s="9" t="str">
        <f>IF(Base_de_donnée_clients!K168="","",Base_de_donnée_clients!K168)</f>
        <v/>
      </c>
      <c r="H168" s="8" t="str">
        <f>IF(Base_de_donnée_clients!L168="","",Base_de_donnée_clients!L168)</f>
        <v/>
      </c>
      <c r="I168" s="8" t="str">
        <f>IF(Base_de_donnée_clients!M168="","",Base_de_donnée_clients!M168)</f>
        <v/>
      </c>
      <c r="J168" s="8" t="str">
        <f>IF(Base_de_donnée_clients!N168="","",Base_de_donnée_clients!N168)</f>
        <v/>
      </c>
      <c r="K168" s="9" t="str">
        <f>IF(Base_de_donnée_clients!O168="","",Base_de_donnée_clients!O168)</f>
        <v/>
      </c>
      <c r="L168" s="9" t="str">
        <f>IF(Base_de_donnée_clients!P168="","",Base_de_donnée_clients!P168)</f>
        <v/>
      </c>
      <c r="M168" s="9" t="str">
        <f>IF(Base_de_donnée_clients!Q168="","",Base_de_donnée_clients!Q168)</f>
        <v/>
      </c>
      <c r="N168" s="8" t="str">
        <f>IF(Base_de_donnée_clients!R168="","",Base_de_donnée_clients!R168)</f>
        <v/>
      </c>
    </row>
    <row r="169" spans="1:14" ht="24" customHeight="1" x14ac:dyDescent="0.45">
      <c r="A169" s="16" t="str">
        <f>IF(Base_de_donnée_clients!A169="","",Base_de_donnée_clients!A169)</f>
        <v/>
      </c>
      <c r="B169" s="8" t="str">
        <f>IF(Base_de_donnée_clients!B169="","",Base_de_donnée_clients!B169)</f>
        <v/>
      </c>
      <c r="C169" s="8" t="str">
        <f>IF(Base_de_donnée_clients!C169="","",Base_de_donnée_clients!C169)</f>
        <v/>
      </c>
      <c r="D169" s="8" t="str">
        <f>IF(Base_de_donnée_clients!H169="","",Base_de_donnée_clients!H169)</f>
        <v/>
      </c>
      <c r="E169" s="8" t="str">
        <f>IF(Base_de_donnée_clients!I169="","",Base_de_donnée_clients!I169)</f>
        <v/>
      </c>
      <c r="F169" s="9" t="str">
        <f>IF(Base_de_donnée_clients!J169="","",Base_de_donnée_clients!J169)</f>
        <v/>
      </c>
      <c r="G169" s="9" t="str">
        <f>IF(Base_de_donnée_clients!K169="","",Base_de_donnée_clients!K169)</f>
        <v/>
      </c>
      <c r="H169" s="8" t="str">
        <f>IF(Base_de_donnée_clients!L169="","",Base_de_donnée_clients!L169)</f>
        <v/>
      </c>
      <c r="I169" s="8" t="str">
        <f>IF(Base_de_donnée_clients!M169="","",Base_de_donnée_clients!M169)</f>
        <v/>
      </c>
      <c r="J169" s="8" t="str">
        <f>IF(Base_de_donnée_clients!N169="","",Base_de_donnée_clients!N169)</f>
        <v/>
      </c>
      <c r="K169" s="9" t="str">
        <f>IF(Base_de_donnée_clients!O169="","",Base_de_donnée_clients!O169)</f>
        <v/>
      </c>
      <c r="L169" s="9" t="str">
        <f>IF(Base_de_donnée_clients!P169="","",Base_de_donnée_clients!P169)</f>
        <v/>
      </c>
      <c r="M169" s="9" t="str">
        <f>IF(Base_de_donnée_clients!Q169="","",Base_de_donnée_clients!Q169)</f>
        <v/>
      </c>
      <c r="N169" s="8" t="str">
        <f>IF(Base_de_donnée_clients!R169="","",Base_de_donnée_clients!R169)</f>
        <v/>
      </c>
    </row>
    <row r="170" spans="1:14" ht="24" customHeight="1" x14ac:dyDescent="0.45">
      <c r="A170" s="16" t="str">
        <f>IF(Base_de_donnée_clients!A170="","",Base_de_donnée_clients!A170)</f>
        <v/>
      </c>
      <c r="B170" s="8" t="str">
        <f>IF(Base_de_donnée_clients!B170="","",Base_de_donnée_clients!B170)</f>
        <v/>
      </c>
      <c r="C170" s="8" t="str">
        <f>IF(Base_de_donnée_clients!C170="","",Base_de_donnée_clients!C170)</f>
        <v/>
      </c>
      <c r="D170" s="8" t="str">
        <f>IF(Base_de_donnée_clients!H170="","",Base_de_donnée_clients!H170)</f>
        <v/>
      </c>
      <c r="E170" s="8" t="str">
        <f>IF(Base_de_donnée_clients!I170="","",Base_de_donnée_clients!I170)</f>
        <v/>
      </c>
      <c r="F170" s="9" t="str">
        <f>IF(Base_de_donnée_clients!J170="","",Base_de_donnée_clients!J170)</f>
        <v/>
      </c>
      <c r="G170" s="9" t="str">
        <f>IF(Base_de_donnée_clients!K170="","",Base_de_donnée_clients!K170)</f>
        <v/>
      </c>
      <c r="H170" s="8" t="str">
        <f>IF(Base_de_donnée_clients!L170="","",Base_de_donnée_clients!L170)</f>
        <v/>
      </c>
      <c r="I170" s="8" t="str">
        <f>IF(Base_de_donnée_clients!M170="","",Base_de_donnée_clients!M170)</f>
        <v/>
      </c>
      <c r="J170" s="8" t="str">
        <f>IF(Base_de_donnée_clients!N170="","",Base_de_donnée_clients!N170)</f>
        <v/>
      </c>
      <c r="K170" s="9" t="str">
        <f>IF(Base_de_donnée_clients!O170="","",Base_de_donnée_clients!O170)</f>
        <v/>
      </c>
      <c r="L170" s="9" t="str">
        <f>IF(Base_de_donnée_clients!P170="","",Base_de_donnée_clients!P170)</f>
        <v/>
      </c>
      <c r="M170" s="9" t="str">
        <f>IF(Base_de_donnée_clients!Q170="","",Base_de_donnée_clients!Q170)</f>
        <v/>
      </c>
      <c r="N170" s="8" t="str">
        <f>IF(Base_de_donnée_clients!R170="","",Base_de_donnée_clients!R170)</f>
        <v/>
      </c>
    </row>
    <row r="171" spans="1:14" ht="24" customHeight="1" x14ac:dyDescent="0.45">
      <c r="A171" s="16" t="str">
        <f>IF(Base_de_donnée_clients!A171="","",Base_de_donnée_clients!A171)</f>
        <v/>
      </c>
      <c r="B171" s="8" t="str">
        <f>IF(Base_de_donnée_clients!B171="","",Base_de_donnée_clients!B171)</f>
        <v/>
      </c>
      <c r="C171" s="8" t="str">
        <f>IF(Base_de_donnée_clients!C171="","",Base_de_donnée_clients!C171)</f>
        <v/>
      </c>
      <c r="D171" s="8" t="str">
        <f>IF(Base_de_donnée_clients!H171="","",Base_de_donnée_clients!H171)</f>
        <v/>
      </c>
      <c r="E171" s="8" t="str">
        <f>IF(Base_de_donnée_clients!I171="","",Base_de_donnée_clients!I171)</f>
        <v/>
      </c>
      <c r="F171" s="9" t="str">
        <f>IF(Base_de_donnée_clients!J171="","",Base_de_donnée_clients!J171)</f>
        <v/>
      </c>
      <c r="G171" s="9" t="str">
        <f>IF(Base_de_donnée_clients!K171="","",Base_de_donnée_clients!K171)</f>
        <v/>
      </c>
      <c r="H171" s="8" t="str">
        <f>IF(Base_de_donnée_clients!L171="","",Base_de_donnée_clients!L171)</f>
        <v/>
      </c>
      <c r="I171" s="8" t="str">
        <f>IF(Base_de_donnée_clients!M171="","",Base_de_donnée_clients!M171)</f>
        <v/>
      </c>
      <c r="J171" s="8" t="str">
        <f>IF(Base_de_donnée_clients!N171="","",Base_de_donnée_clients!N171)</f>
        <v/>
      </c>
      <c r="K171" s="9" t="str">
        <f>IF(Base_de_donnée_clients!O171="","",Base_de_donnée_clients!O171)</f>
        <v/>
      </c>
      <c r="L171" s="9" t="str">
        <f>IF(Base_de_donnée_clients!P171="","",Base_de_donnée_clients!P171)</f>
        <v/>
      </c>
      <c r="M171" s="9" t="str">
        <f>IF(Base_de_donnée_clients!Q171="","",Base_de_donnée_clients!Q171)</f>
        <v/>
      </c>
      <c r="N171" s="8" t="str">
        <f>IF(Base_de_donnée_clients!R171="","",Base_de_donnée_clients!R171)</f>
        <v/>
      </c>
    </row>
    <row r="172" spans="1:14" ht="24" customHeight="1" x14ac:dyDescent="0.45">
      <c r="A172" s="16" t="str">
        <f>IF(Base_de_donnée_clients!A172="","",Base_de_donnée_clients!A172)</f>
        <v/>
      </c>
      <c r="B172" s="8" t="str">
        <f>IF(Base_de_donnée_clients!B172="","",Base_de_donnée_clients!B172)</f>
        <v/>
      </c>
      <c r="C172" s="8" t="str">
        <f>IF(Base_de_donnée_clients!C172="","",Base_de_donnée_clients!C172)</f>
        <v/>
      </c>
      <c r="D172" s="8" t="str">
        <f>IF(Base_de_donnée_clients!H172="","",Base_de_donnée_clients!H172)</f>
        <v/>
      </c>
      <c r="E172" s="8" t="str">
        <f>IF(Base_de_donnée_clients!I172="","",Base_de_donnée_clients!I172)</f>
        <v/>
      </c>
      <c r="F172" s="9" t="str">
        <f>IF(Base_de_donnée_clients!J172="","",Base_de_donnée_clients!J172)</f>
        <v/>
      </c>
      <c r="G172" s="9" t="str">
        <f>IF(Base_de_donnée_clients!K172="","",Base_de_donnée_clients!K172)</f>
        <v/>
      </c>
      <c r="H172" s="8" t="str">
        <f>IF(Base_de_donnée_clients!L172="","",Base_de_donnée_clients!L172)</f>
        <v/>
      </c>
      <c r="I172" s="8" t="str">
        <f>IF(Base_de_donnée_clients!M172="","",Base_de_donnée_clients!M172)</f>
        <v/>
      </c>
      <c r="J172" s="8" t="str">
        <f>IF(Base_de_donnée_clients!N172="","",Base_de_donnée_clients!N172)</f>
        <v/>
      </c>
      <c r="K172" s="9" t="str">
        <f>IF(Base_de_donnée_clients!O172="","",Base_de_donnée_clients!O172)</f>
        <v/>
      </c>
      <c r="L172" s="9" t="str">
        <f>IF(Base_de_donnée_clients!P172="","",Base_de_donnée_clients!P172)</f>
        <v/>
      </c>
      <c r="M172" s="9" t="str">
        <f>IF(Base_de_donnée_clients!Q172="","",Base_de_donnée_clients!Q172)</f>
        <v/>
      </c>
      <c r="N172" s="8" t="str">
        <f>IF(Base_de_donnée_clients!R172="","",Base_de_donnée_clients!R172)</f>
        <v/>
      </c>
    </row>
    <row r="173" spans="1:14" ht="24" customHeight="1" x14ac:dyDescent="0.45">
      <c r="A173" s="16" t="str">
        <f>IF(Base_de_donnée_clients!A173="","",Base_de_donnée_clients!A173)</f>
        <v/>
      </c>
      <c r="B173" s="8" t="str">
        <f>IF(Base_de_donnée_clients!B173="","",Base_de_donnée_clients!B173)</f>
        <v/>
      </c>
      <c r="C173" s="8" t="str">
        <f>IF(Base_de_donnée_clients!C173="","",Base_de_donnée_clients!C173)</f>
        <v/>
      </c>
      <c r="D173" s="8" t="str">
        <f>IF(Base_de_donnée_clients!H173="","",Base_de_donnée_clients!H173)</f>
        <v/>
      </c>
      <c r="E173" s="8" t="str">
        <f>IF(Base_de_donnée_clients!I173="","",Base_de_donnée_clients!I173)</f>
        <v/>
      </c>
      <c r="F173" s="9" t="str">
        <f>IF(Base_de_donnée_clients!J173="","",Base_de_donnée_clients!J173)</f>
        <v/>
      </c>
      <c r="G173" s="9" t="str">
        <f>IF(Base_de_donnée_clients!K173="","",Base_de_donnée_clients!K173)</f>
        <v/>
      </c>
      <c r="H173" s="8" t="str">
        <f>IF(Base_de_donnée_clients!L173="","",Base_de_donnée_clients!L173)</f>
        <v/>
      </c>
      <c r="I173" s="8" t="str">
        <f>IF(Base_de_donnée_clients!M173="","",Base_de_donnée_clients!M173)</f>
        <v/>
      </c>
      <c r="J173" s="8" t="str">
        <f>IF(Base_de_donnée_clients!N173="","",Base_de_donnée_clients!N173)</f>
        <v/>
      </c>
      <c r="K173" s="9" t="str">
        <f>IF(Base_de_donnée_clients!O173="","",Base_de_donnée_clients!O173)</f>
        <v/>
      </c>
      <c r="L173" s="9" t="str">
        <f>IF(Base_de_donnée_clients!P173="","",Base_de_donnée_clients!P173)</f>
        <v/>
      </c>
      <c r="M173" s="9" t="str">
        <f>IF(Base_de_donnée_clients!Q173="","",Base_de_donnée_clients!Q173)</f>
        <v/>
      </c>
      <c r="N173" s="8" t="str">
        <f>IF(Base_de_donnée_clients!R173="","",Base_de_donnée_clients!R173)</f>
        <v/>
      </c>
    </row>
    <row r="174" spans="1:14" ht="24" customHeight="1" x14ac:dyDescent="0.45">
      <c r="A174" s="16" t="str">
        <f>IF(Base_de_donnée_clients!A174="","",Base_de_donnée_clients!A174)</f>
        <v/>
      </c>
      <c r="B174" s="8" t="str">
        <f>IF(Base_de_donnée_clients!B174="","",Base_de_donnée_clients!B174)</f>
        <v/>
      </c>
      <c r="C174" s="8" t="str">
        <f>IF(Base_de_donnée_clients!C174="","",Base_de_donnée_clients!C174)</f>
        <v/>
      </c>
      <c r="D174" s="8" t="str">
        <f>IF(Base_de_donnée_clients!H174="","",Base_de_donnée_clients!H174)</f>
        <v/>
      </c>
      <c r="E174" s="8" t="str">
        <f>IF(Base_de_donnée_clients!I174="","",Base_de_donnée_clients!I174)</f>
        <v/>
      </c>
      <c r="F174" s="9" t="str">
        <f>IF(Base_de_donnée_clients!J174="","",Base_de_donnée_clients!J174)</f>
        <v/>
      </c>
      <c r="G174" s="9" t="str">
        <f>IF(Base_de_donnée_clients!K174="","",Base_de_donnée_clients!K174)</f>
        <v/>
      </c>
      <c r="H174" s="8" t="str">
        <f>IF(Base_de_donnée_clients!L174="","",Base_de_donnée_clients!L174)</f>
        <v/>
      </c>
      <c r="I174" s="8" t="str">
        <f>IF(Base_de_donnée_clients!M174="","",Base_de_donnée_clients!M174)</f>
        <v/>
      </c>
      <c r="J174" s="8" t="str">
        <f>IF(Base_de_donnée_clients!N174="","",Base_de_donnée_clients!N174)</f>
        <v/>
      </c>
      <c r="K174" s="9" t="str">
        <f>IF(Base_de_donnée_clients!O174="","",Base_de_donnée_clients!O174)</f>
        <v/>
      </c>
      <c r="L174" s="9" t="str">
        <f>IF(Base_de_donnée_clients!P174="","",Base_de_donnée_clients!P174)</f>
        <v/>
      </c>
      <c r="M174" s="9" t="str">
        <f>IF(Base_de_donnée_clients!Q174="","",Base_de_donnée_clients!Q174)</f>
        <v/>
      </c>
      <c r="N174" s="8" t="str">
        <f>IF(Base_de_donnée_clients!R174="","",Base_de_donnée_clients!R174)</f>
        <v/>
      </c>
    </row>
    <row r="175" spans="1:14" ht="24" customHeight="1" x14ac:dyDescent="0.45">
      <c r="A175" s="16" t="str">
        <f>IF(Base_de_donnée_clients!A175="","",Base_de_donnée_clients!A175)</f>
        <v/>
      </c>
      <c r="B175" s="8" t="str">
        <f>IF(Base_de_donnée_clients!B175="","",Base_de_donnée_clients!B175)</f>
        <v/>
      </c>
      <c r="C175" s="8" t="str">
        <f>IF(Base_de_donnée_clients!C175="","",Base_de_donnée_clients!C175)</f>
        <v/>
      </c>
      <c r="D175" s="8" t="str">
        <f>IF(Base_de_donnée_clients!H175="","",Base_de_donnée_clients!H175)</f>
        <v/>
      </c>
      <c r="E175" s="8" t="str">
        <f>IF(Base_de_donnée_clients!I175="","",Base_de_donnée_clients!I175)</f>
        <v/>
      </c>
      <c r="F175" s="9" t="str">
        <f>IF(Base_de_donnée_clients!J175="","",Base_de_donnée_clients!J175)</f>
        <v/>
      </c>
      <c r="G175" s="9" t="str">
        <f>IF(Base_de_donnée_clients!K175="","",Base_de_donnée_clients!K175)</f>
        <v/>
      </c>
      <c r="H175" s="8" t="str">
        <f>IF(Base_de_donnée_clients!L175="","",Base_de_donnée_clients!L175)</f>
        <v/>
      </c>
      <c r="I175" s="8" t="str">
        <f>IF(Base_de_donnée_clients!M175="","",Base_de_donnée_clients!M175)</f>
        <v/>
      </c>
      <c r="J175" s="8" t="str">
        <f>IF(Base_de_donnée_clients!N175="","",Base_de_donnée_clients!N175)</f>
        <v/>
      </c>
      <c r="K175" s="9" t="str">
        <f>IF(Base_de_donnée_clients!O175="","",Base_de_donnée_clients!O175)</f>
        <v/>
      </c>
      <c r="L175" s="9" t="str">
        <f>IF(Base_de_donnée_clients!P175="","",Base_de_donnée_clients!P175)</f>
        <v/>
      </c>
      <c r="M175" s="9" t="str">
        <f>IF(Base_de_donnée_clients!Q175="","",Base_de_donnée_clients!Q175)</f>
        <v/>
      </c>
      <c r="N175" s="8" t="str">
        <f>IF(Base_de_donnée_clients!R175="","",Base_de_donnée_clients!R175)</f>
        <v/>
      </c>
    </row>
    <row r="176" spans="1:14" ht="24" customHeight="1" x14ac:dyDescent="0.45">
      <c r="A176" s="16" t="str">
        <f>IF(Base_de_donnée_clients!A176="","",Base_de_donnée_clients!A176)</f>
        <v/>
      </c>
      <c r="B176" s="8" t="str">
        <f>IF(Base_de_donnée_clients!B176="","",Base_de_donnée_clients!B176)</f>
        <v/>
      </c>
      <c r="C176" s="8" t="str">
        <f>IF(Base_de_donnée_clients!C176="","",Base_de_donnée_clients!C176)</f>
        <v/>
      </c>
      <c r="D176" s="8" t="str">
        <f>IF(Base_de_donnée_clients!H176="","",Base_de_donnée_clients!H176)</f>
        <v/>
      </c>
      <c r="E176" s="8" t="str">
        <f>IF(Base_de_donnée_clients!I176="","",Base_de_donnée_clients!I176)</f>
        <v/>
      </c>
      <c r="F176" s="9" t="str">
        <f>IF(Base_de_donnée_clients!J176="","",Base_de_donnée_clients!J176)</f>
        <v/>
      </c>
      <c r="G176" s="9" t="str">
        <f>IF(Base_de_donnée_clients!K176="","",Base_de_donnée_clients!K176)</f>
        <v/>
      </c>
      <c r="H176" s="8" t="str">
        <f>IF(Base_de_donnée_clients!L176="","",Base_de_donnée_clients!L176)</f>
        <v/>
      </c>
      <c r="I176" s="8" t="str">
        <f>IF(Base_de_donnée_clients!M176="","",Base_de_donnée_clients!M176)</f>
        <v/>
      </c>
      <c r="J176" s="8" t="str">
        <f>IF(Base_de_donnée_clients!N176="","",Base_de_donnée_clients!N176)</f>
        <v/>
      </c>
      <c r="K176" s="9" t="str">
        <f>IF(Base_de_donnée_clients!O176="","",Base_de_donnée_clients!O176)</f>
        <v/>
      </c>
      <c r="L176" s="9" t="str">
        <f>IF(Base_de_donnée_clients!P176="","",Base_de_donnée_clients!P176)</f>
        <v/>
      </c>
      <c r="M176" s="9" t="str">
        <f>IF(Base_de_donnée_clients!Q176="","",Base_de_donnée_clients!Q176)</f>
        <v/>
      </c>
      <c r="N176" s="8" t="str">
        <f>IF(Base_de_donnée_clients!R176="","",Base_de_donnée_clients!R176)</f>
        <v/>
      </c>
    </row>
    <row r="177" spans="1:14" ht="24" customHeight="1" x14ac:dyDescent="0.45">
      <c r="A177" s="16" t="str">
        <f>IF(Base_de_donnée_clients!A177="","",Base_de_donnée_clients!A177)</f>
        <v/>
      </c>
      <c r="B177" s="8" t="str">
        <f>IF(Base_de_donnée_clients!B177="","",Base_de_donnée_clients!B177)</f>
        <v/>
      </c>
      <c r="C177" s="8" t="str">
        <f>IF(Base_de_donnée_clients!C177="","",Base_de_donnée_clients!C177)</f>
        <v/>
      </c>
      <c r="D177" s="8" t="str">
        <f>IF(Base_de_donnée_clients!H177="","",Base_de_donnée_clients!H177)</f>
        <v/>
      </c>
      <c r="E177" s="8" t="str">
        <f>IF(Base_de_donnée_clients!I177="","",Base_de_donnée_clients!I177)</f>
        <v/>
      </c>
      <c r="F177" s="9" t="str">
        <f>IF(Base_de_donnée_clients!J177="","",Base_de_donnée_clients!J177)</f>
        <v/>
      </c>
      <c r="G177" s="9" t="str">
        <f>IF(Base_de_donnée_clients!K177="","",Base_de_donnée_clients!K177)</f>
        <v/>
      </c>
      <c r="H177" s="8" t="str">
        <f>IF(Base_de_donnée_clients!L177="","",Base_de_donnée_clients!L177)</f>
        <v/>
      </c>
      <c r="I177" s="8" t="str">
        <f>IF(Base_de_donnée_clients!M177="","",Base_de_donnée_clients!M177)</f>
        <v/>
      </c>
      <c r="J177" s="8" t="str">
        <f>IF(Base_de_donnée_clients!N177="","",Base_de_donnée_clients!N177)</f>
        <v/>
      </c>
      <c r="K177" s="9" t="str">
        <f>IF(Base_de_donnée_clients!O177="","",Base_de_donnée_clients!O177)</f>
        <v/>
      </c>
      <c r="L177" s="9" t="str">
        <f>IF(Base_de_donnée_clients!P177="","",Base_de_donnée_clients!P177)</f>
        <v/>
      </c>
      <c r="M177" s="9" t="str">
        <f>IF(Base_de_donnée_clients!Q177="","",Base_de_donnée_clients!Q177)</f>
        <v/>
      </c>
      <c r="N177" s="8" t="str">
        <f>IF(Base_de_donnée_clients!R177="","",Base_de_donnée_clients!R177)</f>
        <v/>
      </c>
    </row>
    <row r="178" spans="1:14" ht="24" customHeight="1" x14ac:dyDescent="0.45">
      <c r="A178" s="16" t="str">
        <f>IF(Base_de_donnée_clients!A178="","",Base_de_donnée_clients!A178)</f>
        <v/>
      </c>
      <c r="B178" s="8" t="str">
        <f>IF(Base_de_donnée_clients!B178="","",Base_de_donnée_clients!B178)</f>
        <v/>
      </c>
      <c r="C178" s="8" t="str">
        <f>IF(Base_de_donnée_clients!C178="","",Base_de_donnée_clients!C178)</f>
        <v/>
      </c>
      <c r="D178" s="8" t="str">
        <f>IF(Base_de_donnée_clients!H178="","",Base_de_donnée_clients!H178)</f>
        <v/>
      </c>
      <c r="E178" s="8" t="str">
        <f>IF(Base_de_donnée_clients!I178="","",Base_de_donnée_clients!I178)</f>
        <v/>
      </c>
      <c r="F178" s="9" t="str">
        <f>IF(Base_de_donnée_clients!J178="","",Base_de_donnée_clients!J178)</f>
        <v/>
      </c>
      <c r="G178" s="9" t="str">
        <f>IF(Base_de_donnée_clients!K178="","",Base_de_donnée_clients!K178)</f>
        <v/>
      </c>
      <c r="H178" s="8" t="str">
        <f>IF(Base_de_donnée_clients!L178="","",Base_de_donnée_clients!L178)</f>
        <v/>
      </c>
      <c r="I178" s="8" t="str">
        <f>IF(Base_de_donnée_clients!M178="","",Base_de_donnée_clients!M178)</f>
        <v/>
      </c>
      <c r="J178" s="8" t="str">
        <f>IF(Base_de_donnée_clients!N178="","",Base_de_donnée_clients!N178)</f>
        <v/>
      </c>
      <c r="K178" s="9" t="str">
        <f>IF(Base_de_donnée_clients!O178="","",Base_de_donnée_clients!O178)</f>
        <v/>
      </c>
      <c r="L178" s="9" t="str">
        <f>IF(Base_de_donnée_clients!P178="","",Base_de_donnée_clients!P178)</f>
        <v/>
      </c>
      <c r="M178" s="9" t="str">
        <f>IF(Base_de_donnée_clients!Q178="","",Base_de_donnée_clients!Q178)</f>
        <v/>
      </c>
      <c r="N178" s="8" t="str">
        <f>IF(Base_de_donnée_clients!R178="","",Base_de_donnée_clients!R178)</f>
        <v/>
      </c>
    </row>
    <row r="179" spans="1:14" ht="24" customHeight="1" x14ac:dyDescent="0.45">
      <c r="A179" s="16" t="str">
        <f>IF(Base_de_donnée_clients!A179="","",Base_de_donnée_clients!A179)</f>
        <v/>
      </c>
      <c r="B179" s="8" t="str">
        <f>IF(Base_de_donnée_clients!B179="","",Base_de_donnée_clients!B179)</f>
        <v/>
      </c>
      <c r="C179" s="8" t="str">
        <f>IF(Base_de_donnée_clients!C179="","",Base_de_donnée_clients!C179)</f>
        <v/>
      </c>
      <c r="D179" s="8" t="str">
        <f>IF(Base_de_donnée_clients!H179="","",Base_de_donnée_clients!H179)</f>
        <v/>
      </c>
      <c r="E179" s="8" t="str">
        <f>IF(Base_de_donnée_clients!I179="","",Base_de_donnée_clients!I179)</f>
        <v/>
      </c>
      <c r="F179" s="9" t="str">
        <f>IF(Base_de_donnée_clients!J179="","",Base_de_donnée_clients!J179)</f>
        <v/>
      </c>
      <c r="G179" s="9" t="str">
        <f>IF(Base_de_donnée_clients!K179="","",Base_de_donnée_clients!K179)</f>
        <v/>
      </c>
      <c r="H179" s="8" t="str">
        <f>IF(Base_de_donnée_clients!L179="","",Base_de_donnée_clients!L179)</f>
        <v/>
      </c>
      <c r="I179" s="8" t="str">
        <f>IF(Base_de_donnée_clients!M179="","",Base_de_donnée_clients!M179)</f>
        <v/>
      </c>
      <c r="J179" s="8" t="str">
        <f>IF(Base_de_donnée_clients!N179="","",Base_de_donnée_clients!N179)</f>
        <v/>
      </c>
      <c r="K179" s="9" t="str">
        <f>IF(Base_de_donnée_clients!O179="","",Base_de_donnée_clients!O179)</f>
        <v/>
      </c>
      <c r="L179" s="9" t="str">
        <f>IF(Base_de_donnée_clients!P179="","",Base_de_donnée_clients!P179)</f>
        <v/>
      </c>
      <c r="M179" s="9" t="str">
        <f>IF(Base_de_donnée_clients!Q179="","",Base_de_donnée_clients!Q179)</f>
        <v/>
      </c>
      <c r="N179" s="8" t="str">
        <f>IF(Base_de_donnée_clients!R179="","",Base_de_donnée_clients!R179)</f>
        <v/>
      </c>
    </row>
    <row r="180" spans="1:14" ht="24" customHeight="1" x14ac:dyDescent="0.45">
      <c r="A180" s="16" t="str">
        <f>IF(Base_de_donnée_clients!A180="","",Base_de_donnée_clients!A180)</f>
        <v/>
      </c>
      <c r="B180" s="8" t="str">
        <f>IF(Base_de_donnée_clients!B180="","",Base_de_donnée_clients!B180)</f>
        <v/>
      </c>
      <c r="C180" s="8" t="str">
        <f>IF(Base_de_donnée_clients!C180="","",Base_de_donnée_clients!C180)</f>
        <v/>
      </c>
      <c r="D180" s="8" t="str">
        <f>IF(Base_de_donnée_clients!H180="","",Base_de_donnée_clients!H180)</f>
        <v/>
      </c>
      <c r="E180" s="8" t="str">
        <f>IF(Base_de_donnée_clients!I180="","",Base_de_donnée_clients!I180)</f>
        <v/>
      </c>
      <c r="F180" s="9" t="str">
        <f>IF(Base_de_donnée_clients!J180="","",Base_de_donnée_clients!J180)</f>
        <v/>
      </c>
      <c r="G180" s="9" t="str">
        <f>IF(Base_de_donnée_clients!K180="","",Base_de_donnée_clients!K180)</f>
        <v/>
      </c>
      <c r="H180" s="8" t="str">
        <f>IF(Base_de_donnée_clients!L180="","",Base_de_donnée_clients!L180)</f>
        <v/>
      </c>
      <c r="I180" s="8" t="str">
        <f>IF(Base_de_donnée_clients!M180="","",Base_de_donnée_clients!M180)</f>
        <v/>
      </c>
      <c r="J180" s="8" t="str">
        <f>IF(Base_de_donnée_clients!N180="","",Base_de_donnée_clients!N180)</f>
        <v/>
      </c>
      <c r="K180" s="9" t="str">
        <f>IF(Base_de_donnée_clients!O180="","",Base_de_donnée_clients!O180)</f>
        <v/>
      </c>
      <c r="L180" s="9" t="str">
        <f>IF(Base_de_donnée_clients!P180="","",Base_de_donnée_clients!P180)</f>
        <v/>
      </c>
      <c r="M180" s="9" t="str">
        <f>IF(Base_de_donnée_clients!Q180="","",Base_de_donnée_clients!Q180)</f>
        <v/>
      </c>
      <c r="N180" s="8" t="str">
        <f>IF(Base_de_donnée_clients!R180="","",Base_de_donnée_clients!R180)</f>
        <v/>
      </c>
    </row>
    <row r="181" spans="1:14" ht="24" customHeight="1" x14ac:dyDescent="0.45">
      <c r="A181" s="16" t="str">
        <f>IF(Base_de_donnée_clients!A181="","",Base_de_donnée_clients!A181)</f>
        <v/>
      </c>
      <c r="B181" s="8" t="str">
        <f>IF(Base_de_donnée_clients!B181="","",Base_de_donnée_clients!B181)</f>
        <v/>
      </c>
      <c r="C181" s="8" t="str">
        <f>IF(Base_de_donnée_clients!C181="","",Base_de_donnée_clients!C181)</f>
        <v/>
      </c>
      <c r="D181" s="8" t="str">
        <f>IF(Base_de_donnée_clients!H181="","",Base_de_donnée_clients!H181)</f>
        <v/>
      </c>
      <c r="E181" s="8" t="str">
        <f>IF(Base_de_donnée_clients!I181="","",Base_de_donnée_clients!I181)</f>
        <v/>
      </c>
      <c r="F181" s="9" t="str">
        <f>IF(Base_de_donnée_clients!J181="","",Base_de_donnée_clients!J181)</f>
        <v/>
      </c>
      <c r="G181" s="9" t="str">
        <f>IF(Base_de_donnée_clients!K181="","",Base_de_donnée_clients!K181)</f>
        <v/>
      </c>
      <c r="H181" s="8" t="str">
        <f>IF(Base_de_donnée_clients!L181="","",Base_de_donnée_clients!L181)</f>
        <v/>
      </c>
      <c r="I181" s="8" t="str">
        <f>IF(Base_de_donnée_clients!M181="","",Base_de_donnée_clients!M181)</f>
        <v/>
      </c>
      <c r="J181" s="8" t="str">
        <f>IF(Base_de_donnée_clients!N181="","",Base_de_donnée_clients!N181)</f>
        <v/>
      </c>
      <c r="K181" s="9" t="str">
        <f>IF(Base_de_donnée_clients!O181="","",Base_de_donnée_clients!O181)</f>
        <v/>
      </c>
      <c r="L181" s="9" t="str">
        <f>IF(Base_de_donnée_clients!P181="","",Base_de_donnée_clients!P181)</f>
        <v/>
      </c>
      <c r="M181" s="9" t="str">
        <f>IF(Base_de_donnée_clients!Q181="","",Base_de_donnée_clients!Q181)</f>
        <v/>
      </c>
      <c r="N181" s="8" t="str">
        <f>IF(Base_de_donnée_clients!R181="","",Base_de_donnée_clients!R181)</f>
        <v/>
      </c>
    </row>
    <row r="182" spans="1:14" ht="24" customHeight="1" x14ac:dyDescent="0.45">
      <c r="A182" s="16" t="str">
        <f>IF(Base_de_donnée_clients!A182="","",Base_de_donnée_clients!A182)</f>
        <v/>
      </c>
      <c r="B182" s="8" t="str">
        <f>IF(Base_de_donnée_clients!B182="","",Base_de_donnée_clients!B182)</f>
        <v/>
      </c>
      <c r="C182" s="8" t="str">
        <f>IF(Base_de_donnée_clients!C182="","",Base_de_donnée_clients!C182)</f>
        <v/>
      </c>
      <c r="D182" s="8" t="str">
        <f>IF(Base_de_donnée_clients!H182="","",Base_de_donnée_clients!H182)</f>
        <v/>
      </c>
      <c r="E182" s="8" t="str">
        <f>IF(Base_de_donnée_clients!I182="","",Base_de_donnée_clients!I182)</f>
        <v/>
      </c>
      <c r="F182" s="9" t="str">
        <f>IF(Base_de_donnée_clients!J182="","",Base_de_donnée_clients!J182)</f>
        <v/>
      </c>
      <c r="G182" s="9" t="str">
        <f>IF(Base_de_donnée_clients!K182="","",Base_de_donnée_clients!K182)</f>
        <v/>
      </c>
      <c r="H182" s="8" t="str">
        <f>IF(Base_de_donnée_clients!L182="","",Base_de_donnée_clients!L182)</f>
        <v/>
      </c>
      <c r="I182" s="8" t="str">
        <f>IF(Base_de_donnée_clients!M182="","",Base_de_donnée_clients!M182)</f>
        <v/>
      </c>
      <c r="J182" s="8" t="str">
        <f>IF(Base_de_donnée_clients!N182="","",Base_de_donnée_clients!N182)</f>
        <v/>
      </c>
      <c r="K182" s="9" t="str">
        <f>IF(Base_de_donnée_clients!O182="","",Base_de_donnée_clients!O182)</f>
        <v/>
      </c>
      <c r="L182" s="9" t="str">
        <f>IF(Base_de_donnée_clients!P182="","",Base_de_donnée_clients!P182)</f>
        <v/>
      </c>
      <c r="M182" s="9" t="str">
        <f>IF(Base_de_donnée_clients!Q182="","",Base_de_donnée_clients!Q182)</f>
        <v/>
      </c>
      <c r="N182" s="8" t="str">
        <f>IF(Base_de_donnée_clients!R182="","",Base_de_donnée_clients!R182)</f>
        <v/>
      </c>
    </row>
    <row r="183" spans="1:14" ht="24" customHeight="1" x14ac:dyDescent="0.45">
      <c r="A183" s="16" t="str">
        <f>IF(Base_de_donnée_clients!A183="","",Base_de_donnée_clients!A183)</f>
        <v/>
      </c>
      <c r="B183" s="8" t="str">
        <f>IF(Base_de_donnée_clients!B183="","",Base_de_donnée_clients!B183)</f>
        <v/>
      </c>
      <c r="C183" s="8" t="str">
        <f>IF(Base_de_donnée_clients!C183="","",Base_de_donnée_clients!C183)</f>
        <v/>
      </c>
      <c r="D183" s="8" t="str">
        <f>IF(Base_de_donnée_clients!H183="","",Base_de_donnée_clients!H183)</f>
        <v/>
      </c>
      <c r="E183" s="8" t="str">
        <f>IF(Base_de_donnée_clients!I183="","",Base_de_donnée_clients!I183)</f>
        <v/>
      </c>
      <c r="F183" s="9" t="str">
        <f>IF(Base_de_donnée_clients!J183="","",Base_de_donnée_clients!J183)</f>
        <v/>
      </c>
      <c r="G183" s="9" t="str">
        <f>IF(Base_de_donnée_clients!K183="","",Base_de_donnée_clients!K183)</f>
        <v/>
      </c>
      <c r="H183" s="8" t="str">
        <f>IF(Base_de_donnée_clients!L183="","",Base_de_donnée_clients!L183)</f>
        <v/>
      </c>
      <c r="I183" s="8" t="str">
        <f>IF(Base_de_donnée_clients!M183="","",Base_de_donnée_clients!M183)</f>
        <v/>
      </c>
      <c r="J183" s="8" t="str">
        <f>IF(Base_de_donnée_clients!N183="","",Base_de_donnée_clients!N183)</f>
        <v/>
      </c>
      <c r="K183" s="9" t="str">
        <f>IF(Base_de_donnée_clients!O183="","",Base_de_donnée_clients!O183)</f>
        <v/>
      </c>
      <c r="L183" s="9" t="str">
        <f>IF(Base_de_donnée_clients!P183="","",Base_de_donnée_clients!P183)</f>
        <v/>
      </c>
      <c r="M183" s="9" t="str">
        <f>IF(Base_de_donnée_clients!Q183="","",Base_de_donnée_clients!Q183)</f>
        <v/>
      </c>
      <c r="N183" s="8" t="str">
        <f>IF(Base_de_donnée_clients!R183="","",Base_de_donnée_clients!R183)</f>
        <v/>
      </c>
    </row>
    <row r="184" spans="1:14" ht="24" customHeight="1" x14ac:dyDescent="0.45">
      <c r="A184" s="16" t="str">
        <f>IF(Base_de_donnée_clients!A184="","",Base_de_donnée_clients!A184)</f>
        <v/>
      </c>
      <c r="B184" s="8" t="str">
        <f>IF(Base_de_donnée_clients!B184="","",Base_de_donnée_clients!B184)</f>
        <v/>
      </c>
      <c r="C184" s="8" t="str">
        <f>IF(Base_de_donnée_clients!C184="","",Base_de_donnée_clients!C184)</f>
        <v/>
      </c>
      <c r="D184" s="8" t="str">
        <f>IF(Base_de_donnée_clients!H184="","",Base_de_donnée_clients!H184)</f>
        <v/>
      </c>
      <c r="E184" s="8" t="str">
        <f>IF(Base_de_donnée_clients!I184="","",Base_de_donnée_clients!I184)</f>
        <v/>
      </c>
      <c r="F184" s="9" t="str">
        <f>IF(Base_de_donnée_clients!J184="","",Base_de_donnée_clients!J184)</f>
        <v/>
      </c>
      <c r="G184" s="9" t="str">
        <f>IF(Base_de_donnée_clients!K184="","",Base_de_donnée_clients!K184)</f>
        <v/>
      </c>
      <c r="H184" s="8" t="str">
        <f>IF(Base_de_donnée_clients!L184="","",Base_de_donnée_clients!L184)</f>
        <v/>
      </c>
      <c r="I184" s="8" t="str">
        <f>IF(Base_de_donnée_clients!M184="","",Base_de_donnée_clients!M184)</f>
        <v/>
      </c>
      <c r="J184" s="8" t="str">
        <f>IF(Base_de_donnée_clients!N184="","",Base_de_donnée_clients!N184)</f>
        <v/>
      </c>
      <c r="K184" s="9" t="str">
        <f>IF(Base_de_donnée_clients!O184="","",Base_de_donnée_clients!O184)</f>
        <v/>
      </c>
      <c r="L184" s="9" t="str">
        <f>IF(Base_de_donnée_clients!P184="","",Base_de_donnée_clients!P184)</f>
        <v/>
      </c>
      <c r="M184" s="9" t="str">
        <f>IF(Base_de_donnée_clients!Q184="","",Base_de_donnée_clients!Q184)</f>
        <v/>
      </c>
      <c r="N184" s="8" t="str">
        <f>IF(Base_de_donnée_clients!R184="","",Base_de_donnée_clients!R184)</f>
        <v/>
      </c>
    </row>
    <row r="185" spans="1:14" ht="24" customHeight="1" x14ac:dyDescent="0.45">
      <c r="A185" s="16" t="str">
        <f>IF(Base_de_donnée_clients!A185="","",Base_de_donnée_clients!A185)</f>
        <v/>
      </c>
      <c r="B185" s="8" t="str">
        <f>IF(Base_de_donnée_clients!B185="","",Base_de_donnée_clients!B185)</f>
        <v/>
      </c>
      <c r="C185" s="8" t="str">
        <f>IF(Base_de_donnée_clients!C185="","",Base_de_donnée_clients!C185)</f>
        <v/>
      </c>
      <c r="D185" s="8" t="str">
        <f>IF(Base_de_donnée_clients!H185="","",Base_de_donnée_clients!H185)</f>
        <v/>
      </c>
      <c r="E185" s="8" t="str">
        <f>IF(Base_de_donnée_clients!I185="","",Base_de_donnée_clients!I185)</f>
        <v/>
      </c>
      <c r="F185" s="9" t="str">
        <f>IF(Base_de_donnée_clients!J185="","",Base_de_donnée_clients!J185)</f>
        <v/>
      </c>
      <c r="G185" s="9" t="str">
        <f>IF(Base_de_donnée_clients!K185="","",Base_de_donnée_clients!K185)</f>
        <v/>
      </c>
      <c r="H185" s="8" t="str">
        <f>IF(Base_de_donnée_clients!L185="","",Base_de_donnée_clients!L185)</f>
        <v/>
      </c>
      <c r="I185" s="8" t="str">
        <f>IF(Base_de_donnée_clients!M185="","",Base_de_donnée_clients!M185)</f>
        <v/>
      </c>
      <c r="J185" s="8" t="str">
        <f>IF(Base_de_donnée_clients!N185="","",Base_de_donnée_clients!N185)</f>
        <v/>
      </c>
      <c r="K185" s="9" t="str">
        <f>IF(Base_de_donnée_clients!O185="","",Base_de_donnée_clients!O185)</f>
        <v/>
      </c>
      <c r="L185" s="9" t="str">
        <f>IF(Base_de_donnée_clients!P185="","",Base_de_donnée_clients!P185)</f>
        <v/>
      </c>
      <c r="M185" s="9" t="str">
        <f>IF(Base_de_donnée_clients!Q185="","",Base_de_donnée_clients!Q185)</f>
        <v/>
      </c>
      <c r="N185" s="8" t="str">
        <f>IF(Base_de_donnée_clients!R185="","",Base_de_donnée_clients!R185)</f>
        <v/>
      </c>
    </row>
    <row r="186" spans="1:14" ht="24" customHeight="1" x14ac:dyDescent="0.45">
      <c r="A186" s="16" t="str">
        <f>IF(Base_de_donnée_clients!A186="","",Base_de_donnée_clients!A186)</f>
        <v/>
      </c>
      <c r="B186" s="8" t="str">
        <f>IF(Base_de_donnée_clients!B186="","",Base_de_donnée_clients!B186)</f>
        <v/>
      </c>
      <c r="C186" s="8" t="str">
        <f>IF(Base_de_donnée_clients!C186="","",Base_de_donnée_clients!C186)</f>
        <v/>
      </c>
      <c r="D186" s="8" t="str">
        <f>IF(Base_de_donnée_clients!H186="","",Base_de_donnée_clients!H186)</f>
        <v/>
      </c>
      <c r="E186" s="8" t="str">
        <f>IF(Base_de_donnée_clients!I186="","",Base_de_donnée_clients!I186)</f>
        <v/>
      </c>
      <c r="F186" s="9" t="str">
        <f>IF(Base_de_donnée_clients!J186="","",Base_de_donnée_clients!J186)</f>
        <v/>
      </c>
      <c r="G186" s="9" t="str">
        <f>IF(Base_de_donnée_clients!K186="","",Base_de_donnée_clients!K186)</f>
        <v/>
      </c>
      <c r="H186" s="8" t="str">
        <f>IF(Base_de_donnée_clients!L186="","",Base_de_donnée_clients!L186)</f>
        <v/>
      </c>
      <c r="I186" s="8" t="str">
        <f>IF(Base_de_donnée_clients!M186="","",Base_de_donnée_clients!M186)</f>
        <v/>
      </c>
      <c r="J186" s="8" t="str">
        <f>IF(Base_de_donnée_clients!N186="","",Base_de_donnée_clients!N186)</f>
        <v/>
      </c>
      <c r="K186" s="9" t="str">
        <f>IF(Base_de_donnée_clients!O186="","",Base_de_donnée_clients!O186)</f>
        <v/>
      </c>
      <c r="L186" s="9" t="str">
        <f>IF(Base_de_donnée_clients!P186="","",Base_de_donnée_clients!P186)</f>
        <v/>
      </c>
      <c r="M186" s="9" t="str">
        <f>IF(Base_de_donnée_clients!Q186="","",Base_de_donnée_clients!Q186)</f>
        <v/>
      </c>
      <c r="N186" s="8" t="str">
        <f>IF(Base_de_donnée_clients!R186="","",Base_de_donnée_clients!R186)</f>
        <v/>
      </c>
    </row>
    <row r="187" spans="1:14" ht="24" customHeight="1" x14ac:dyDescent="0.45">
      <c r="A187" s="16" t="str">
        <f>IF(Base_de_donnée_clients!A187="","",Base_de_donnée_clients!A187)</f>
        <v/>
      </c>
      <c r="B187" s="8" t="str">
        <f>IF(Base_de_donnée_clients!B187="","",Base_de_donnée_clients!B187)</f>
        <v/>
      </c>
      <c r="C187" s="8" t="str">
        <f>IF(Base_de_donnée_clients!C187="","",Base_de_donnée_clients!C187)</f>
        <v/>
      </c>
      <c r="D187" s="8" t="str">
        <f>IF(Base_de_donnée_clients!H187="","",Base_de_donnée_clients!H187)</f>
        <v/>
      </c>
      <c r="E187" s="8" t="str">
        <f>IF(Base_de_donnée_clients!I187="","",Base_de_donnée_clients!I187)</f>
        <v/>
      </c>
      <c r="F187" s="9" t="str">
        <f>IF(Base_de_donnée_clients!J187="","",Base_de_donnée_clients!J187)</f>
        <v/>
      </c>
      <c r="G187" s="9" t="str">
        <f>IF(Base_de_donnée_clients!K187="","",Base_de_donnée_clients!K187)</f>
        <v/>
      </c>
      <c r="H187" s="8" t="str">
        <f>IF(Base_de_donnée_clients!L187="","",Base_de_donnée_clients!L187)</f>
        <v/>
      </c>
      <c r="I187" s="8" t="str">
        <f>IF(Base_de_donnée_clients!M187="","",Base_de_donnée_clients!M187)</f>
        <v/>
      </c>
      <c r="J187" s="8" t="str">
        <f>IF(Base_de_donnée_clients!N187="","",Base_de_donnée_clients!N187)</f>
        <v/>
      </c>
      <c r="K187" s="9" t="str">
        <f>IF(Base_de_donnée_clients!O187="","",Base_de_donnée_clients!O187)</f>
        <v/>
      </c>
      <c r="L187" s="9" t="str">
        <f>IF(Base_de_donnée_clients!P187="","",Base_de_donnée_clients!P187)</f>
        <v/>
      </c>
      <c r="M187" s="9" t="str">
        <f>IF(Base_de_donnée_clients!Q187="","",Base_de_donnée_clients!Q187)</f>
        <v/>
      </c>
      <c r="N187" s="8" t="str">
        <f>IF(Base_de_donnée_clients!R187="","",Base_de_donnée_clients!R187)</f>
        <v/>
      </c>
    </row>
    <row r="188" spans="1:14" ht="24" customHeight="1" x14ac:dyDescent="0.45">
      <c r="A188" s="16" t="str">
        <f>IF(Base_de_donnée_clients!A188="","",Base_de_donnée_clients!A188)</f>
        <v/>
      </c>
      <c r="B188" s="8" t="str">
        <f>IF(Base_de_donnée_clients!B188="","",Base_de_donnée_clients!B188)</f>
        <v/>
      </c>
      <c r="C188" s="8" t="str">
        <f>IF(Base_de_donnée_clients!C188="","",Base_de_donnée_clients!C188)</f>
        <v/>
      </c>
      <c r="D188" s="8" t="str">
        <f>IF(Base_de_donnée_clients!H188="","",Base_de_donnée_clients!H188)</f>
        <v/>
      </c>
      <c r="E188" s="8" t="str">
        <f>IF(Base_de_donnée_clients!I188="","",Base_de_donnée_clients!I188)</f>
        <v/>
      </c>
      <c r="F188" s="9" t="str">
        <f>IF(Base_de_donnée_clients!J188="","",Base_de_donnée_clients!J188)</f>
        <v/>
      </c>
      <c r="G188" s="9" t="str">
        <f>IF(Base_de_donnée_clients!K188="","",Base_de_donnée_clients!K188)</f>
        <v/>
      </c>
      <c r="H188" s="8" t="str">
        <f>IF(Base_de_donnée_clients!L188="","",Base_de_donnée_clients!L188)</f>
        <v/>
      </c>
      <c r="I188" s="8" t="str">
        <f>IF(Base_de_donnée_clients!M188="","",Base_de_donnée_clients!M188)</f>
        <v/>
      </c>
      <c r="J188" s="8" t="str">
        <f>IF(Base_de_donnée_clients!N188="","",Base_de_donnée_clients!N188)</f>
        <v/>
      </c>
      <c r="K188" s="9" t="str">
        <f>IF(Base_de_donnée_clients!O188="","",Base_de_donnée_clients!O188)</f>
        <v/>
      </c>
      <c r="L188" s="9" t="str">
        <f>IF(Base_de_donnée_clients!P188="","",Base_de_donnée_clients!P188)</f>
        <v/>
      </c>
      <c r="M188" s="9" t="str">
        <f>IF(Base_de_donnée_clients!Q188="","",Base_de_donnée_clients!Q188)</f>
        <v/>
      </c>
      <c r="N188" s="8" t="str">
        <f>IF(Base_de_donnée_clients!R188="","",Base_de_donnée_clients!R188)</f>
        <v/>
      </c>
    </row>
    <row r="189" spans="1:14" ht="24" customHeight="1" x14ac:dyDescent="0.45">
      <c r="A189" s="16" t="str">
        <f>IF(Base_de_donnée_clients!A189="","",Base_de_donnée_clients!A189)</f>
        <v/>
      </c>
      <c r="B189" s="8" t="str">
        <f>IF(Base_de_donnée_clients!B189="","",Base_de_donnée_clients!B189)</f>
        <v/>
      </c>
      <c r="C189" s="8" t="str">
        <f>IF(Base_de_donnée_clients!C189="","",Base_de_donnée_clients!C189)</f>
        <v/>
      </c>
      <c r="D189" s="8" t="str">
        <f>IF(Base_de_donnée_clients!H189="","",Base_de_donnée_clients!H189)</f>
        <v/>
      </c>
      <c r="E189" s="8" t="str">
        <f>IF(Base_de_donnée_clients!I189="","",Base_de_donnée_clients!I189)</f>
        <v/>
      </c>
      <c r="F189" s="9" t="str">
        <f>IF(Base_de_donnée_clients!J189="","",Base_de_donnée_clients!J189)</f>
        <v/>
      </c>
      <c r="G189" s="9" t="str">
        <f>IF(Base_de_donnée_clients!K189="","",Base_de_donnée_clients!K189)</f>
        <v/>
      </c>
      <c r="H189" s="8" t="str">
        <f>IF(Base_de_donnée_clients!L189="","",Base_de_donnée_clients!L189)</f>
        <v/>
      </c>
      <c r="I189" s="8" t="str">
        <f>IF(Base_de_donnée_clients!M189="","",Base_de_donnée_clients!M189)</f>
        <v/>
      </c>
      <c r="J189" s="8" t="str">
        <f>IF(Base_de_donnée_clients!N189="","",Base_de_donnée_clients!N189)</f>
        <v/>
      </c>
      <c r="K189" s="9" t="str">
        <f>IF(Base_de_donnée_clients!O189="","",Base_de_donnée_clients!O189)</f>
        <v/>
      </c>
      <c r="L189" s="9" t="str">
        <f>IF(Base_de_donnée_clients!P189="","",Base_de_donnée_clients!P189)</f>
        <v/>
      </c>
      <c r="M189" s="9" t="str">
        <f>IF(Base_de_donnée_clients!Q189="","",Base_de_donnée_clients!Q189)</f>
        <v/>
      </c>
      <c r="N189" s="8" t="str">
        <f>IF(Base_de_donnée_clients!R189="","",Base_de_donnée_clients!R189)</f>
        <v/>
      </c>
    </row>
    <row r="190" spans="1:14" ht="24" customHeight="1" x14ac:dyDescent="0.45">
      <c r="A190" s="16" t="str">
        <f>IF(Base_de_donnée_clients!A190="","",Base_de_donnée_clients!A190)</f>
        <v/>
      </c>
      <c r="B190" s="8" t="str">
        <f>IF(Base_de_donnée_clients!B190="","",Base_de_donnée_clients!B190)</f>
        <v/>
      </c>
      <c r="C190" s="8" t="str">
        <f>IF(Base_de_donnée_clients!C190="","",Base_de_donnée_clients!C190)</f>
        <v/>
      </c>
      <c r="D190" s="8" t="str">
        <f>IF(Base_de_donnée_clients!H190="","",Base_de_donnée_clients!H190)</f>
        <v/>
      </c>
      <c r="E190" s="8" t="str">
        <f>IF(Base_de_donnée_clients!I190="","",Base_de_donnée_clients!I190)</f>
        <v/>
      </c>
      <c r="F190" s="9" t="str">
        <f>IF(Base_de_donnée_clients!J190="","",Base_de_donnée_clients!J190)</f>
        <v/>
      </c>
      <c r="G190" s="9" t="str">
        <f>IF(Base_de_donnée_clients!K190="","",Base_de_donnée_clients!K190)</f>
        <v/>
      </c>
      <c r="H190" s="8" t="str">
        <f>IF(Base_de_donnée_clients!L190="","",Base_de_donnée_clients!L190)</f>
        <v/>
      </c>
      <c r="I190" s="8" t="str">
        <f>IF(Base_de_donnée_clients!M190="","",Base_de_donnée_clients!M190)</f>
        <v/>
      </c>
      <c r="J190" s="8" t="str">
        <f>IF(Base_de_donnée_clients!N190="","",Base_de_donnée_clients!N190)</f>
        <v/>
      </c>
      <c r="K190" s="9" t="str">
        <f>IF(Base_de_donnée_clients!O190="","",Base_de_donnée_clients!O190)</f>
        <v/>
      </c>
      <c r="L190" s="9" t="str">
        <f>IF(Base_de_donnée_clients!P190="","",Base_de_donnée_clients!P190)</f>
        <v/>
      </c>
      <c r="M190" s="9" t="str">
        <f>IF(Base_de_donnée_clients!Q190="","",Base_de_donnée_clients!Q190)</f>
        <v/>
      </c>
      <c r="N190" s="8" t="str">
        <f>IF(Base_de_donnée_clients!R190="","",Base_de_donnée_clients!R190)</f>
        <v/>
      </c>
    </row>
    <row r="191" spans="1:14" ht="24" customHeight="1" x14ac:dyDescent="0.45">
      <c r="A191" s="16" t="str">
        <f>IF(Base_de_donnée_clients!A191="","",Base_de_donnée_clients!A191)</f>
        <v/>
      </c>
      <c r="B191" s="8" t="str">
        <f>IF(Base_de_donnée_clients!B191="","",Base_de_donnée_clients!B191)</f>
        <v/>
      </c>
      <c r="C191" s="8" t="str">
        <f>IF(Base_de_donnée_clients!C191="","",Base_de_donnée_clients!C191)</f>
        <v/>
      </c>
      <c r="D191" s="8" t="str">
        <f>IF(Base_de_donnée_clients!H191="","",Base_de_donnée_clients!H191)</f>
        <v/>
      </c>
      <c r="E191" s="8" t="str">
        <f>IF(Base_de_donnée_clients!I191="","",Base_de_donnée_clients!I191)</f>
        <v/>
      </c>
      <c r="F191" s="9" t="str">
        <f>IF(Base_de_donnée_clients!J191="","",Base_de_donnée_clients!J191)</f>
        <v/>
      </c>
      <c r="G191" s="9" t="str">
        <f>IF(Base_de_donnée_clients!K191="","",Base_de_donnée_clients!K191)</f>
        <v/>
      </c>
      <c r="H191" s="8" t="str">
        <f>IF(Base_de_donnée_clients!L191="","",Base_de_donnée_clients!L191)</f>
        <v/>
      </c>
      <c r="I191" s="8" t="str">
        <f>IF(Base_de_donnée_clients!M191="","",Base_de_donnée_clients!M191)</f>
        <v/>
      </c>
      <c r="J191" s="8" t="str">
        <f>IF(Base_de_donnée_clients!N191="","",Base_de_donnée_clients!N191)</f>
        <v/>
      </c>
      <c r="K191" s="9" t="str">
        <f>IF(Base_de_donnée_clients!O191="","",Base_de_donnée_clients!O191)</f>
        <v/>
      </c>
      <c r="L191" s="9" t="str">
        <f>IF(Base_de_donnée_clients!P191="","",Base_de_donnée_clients!P191)</f>
        <v/>
      </c>
      <c r="M191" s="9" t="str">
        <f>IF(Base_de_donnée_clients!Q191="","",Base_de_donnée_clients!Q191)</f>
        <v/>
      </c>
      <c r="N191" s="8" t="str">
        <f>IF(Base_de_donnée_clients!R191="","",Base_de_donnée_clients!R191)</f>
        <v/>
      </c>
    </row>
    <row r="192" spans="1:14" ht="24" customHeight="1" x14ac:dyDescent="0.45">
      <c r="A192" s="16" t="str">
        <f>IF(Base_de_donnée_clients!A192="","",Base_de_donnée_clients!A192)</f>
        <v/>
      </c>
      <c r="B192" s="8" t="str">
        <f>IF(Base_de_donnée_clients!B192="","",Base_de_donnée_clients!B192)</f>
        <v/>
      </c>
      <c r="C192" s="8" t="str">
        <f>IF(Base_de_donnée_clients!C192="","",Base_de_donnée_clients!C192)</f>
        <v/>
      </c>
      <c r="D192" s="8" t="str">
        <f>IF(Base_de_donnée_clients!H192="","",Base_de_donnée_clients!H192)</f>
        <v/>
      </c>
      <c r="E192" s="8" t="str">
        <f>IF(Base_de_donnée_clients!I192="","",Base_de_donnée_clients!I192)</f>
        <v/>
      </c>
      <c r="F192" s="9" t="str">
        <f>IF(Base_de_donnée_clients!J192="","",Base_de_donnée_clients!J192)</f>
        <v/>
      </c>
      <c r="G192" s="9" t="str">
        <f>IF(Base_de_donnée_clients!K192="","",Base_de_donnée_clients!K192)</f>
        <v/>
      </c>
      <c r="H192" s="8" t="str">
        <f>IF(Base_de_donnée_clients!L192="","",Base_de_donnée_clients!L192)</f>
        <v/>
      </c>
      <c r="I192" s="8" t="str">
        <f>IF(Base_de_donnée_clients!M192="","",Base_de_donnée_clients!M192)</f>
        <v/>
      </c>
      <c r="J192" s="8" t="str">
        <f>IF(Base_de_donnée_clients!N192="","",Base_de_donnée_clients!N192)</f>
        <v/>
      </c>
      <c r="K192" s="9" t="str">
        <f>IF(Base_de_donnée_clients!O192="","",Base_de_donnée_clients!O192)</f>
        <v/>
      </c>
      <c r="L192" s="9" t="str">
        <f>IF(Base_de_donnée_clients!P192="","",Base_de_donnée_clients!P192)</f>
        <v/>
      </c>
      <c r="M192" s="9" t="str">
        <f>IF(Base_de_donnée_clients!Q192="","",Base_de_donnée_clients!Q192)</f>
        <v/>
      </c>
      <c r="N192" s="8" t="str">
        <f>IF(Base_de_donnée_clients!R192="","",Base_de_donnée_clients!R192)</f>
        <v/>
      </c>
    </row>
    <row r="193" spans="1:14" ht="24" customHeight="1" x14ac:dyDescent="0.45">
      <c r="A193" s="16" t="str">
        <f>IF(Base_de_donnée_clients!A193="","",Base_de_donnée_clients!A193)</f>
        <v/>
      </c>
      <c r="B193" s="8" t="str">
        <f>IF(Base_de_donnée_clients!B193="","",Base_de_donnée_clients!B193)</f>
        <v/>
      </c>
      <c r="C193" s="8" t="str">
        <f>IF(Base_de_donnée_clients!C193="","",Base_de_donnée_clients!C193)</f>
        <v/>
      </c>
      <c r="D193" s="8" t="str">
        <f>IF(Base_de_donnée_clients!H193="","",Base_de_donnée_clients!H193)</f>
        <v/>
      </c>
      <c r="E193" s="8" t="str">
        <f>IF(Base_de_donnée_clients!I193="","",Base_de_donnée_clients!I193)</f>
        <v/>
      </c>
      <c r="F193" s="9" t="str">
        <f>IF(Base_de_donnée_clients!J193="","",Base_de_donnée_clients!J193)</f>
        <v/>
      </c>
      <c r="G193" s="9" t="str">
        <f>IF(Base_de_donnée_clients!K193="","",Base_de_donnée_clients!K193)</f>
        <v/>
      </c>
      <c r="H193" s="8" t="str">
        <f>IF(Base_de_donnée_clients!L193="","",Base_de_donnée_clients!L193)</f>
        <v/>
      </c>
      <c r="I193" s="8" t="str">
        <f>IF(Base_de_donnée_clients!M193="","",Base_de_donnée_clients!M193)</f>
        <v/>
      </c>
      <c r="J193" s="8" t="str">
        <f>IF(Base_de_donnée_clients!N193="","",Base_de_donnée_clients!N193)</f>
        <v/>
      </c>
      <c r="K193" s="9" t="str">
        <f>IF(Base_de_donnée_clients!O193="","",Base_de_donnée_clients!O193)</f>
        <v/>
      </c>
      <c r="L193" s="9" t="str">
        <f>IF(Base_de_donnée_clients!P193="","",Base_de_donnée_clients!P193)</f>
        <v/>
      </c>
      <c r="M193" s="9" t="str">
        <f>IF(Base_de_donnée_clients!Q193="","",Base_de_donnée_clients!Q193)</f>
        <v/>
      </c>
      <c r="N193" s="8" t="str">
        <f>IF(Base_de_donnée_clients!R193="","",Base_de_donnée_clients!R193)</f>
        <v/>
      </c>
    </row>
    <row r="194" spans="1:14" ht="24" customHeight="1" x14ac:dyDescent="0.45">
      <c r="A194" s="16" t="str">
        <f>IF(Base_de_donnée_clients!A194="","",Base_de_donnée_clients!A194)</f>
        <v/>
      </c>
      <c r="B194" s="8" t="str">
        <f>IF(Base_de_donnée_clients!B194="","",Base_de_donnée_clients!B194)</f>
        <v/>
      </c>
      <c r="C194" s="8" t="str">
        <f>IF(Base_de_donnée_clients!C194="","",Base_de_donnée_clients!C194)</f>
        <v/>
      </c>
      <c r="D194" s="8" t="str">
        <f>IF(Base_de_donnée_clients!H194="","",Base_de_donnée_clients!H194)</f>
        <v/>
      </c>
      <c r="E194" s="8" t="str">
        <f>IF(Base_de_donnée_clients!I194="","",Base_de_donnée_clients!I194)</f>
        <v/>
      </c>
      <c r="F194" s="9" t="str">
        <f>IF(Base_de_donnée_clients!J194="","",Base_de_donnée_clients!J194)</f>
        <v/>
      </c>
      <c r="G194" s="9" t="str">
        <f>IF(Base_de_donnée_clients!K194="","",Base_de_donnée_clients!K194)</f>
        <v/>
      </c>
      <c r="H194" s="8" t="str">
        <f>IF(Base_de_donnée_clients!L194="","",Base_de_donnée_clients!L194)</f>
        <v/>
      </c>
      <c r="I194" s="8" t="str">
        <f>IF(Base_de_donnée_clients!M194="","",Base_de_donnée_clients!M194)</f>
        <v/>
      </c>
      <c r="J194" s="8" t="str">
        <f>IF(Base_de_donnée_clients!N194="","",Base_de_donnée_clients!N194)</f>
        <v/>
      </c>
      <c r="K194" s="9" t="str">
        <f>IF(Base_de_donnée_clients!O194="","",Base_de_donnée_clients!O194)</f>
        <v/>
      </c>
      <c r="L194" s="9" t="str">
        <f>IF(Base_de_donnée_clients!P194="","",Base_de_donnée_clients!P194)</f>
        <v/>
      </c>
      <c r="M194" s="9" t="str">
        <f>IF(Base_de_donnée_clients!Q194="","",Base_de_donnée_clients!Q194)</f>
        <v/>
      </c>
      <c r="N194" s="8" t="str">
        <f>IF(Base_de_donnée_clients!R194="","",Base_de_donnée_clients!R194)</f>
        <v/>
      </c>
    </row>
    <row r="195" spans="1:14" ht="24" customHeight="1" x14ac:dyDescent="0.45">
      <c r="A195" s="16" t="str">
        <f>IF(Base_de_donnée_clients!A195="","",Base_de_donnée_clients!A195)</f>
        <v/>
      </c>
      <c r="B195" s="8" t="str">
        <f>IF(Base_de_donnée_clients!B195="","",Base_de_donnée_clients!B195)</f>
        <v/>
      </c>
      <c r="C195" s="8" t="str">
        <f>IF(Base_de_donnée_clients!C195="","",Base_de_donnée_clients!C195)</f>
        <v/>
      </c>
      <c r="D195" s="8" t="str">
        <f>IF(Base_de_donnée_clients!H195="","",Base_de_donnée_clients!H195)</f>
        <v/>
      </c>
      <c r="E195" s="8" t="str">
        <f>IF(Base_de_donnée_clients!I195="","",Base_de_donnée_clients!I195)</f>
        <v/>
      </c>
      <c r="F195" s="9" t="str">
        <f>IF(Base_de_donnée_clients!J195="","",Base_de_donnée_clients!J195)</f>
        <v/>
      </c>
      <c r="G195" s="9" t="str">
        <f>IF(Base_de_donnée_clients!K195="","",Base_de_donnée_clients!K195)</f>
        <v/>
      </c>
      <c r="H195" s="8" t="str">
        <f>IF(Base_de_donnée_clients!L195="","",Base_de_donnée_clients!L195)</f>
        <v/>
      </c>
      <c r="I195" s="8" t="str">
        <f>IF(Base_de_donnée_clients!M195="","",Base_de_donnée_clients!M195)</f>
        <v/>
      </c>
      <c r="J195" s="8" t="str">
        <f>IF(Base_de_donnée_clients!N195="","",Base_de_donnée_clients!N195)</f>
        <v/>
      </c>
      <c r="K195" s="9" t="str">
        <f>IF(Base_de_donnée_clients!O195="","",Base_de_donnée_clients!O195)</f>
        <v/>
      </c>
      <c r="L195" s="9" t="str">
        <f>IF(Base_de_donnée_clients!P195="","",Base_de_donnée_clients!P195)</f>
        <v/>
      </c>
      <c r="M195" s="9" t="str">
        <f>IF(Base_de_donnée_clients!Q195="","",Base_de_donnée_clients!Q195)</f>
        <v/>
      </c>
      <c r="N195" s="8" t="str">
        <f>IF(Base_de_donnée_clients!R195="","",Base_de_donnée_clients!R195)</f>
        <v/>
      </c>
    </row>
    <row r="196" spans="1:14" ht="24" customHeight="1" x14ac:dyDescent="0.45">
      <c r="A196" s="16" t="str">
        <f>IF(Base_de_donnée_clients!A196="","",Base_de_donnée_clients!A196)</f>
        <v/>
      </c>
      <c r="B196" s="8" t="str">
        <f>IF(Base_de_donnée_clients!B196="","",Base_de_donnée_clients!B196)</f>
        <v/>
      </c>
      <c r="C196" s="8" t="str">
        <f>IF(Base_de_donnée_clients!C196="","",Base_de_donnée_clients!C196)</f>
        <v/>
      </c>
      <c r="D196" s="8" t="str">
        <f>IF(Base_de_donnée_clients!H196="","",Base_de_donnée_clients!H196)</f>
        <v/>
      </c>
      <c r="E196" s="8" t="str">
        <f>IF(Base_de_donnée_clients!I196="","",Base_de_donnée_clients!I196)</f>
        <v/>
      </c>
      <c r="F196" s="9" t="str">
        <f>IF(Base_de_donnée_clients!J196="","",Base_de_donnée_clients!J196)</f>
        <v/>
      </c>
      <c r="G196" s="9" t="str">
        <f>IF(Base_de_donnée_clients!K196="","",Base_de_donnée_clients!K196)</f>
        <v/>
      </c>
      <c r="H196" s="8" t="str">
        <f>IF(Base_de_donnée_clients!L196="","",Base_de_donnée_clients!L196)</f>
        <v/>
      </c>
      <c r="I196" s="8" t="str">
        <f>IF(Base_de_donnée_clients!M196="","",Base_de_donnée_clients!M196)</f>
        <v/>
      </c>
      <c r="J196" s="8" t="str">
        <f>IF(Base_de_donnée_clients!N196="","",Base_de_donnée_clients!N196)</f>
        <v/>
      </c>
      <c r="K196" s="9" t="str">
        <f>IF(Base_de_donnée_clients!O196="","",Base_de_donnée_clients!O196)</f>
        <v/>
      </c>
      <c r="L196" s="9" t="str">
        <f>IF(Base_de_donnée_clients!P196="","",Base_de_donnée_clients!P196)</f>
        <v/>
      </c>
      <c r="M196" s="9" t="str">
        <f>IF(Base_de_donnée_clients!Q196="","",Base_de_donnée_clients!Q196)</f>
        <v/>
      </c>
      <c r="N196" s="8" t="str">
        <f>IF(Base_de_donnée_clients!R196="","",Base_de_donnée_clients!R196)</f>
        <v/>
      </c>
    </row>
    <row r="197" spans="1:14" ht="24" customHeight="1" x14ac:dyDescent="0.45">
      <c r="A197" s="16" t="str">
        <f>IF(Base_de_donnée_clients!A197="","",Base_de_donnée_clients!A197)</f>
        <v/>
      </c>
      <c r="B197" s="8" t="str">
        <f>IF(Base_de_donnée_clients!B197="","",Base_de_donnée_clients!B197)</f>
        <v/>
      </c>
      <c r="C197" s="8" t="str">
        <f>IF(Base_de_donnée_clients!C197="","",Base_de_donnée_clients!C197)</f>
        <v/>
      </c>
      <c r="D197" s="8" t="str">
        <f>IF(Base_de_donnée_clients!H197="","",Base_de_donnée_clients!H197)</f>
        <v/>
      </c>
      <c r="E197" s="8" t="str">
        <f>IF(Base_de_donnée_clients!I197="","",Base_de_donnée_clients!I197)</f>
        <v/>
      </c>
      <c r="F197" s="9" t="str">
        <f>IF(Base_de_donnée_clients!J197="","",Base_de_donnée_clients!J197)</f>
        <v/>
      </c>
      <c r="G197" s="9" t="str">
        <f>IF(Base_de_donnée_clients!K197="","",Base_de_donnée_clients!K197)</f>
        <v/>
      </c>
      <c r="H197" s="8" t="str">
        <f>IF(Base_de_donnée_clients!L197="","",Base_de_donnée_clients!L197)</f>
        <v/>
      </c>
      <c r="I197" s="8" t="str">
        <f>IF(Base_de_donnée_clients!M197="","",Base_de_donnée_clients!M197)</f>
        <v/>
      </c>
      <c r="J197" s="8" t="str">
        <f>IF(Base_de_donnée_clients!N197="","",Base_de_donnée_clients!N197)</f>
        <v/>
      </c>
      <c r="K197" s="9" t="str">
        <f>IF(Base_de_donnée_clients!O197="","",Base_de_donnée_clients!O197)</f>
        <v/>
      </c>
      <c r="L197" s="9" t="str">
        <f>IF(Base_de_donnée_clients!P197="","",Base_de_donnée_clients!P197)</f>
        <v/>
      </c>
      <c r="M197" s="9" t="str">
        <f>IF(Base_de_donnée_clients!Q197="","",Base_de_donnée_clients!Q197)</f>
        <v/>
      </c>
      <c r="N197" s="8" t="str">
        <f>IF(Base_de_donnée_clients!R197="","",Base_de_donnée_clients!R197)</f>
        <v/>
      </c>
    </row>
    <row r="198" spans="1:14" ht="24" customHeight="1" x14ac:dyDescent="0.45">
      <c r="A198" s="16" t="str">
        <f>IF(Base_de_donnée_clients!A198="","",Base_de_donnée_clients!A198)</f>
        <v/>
      </c>
      <c r="B198" s="8" t="str">
        <f>IF(Base_de_donnée_clients!B198="","",Base_de_donnée_clients!B198)</f>
        <v/>
      </c>
      <c r="C198" s="8" t="str">
        <f>IF(Base_de_donnée_clients!C198="","",Base_de_donnée_clients!C198)</f>
        <v/>
      </c>
      <c r="D198" s="8" t="str">
        <f>IF(Base_de_donnée_clients!H198="","",Base_de_donnée_clients!H198)</f>
        <v/>
      </c>
      <c r="E198" s="8" t="str">
        <f>IF(Base_de_donnée_clients!I198="","",Base_de_donnée_clients!I198)</f>
        <v/>
      </c>
      <c r="F198" s="9" t="str">
        <f>IF(Base_de_donnée_clients!J198="","",Base_de_donnée_clients!J198)</f>
        <v/>
      </c>
      <c r="G198" s="9" t="str">
        <f>IF(Base_de_donnée_clients!K198="","",Base_de_donnée_clients!K198)</f>
        <v/>
      </c>
      <c r="H198" s="8" t="str">
        <f>IF(Base_de_donnée_clients!L198="","",Base_de_donnée_clients!L198)</f>
        <v/>
      </c>
      <c r="I198" s="8" t="str">
        <f>IF(Base_de_donnée_clients!M198="","",Base_de_donnée_clients!M198)</f>
        <v/>
      </c>
      <c r="J198" s="8" t="str">
        <f>IF(Base_de_donnée_clients!N198="","",Base_de_donnée_clients!N198)</f>
        <v/>
      </c>
      <c r="K198" s="9" t="str">
        <f>IF(Base_de_donnée_clients!O198="","",Base_de_donnée_clients!O198)</f>
        <v/>
      </c>
      <c r="L198" s="9" t="str">
        <f>IF(Base_de_donnée_clients!P198="","",Base_de_donnée_clients!P198)</f>
        <v/>
      </c>
      <c r="M198" s="9" t="str">
        <f>IF(Base_de_donnée_clients!Q198="","",Base_de_donnée_clients!Q198)</f>
        <v/>
      </c>
      <c r="N198" s="8" t="str">
        <f>IF(Base_de_donnée_clients!R198="","",Base_de_donnée_clients!R198)</f>
        <v/>
      </c>
    </row>
    <row r="199" spans="1:14" ht="24" customHeight="1" x14ac:dyDescent="0.45">
      <c r="A199" s="16" t="str">
        <f>IF(Base_de_donnée_clients!A199="","",Base_de_donnée_clients!A199)</f>
        <v/>
      </c>
      <c r="B199" s="8" t="str">
        <f>IF(Base_de_donnée_clients!B199="","",Base_de_donnée_clients!B199)</f>
        <v/>
      </c>
      <c r="C199" s="8" t="str">
        <f>IF(Base_de_donnée_clients!C199="","",Base_de_donnée_clients!C199)</f>
        <v/>
      </c>
      <c r="D199" s="8" t="str">
        <f>IF(Base_de_donnée_clients!H199="","",Base_de_donnée_clients!H199)</f>
        <v/>
      </c>
      <c r="E199" s="8" t="str">
        <f>IF(Base_de_donnée_clients!I199="","",Base_de_donnée_clients!I199)</f>
        <v/>
      </c>
      <c r="F199" s="9" t="str">
        <f>IF(Base_de_donnée_clients!J199="","",Base_de_donnée_clients!J199)</f>
        <v/>
      </c>
      <c r="G199" s="9" t="str">
        <f>IF(Base_de_donnée_clients!K199="","",Base_de_donnée_clients!K199)</f>
        <v/>
      </c>
      <c r="H199" s="8" t="str">
        <f>IF(Base_de_donnée_clients!L199="","",Base_de_donnée_clients!L199)</f>
        <v/>
      </c>
      <c r="I199" s="8" t="str">
        <f>IF(Base_de_donnée_clients!M199="","",Base_de_donnée_clients!M199)</f>
        <v/>
      </c>
      <c r="J199" s="8" t="str">
        <f>IF(Base_de_donnée_clients!N199="","",Base_de_donnée_clients!N199)</f>
        <v/>
      </c>
      <c r="K199" s="9" t="str">
        <f>IF(Base_de_donnée_clients!O199="","",Base_de_donnée_clients!O199)</f>
        <v/>
      </c>
      <c r="L199" s="9" t="str">
        <f>IF(Base_de_donnée_clients!P199="","",Base_de_donnée_clients!P199)</f>
        <v/>
      </c>
      <c r="M199" s="9" t="str">
        <f>IF(Base_de_donnée_clients!Q199="","",Base_de_donnée_clients!Q199)</f>
        <v/>
      </c>
      <c r="N199" s="8" t="str">
        <f>IF(Base_de_donnée_clients!R199="","",Base_de_donnée_clients!R199)</f>
        <v/>
      </c>
    </row>
    <row r="200" spans="1:14" ht="24" customHeight="1" x14ac:dyDescent="0.45">
      <c r="A200" s="16" t="str">
        <f>IF(Base_de_donnée_clients!A200="","",Base_de_donnée_clients!A200)</f>
        <v/>
      </c>
      <c r="B200" s="8" t="str">
        <f>IF(Base_de_donnée_clients!B200="","",Base_de_donnée_clients!B200)</f>
        <v/>
      </c>
      <c r="C200" s="8" t="str">
        <f>IF(Base_de_donnée_clients!C200="","",Base_de_donnée_clients!C200)</f>
        <v/>
      </c>
      <c r="D200" s="8" t="str">
        <f>IF(Base_de_donnée_clients!H200="","",Base_de_donnée_clients!H200)</f>
        <v/>
      </c>
      <c r="E200" s="8" t="str">
        <f>IF(Base_de_donnée_clients!I200="","",Base_de_donnée_clients!I200)</f>
        <v/>
      </c>
      <c r="F200" s="9" t="str">
        <f>IF(Base_de_donnée_clients!J200="","",Base_de_donnée_clients!J200)</f>
        <v/>
      </c>
      <c r="G200" s="9" t="str">
        <f>IF(Base_de_donnée_clients!K200="","",Base_de_donnée_clients!K200)</f>
        <v/>
      </c>
      <c r="H200" s="8" t="str">
        <f>IF(Base_de_donnée_clients!L200="","",Base_de_donnée_clients!L200)</f>
        <v/>
      </c>
      <c r="I200" s="8" t="str">
        <f>IF(Base_de_donnée_clients!M200="","",Base_de_donnée_clients!M200)</f>
        <v/>
      </c>
      <c r="J200" s="8" t="str">
        <f>IF(Base_de_donnée_clients!N200="","",Base_de_donnée_clients!N200)</f>
        <v/>
      </c>
      <c r="K200" s="9" t="str">
        <f>IF(Base_de_donnée_clients!O200="","",Base_de_donnée_clients!O200)</f>
        <v/>
      </c>
      <c r="L200" s="9" t="str">
        <f>IF(Base_de_donnée_clients!P200="","",Base_de_donnée_clients!P200)</f>
        <v/>
      </c>
      <c r="M200" s="9" t="str">
        <f>IF(Base_de_donnée_clients!Q200="","",Base_de_donnée_clients!Q200)</f>
        <v/>
      </c>
      <c r="N200" s="8" t="str">
        <f>IF(Base_de_donnée_clients!R200="","",Base_de_donnée_clients!R200)</f>
        <v/>
      </c>
    </row>
    <row r="201" spans="1:14" ht="24" customHeight="1" x14ac:dyDescent="0.45">
      <c r="A201" s="16" t="str">
        <f>IF(Base_de_donnée_clients!A201="","",Base_de_donnée_clients!A201)</f>
        <v/>
      </c>
      <c r="B201" s="8" t="str">
        <f>IF(Base_de_donnée_clients!B201="","",Base_de_donnée_clients!B201)</f>
        <v/>
      </c>
      <c r="C201" s="8" t="str">
        <f>IF(Base_de_donnée_clients!C201="","",Base_de_donnée_clients!C201)</f>
        <v/>
      </c>
      <c r="D201" s="8" t="str">
        <f>IF(Base_de_donnée_clients!H201="","",Base_de_donnée_clients!H201)</f>
        <v/>
      </c>
      <c r="E201" s="8" t="str">
        <f>IF(Base_de_donnée_clients!I201="","",Base_de_donnée_clients!I201)</f>
        <v/>
      </c>
      <c r="F201" s="9" t="str">
        <f>IF(Base_de_donnée_clients!J201="","",Base_de_donnée_clients!J201)</f>
        <v/>
      </c>
      <c r="G201" s="9" t="str">
        <f>IF(Base_de_donnée_clients!K201="","",Base_de_donnée_clients!K201)</f>
        <v/>
      </c>
      <c r="H201" s="8" t="str">
        <f>IF(Base_de_donnée_clients!L201="","",Base_de_donnée_clients!L201)</f>
        <v/>
      </c>
      <c r="I201" s="8" t="str">
        <f>IF(Base_de_donnée_clients!M201="","",Base_de_donnée_clients!M201)</f>
        <v/>
      </c>
      <c r="J201" s="8" t="str">
        <f>IF(Base_de_donnée_clients!N201="","",Base_de_donnée_clients!N201)</f>
        <v/>
      </c>
      <c r="K201" s="9" t="str">
        <f>IF(Base_de_donnée_clients!O201="","",Base_de_donnée_clients!O201)</f>
        <v/>
      </c>
      <c r="L201" s="9" t="str">
        <f>IF(Base_de_donnée_clients!P201="","",Base_de_donnée_clients!P201)</f>
        <v/>
      </c>
      <c r="M201" s="9" t="str">
        <f>IF(Base_de_donnée_clients!Q201="","",Base_de_donnée_clients!Q201)</f>
        <v/>
      </c>
      <c r="N201" s="8" t="str">
        <f>IF(Base_de_donnée_clients!R201="","",Base_de_donnée_clients!R201)</f>
        <v/>
      </c>
    </row>
    <row r="202" spans="1:14" ht="24" customHeight="1" x14ac:dyDescent="0.45">
      <c r="A202" s="16" t="str">
        <f>IF(Base_de_donnée_clients!A202="","",Base_de_donnée_clients!A202)</f>
        <v/>
      </c>
      <c r="B202" s="8" t="str">
        <f>IF(Base_de_donnée_clients!B202="","",Base_de_donnée_clients!B202)</f>
        <v/>
      </c>
      <c r="C202" s="8" t="str">
        <f>IF(Base_de_donnée_clients!C202="","",Base_de_donnée_clients!C202)</f>
        <v/>
      </c>
      <c r="D202" s="8" t="str">
        <f>IF(Base_de_donnée_clients!H202="","",Base_de_donnée_clients!H202)</f>
        <v/>
      </c>
      <c r="E202" s="8" t="str">
        <f>IF(Base_de_donnée_clients!I202="","",Base_de_donnée_clients!I202)</f>
        <v/>
      </c>
      <c r="F202" s="9" t="str">
        <f>IF(Base_de_donnée_clients!J202="","",Base_de_donnée_clients!J202)</f>
        <v/>
      </c>
      <c r="G202" s="9" t="str">
        <f>IF(Base_de_donnée_clients!K202="","",Base_de_donnée_clients!K202)</f>
        <v/>
      </c>
      <c r="H202" s="8" t="str">
        <f>IF(Base_de_donnée_clients!L202="","",Base_de_donnée_clients!L202)</f>
        <v/>
      </c>
      <c r="I202" s="8" t="str">
        <f>IF(Base_de_donnée_clients!M202="","",Base_de_donnée_clients!M202)</f>
        <v/>
      </c>
      <c r="J202" s="8" t="str">
        <f>IF(Base_de_donnée_clients!N202="","",Base_de_donnée_clients!N202)</f>
        <v/>
      </c>
      <c r="K202" s="9" t="str">
        <f>IF(Base_de_donnée_clients!O202="","",Base_de_donnée_clients!O202)</f>
        <v/>
      </c>
      <c r="L202" s="9" t="str">
        <f>IF(Base_de_donnée_clients!P202="","",Base_de_donnée_clients!P202)</f>
        <v/>
      </c>
      <c r="M202" s="9" t="str">
        <f>IF(Base_de_donnée_clients!Q202="","",Base_de_donnée_clients!Q202)</f>
        <v/>
      </c>
      <c r="N202" s="8" t="str">
        <f>IF(Base_de_donnée_clients!R202="","",Base_de_donnée_clients!R202)</f>
        <v/>
      </c>
    </row>
    <row r="203" spans="1:14" ht="24" customHeight="1" x14ac:dyDescent="0.45">
      <c r="A203" s="16" t="str">
        <f>IF(Base_de_donnée_clients!A203="","",Base_de_donnée_clients!A203)</f>
        <v/>
      </c>
      <c r="B203" s="8" t="str">
        <f>IF(Base_de_donnée_clients!B203="","",Base_de_donnée_clients!B203)</f>
        <v/>
      </c>
      <c r="C203" s="8" t="str">
        <f>IF(Base_de_donnée_clients!C203="","",Base_de_donnée_clients!C203)</f>
        <v/>
      </c>
      <c r="D203" s="8" t="str">
        <f>IF(Base_de_donnée_clients!H203="","",Base_de_donnée_clients!H203)</f>
        <v/>
      </c>
      <c r="E203" s="8" t="str">
        <f>IF(Base_de_donnée_clients!I203="","",Base_de_donnée_clients!I203)</f>
        <v/>
      </c>
      <c r="F203" s="9" t="str">
        <f>IF(Base_de_donnée_clients!J203="","",Base_de_donnée_clients!J203)</f>
        <v/>
      </c>
      <c r="G203" s="9" t="str">
        <f>IF(Base_de_donnée_clients!K203="","",Base_de_donnée_clients!K203)</f>
        <v/>
      </c>
      <c r="H203" s="8" t="str">
        <f>IF(Base_de_donnée_clients!L203="","",Base_de_donnée_clients!L203)</f>
        <v/>
      </c>
      <c r="I203" s="8" t="str">
        <f>IF(Base_de_donnée_clients!M203="","",Base_de_donnée_clients!M203)</f>
        <v/>
      </c>
      <c r="J203" s="8" t="str">
        <f>IF(Base_de_donnée_clients!N203="","",Base_de_donnée_clients!N203)</f>
        <v/>
      </c>
      <c r="K203" s="9" t="str">
        <f>IF(Base_de_donnée_clients!O203="","",Base_de_donnée_clients!O203)</f>
        <v/>
      </c>
      <c r="L203" s="9" t="str">
        <f>IF(Base_de_donnée_clients!P203="","",Base_de_donnée_clients!P203)</f>
        <v/>
      </c>
      <c r="M203" s="9" t="str">
        <f>IF(Base_de_donnée_clients!Q203="","",Base_de_donnée_clients!Q203)</f>
        <v/>
      </c>
      <c r="N203" s="8" t="str">
        <f>IF(Base_de_donnée_clients!R203="","",Base_de_donnée_clients!R203)</f>
        <v/>
      </c>
    </row>
    <row r="204" spans="1:14" ht="24" customHeight="1" x14ac:dyDescent="0.45">
      <c r="A204" s="16" t="str">
        <f>IF(Base_de_donnée_clients!A204="","",Base_de_donnée_clients!A204)</f>
        <v/>
      </c>
      <c r="B204" s="8" t="str">
        <f>IF(Base_de_donnée_clients!B204="","",Base_de_donnée_clients!B204)</f>
        <v/>
      </c>
      <c r="C204" s="8" t="str">
        <f>IF(Base_de_donnée_clients!C204="","",Base_de_donnée_clients!C204)</f>
        <v/>
      </c>
      <c r="D204" s="8" t="str">
        <f>IF(Base_de_donnée_clients!H204="","",Base_de_donnée_clients!H204)</f>
        <v/>
      </c>
      <c r="E204" s="8" t="str">
        <f>IF(Base_de_donnée_clients!I204="","",Base_de_donnée_clients!I204)</f>
        <v/>
      </c>
      <c r="F204" s="9" t="str">
        <f>IF(Base_de_donnée_clients!J204="","",Base_de_donnée_clients!J204)</f>
        <v/>
      </c>
      <c r="G204" s="9" t="str">
        <f>IF(Base_de_donnée_clients!K204="","",Base_de_donnée_clients!K204)</f>
        <v/>
      </c>
      <c r="H204" s="8" t="str">
        <f>IF(Base_de_donnée_clients!L204="","",Base_de_donnée_clients!L204)</f>
        <v/>
      </c>
      <c r="I204" s="8" t="str">
        <f>IF(Base_de_donnée_clients!M204="","",Base_de_donnée_clients!M204)</f>
        <v/>
      </c>
      <c r="J204" s="8" t="str">
        <f>IF(Base_de_donnée_clients!N204="","",Base_de_donnée_clients!N204)</f>
        <v/>
      </c>
      <c r="K204" s="9" t="str">
        <f>IF(Base_de_donnée_clients!O204="","",Base_de_donnée_clients!O204)</f>
        <v/>
      </c>
      <c r="L204" s="9" t="str">
        <f>IF(Base_de_donnée_clients!P204="","",Base_de_donnée_clients!P204)</f>
        <v/>
      </c>
      <c r="M204" s="9" t="str">
        <f>IF(Base_de_donnée_clients!Q204="","",Base_de_donnée_clients!Q204)</f>
        <v/>
      </c>
      <c r="N204" s="8" t="str">
        <f>IF(Base_de_donnée_clients!R204="","",Base_de_donnée_clients!R204)</f>
        <v/>
      </c>
    </row>
    <row r="205" spans="1:14" ht="24" customHeight="1" x14ac:dyDescent="0.45">
      <c r="A205" s="16" t="str">
        <f>IF(Base_de_donnée_clients!A205="","",Base_de_donnée_clients!A205)</f>
        <v/>
      </c>
      <c r="B205" s="8" t="str">
        <f>IF(Base_de_donnée_clients!B205="","",Base_de_donnée_clients!B205)</f>
        <v/>
      </c>
      <c r="C205" s="8" t="str">
        <f>IF(Base_de_donnée_clients!C205="","",Base_de_donnée_clients!C205)</f>
        <v/>
      </c>
      <c r="D205" s="8" t="str">
        <f>IF(Base_de_donnée_clients!H205="","",Base_de_donnée_clients!H205)</f>
        <v/>
      </c>
      <c r="E205" s="8" t="str">
        <f>IF(Base_de_donnée_clients!I205="","",Base_de_donnée_clients!I205)</f>
        <v/>
      </c>
      <c r="F205" s="9" t="str">
        <f>IF(Base_de_donnée_clients!J205="","",Base_de_donnée_clients!J205)</f>
        <v/>
      </c>
      <c r="G205" s="9" t="str">
        <f>IF(Base_de_donnée_clients!K205="","",Base_de_donnée_clients!K205)</f>
        <v/>
      </c>
      <c r="H205" s="8" t="str">
        <f>IF(Base_de_donnée_clients!L205="","",Base_de_donnée_clients!L205)</f>
        <v/>
      </c>
      <c r="I205" s="8" t="str">
        <f>IF(Base_de_donnée_clients!M205="","",Base_de_donnée_clients!M205)</f>
        <v/>
      </c>
      <c r="J205" s="8" t="str">
        <f>IF(Base_de_donnée_clients!N205="","",Base_de_donnée_clients!N205)</f>
        <v/>
      </c>
      <c r="K205" s="9" t="str">
        <f>IF(Base_de_donnée_clients!O205="","",Base_de_donnée_clients!O205)</f>
        <v/>
      </c>
      <c r="L205" s="9" t="str">
        <f>IF(Base_de_donnée_clients!P205="","",Base_de_donnée_clients!P205)</f>
        <v/>
      </c>
      <c r="M205" s="9" t="str">
        <f>IF(Base_de_donnée_clients!Q205="","",Base_de_donnée_clients!Q205)</f>
        <v/>
      </c>
      <c r="N205" s="8" t="str">
        <f>IF(Base_de_donnée_clients!R205="","",Base_de_donnée_clients!R205)</f>
        <v/>
      </c>
    </row>
    <row r="206" spans="1:14" ht="24" customHeight="1" x14ac:dyDescent="0.45">
      <c r="A206" s="16" t="str">
        <f>IF(Base_de_donnée_clients!A206="","",Base_de_donnée_clients!A206)</f>
        <v/>
      </c>
      <c r="B206" s="8" t="str">
        <f>IF(Base_de_donnée_clients!B206="","",Base_de_donnée_clients!B206)</f>
        <v/>
      </c>
      <c r="C206" s="8" t="str">
        <f>IF(Base_de_donnée_clients!C206="","",Base_de_donnée_clients!C206)</f>
        <v/>
      </c>
      <c r="D206" s="8" t="str">
        <f>IF(Base_de_donnée_clients!H206="","",Base_de_donnée_clients!H206)</f>
        <v/>
      </c>
      <c r="E206" s="8" t="str">
        <f>IF(Base_de_donnée_clients!I206="","",Base_de_donnée_clients!I206)</f>
        <v/>
      </c>
      <c r="F206" s="9" t="str">
        <f>IF(Base_de_donnée_clients!J206="","",Base_de_donnée_clients!J206)</f>
        <v/>
      </c>
      <c r="G206" s="9" t="str">
        <f>IF(Base_de_donnée_clients!K206="","",Base_de_donnée_clients!K206)</f>
        <v/>
      </c>
      <c r="H206" s="8" t="str">
        <f>IF(Base_de_donnée_clients!L206="","",Base_de_donnée_clients!L206)</f>
        <v/>
      </c>
      <c r="I206" s="8" t="str">
        <f>IF(Base_de_donnée_clients!M206="","",Base_de_donnée_clients!M206)</f>
        <v/>
      </c>
      <c r="J206" s="8" t="str">
        <f>IF(Base_de_donnée_clients!N206="","",Base_de_donnée_clients!N206)</f>
        <v/>
      </c>
      <c r="K206" s="9" t="str">
        <f>IF(Base_de_donnée_clients!O206="","",Base_de_donnée_clients!O206)</f>
        <v/>
      </c>
      <c r="L206" s="9" t="str">
        <f>IF(Base_de_donnée_clients!P206="","",Base_de_donnée_clients!P206)</f>
        <v/>
      </c>
      <c r="M206" s="9" t="str">
        <f>IF(Base_de_donnée_clients!Q206="","",Base_de_donnée_clients!Q206)</f>
        <v/>
      </c>
      <c r="N206" s="8" t="str">
        <f>IF(Base_de_donnée_clients!R206="","",Base_de_donnée_clients!R206)</f>
        <v/>
      </c>
    </row>
    <row r="207" spans="1:14" ht="24" customHeight="1" x14ac:dyDescent="0.45">
      <c r="A207" s="16" t="str">
        <f>IF(Base_de_donnée_clients!A207="","",Base_de_donnée_clients!A207)</f>
        <v/>
      </c>
      <c r="B207" s="8" t="str">
        <f>IF(Base_de_donnée_clients!B207="","",Base_de_donnée_clients!B207)</f>
        <v/>
      </c>
      <c r="C207" s="8" t="str">
        <f>IF(Base_de_donnée_clients!C207="","",Base_de_donnée_clients!C207)</f>
        <v/>
      </c>
      <c r="D207" s="8" t="str">
        <f>IF(Base_de_donnée_clients!H207="","",Base_de_donnée_clients!H207)</f>
        <v/>
      </c>
      <c r="E207" s="8" t="str">
        <f>IF(Base_de_donnée_clients!I207="","",Base_de_donnée_clients!I207)</f>
        <v/>
      </c>
      <c r="F207" s="9" t="str">
        <f>IF(Base_de_donnée_clients!J207="","",Base_de_donnée_clients!J207)</f>
        <v/>
      </c>
      <c r="G207" s="9" t="str">
        <f>IF(Base_de_donnée_clients!K207="","",Base_de_donnée_clients!K207)</f>
        <v/>
      </c>
      <c r="H207" s="8" t="str">
        <f>IF(Base_de_donnée_clients!L207="","",Base_de_donnée_clients!L207)</f>
        <v/>
      </c>
      <c r="I207" s="8" t="str">
        <f>IF(Base_de_donnée_clients!M207="","",Base_de_donnée_clients!M207)</f>
        <v/>
      </c>
      <c r="J207" s="8" t="str">
        <f>IF(Base_de_donnée_clients!N207="","",Base_de_donnée_clients!N207)</f>
        <v/>
      </c>
      <c r="K207" s="9" t="str">
        <f>IF(Base_de_donnée_clients!O207="","",Base_de_donnée_clients!O207)</f>
        <v/>
      </c>
      <c r="L207" s="9" t="str">
        <f>IF(Base_de_donnée_clients!P207="","",Base_de_donnée_clients!P207)</f>
        <v/>
      </c>
      <c r="M207" s="9" t="str">
        <f>IF(Base_de_donnée_clients!Q207="","",Base_de_donnée_clients!Q207)</f>
        <v/>
      </c>
      <c r="N207" s="8" t="str">
        <f>IF(Base_de_donnée_clients!R207="","",Base_de_donnée_clients!R207)</f>
        <v/>
      </c>
    </row>
    <row r="208" spans="1:14" ht="24" customHeight="1" x14ac:dyDescent="0.45">
      <c r="A208" s="16" t="str">
        <f>IF(Base_de_donnée_clients!A208="","",Base_de_donnée_clients!A208)</f>
        <v/>
      </c>
      <c r="B208" s="8" t="str">
        <f>IF(Base_de_donnée_clients!B208="","",Base_de_donnée_clients!B208)</f>
        <v/>
      </c>
      <c r="C208" s="8" t="str">
        <f>IF(Base_de_donnée_clients!C208="","",Base_de_donnée_clients!C208)</f>
        <v/>
      </c>
      <c r="D208" s="8" t="str">
        <f>IF(Base_de_donnée_clients!H208="","",Base_de_donnée_clients!H208)</f>
        <v/>
      </c>
      <c r="E208" s="8" t="str">
        <f>IF(Base_de_donnée_clients!I208="","",Base_de_donnée_clients!I208)</f>
        <v/>
      </c>
      <c r="F208" s="9" t="str">
        <f>IF(Base_de_donnée_clients!J208="","",Base_de_donnée_clients!J208)</f>
        <v/>
      </c>
      <c r="G208" s="9" t="str">
        <f>IF(Base_de_donnée_clients!K208="","",Base_de_donnée_clients!K208)</f>
        <v/>
      </c>
      <c r="H208" s="8" t="str">
        <f>IF(Base_de_donnée_clients!L208="","",Base_de_donnée_clients!L208)</f>
        <v/>
      </c>
      <c r="I208" s="8" t="str">
        <f>IF(Base_de_donnée_clients!M208="","",Base_de_donnée_clients!M208)</f>
        <v/>
      </c>
      <c r="J208" s="8" t="str">
        <f>IF(Base_de_donnée_clients!N208="","",Base_de_donnée_clients!N208)</f>
        <v/>
      </c>
      <c r="K208" s="9" t="str">
        <f>IF(Base_de_donnée_clients!O208="","",Base_de_donnée_clients!O208)</f>
        <v/>
      </c>
      <c r="L208" s="9" t="str">
        <f>IF(Base_de_donnée_clients!P208="","",Base_de_donnée_clients!P208)</f>
        <v/>
      </c>
      <c r="M208" s="9" t="str">
        <f>IF(Base_de_donnée_clients!Q208="","",Base_de_donnée_clients!Q208)</f>
        <v/>
      </c>
      <c r="N208" s="8" t="str">
        <f>IF(Base_de_donnée_clients!R208="","",Base_de_donnée_clients!R208)</f>
        <v/>
      </c>
    </row>
    <row r="209" spans="1:14" ht="24" customHeight="1" x14ac:dyDescent="0.45">
      <c r="A209" s="16" t="str">
        <f>IF(Base_de_donnée_clients!A209="","",Base_de_donnée_clients!A209)</f>
        <v/>
      </c>
      <c r="B209" s="8" t="str">
        <f>IF(Base_de_donnée_clients!B209="","",Base_de_donnée_clients!B209)</f>
        <v/>
      </c>
      <c r="C209" s="8" t="str">
        <f>IF(Base_de_donnée_clients!C209="","",Base_de_donnée_clients!C209)</f>
        <v/>
      </c>
      <c r="D209" s="8" t="str">
        <f>IF(Base_de_donnée_clients!H209="","",Base_de_donnée_clients!H209)</f>
        <v/>
      </c>
      <c r="E209" s="8" t="str">
        <f>IF(Base_de_donnée_clients!I209="","",Base_de_donnée_clients!I209)</f>
        <v/>
      </c>
      <c r="F209" s="9" t="str">
        <f>IF(Base_de_donnée_clients!J209="","",Base_de_donnée_clients!J209)</f>
        <v/>
      </c>
      <c r="G209" s="9" t="str">
        <f>IF(Base_de_donnée_clients!K209="","",Base_de_donnée_clients!K209)</f>
        <v/>
      </c>
      <c r="H209" s="8" t="str">
        <f>IF(Base_de_donnée_clients!L209="","",Base_de_donnée_clients!L209)</f>
        <v/>
      </c>
      <c r="I209" s="8" t="str">
        <f>IF(Base_de_donnée_clients!M209="","",Base_de_donnée_clients!M209)</f>
        <v/>
      </c>
      <c r="J209" s="8" t="str">
        <f>IF(Base_de_donnée_clients!N209="","",Base_de_donnée_clients!N209)</f>
        <v/>
      </c>
      <c r="K209" s="9" t="str">
        <f>IF(Base_de_donnée_clients!O209="","",Base_de_donnée_clients!O209)</f>
        <v/>
      </c>
      <c r="L209" s="9" t="str">
        <f>IF(Base_de_donnée_clients!P209="","",Base_de_donnée_clients!P209)</f>
        <v/>
      </c>
      <c r="M209" s="9" t="str">
        <f>IF(Base_de_donnée_clients!Q209="","",Base_de_donnée_clients!Q209)</f>
        <v/>
      </c>
      <c r="N209" s="8" t="str">
        <f>IF(Base_de_donnée_clients!R209="","",Base_de_donnée_clients!R209)</f>
        <v/>
      </c>
    </row>
    <row r="210" spans="1:14" ht="24" customHeight="1" x14ac:dyDescent="0.45">
      <c r="A210" s="16" t="str">
        <f>IF(Base_de_donnée_clients!A210="","",Base_de_donnée_clients!A210)</f>
        <v/>
      </c>
      <c r="B210" s="8" t="str">
        <f>IF(Base_de_donnée_clients!B210="","",Base_de_donnée_clients!B210)</f>
        <v/>
      </c>
      <c r="C210" s="8" t="str">
        <f>IF(Base_de_donnée_clients!C210="","",Base_de_donnée_clients!C210)</f>
        <v/>
      </c>
      <c r="D210" s="8" t="str">
        <f>IF(Base_de_donnée_clients!H210="","",Base_de_donnée_clients!H210)</f>
        <v/>
      </c>
      <c r="E210" s="8" t="str">
        <f>IF(Base_de_donnée_clients!I210="","",Base_de_donnée_clients!I210)</f>
        <v/>
      </c>
      <c r="F210" s="9" t="str">
        <f>IF(Base_de_donnée_clients!J210="","",Base_de_donnée_clients!J210)</f>
        <v/>
      </c>
      <c r="G210" s="9" t="str">
        <f>IF(Base_de_donnée_clients!K210="","",Base_de_donnée_clients!K210)</f>
        <v/>
      </c>
      <c r="H210" s="8" t="str">
        <f>IF(Base_de_donnée_clients!L210="","",Base_de_donnée_clients!L210)</f>
        <v/>
      </c>
      <c r="I210" s="8" t="str">
        <f>IF(Base_de_donnée_clients!M210="","",Base_de_donnée_clients!M210)</f>
        <v/>
      </c>
      <c r="J210" s="8" t="str">
        <f>IF(Base_de_donnée_clients!N210="","",Base_de_donnée_clients!N210)</f>
        <v/>
      </c>
      <c r="K210" s="9" t="str">
        <f>IF(Base_de_donnée_clients!O210="","",Base_de_donnée_clients!O210)</f>
        <v/>
      </c>
      <c r="L210" s="9" t="str">
        <f>IF(Base_de_donnée_clients!P210="","",Base_de_donnée_clients!P210)</f>
        <v/>
      </c>
      <c r="M210" s="9" t="str">
        <f>IF(Base_de_donnée_clients!Q210="","",Base_de_donnée_clients!Q210)</f>
        <v/>
      </c>
      <c r="N210" s="8" t="str">
        <f>IF(Base_de_donnée_clients!R210="","",Base_de_donnée_clients!R210)</f>
        <v/>
      </c>
    </row>
    <row r="211" spans="1:14" ht="24" customHeight="1" x14ac:dyDescent="0.45">
      <c r="A211" s="16" t="str">
        <f>IF(Base_de_donnée_clients!A211="","",Base_de_donnée_clients!A211)</f>
        <v/>
      </c>
      <c r="B211" s="8" t="str">
        <f>IF(Base_de_donnée_clients!B211="","",Base_de_donnée_clients!B211)</f>
        <v/>
      </c>
      <c r="C211" s="8" t="str">
        <f>IF(Base_de_donnée_clients!C211="","",Base_de_donnée_clients!C211)</f>
        <v/>
      </c>
      <c r="D211" s="8" t="str">
        <f>IF(Base_de_donnée_clients!H211="","",Base_de_donnée_clients!H211)</f>
        <v/>
      </c>
      <c r="E211" s="8" t="str">
        <f>IF(Base_de_donnée_clients!I211="","",Base_de_donnée_clients!I211)</f>
        <v/>
      </c>
      <c r="F211" s="9" t="str">
        <f>IF(Base_de_donnée_clients!J211="","",Base_de_donnée_clients!J211)</f>
        <v/>
      </c>
      <c r="G211" s="9" t="str">
        <f>IF(Base_de_donnée_clients!K211="","",Base_de_donnée_clients!K211)</f>
        <v/>
      </c>
      <c r="H211" s="8" t="str">
        <f>IF(Base_de_donnée_clients!L211="","",Base_de_donnée_clients!L211)</f>
        <v/>
      </c>
      <c r="I211" s="8" t="str">
        <f>IF(Base_de_donnée_clients!M211="","",Base_de_donnée_clients!M211)</f>
        <v/>
      </c>
      <c r="J211" s="8" t="str">
        <f>IF(Base_de_donnée_clients!N211="","",Base_de_donnée_clients!N211)</f>
        <v/>
      </c>
      <c r="K211" s="9" t="str">
        <f>IF(Base_de_donnée_clients!O211="","",Base_de_donnée_clients!O211)</f>
        <v/>
      </c>
      <c r="L211" s="9" t="str">
        <f>IF(Base_de_donnée_clients!P211="","",Base_de_donnée_clients!P211)</f>
        <v/>
      </c>
      <c r="M211" s="9" t="str">
        <f>IF(Base_de_donnée_clients!Q211="","",Base_de_donnée_clients!Q211)</f>
        <v/>
      </c>
      <c r="N211" s="8" t="str">
        <f>IF(Base_de_donnée_clients!R211="","",Base_de_donnée_clients!R211)</f>
        <v/>
      </c>
    </row>
    <row r="212" spans="1:14" ht="24" customHeight="1" x14ac:dyDescent="0.45">
      <c r="A212" s="16" t="str">
        <f>IF(Base_de_donnée_clients!A212="","",Base_de_donnée_clients!A212)</f>
        <v/>
      </c>
      <c r="B212" s="8" t="str">
        <f>IF(Base_de_donnée_clients!B212="","",Base_de_donnée_clients!B212)</f>
        <v/>
      </c>
      <c r="C212" s="8" t="str">
        <f>IF(Base_de_donnée_clients!C212="","",Base_de_donnée_clients!C212)</f>
        <v/>
      </c>
      <c r="D212" s="8" t="str">
        <f>IF(Base_de_donnée_clients!H212="","",Base_de_donnée_clients!H212)</f>
        <v/>
      </c>
      <c r="E212" s="8" t="str">
        <f>IF(Base_de_donnée_clients!I212="","",Base_de_donnée_clients!I212)</f>
        <v/>
      </c>
      <c r="F212" s="9" t="str">
        <f>IF(Base_de_donnée_clients!J212="","",Base_de_donnée_clients!J212)</f>
        <v/>
      </c>
      <c r="G212" s="9" t="str">
        <f>IF(Base_de_donnée_clients!K212="","",Base_de_donnée_clients!K212)</f>
        <v/>
      </c>
      <c r="H212" s="8" t="str">
        <f>IF(Base_de_donnée_clients!L212="","",Base_de_donnée_clients!L212)</f>
        <v/>
      </c>
      <c r="I212" s="8" t="str">
        <f>IF(Base_de_donnée_clients!M212="","",Base_de_donnée_clients!M212)</f>
        <v/>
      </c>
      <c r="J212" s="8" t="str">
        <f>IF(Base_de_donnée_clients!N212="","",Base_de_donnée_clients!N212)</f>
        <v/>
      </c>
      <c r="K212" s="9" t="str">
        <f>IF(Base_de_donnée_clients!O212="","",Base_de_donnée_clients!O212)</f>
        <v/>
      </c>
      <c r="L212" s="9" t="str">
        <f>IF(Base_de_donnée_clients!P212="","",Base_de_donnée_clients!P212)</f>
        <v/>
      </c>
      <c r="M212" s="9" t="str">
        <f>IF(Base_de_donnée_clients!Q212="","",Base_de_donnée_clients!Q212)</f>
        <v/>
      </c>
      <c r="N212" s="8" t="str">
        <f>IF(Base_de_donnée_clients!R212="","",Base_de_donnée_clients!R212)</f>
        <v/>
      </c>
    </row>
    <row r="213" spans="1:14" ht="24" customHeight="1" x14ac:dyDescent="0.45">
      <c r="A213" s="16" t="str">
        <f>IF(Base_de_donnée_clients!A213="","",Base_de_donnée_clients!A213)</f>
        <v/>
      </c>
      <c r="B213" s="8" t="str">
        <f>IF(Base_de_donnée_clients!B213="","",Base_de_donnée_clients!B213)</f>
        <v/>
      </c>
      <c r="C213" s="8" t="str">
        <f>IF(Base_de_donnée_clients!C213="","",Base_de_donnée_clients!C213)</f>
        <v/>
      </c>
      <c r="D213" s="8" t="str">
        <f>IF(Base_de_donnée_clients!H213="","",Base_de_donnée_clients!H213)</f>
        <v/>
      </c>
      <c r="E213" s="8" t="str">
        <f>IF(Base_de_donnée_clients!I213="","",Base_de_donnée_clients!I213)</f>
        <v/>
      </c>
      <c r="F213" s="9" t="str">
        <f>IF(Base_de_donnée_clients!J213="","",Base_de_donnée_clients!J213)</f>
        <v/>
      </c>
      <c r="G213" s="9" t="str">
        <f>IF(Base_de_donnée_clients!K213="","",Base_de_donnée_clients!K213)</f>
        <v/>
      </c>
      <c r="H213" s="8" t="str">
        <f>IF(Base_de_donnée_clients!L213="","",Base_de_donnée_clients!L213)</f>
        <v/>
      </c>
      <c r="I213" s="8" t="str">
        <f>IF(Base_de_donnée_clients!M213="","",Base_de_donnée_clients!M213)</f>
        <v/>
      </c>
      <c r="J213" s="8" t="str">
        <f>IF(Base_de_donnée_clients!N213="","",Base_de_donnée_clients!N213)</f>
        <v/>
      </c>
      <c r="K213" s="9" t="str">
        <f>IF(Base_de_donnée_clients!O213="","",Base_de_donnée_clients!O213)</f>
        <v/>
      </c>
      <c r="L213" s="9" t="str">
        <f>IF(Base_de_donnée_clients!P213="","",Base_de_donnée_clients!P213)</f>
        <v/>
      </c>
      <c r="M213" s="9" t="str">
        <f>IF(Base_de_donnée_clients!Q213="","",Base_de_donnée_clients!Q213)</f>
        <v/>
      </c>
      <c r="N213" s="8" t="str">
        <f>IF(Base_de_donnée_clients!R213="","",Base_de_donnée_clients!R213)</f>
        <v/>
      </c>
    </row>
    <row r="214" spans="1:14" ht="24" customHeight="1" x14ac:dyDescent="0.45">
      <c r="A214" s="16" t="str">
        <f>IF(Base_de_donnée_clients!A214="","",Base_de_donnée_clients!A214)</f>
        <v/>
      </c>
      <c r="B214" s="8" t="str">
        <f>IF(Base_de_donnée_clients!B214="","",Base_de_donnée_clients!B214)</f>
        <v/>
      </c>
      <c r="C214" s="8" t="str">
        <f>IF(Base_de_donnée_clients!C214="","",Base_de_donnée_clients!C214)</f>
        <v/>
      </c>
      <c r="D214" s="8" t="str">
        <f>IF(Base_de_donnée_clients!H214="","",Base_de_donnée_clients!H214)</f>
        <v/>
      </c>
      <c r="E214" s="8" t="str">
        <f>IF(Base_de_donnée_clients!I214="","",Base_de_donnée_clients!I214)</f>
        <v/>
      </c>
      <c r="F214" s="9" t="str">
        <f>IF(Base_de_donnée_clients!J214="","",Base_de_donnée_clients!J214)</f>
        <v/>
      </c>
      <c r="G214" s="9" t="str">
        <f>IF(Base_de_donnée_clients!K214="","",Base_de_donnée_clients!K214)</f>
        <v/>
      </c>
      <c r="H214" s="8" t="str">
        <f>IF(Base_de_donnée_clients!L214="","",Base_de_donnée_clients!L214)</f>
        <v/>
      </c>
      <c r="I214" s="8" t="str">
        <f>IF(Base_de_donnée_clients!M214="","",Base_de_donnée_clients!M214)</f>
        <v/>
      </c>
      <c r="J214" s="8" t="str">
        <f>IF(Base_de_donnée_clients!N214="","",Base_de_donnée_clients!N214)</f>
        <v/>
      </c>
      <c r="K214" s="9" t="str">
        <f>IF(Base_de_donnée_clients!O214="","",Base_de_donnée_clients!O214)</f>
        <v/>
      </c>
      <c r="L214" s="9" t="str">
        <f>IF(Base_de_donnée_clients!P214="","",Base_de_donnée_clients!P214)</f>
        <v/>
      </c>
      <c r="M214" s="9" t="str">
        <f>IF(Base_de_donnée_clients!Q214="","",Base_de_donnée_clients!Q214)</f>
        <v/>
      </c>
      <c r="N214" s="8" t="str">
        <f>IF(Base_de_donnée_clients!R214="","",Base_de_donnée_clients!R214)</f>
        <v/>
      </c>
    </row>
    <row r="215" spans="1:14" ht="24" customHeight="1" x14ac:dyDescent="0.45">
      <c r="A215" s="16" t="str">
        <f>IF(Base_de_donnée_clients!A215="","",Base_de_donnée_clients!A215)</f>
        <v/>
      </c>
      <c r="B215" s="8" t="str">
        <f>IF(Base_de_donnée_clients!B215="","",Base_de_donnée_clients!B215)</f>
        <v/>
      </c>
      <c r="C215" s="8" t="str">
        <f>IF(Base_de_donnée_clients!C215="","",Base_de_donnée_clients!C215)</f>
        <v/>
      </c>
      <c r="D215" s="8" t="str">
        <f>IF(Base_de_donnée_clients!H215="","",Base_de_donnée_clients!H215)</f>
        <v/>
      </c>
      <c r="E215" s="8" t="str">
        <f>IF(Base_de_donnée_clients!I215="","",Base_de_donnée_clients!I215)</f>
        <v/>
      </c>
      <c r="F215" s="9" t="str">
        <f>IF(Base_de_donnée_clients!J215="","",Base_de_donnée_clients!J215)</f>
        <v/>
      </c>
      <c r="G215" s="9" t="str">
        <f>IF(Base_de_donnée_clients!K215="","",Base_de_donnée_clients!K215)</f>
        <v/>
      </c>
      <c r="H215" s="8" t="str">
        <f>IF(Base_de_donnée_clients!L215="","",Base_de_donnée_clients!L215)</f>
        <v/>
      </c>
      <c r="I215" s="8" t="str">
        <f>IF(Base_de_donnée_clients!M215="","",Base_de_donnée_clients!M215)</f>
        <v/>
      </c>
      <c r="J215" s="8" t="str">
        <f>IF(Base_de_donnée_clients!N215="","",Base_de_donnée_clients!N215)</f>
        <v/>
      </c>
      <c r="K215" s="9" t="str">
        <f>IF(Base_de_donnée_clients!O215="","",Base_de_donnée_clients!O215)</f>
        <v/>
      </c>
      <c r="L215" s="9" t="str">
        <f>IF(Base_de_donnée_clients!P215="","",Base_de_donnée_clients!P215)</f>
        <v/>
      </c>
      <c r="M215" s="9" t="str">
        <f>IF(Base_de_donnée_clients!Q215="","",Base_de_donnée_clients!Q215)</f>
        <v/>
      </c>
      <c r="N215" s="8" t="str">
        <f>IF(Base_de_donnée_clients!R215="","",Base_de_donnée_clients!R215)</f>
        <v/>
      </c>
    </row>
    <row r="216" spans="1:14" ht="24" customHeight="1" x14ac:dyDescent="0.45">
      <c r="A216" s="16" t="str">
        <f>IF(Base_de_donnée_clients!A216="","",Base_de_donnée_clients!A216)</f>
        <v/>
      </c>
      <c r="B216" s="8" t="str">
        <f>IF(Base_de_donnée_clients!B216="","",Base_de_donnée_clients!B216)</f>
        <v/>
      </c>
      <c r="C216" s="8" t="str">
        <f>IF(Base_de_donnée_clients!C216="","",Base_de_donnée_clients!C216)</f>
        <v/>
      </c>
      <c r="D216" s="8" t="str">
        <f>IF(Base_de_donnée_clients!H216="","",Base_de_donnée_clients!H216)</f>
        <v/>
      </c>
      <c r="E216" s="8" t="str">
        <f>IF(Base_de_donnée_clients!I216="","",Base_de_donnée_clients!I216)</f>
        <v/>
      </c>
      <c r="F216" s="9" t="str">
        <f>IF(Base_de_donnée_clients!J216="","",Base_de_donnée_clients!J216)</f>
        <v/>
      </c>
      <c r="G216" s="9" t="str">
        <f>IF(Base_de_donnée_clients!K216="","",Base_de_donnée_clients!K216)</f>
        <v/>
      </c>
      <c r="H216" s="8" t="str">
        <f>IF(Base_de_donnée_clients!L216="","",Base_de_donnée_clients!L216)</f>
        <v/>
      </c>
      <c r="I216" s="8" t="str">
        <f>IF(Base_de_donnée_clients!M216="","",Base_de_donnée_clients!M216)</f>
        <v/>
      </c>
      <c r="J216" s="8" t="str">
        <f>IF(Base_de_donnée_clients!N216="","",Base_de_donnée_clients!N216)</f>
        <v/>
      </c>
      <c r="K216" s="9" t="str">
        <f>IF(Base_de_donnée_clients!O216="","",Base_de_donnée_clients!O216)</f>
        <v/>
      </c>
      <c r="L216" s="9" t="str">
        <f>IF(Base_de_donnée_clients!P216="","",Base_de_donnée_clients!P216)</f>
        <v/>
      </c>
      <c r="M216" s="9" t="str">
        <f>IF(Base_de_donnée_clients!Q216="","",Base_de_donnée_clients!Q216)</f>
        <v/>
      </c>
      <c r="N216" s="8" t="str">
        <f>IF(Base_de_donnée_clients!R216="","",Base_de_donnée_clients!R216)</f>
        <v/>
      </c>
    </row>
    <row r="217" spans="1:14" ht="24" customHeight="1" x14ac:dyDescent="0.45">
      <c r="A217" s="16" t="str">
        <f>IF(Base_de_donnée_clients!A217="","",Base_de_donnée_clients!A217)</f>
        <v/>
      </c>
      <c r="B217" s="8" t="str">
        <f>IF(Base_de_donnée_clients!B217="","",Base_de_donnée_clients!B217)</f>
        <v/>
      </c>
      <c r="C217" s="8" t="str">
        <f>IF(Base_de_donnée_clients!C217="","",Base_de_donnée_clients!C217)</f>
        <v/>
      </c>
      <c r="D217" s="8" t="str">
        <f>IF(Base_de_donnée_clients!H217="","",Base_de_donnée_clients!H217)</f>
        <v/>
      </c>
      <c r="E217" s="8" t="str">
        <f>IF(Base_de_donnée_clients!I217="","",Base_de_donnée_clients!I217)</f>
        <v/>
      </c>
      <c r="F217" s="9" t="str">
        <f>IF(Base_de_donnée_clients!J217="","",Base_de_donnée_clients!J217)</f>
        <v/>
      </c>
      <c r="G217" s="9" t="str">
        <f>IF(Base_de_donnée_clients!K217="","",Base_de_donnée_clients!K217)</f>
        <v/>
      </c>
      <c r="H217" s="8" t="str">
        <f>IF(Base_de_donnée_clients!L217="","",Base_de_donnée_clients!L217)</f>
        <v/>
      </c>
      <c r="I217" s="8" t="str">
        <f>IF(Base_de_donnée_clients!M217="","",Base_de_donnée_clients!M217)</f>
        <v/>
      </c>
      <c r="J217" s="8" t="str">
        <f>IF(Base_de_donnée_clients!N217="","",Base_de_donnée_clients!N217)</f>
        <v/>
      </c>
      <c r="K217" s="9" t="str">
        <f>IF(Base_de_donnée_clients!O217="","",Base_de_donnée_clients!O217)</f>
        <v/>
      </c>
      <c r="L217" s="9" t="str">
        <f>IF(Base_de_donnée_clients!P217="","",Base_de_donnée_clients!P217)</f>
        <v/>
      </c>
      <c r="M217" s="9" t="str">
        <f>IF(Base_de_donnée_clients!Q217="","",Base_de_donnée_clients!Q217)</f>
        <v/>
      </c>
      <c r="N217" s="8" t="str">
        <f>IF(Base_de_donnée_clients!R217="","",Base_de_donnée_clients!R217)</f>
        <v/>
      </c>
    </row>
    <row r="218" spans="1:14" ht="24" customHeight="1" x14ac:dyDescent="0.45">
      <c r="A218" s="16" t="str">
        <f>IF(Base_de_donnée_clients!A218="","",Base_de_donnée_clients!A218)</f>
        <v/>
      </c>
      <c r="B218" s="8" t="str">
        <f>IF(Base_de_donnée_clients!B218="","",Base_de_donnée_clients!B218)</f>
        <v/>
      </c>
      <c r="C218" s="8" t="str">
        <f>IF(Base_de_donnée_clients!C218="","",Base_de_donnée_clients!C218)</f>
        <v/>
      </c>
      <c r="D218" s="8" t="str">
        <f>IF(Base_de_donnée_clients!H218="","",Base_de_donnée_clients!H218)</f>
        <v/>
      </c>
      <c r="E218" s="8" t="str">
        <f>IF(Base_de_donnée_clients!I218="","",Base_de_donnée_clients!I218)</f>
        <v/>
      </c>
      <c r="F218" s="9" t="str">
        <f>IF(Base_de_donnée_clients!J218="","",Base_de_donnée_clients!J218)</f>
        <v/>
      </c>
      <c r="G218" s="9" t="str">
        <f>IF(Base_de_donnée_clients!K218="","",Base_de_donnée_clients!K218)</f>
        <v/>
      </c>
      <c r="H218" s="8" t="str">
        <f>IF(Base_de_donnée_clients!L218="","",Base_de_donnée_clients!L218)</f>
        <v/>
      </c>
      <c r="I218" s="8" t="str">
        <f>IF(Base_de_donnée_clients!M218="","",Base_de_donnée_clients!M218)</f>
        <v/>
      </c>
      <c r="J218" s="8" t="str">
        <f>IF(Base_de_donnée_clients!N218="","",Base_de_donnée_clients!N218)</f>
        <v/>
      </c>
      <c r="K218" s="9" t="str">
        <f>IF(Base_de_donnée_clients!O218="","",Base_de_donnée_clients!O218)</f>
        <v/>
      </c>
      <c r="L218" s="9" t="str">
        <f>IF(Base_de_donnée_clients!P218="","",Base_de_donnée_clients!P218)</f>
        <v/>
      </c>
      <c r="M218" s="9" t="str">
        <f>IF(Base_de_donnée_clients!Q218="","",Base_de_donnée_clients!Q218)</f>
        <v/>
      </c>
      <c r="N218" s="8" t="str">
        <f>IF(Base_de_donnée_clients!R218="","",Base_de_donnée_clients!R218)</f>
        <v/>
      </c>
    </row>
    <row r="219" spans="1:14" ht="24" customHeight="1" x14ac:dyDescent="0.45">
      <c r="A219" s="16" t="str">
        <f>IF(Base_de_donnée_clients!A219="","",Base_de_donnée_clients!A219)</f>
        <v/>
      </c>
      <c r="B219" s="8" t="str">
        <f>IF(Base_de_donnée_clients!B219="","",Base_de_donnée_clients!B219)</f>
        <v/>
      </c>
      <c r="C219" s="8" t="str">
        <f>IF(Base_de_donnée_clients!C219="","",Base_de_donnée_clients!C219)</f>
        <v/>
      </c>
      <c r="D219" s="8" t="str">
        <f>IF(Base_de_donnée_clients!H219="","",Base_de_donnée_clients!H219)</f>
        <v/>
      </c>
      <c r="E219" s="8" t="str">
        <f>IF(Base_de_donnée_clients!I219="","",Base_de_donnée_clients!I219)</f>
        <v/>
      </c>
      <c r="F219" s="9" t="str">
        <f>IF(Base_de_donnée_clients!J219="","",Base_de_donnée_clients!J219)</f>
        <v/>
      </c>
      <c r="G219" s="9" t="str">
        <f>IF(Base_de_donnée_clients!K219="","",Base_de_donnée_clients!K219)</f>
        <v/>
      </c>
      <c r="H219" s="8" t="str">
        <f>IF(Base_de_donnée_clients!L219="","",Base_de_donnée_clients!L219)</f>
        <v/>
      </c>
      <c r="I219" s="8" t="str">
        <f>IF(Base_de_donnée_clients!M219="","",Base_de_donnée_clients!M219)</f>
        <v/>
      </c>
      <c r="J219" s="8" t="str">
        <f>IF(Base_de_donnée_clients!N219="","",Base_de_donnée_clients!N219)</f>
        <v/>
      </c>
      <c r="K219" s="9" t="str">
        <f>IF(Base_de_donnée_clients!O219="","",Base_de_donnée_clients!O219)</f>
        <v/>
      </c>
      <c r="L219" s="9" t="str">
        <f>IF(Base_de_donnée_clients!P219="","",Base_de_donnée_clients!P219)</f>
        <v/>
      </c>
      <c r="M219" s="9" t="str">
        <f>IF(Base_de_donnée_clients!Q219="","",Base_de_donnée_clients!Q219)</f>
        <v/>
      </c>
      <c r="N219" s="8" t="str">
        <f>IF(Base_de_donnée_clients!R219="","",Base_de_donnée_clients!R219)</f>
        <v/>
      </c>
    </row>
    <row r="220" spans="1:14" ht="24" customHeight="1" x14ac:dyDescent="0.45">
      <c r="A220" s="16" t="str">
        <f>IF(Base_de_donnée_clients!A220="","",Base_de_donnée_clients!A220)</f>
        <v/>
      </c>
      <c r="B220" s="8" t="str">
        <f>IF(Base_de_donnée_clients!B220="","",Base_de_donnée_clients!B220)</f>
        <v/>
      </c>
      <c r="C220" s="8" t="str">
        <f>IF(Base_de_donnée_clients!C220="","",Base_de_donnée_clients!C220)</f>
        <v/>
      </c>
      <c r="D220" s="8" t="str">
        <f>IF(Base_de_donnée_clients!H220="","",Base_de_donnée_clients!H220)</f>
        <v/>
      </c>
      <c r="E220" s="8" t="str">
        <f>IF(Base_de_donnée_clients!I220="","",Base_de_donnée_clients!I220)</f>
        <v/>
      </c>
      <c r="F220" s="9" t="str">
        <f>IF(Base_de_donnée_clients!J220="","",Base_de_donnée_clients!J220)</f>
        <v/>
      </c>
      <c r="G220" s="9" t="str">
        <f>IF(Base_de_donnée_clients!K220="","",Base_de_donnée_clients!K220)</f>
        <v/>
      </c>
      <c r="H220" s="8" t="str">
        <f>IF(Base_de_donnée_clients!L220="","",Base_de_donnée_clients!L220)</f>
        <v/>
      </c>
      <c r="I220" s="8" t="str">
        <f>IF(Base_de_donnée_clients!M220="","",Base_de_donnée_clients!M220)</f>
        <v/>
      </c>
      <c r="J220" s="8" t="str">
        <f>IF(Base_de_donnée_clients!N220="","",Base_de_donnée_clients!N220)</f>
        <v/>
      </c>
      <c r="K220" s="9" t="str">
        <f>IF(Base_de_donnée_clients!O220="","",Base_de_donnée_clients!O220)</f>
        <v/>
      </c>
      <c r="L220" s="9" t="str">
        <f>IF(Base_de_donnée_clients!P220="","",Base_de_donnée_clients!P220)</f>
        <v/>
      </c>
      <c r="M220" s="9" t="str">
        <f>IF(Base_de_donnée_clients!Q220="","",Base_de_donnée_clients!Q220)</f>
        <v/>
      </c>
      <c r="N220" s="8" t="str">
        <f>IF(Base_de_donnée_clients!R220="","",Base_de_donnée_clients!R220)</f>
        <v/>
      </c>
    </row>
    <row r="221" spans="1:14" ht="24" customHeight="1" x14ac:dyDescent="0.45">
      <c r="A221" s="16" t="str">
        <f>IF(Base_de_donnée_clients!A221="","",Base_de_donnée_clients!A221)</f>
        <v/>
      </c>
      <c r="B221" s="8" t="str">
        <f>IF(Base_de_donnée_clients!B221="","",Base_de_donnée_clients!B221)</f>
        <v/>
      </c>
      <c r="C221" s="8" t="str">
        <f>IF(Base_de_donnée_clients!C221="","",Base_de_donnée_clients!C221)</f>
        <v/>
      </c>
      <c r="D221" s="8" t="str">
        <f>IF(Base_de_donnée_clients!H221="","",Base_de_donnée_clients!H221)</f>
        <v/>
      </c>
      <c r="E221" s="8" t="str">
        <f>IF(Base_de_donnée_clients!I221="","",Base_de_donnée_clients!I221)</f>
        <v/>
      </c>
      <c r="F221" s="9" t="str">
        <f>IF(Base_de_donnée_clients!J221="","",Base_de_donnée_clients!J221)</f>
        <v/>
      </c>
      <c r="G221" s="9" t="str">
        <f>IF(Base_de_donnée_clients!K221="","",Base_de_donnée_clients!K221)</f>
        <v/>
      </c>
      <c r="H221" s="8" t="str">
        <f>IF(Base_de_donnée_clients!L221="","",Base_de_donnée_clients!L221)</f>
        <v/>
      </c>
      <c r="I221" s="8" t="str">
        <f>IF(Base_de_donnée_clients!M221="","",Base_de_donnée_clients!M221)</f>
        <v/>
      </c>
      <c r="J221" s="8" t="str">
        <f>IF(Base_de_donnée_clients!N221="","",Base_de_donnée_clients!N221)</f>
        <v/>
      </c>
      <c r="K221" s="9" t="str">
        <f>IF(Base_de_donnée_clients!O221="","",Base_de_donnée_clients!O221)</f>
        <v/>
      </c>
      <c r="L221" s="9" t="str">
        <f>IF(Base_de_donnée_clients!P221="","",Base_de_donnée_clients!P221)</f>
        <v/>
      </c>
      <c r="M221" s="9" t="str">
        <f>IF(Base_de_donnée_clients!Q221="","",Base_de_donnée_clients!Q221)</f>
        <v/>
      </c>
      <c r="N221" s="8" t="str">
        <f>IF(Base_de_donnée_clients!R221="","",Base_de_donnée_clients!R221)</f>
        <v/>
      </c>
    </row>
    <row r="222" spans="1:14" ht="24" customHeight="1" x14ac:dyDescent="0.45">
      <c r="A222" s="16" t="str">
        <f>IF(Base_de_donnée_clients!A222="","",Base_de_donnée_clients!A222)</f>
        <v/>
      </c>
      <c r="B222" s="8" t="str">
        <f>IF(Base_de_donnée_clients!B222="","",Base_de_donnée_clients!B222)</f>
        <v/>
      </c>
      <c r="C222" s="8" t="str">
        <f>IF(Base_de_donnée_clients!C222="","",Base_de_donnée_clients!C222)</f>
        <v/>
      </c>
      <c r="D222" s="8" t="str">
        <f>IF(Base_de_donnée_clients!H222="","",Base_de_donnée_clients!H222)</f>
        <v/>
      </c>
      <c r="E222" s="8" t="str">
        <f>IF(Base_de_donnée_clients!I222="","",Base_de_donnée_clients!I222)</f>
        <v/>
      </c>
      <c r="F222" s="9" t="str">
        <f>IF(Base_de_donnée_clients!J222="","",Base_de_donnée_clients!J222)</f>
        <v/>
      </c>
      <c r="G222" s="9" t="str">
        <f>IF(Base_de_donnée_clients!K222="","",Base_de_donnée_clients!K222)</f>
        <v/>
      </c>
      <c r="H222" s="8" t="str">
        <f>IF(Base_de_donnée_clients!L222="","",Base_de_donnée_clients!L222)</f>
        <v/>
      </c>
      <c r="I222" s="8" t="str">
        <f>IF(Base_de_donnée_clients!M222="","",Base_de_donnée_clients!M222)</f>
        <v/>
      </c>
      <c r="J222" s="8" t="str">
        <f>IF(Base_de_donnée_clients!N222="","",Base_de_donnée_clients!N222)</f>
        <v/>
      </c>
      <c r="K222" s="9" t="str">
        <f>IF(Base_de_donnée_clients!O222="","",Base_de_donnée_clients!O222)</f>
        <v/>
      </c>
      <c r="L222" s="9" t="str">
        <f>IF(Base_de_donnée_clients!P222="","",Base_de_donnée_clients!P222)</f>
        <v/>
      </c>
      <c r="M222" s="9" t="str">
        <f>IF(Base_de_donnée_clients!Q222="","",Base_de_donnée_clients!Q222)</f>
        <v/>
      </c>
      <c r="N222" s="8" t="str">
        <f>IF(Base_de_donnée_clients!R222="","",Base_de_donnée_clients!R222)</f>
        <v/>
      </c>
    </row>
    <row r="223" spans="1:14" ht="24" customHeight="1" x14ac:dyDescent="0.45">
      <c r="A223" s="16" t="str">
        <f>IF(Base_de_donnée_clients!A223="","",Base_de_donnée_clients!A223)</f>
        <v/>
      </c>
      <c r="B223" s="8" t="str">
        <f>IF(Base_de_donnée_clients!B223="","",Base_de_donnée_clients!B223)</f>
        <v/>
      </c>
      <c r="C223" s="8" t="str">
        <f>IF(Base_de_donnée_clients!C223="","",Base_de_donnée_clients!C223)</f>
        <v/>
      </c>
      <c r="D223" s="8" t="str">
        <f>IF(Base_de_donnée_clients!H223="","",Base_de_donnée_clients!H223)</f>
        <v/>
      </c>
      <c r="E223" s="8" t="str">
        <f>IF(Base_de_donnée_clients!I223="","",Base_de_donnée_clients!I223)</f>
        <v/>
      </c>
      <c r="F223" s="9" t="str">
        <f>IF(Base_de_donnée_clients!J223="","",Base_de_donnée_clients!J223)</f>
        <v/>
      </c>
      <c r="G223" s="9" t="str">
        <f>IF(Base_de_donnée_clients!K223="","",Base_de_donnée_clients!K223)</f>
        <v/>
      </c>
      <c r="H223" s="8" t="str">
        <f>IF(Base_de_donnée_clients!L223="","",Base_de_donnée_clients!L223)</f>
        <v/>
      </c>
      <c r="I223" s="8" t="str">
        <f>IF(Base_de_donnée_clients!M223="","",Base_de_donnée_clients!M223)</f>
        <v/>
      </c>
      <c r="J223" s="8" t="str">
        <f>IF(Base_de_donnée_clients!N223="","",Base_de_donnée_clients!N223)</f>
        <v/>
      </c>
      <c r="K223" s="9" t="str">
        <f>IF(Base_de_donnée_clients!O223="","",Base_de_donnée_clients!O223)</f>
        <v/>
      </c>
      <c r="L223" s="9" t="str">
        <f>IF(Base_de_donnée_clients!P223="","",Base_de_donnée_clients!P223)</f>
        <v/>
      </c>
      <c r="M223" s="9" t="str">
        <f>IF(Base_de_donnée_clients!Q223="","",Base_de_donnée_clients!Q223)</f>
        <v/>
      </c>
      <c r="N223" s="8" t="str">
        <f>IF(Base_de_donnée_clients!R223="","",Base_de_donnée_clients!R223)</f>
        <v/>
      </c>
    </row>
    <row r="224" spans="1:14" ht="24" customHeight="1" x14ac:dyDescent="0.45">
      <c r="A224" s="16" t="str">
        <f>IF(Base_de_donnée_clients!A224="","",Base_de_donnée_clients!A224)</f>
        <v/>
      </c>
      <c r="B224" s="8" t="str">
        <f>IF(Base_de_donnée_clients!B224="","",Base_de_donnée_clients!B224)</f>
        <v/>
      </c>
      <c r="C224" s="8" t="str">
        <f>IF(Base_de_donnée_clients!C224="","",Base_de_donnée_clients!C224)</f>
        <v/>
      </c>
      <c r="D224" s="8" t="str">
        <f>IF(Base_de_donnée_clients!H224="","",Base_de_donnée_clients!H224)</f>
        <v/>
      </c>
      <c r="E224" s="8" t="str">
        <f>IF(Base_de_donnée_clients!I224="","",Base_de_donnée_clients!I224)</f>
        <v/>
      </c>
      <c r="F224" s="9" t="str">
        <f>IF(Base_de_donnée_clients!J224="","",Base_de_donnée_clients!J224)</f>
        <v/>
      </c>
      <c r="G224" s="9" t="str">
        <f>IF(Base_de_donnée_clients!K224="","",Base_de_donnée_clients!K224)</f>
        <v/>
      </c>
      <c r="H224" s="8" t="str">
        <f>IF(Base_de_donnée_clients!L224="","",Base_de_donnée_clients!L224)</f>
        <v/>
      </c>
      <c r="I224" s="8" t="str">
        <f>IF(Base_de_donnée_clients!M224="","",Base_de_donnée_clients!M224)</f>
        <v/>
      </c>
      <c r="J224" s="8" t="str">
        <f>IF(Base_de_donnée_clients!N224="","",Base_de_donnée_clients!N224)</f>
        <v/>
      </c>
      <c r="K224" s="9" t="str">
        <f>IF(Base_de_donnée_clients!O224="","",Base_de_donnée_clients!O224)</f>
        <v/>
      </c>
      <c r="L224" s="9" t="str">
        <f>IF(Base_de_donnée_clients!P224="","",Base_de_donnée_clients!P224)</f>
        <v/>
      </c>
      <c r="M224" s="9" t="str">
        <f>IF(Base_de_donnée_clients!Q224="","",Base_de_donnée_clients!Q224)</f>
        <v/>
      </c>
      <c r="N224" s="8" t="str">
        <f>IF(Base_de_donnée_clients!R224="","",Base_de_donnée_clients!R224)</f>
        <v/>
      </c>
    </row>
    <row r="225" spans="1:14" ht="24" customHeight="1" x14ac:dyDescent="0.45">
      <c r="A225" s="16" t="str">
        <f>IF(Base_de_donnée_clients!A225="","",Base_de_donnée_clients!A225)</f>
        <v/>
      </c>
      <c r="B225" s="8" t="str">
        <f>IF(Base_de_donnée_clients!B225="","",Base_de_donnée_clients!B225)</f>
        <v/>
      </c>
      <c r="C225" s="8" t="str">
        <f>IF(Base_de_donnée_clients!C225="","",Base_de_donnée_clients!C225)</f>
        <v/>
      </c>
      <c r="D225" s="8" t="str">
        <f>IF(Base_de_donnée_clients!H225="","",Base_de_donnée_clients!H225)</f>
        <v/>
      </c>
      <c r="E225" s="8" t="str">
        <f>IF(Base_de_donnée_clients!I225="","",Base_de_donnée_clients!I225)</f>
        <v/>
      </c>
      <c r="F225" s="9" t="str">
        <f>IF(Base_de_donnée_clients!J225="","",Base_de_donnée_clients!J225)</f>
        <v/>
      </c>
      <c r="G225" s="9" t="str">
        <f>IF(Base_de_donnée_clients!K225="","",Base_de_donnée_clients!K225)</f>
        <v/>
      </c>
      <c r="H225" s="8" t="str">
        <f>IF(Base_de_donnée_clients!L225="","",Base_de_donnée_clients!L225)</f>
        <v/>
      </c>
      <c r="I225" s="8" t="str">
        <f>IF(Base_de_donnée_clients!M225="","",Base_de_donnée_clients!M225)</f>
        <v/>
      </c>
      <c r="J225" s="8" t="str">
        <f>IF(Base_de_donnée_clients!N225="","",Base_de_donnée_clients!N225)</f>
        <v/>
      </c>
      <c r="K225" s="9" t="str">
        <f>IF(Base_de_donnée_clients!O225="","",Base_de_donnée_clients!O225)</f>
        <v/>
      </c>
      <c r="L225" s="9" t="str">
        <f>IF(Base_de_donnée_clients!P225="","",Base_de_donnée_clients!P225)</f>
        <v/>
      </c>
      <c r="M225" s="9" t="str">
        <f>IF(Base_de_donnée_clients!Q225="","",Base_de_donnée_clients!Q225)</f>
        <v/>
      </c>
      <c r="N225" s="8" t="str">
        <f>IF(Base_de_donnée_clients!R225="","",Base_de_donnée_clients!R225)</f>
        <v/>
      </c>
    </row>
    <row r="226" spans="1:14" ht="24" customHeight="1" x14ac:dyDescent="0.45">
      <c r="A226" s="16" t="str">
        <f>IF(Base_de_donnée_clients!A226="","",Base_de_donnée_clients!A226)</f>
        <v/>
      </c>
      <c r="B226" s="8" t="str">
        <f>IF(Base_de_donnée_clients!B226="","",Base_de_donnée_clients!B226)</f>
        <v/>
      </c>
      <c r="C226" s="8" t="str">
        <f>IF(Base_de_donnée_clients!C226="","",Base_de_donnée_clients!C226)</f>
        <v/>
      </c>
      <c r="D226" s="8" t="str">
        <f>IF(Base_de_donnée_clients!H226="","",Base_de_donnée_clients!H226)</f>
        <v/>
      </c>
      <c r="E226" s="8" t="str">
        <f>IF(Base_de_donnée_clients!I226="","",Base_de_donnée_clients!I226)</f>
        <v/>
      </c>
      <c r="F226" s="9" t="str">
        <f>IF(Base_de_donnée_clients!J226="","",Base_de_donnée_clients!J226)</f>
        <v/>
      </c>
      <c r="G226" s="9" t="str">
        <f>IF(Base_de_donnée_clients!K226="","",Base_de_donnée_clients!K226)</f>
        <v/>
      </c>
      <c r="H226" s="8" t="str">
        <f>IF(Base_de_donnée_clients!L226="","",Base_de_donnée_clients!L226)</f>
        <v/>
      </c>
      <c r="I226" s="8" t="str">
        <f>IF(Base_de_donnée_clients!M226="","",Base_de_donnée_clients!M226)</f>
        <v/>
      </c>
      <c r="J226" s="8" t="str">
        <f>IF(Base_de_donnée_clients!N226="","",Base_de_donnée_clients!N226)</f>
        <v/>
      </c>
      <c r="K226" s="9" t="str">
        <f>IF(Base_de_donnée_clients!O226="","",Base_de_donnée_clients!O226)</f>
        <v/>
      </c>
      <c r="L226" s="9" t="str">
        <f>IF(Base_de_donnée_clients!P226="","",Base_de_donnée_clients!P226)</f>
        <v/>
      </c>
      <c r="M226" s="9" t="str">
        <f>IF(Base_de_donnée_clients!Q226="","",Base_de_donnée_clients!Q226)</f>
        <v/>
      </c>
      <c r="N226" s="8" t="str">
        <f>IF(Base_de_donnée_clients!R226="","",Base_de_donnée_clients!R226)</f>
        <v/>
      </c>
    </row>
    <row r="227" spans="1:14" ht="24" customHeight="1" x14ac:dyDescent="0.45">
      <c r="A227" s="16" t="str">
        <f>IF(Base_de_donnée_clients!A227="","",Base_de_donnée_clients!A227)</f>
        <v/>
      </c>
      <c r="B227" s="8" t="str">
        <f>IF(Base_de_donnée_clients!B227="","",Base_de_donnée_clients!B227)</f>
        <v/>
      </c>
      <c r="C227" s="8" t="str">
        <f>IF(Base_de_donnée_clients!C227="","",Base_de_donnée_clients!C227)</f>
        <v/>
      </c>
      <c r="D227" s="8" t="str">
        <f>IF(Base_de_donnée_clients!H227="","",Base_de_donnée_clients!H227)</f>
        <v/>
      </c>
      <c r="E227" s="8" t="str">
        <f>IF(Base_de_donnée_clients!I227="","",Base_de_donnée_clients!I227)</f>
        <v/>
      </c>
      <c r="F227" s="9" t="str">
        <f>IF(Base_de_donnée_clients!J227="","",Base_de_donnée_clients!J227)</f>
        <v/>
      </c>
      <c r="G227" s="9" t="str">
        <f>IF(Base_de_donnée_clients!K227="","",Base_de_donnée_clients!K227)</f>
        <v/>
      </c>
      <c r="H227" s="8" t="str">
        <f>IF(Base_de_donnée_clients!L227="","",Base_de_donnée_clients!L227)</f>
        <v/>
      </c>
      <c r="I227" s="8" t="str">
        <f>IF(Base_de_donnée_clients!M227="","",Base_de_donnée_clients!M227)</f>
        <v/>
      </c>
      <c r="J227" s="8" t="str">
        <f>IF(Base_de_donnée_clients!N227="","",Base_de_donnée_clients!N227)</f>
        <v/>
      </c>
      <c r="K227" s="9" t="str">
        <f>IF(Base_de_donnée_clients!O227="","",Base_de_donnée_clients!O227)</f>
        <v/>
      </c>
      <c r="L227" s="9" t="str">
        <f>IF(Base_de_donnée_clients!P227="","",Base_de_donnée_clients!P227)</f>
        <v/>
      </c>
      <c r="M227" s="9" t="str">
        <f>IF(Base_de_donnée_clients!Q227="","",Base_de_donnée_clients!Q227)</f>
        <v/>
      </c>
      <c r="N227" s="8" t="str">
        <f>IF(Base_de_donnée_clients!R227="","",Base_de_donnée_clients!R227)</f>
        <v/>
      </c>
    </row>
    <row r="228" spans="1:14" ht="24" customHeight="1" x14ac:dyDescent="0.45">
      <c r="A228" s="16" t="str">
        <f>IF(Base_de_donnée_clients!A228="","",Base_de_donnée_clients!A228)</f>
        <v/>
      </c>
      <c r="B228" s="8" t="str">
        <f>IF(Base_de_donnée_clients!B228="","",Base_de_donnée_clients!B228)</f>
        <v/>
      </c>
      <c r="C228" s="8" t="str">
        <f>IF(Base_de_donnée_clients!C228="","",Base_de_donnée_clients!C228)</f>
        <v/>
      </c>
      <c r="D228" s="8" t="str">
        <f>IF(Base_de_donnée_clients!H228="","",Base_de_donnée_clients!H228)</f>
        <v/>
      </c>
      <c r="E228" s="8" t="str">
        <f>IF(Base_de_donnée_clients!I228="","",Base_de_donnée_clients!I228)</f>
        <v/>
      </c>
      <c r="F228" s="9" t="str">
        <f>IF(Base_de_donnée_clients!J228="","",Base_de_donnée_clients!J228)</f>
        <v/>
      </c>
      <c r="G228" s="9" t="str">
        <f>IF(Base_de_donnée_clients!K228="","",Base_de_donnée_clients!K228)</f>
        <v/>
      </c>
      <c r="H228" s="8" t="str">
        <f>IF(Base_de_donnée_clients!L228="","",Base_de_donnée_clients!L228)</f>
        <v/>
      </c>
      <c r="I228" s="8" t="str">
        <f>IF(Base_de_donnée_clients!M228="","",Base_de_donnée_clients!M228)</f>
        <v/>
      </c>
      <c r="J228" s="8" t="str">
        <f>IF(Base_de_donnée_clients!N228="","",Base_de_donnée_clients!N228)</f>
        <v/>
      </c>
      <c r="K228" s="9" t="str">
        <f>IF(Base_de_donnée_clients!O228="","",Base_de_donnée_clients!O228)</f>
        <v/>
      </c>
      <c r="L228" s="9" t="str">
        <f>IF(Base_de_donnée_clients!P228="","",Base_de_donnée_clients!P228)</f>
        <v/>
      </c>
      <c r="M228" s="9" t="str">
        <f>IF(Base_de_donnée_clients!Q228="","",Base_de_donnée_clients!Q228)</f>
        <v/>
      </c>
      <c r="N228" s="8" t="str">
        <f>IF(Base_de_donnée_clients!R228="","",Base_de_donnée_clients!R228)</f>
        <v/>
      </c>
    </row>
    <row r="229" spans="1:14" ht="24" customHeight="1" x14ac:dyDescent="0.45">
      <c r="A229" s="16" t="str">
        <f>IF(Base_de_donnée_clients!A229="","",Base_de_donnée_clients!A229)</f>
        <v/>
      </c>
      <c r="B229" s="8" t="str">
        <f>IF(Base_de_donnée_clients!B229="","",Base_de_donnée_clients!B229)</f>
        <v/>
      </c>
      <c r="C229" s="8" t="str">
        <f>IF(Base_de_donnée_clients!C229="","",Base_de_donnée_clients!C229)</f>
        <v/>
      </c>
      <c r="D229" s="8" t="str">
        <f>IF(Base_de_donnée_clients!H229="","",Base_de_donnée_clients!H229)</f>
        <v/>
      </c>
      <c r="E229" s="8" t="str">
        <f>IF(Base_de_donnée_clients!I229="","",Base_de_donnée_clients!I229)</f>
        <v/>
      </c>
      <c r="F229" s="9" t="str">
        <f>IF(Base_de_donnée_clients!J229="","",Base_de_donnée_clients!J229)</f>
        <v/>
      </c>
      <c r="G229" s="9" t="str">
        <f>IF(Base_de_donnée_clients!K229="","",Base_de_donnée_clients!K229)</f>
        <v/>
      </c>
      <c r="H229" s="8" t="str">
        <f>IF(Base_de_donnée_clients!L229="","",Base_de_donnée_clients!L229)</f>
        <v/>
      </c>
      <c r="I229" s="8" t="str">
        <f>IF(Base_de_donnée_clients!M229="","",Base_de_donnée_clients!M229)</f>
        <v/>
      </c>
      <c r="J229" s="8" t="str">
        <f>IF(Base_de_donnée_clients!N229="","",Base_de_donnée_clients!N229)</f>
        <v/>
      </c>
      <c r="K229" s="9" t="str">
        <f>IF(Base_de_donnée_clients!O229="","",Base_de_donnée_clients!O229)</f>
        <v/>
      </c>
      <c r="L229" s="9" t="str">
        <f>IF(Base_de_donnée_clients!P229="","",Base_de_donnée_clients!P229)</f>
        <v/>
      </c>
      <c r="M229" s="9" t="str">
        <f>IF(Base_de_donnée_clients!Q229="","",Base_de_donnée_clients!Q229)</f>
        <v/>
      </c>
      <c r="N229" s="8" t="str">
        <f>IF(Base_de_donnée_clients!R229="","",Base_de_donnée_clients!R229)</f>
        <v/>
      </c>
    </row>
    <row r="230" spans="1:14" ht="24" customHeight="1" x14ac:dyDescent="0.45">
      <c r="A230" s="16" t="str">
        <f>IF(Base_de_donnée_clients!A230="","",Base_de_donnée_clients!A230)</f>
        <v/>
      </c>
      <c r="B230" s="8" t="str">
        <f>IF(Base_de_donnée_clients!B230="","",Base_de_donnée_clients!B230)</f>
        <v/>
      </c>
      <c r="C230" s="8" t="str">
        <f>IF(Base_de_donnée_clients!C230="","",Base_de_donnée_clients!C230)</f>
        <v/>
      </c>
      <c r="D230" s="8" t="str">
        <f>IF(Base_de_donnée_clients!H230="","",Base_de_donnée_clients!H230)</f>
        <v/>
      </c>
      <c r="E230" s="8" t="str">
        <f>IF(Base_de_donnée_clients!I230="","",Base_de_donnée_clients!I230)</f>
        <v/>
      </c>
      <c r="F230" s="9" t="str">
        <f>IF(Base_de_donnée_clients!J230="","",Base_de_donnée_clients!J230)</f>
        <v/>
      </c>
      <c r="G230" s="9" t="str">
        <f>IF(Base_de_donnée_clients!K230="","",Base_de_donnée_clients!K230)</f>
        <v/>
      </c>
      <c r="H230" s="8" t="str">
        <f>IF(Base_de_donnée_clients!L230="","",Base_de_donnée_clients!L230)</f>
        <v/>
      </c>
      <c r="I230" s="8" t="str">
        <f>IF(Base_de_donnée_clients!M230="","",Base_de_donnée_clients!M230)</f>
        <v/>
      </c>
      <c r="J230" s="8" t="str">
        <f>IF(Base_de_donnée_clients!N230="","",Base_de_donnée_clients!N230)</f>
        <v/>
      </c>
      <c r="K230" s="9" t="str">
        <f>IF(Base_de_donnée_clients!O230="","",Base_de_donnée_clients!O230)</f>
        <v/>
      </c>
      <c r="L230" s="9" t="str">
        <f>IF(Base_de_donnée_clients!P230="","",Base_de_donnée_clients!P230)</f>
        <v/>
      </c>
      <c r="M230" s="9" t="str">
        <f>IF(Base_de_donnée_clients!Q230="","",Base_de_donnée_clients!Q230)</f>
        <v/>
      </c>
      <c r="N230" s="8" t="str">
        <f>IF(Base_de_donnée_clients!R230="","",Base_de_donnée_clients!R230)</f>
        <v/>
      </c>
    </row>
    <row r="231" spans="1:14" ht="24" customHeight="1" x14ac:dyDescent="0.45">
      <c r="A231" s="16" t="str">
        <f>IF(Base_de_donnée_clients!A231="","",Base_de_donnée_clients!A231)</f>
        <v/>
      </c>
      <c r="B231" s="8" t="str">
        <f>IF(Base_de_donnée_clients!B231="","",Base_de_donnée_clients!B231)</f>
        <v/>
      </c>
      <c r="C231" s="8" t="str">
        <f>IF(Base_de_donnée_clients!C231="","",Base_de_donnée_clients!C231)</f>
        <v/>
      </c>
      <c r="D231" s="8" t="str">
        <f>IF(Base_de_donnée_clients!H231="","",Base_de_donnée_clients!H231)</f>
        <v/>
      </c>
      <c r="E231" s="8" t="str">
        <f>IF(Base_de_donnée_clients!I231="","",Base_de_donnée_clients!I231)</f>
        <v/>
      </c>
      <c r="F231" s="9" t="str">
        <f>IF(Base_de_donnée_clients!J231="","",Base_de_donnée_clients!J231)</f>
        <v/>
      </c>
      <c r="G231" s="9" t="str">
        <f>IF(Base_de_donnée_clients!K231="","",Base_de_donnée_clients!K231)</f>
        <v/>
      </c>
      <c r="H231" s="8" t="str">
        <f>IF(Base_de_donnée_clients!L231="","",Base_de_donnée_clients!L231)</f>
        <v/>
      </c>
      <c r="I231" s="8" t="str">
        <f>IF(Base_de_donnée_clients!M231="","",Base_de_donnée_clients!M231)</f>
        <v/>
      </c>
      <c r="J231" s="8" t="str">
        <f>IF(Base_de_donnée_clients!N231="","",Base_de_donnée_clients!N231)</f>
        <v/>
      </c>
      <c r="K231" s="9" t="str">
        <f>IF(Base_de_donnée_clients!O231="","",Base_de_donnée_clients!O231)</f>
        <v/>
      </c>
      <c r="L231" s="9" t="str">
        <f>IF(Base_de_donnée_clients!P231="","",Base_de_donnée_clients!P231)</f>
        <v/>
      </c>
      <c r="M231" s="9" t="str">
        <f>IF(Base_de_donnée_clients!Q231="","",Base_de_donnée_clients!Q231)</f>
        <v/>
      </c>
      <c r="N231" s="8" t="str">
        <f>IF(Base_de_donnée_clients!R231="","",Base_de_donnée_clients!R231)</f>
        <v/>
      </c>
    </row>
    <row r="232" spans="1:14" ht="24" customHeight="1" x14ac:dyDescent="0.45">
      <c r="A232" s="16" t="str">
        <f>IF(Base_de_donnée_clients!A232="","",Base_de_donnée_clients!A232)</f>
        <v/>
      </c>
      <c r="B232" s="8" t="str">
        <f>IF(Base_de_donnée_clients!B232="","",Base_de_donnée_clients!B232)</f>
        <v/>
      </c>
      <c r="C232" s="8" t="str">
        <f>IF(Base_de_donnée_clients!C232="","",Base_de_donnée_clients!C232)</f>
        <v/>
      </c>
      <c r="D232" s="8" t="str">
        <f>IF(Base_de_donnée_clients!H232="","",Base_de_donnée_clients!H232)</f>
        <v/>
      </c>
      <c r="E232" s="8" t="str">
        <f>IF(Base_de_donnée_clients!I232="","",Base_de_donnée_clients!I232)</f>
        <v/>
      </c>
      <c r="F232" s="9" t="str">
        <f>IF(Base_de_donnée_clients!J232="","",Base_de_donnée_clients!J232)</f>
        <v/>
      </c>
      <c r="G232" s="9" t="str">
        <f>IF(Base_de_donnée_clients!K232="","",Base_de_donnée_clients!K232)</f>
        <v/>
      </c>
      <c r="H232" s="8" t="str">
        <f>IF(Base_de_donnée_clients!L232="","",Base_de_donnée_clients!L232)</f>
        <v/>
      </c>
      <c r="I232" s="8" t="str">
        <f>IF(Base_de_donnée_clients!M232="","",Base_de_donnée_clients!M232)</f>
        <v/>
      </c>
      <c r="J232" s="8" t="str">
        <f>IF(Base_de_donnée_clients!N232="","",Base_de_donnée_clients!N232)</f>
        <v/>
      </c>
      <c r="K232" s="9" t="str">
        <f>IF(Base_de_donnée_clients!O232="","",Base_de_donnée_clients!O232)</f>
        <v/>
      </c>
      <c r="L232" s="9" t="str">
        <f>IF(Base_de_donnée_clients!P232="","",Base_de_donnée_clients!P232)</f>
        <v/>
      </c>
      <c r="M232" s="9" t="str">
        <f>IF(Base_de_donnée_clients!Q232="","",Base_de_donnée_clients!Q232)</f>
        <v/>
      </c>
      <c r="N232" s="8" t="str">
        <f>IF(Base_de_donnée_clients!R232="","",Base_de_donnée_clients!R232)</f>
        <v/>
      </c>
    </row>
    <row r="233" spans="1:14" ht="24" customHeight="1" x14ac:dyDescent="0.45">
      <c r="A233" s="16" t="str">
        <f>IF(Base_de_donnée_clients!A233="","",Base_de_donnée_clients!A233)</f>
        <v/>
      </c>
      <c r="B233" s="8" t="str">
        <f>IF(Base_de_donnée_clients!B233="","",Base_de_donnée_clients!B233)</f>
        <v/>
      </c>
      <c r="C233" s="8" t="str">
        <f>IF(Base_de_donnée_clients!C233="","",Base_de_donnée_clients!C233)</f>
        <v/>
      </c>
      <c r="D233" s="8" t="str">
        <f>IF(Base_de_donnée_clients!H233="","",Base_de_donnée_clients!H233)</f>
        <v/>
      </c>
      <c r="E233" s="8" t="str">
        <f>IF(Base_de_donnée_clients!I233="","",Base_de_donnée_clients!I233)</f>
        <v/>
      </c>
      <c r="F233" s="9" t="str">
        <f>IF(Base_de_donnée_clients!J233="","",Base_de_donnée_clients!J233)</f>
        <v/>
      </c>
      <c r="G233" s="9" t="str">
        <f>IF(Base_de_donnée_clients!K233="","",Base_de_donnée_clients!K233)</f>
        <v/>
      </c>
      <c r="H233" s="8" t="str">
        <f>IF(Base_de_donnée_clients!L233="","",Base_de_donnée_clients!L233)</f>
        <v/>
      </c>
      <c r="I233" s="8" t="str">
        <f>IF(Base_de_donnée_clients!M233="","",Base_de_donnée_clients!M233)</f>
        <v/>
      </c>
      <c r="J233" s="8" t="str">
        <f>IF(Base_de_donnée_clients!N233="","",Base_de_donnée_clients!N233)</f>
        <v/>
      </c>
      <c r="K233" s="9" t="str">
        <f>IF(Base_de_donnée_clients!O233="","",Base_de_donnée_clients!O233)</f>
        <v/>
      </c>
      <c r="L233" s="9" t="str">
        <f>IF(Base_de_donnée_clients!P233="","",Base_de_donnée_clients!P233)</f>
        <v/>
      </c>
      <c r="M233" s="9" t="str">
        <f>IF(Base_de_donnée_clients!Q233="","",Base_de_donnée_clients!Q233)</f>
        <v/>
      </c>
      <c r="N233" s="8" t="str">
        <f>IF(Base_de_donnée_clients!R233="","",Base_de_donnée_clients!R233)</f>
        <v/>
      </c>
    </row>
    <row r="234" spans="1:14" ht="24" customHeight="1" x14ac:dyDescent="0.45">
      <c r="A234" s="16" t="str">
        <f>IF(Base_de_donnée_clients!A234="","",Base_de_donnée_clients!A234)</f>
        <v/>
      </c>
      <c r="B234" s="8" t="str">
        <f>IF(Base_de_donnée_clients!B234="","",Base_de_donnée_clients!B234)</f>
        <v/>
      </c>
      <c r="C234" s="8" t="str">
        <f>IF(Base_de_donnée_clients!C234="","",Base_de_donnée_clients!C234)</f>
        <v/>
      </c>
      <c r="D234" s="8" t="str">
        <f>IF(Base_de_donnée_clients!H234="","",Base_de_donnée_clients!H234)</f>
        <v/>
      </c>
      <c r="E234" s="8" t="str">
        <f>IF(Base_de_donnée_clients!I234="","",Base_de_donnée_clients!I234)</f>
        <v/>
      </c>
      <c r="F234" s="9" t="str">
        <f>IF(Base_de_donnée_clients!J234="","",Base_de_donnée_clients!J234)</f>
        <v/>
      </c>
      <c r="G234" s="9" t="str">
        <f>IF(Base_de_donnée_clients!K234="","",Base_de_donnée_clients!K234)</f>
        <v/>
      </c>
      <c r="H234" s="8" t="str">
        <f>IF(Base_de_donnée_clients!L234="","",Base_de_donnée_clients!L234)</f>
        <v/>
      </c>
      <c r="I234" s="8" t="str">
        <f>IF(Base_de_donnée_clients!M234="","",Base_de_donnée_clients!M234)</f>
        <v/>
      </c>
      <c r="J234" s="8" t="str">
        <f>IF(Base_de_donnée_clients!N234="","",Base_de_donnée_clients!N234)</f>
        <v/>
      </c>
      <c r="K234" s="9" t="str">
        <f>IF(Base_de_donnée_clients!O234="","",Base_de_donnée_clients!O234)</f>
        <v/>
      </c>
      <c r="L234" s="9" t="str">
        <f>IF(Base_de_donnée_clients!P234="","",Base_de_donnée_clients!P234)</f>
        <v/>
      </c>
      <c r="M234" s="9" t="str">
        <f>IF(Base_de_donnée_clients!Q234="","",Base_de_donnée_clients!Q234)</f>
        <v/>
      </c>
      <c r="N234" s="8" t="str">
        <f>IF(Base_de_donnée_clients!R234="","",Base_de_donnée_clients!R234)</f>
        <v/>
      </c>
    </row>
    <row r="235" spans="1:14" ht="24" customHeight="1" x14ac:dyDescent="0.45">
      <c r="A235" s="16" t="str">
        <f>IF(Base_de_donnée_clients!A235="","",Base_de_donnée_clients!A235)</f>
        <v/>
      </c>
      <c r="B235" s="8" t="str">
        <f>IF(Base_de_donnée_clients!B235="","",Base_de_donnée_clients!B235)</f>
        <v/>
      </c>
      <c r="C235" s="8" t="str">
        <f>IF(Base_de_donnée_clients!C235="","",Base_de_donnée_clients!C235)</f>
        <v/>
      </c>
      <c r="D235" s="8" t="str">
        <f>IF(Base_de_donnée_clients!H235="","",Base_de_donnée_clients!H235)</f>
        <v/>
      </c>
      <c r="E235" s="8" t="str">
        <f>IF(Base_de_donnée_clients!I235="","",Base_de_donnée_clients!I235)</f>
        <v/>
      </c>
      <c r="F235" s="9" t="str">
        <f>IF(Base_de_donnée_clients!J235="","",Base_de_donnée_clients!J235)</f>
        <v/>
      </c>
      <c r="G235" s="9" t="str">
        <f>IF(Base_de_donnée_clients!K235="","",Base_de_donnée_clients!K235)</f>
        <v/>
      </c>
      <c r="H235" s="8" t="str">
        <f>IF(Base_de_donnée_clients!L235="","",Base_de_donnée_clients!L235)</f>
        <v/>
      </c>
      <c r="I235" s="8" t="str">
        <f>IF(Base_de_donnée_clients!M235="","",Base_de_donnée_clients!M235)</f>
        <v/>
      </c>
      <c r="J235" s="8" t="str">
        <f>IF(Base_de_donnée_clients!N235="","",Base_de_donnée_clients!N235)</f>
        <v/>
      </c>
      <c r="K235" s="9" t="str">
        <f>IF(Base_de_donnée_clients!O235="","",Base_de_donnée_clients!O235)</f>
        <v/>
      </c>
      <c r="L235" s="9" t="str">
        <f>IF(Base_de_donnée_clients!P235="","",Base_de_donnée_clients!P235)</f>
        <v/>
      </c>
      <c r="M235" s="9" t="str">
        <f>IF(Base_de_donnée_clients!Q235="","",Base_de_donnée_clients!Q235)</f>
        <v/>
      </c>
      <c r="N235" s="8" t="str">
        <f>IF(Base_de_donnée_clients!R235="","",Base_de_donnée_clients!R235)</f>
        <v/>
      </c>
    </row>
    <row r="236" spans="1:14" ht="24" customHeight="1" x14ac:dyDescent="0.45">
      <c r="A236" s="16" t="str">
        <f>IF(Base_de_donnée_clients!A236="","",Base_de_donnée_clients!A236)</f>
        <v/>
      </c>
      <c r="B236" s="8" t="str">
        <f>IF(Base_de_donnée_clients!B236="","",Base_de_donnée_clients!B236)</f>
        <v/>
      </c>
      <c r="C236" s="8" t="str">
        <f>IF(Base_de_donnée_clients!C236="","",Base_de_donnée_clients!C236)</f>
        <v/>
      </c>
      <c r="D236" s="8" t="str">
        <f>IF(Base_de_donnée_clients!H236="","",Base_de_donnée_clients!H236)</f>
        <v/>
      </c>
      <c r="E236" s="8" t="str">
        <f>IF(Base_de_donnée_clients!I236="","",Base_de_donnée_clients!I236)</f>
        <v/>
      </c>
      <c r="F236" s="9" t="str">
        <f>IF(Base_de_donnée_clients!J236="","",Base_de_donnée_clients!J236)</f>
        <v/>
      </c>
      <c r="G236" s="9" t="str">
        <f>IF(Base_de_donnée_clients!K236="","",Base_de_donnée_clients!K236)</f>
        <v/>
      </c>
      <c r="H236" s="8" t="str">
        <f>IF(Base_de_donnée_clients!L236="","",Base_de_donnée_clients!L236)</f>
        <v/>
      </c>
      <c r="I236" s="8" t="str">
        <f>IF(Base_de_donnée_clients!M236="","",Base_de_donnée_clients!M236)</f>
        <v/>
      </c>
      <c r="J236" s="8" t="str">
        <f>IF(Base_de_donnée_clients!N236="","",Base_de_donnée_clients!N236)</f>
        <v/>
      </c>
      <c r="K236" s="9" t="str">
        <f>IF(Base_de_donnée_clients!O236="","",Base_de_donnée_clients!O236)</f>
        <v/>
      </c>
      <c r="L236" s="9" t="str">
        <f>IF(Base_de_donnée_clients!P236="","",Base_de_donnée_clients!P236)</f>
        <v/>
      </c>
      <c r="M236" s="9" t="str">
        <f>IF(Base_de_donnée_clients!Q236="","",Base_de_donnée_clients!Q236)</f>
        <v/>
      </c>
      <c r="N236" s="8" t="str">
        <f>IF(Base_de_donnée_clients!R236="","",Base_de_donnée_clients!R236)</f>
        <v/>
      </c>
    </row>
    <row r="237" spans="1:14" ht="24" customHeight="1" x14ac:dyDescent="0.45">
      <c r="A237" s="16" t="str">
        <f>IF(Base_de_donnée_clients!A237="","",Base_de_donnée_clients!A237)</f>
        <v/>
      </c>
      <c r="B237" s="8" t="str">
        <f>IF(Base_de_donnée_clients!B237="","",Base_de_donnée_clients!B237)</f>
        <v/>
      </c>
      <c r="C237" s="8" t="str">
        <f>IF(Base_de_donnée_clients!C237="","",Base_de_donnée_clients!C237)</f>
        <v/>
      </c>
      <c r="D237" s="8" t="str">
        <f>IF(Base_de_donnée_clients!H237="","",Base_de_donnée_clients!H237)</f>
        <v/>
      </c>
      <c r="E237" s="8" t="str">
        <f>IF(Base_de_donnée_clients!I237="","",Base_de_donnée_clients!I237)</f>
        <v/>
      </c>
      <c r="F237" s="9" t="str">
        <f>IF(Base_de_donnée_clients!J237="","",Base_de_donnée_clients!J237)</f>
        <v/>
      </c>
      <c r="G237" s="9" t="str">
        <f>IF(Base_de_donnée_clients!K237="","",Base_de_donnée_clients!K237)</f>
        <v/>
      </c>
      <c r="H237" s="8" t="str">
        <f>IF(Base_de_donnée_clients!L237="","",Base_de_donnée_clients!L237)</f>
        <v/>
      </c>
      <c r="I237" s="8" t="str">
        <f>IF(Base_de_donnée_clients!M237="","",Base_de_donnée_clients!M237)</f>
        <v/>
      </c>
      <c r="J237" s="8" t="str">
        <f>IF(Base_de_donnée_clients!N237="","",Base_de_donnée_clients!N237)</f>
        <v/>
      </c>
      <c r="K237" s="9" t="str">
        <f>IF(Base_de_donnée_clients!O237="","",Base_de_donnée_clients!O237)</f>
        <v/>
      </c>
      <c r="L237" s="9" t="str">
        <f>IF(Base_de_donnée_clients!P237="","",Base_de_donnée_clients!P237)</f>
        <v/>
      </c>
      <c r="M237" s="9" t="str">
        <f>IF(Base_de_donnée_clients!Q237="","",Base_de_donnée_clients!Q237)</f>
        <v/>
      </c>
      <c r="N237" s="8" t="str">
        <f>IF(Base_de_donnée_clients!R237="","",Base_de_donnée_clients!R237)</f>
        <v/>
      </c>
    </row>
    <row r="238" spans="1:14" ht="24" customHeight="1" x14ac:dyDescent="0.45">
      <c r="A238" s="16" t="str">
        <f>IF(Base_de_donnée_clients!A238="","",Base_de_donnée_clients!A238)</f>
        <v/>
      </c>
      <c r="B238" s="8" t="str">
        <f>IF(Base_de_donnée_clients!B238="","",Base_de_donnée_clients!B238)</f>
        <v/>
      </c>
      <c r="C238" s="8" t="str">
        <f>IF(Base_de_donnée_clients!C238="","",Base_de_donnée_clients!C238)</f>
        <v/>
      </c>
      <c r="D238" s="8" t="str">
        <f>IF(Base_de_donnée_clients!H238="","",Base_de_donnée_clients!H238)</f>
        <v/>
      </c>
      <c r="E238" s="8" t="str">
        <f>IF(Base_de_donnée_clients!I238="","",Base_de_donnée_clients!I238)</f>
        <v/>
      </c>
      <c r="F238" s="9" t="str">
        <f>IF(Base_de_donnée_clients!J238="","",Base_de_donnée_clients!J238)</f>
        <v/>
      </c>
      <c r="G238" s="9" t="str">
        <f>IF(Base_de_donnée_clients!K238="","",Base_de_donnée_clients!K238)</f>
        <v/>
      </c>
      <c r="H238" s="8" t="str">
        <f>IF(Base_de_donnée_clients!L238="","",Base_de_donnée_clients!L238)</f>
        <v/>
      </c>
      <c r="I238" s="8" t="str">
        <f>IF(Base_de_donnée_clients!M238="","",Base_de_donnée_clients!M238)</f>
        <v/>
      </c>
      <c r="J238" s="8" t="str">
        <f>IF(Base_de_donnée_clients!N238="","",Base_de_donnée_clients!N238)</f>
        <v/>
      </c>
      <c r="K238" s="9" t="str">
        <f>IF(Base_de_donnée_clients!O238="","",Base_de_donnée_clients!O238)</f>
        <v/>
      </c>
      <c r="L238" s="9" t="str">
        <f>IF(Base_de_donnée_clients!P238="","",Base_de_donnée_clients!P238)</f>
        <v/>
      </c>
      <c r="M238" s="9" t="str">
        <f>IF(Base_de_donnée_clients!Q238="","",Base_de_donnée_clients!Q238)</f>
        <v/>
      </c>
      <c r="N238" s="8" t="str">
        <f>IF(Base_de_donnée_clients!R238="","",Base_de_donnée_clients!R238)</f>
        <v/>
      </c>
    </row>
    <row r="239" spans="1:14" ht="24" customHeight="1" x14ac:dyDescent="0.45">
      <c r="A239" s="16" t="str">
        <f>IF(Base_de_donnée_clients!A239="","",Base_de_donnée_clients!A239)</f>
        <v/>
      </c>
      <c r="B239" s="8" t="str">
        <f>IF(Base_de_donnée_clients!B239="","",Base_de_donnée_clients!B239)</f>
        <v/>
      </c>
      <c r="C239" s="8" t="str">
        <f>IF(Base_de_donnée_clients!C239="","",Base_de_donnée_clients!C239)</f>
        <v/>
      </c>
      <c r="D239" s="8" t="str">
        <f>IF(Base_de_donnée_clients!H239="","",Base_de_donnée_clients!H239)</f>
        <v/>
      </c>
      <c r="E239" s="8" t="str">
        <f>IF(Base_de_donnée_clients!I239="","",Base_de_donnée_clients!I239)</f>
        <v/>
      </c>
      <c r="F239" s="9" t="str">
        <f>IF(Base_de_donnée_clients!J239="","",Base_de_donnée_clients!J239)</f>
        <v/>
      </c>
      <c r="G239" s="9" t="str">
        <f>IF(Base_de_donnée_clients!K239="","",Base_de_donnée_clients!K239)</f>
        <v/>
      </c>
      <c r="H239" s="8" t="str">
        <f>IF(Base_de_donnée_clients!L239="","",Base_de_donnée_clients!L239)</f>
        <v/>
      </c>
      <c r="I239" s="8" t="str">
        <f>IF(Base_de_donnée_clients!M239="","",Base_de_donnée_clients!M239)</f>
        <v/>
      </c>
      <c r="J239" s="8" t="str">
        <f>IF(Base_de_donnée_clients!N239="","",Base_de_donnée_clients!N239)</f>
        <v/>
      </c>
      <c r="K239" s="9" t="str">
        <f>IF(Base_de_donnée_clients!O239="","",Base_de_donnée_clients!O239)</f>
        <v/>
      </c>
      <c r="L239" s="9" t="str">
        <f>IF(Base_de_donnée_clients!P239="","",Base_de_donnée_clients!P239)</f>
        <v/>
      </c>
      <c r="M239" s="9" t="str">
        <f>IF(Base_de_donnée_clients!Q239="","",Base_de_donnée_clients!Q239)</f>
        <v/>
      </c>
      <c r="N239" s="8" t="str">
        <f>IF(Base_de_donnée_clients!R239="","",Base_de_donnée_clients!R239)</f>
        <v/>
      </c>
    </row>
    <row r="240" spans="1:14" ht="24" customHeight="1" x14ac:dyDescent="0.45">
      <c r="A240" s="16" t="str">
        <f>IF(Base_de_donnée_clients!A240="","",Base_de_donnée_clients!A240)</f>
        <v/>
      </c>
      <c r="B240" s="8" t="str">
        <f>IF(Base_de_donnée_clients!B240="","",Base_de_donnée_clients!B240)</f>
        <v/>
      </c>
      <c r="C240" s="8" t="str">
        <f>IF(Base_de_donnée_clients!C240="","",Base_de_donnée_clients!C240)</f>
        <v/>
      </c>
      <c r="D240" s="8" t="str">
        <f>IF(Base_de_donnée_clients!H240="","",Base_de_donnée_clients!H240)</f>
        <v/>
      </c>
      <c r="E240" s="8" t="str">
        <f>IF(Base_de_donnée_clients!I240="","",Base_de_donnée_clients!I240)</f>
        <v/>
      </c>
      <c r="F240" s="9" t="str">
        <f>IF(Base_de_donnée_clients!J240="","",Base_de_donnée_clients!J240)</f>
        <v/>
      </c>
      <c r="G240" s="9" t="str">
        <f>IF(Base_de_donnée_clients!K240="","",Base_de_donnée_clients!K240)</f>
        <v/>
      </c>
      <c r="H240" s="8" t="str">
        <f>IF(Base_de_donnée_clients!L240="","",Base_de_donnée_clients!L240)</f>
        <v/>
      </c>
      <c r="I240" s="8" t="str">
        <f>IF(Base_de_donnée_clients!M240="","",Base_de_donnée_clients!M240)</f>
        <v/>
      </c>
      <c r="J240" s="8" t="str">
        <f>IF(Base_de_donnée_clients!N240="","",Base_de_donnée_clients!N240)</f>
        <v/>
      </c>
      <c r="K240" s="9" t="str">
        <f>IF(Base_de_donnée_clients!O240="","",Base_de_donnée_clients!O240)</f>
        <v/>
      </c>
      <c r="L240" s="9" t="str">
        <f>IF(Base_de_donnée_clients!P240="","",Base_de_donnée_clients!P240)</f>
        <v/>
      </c>
      <c r="M240" s="9" t="str">
        <f>IF(Base_de_donnée_clients!Q240="","",Base_de_donnée_clients!Q240)</f>
        <v/>
      </c>
      <c r="N240" s="8" t="str">
        <f>IF(Base_de_donnée_clients!R240="","",Base_de_donnée_clients!R240)</f>
        <v/>
      </c>
    </row>
    <row r="241" spans="1:14" ht="24" customHeight="1" x14ac:dyDescent="0.45">
      <c r="A241" s="16" t="str">
        <f>IF(Base_de_donnée_clients!A241="","",Base_de_donnée_clients!A241)</f>
        <v/>
      </c>
      <c r="B241" s="8" t="str">
        <f>IF(Base_de_donnée_clients!B241="","",Base_de_donnée_clients!B241)</f>
        <v/>
      </c>
      <c r="C241" s="8" t="str">
        <f>IF(Base_de_donnée_clients!C241="","",Base_de_donnée_clients!C241)</f>
        <v/>
      </c>
      <c r="D241" s="8" t="str">
        <f>IF(Base_de_donnée_clients!H241="","",Base_de_donnée_clients!H241)</f>
        <v/>
      </c>
      <c r="E241" s="8" t="str">
        <f>IF(Base_de_donnée_clients!I241="","",Base_de_donnée_clients!I241)</f>
        <v/>
      </c>
      <c r="F241" s="9" t="str">
        <f>IF(Base_de_donnée_clients!J241="","",Base_de_donnée_clients!J241)</f>
        <v/>
      </c>
      <c r="G241" s="9" t="str">
        <f>IF(Base_de_donnée_clients!K241="","",Base_de_donnée_clients!K241)</f>
        <v/>
      </c>
      <c r="H241" s="8" t="str">
        <f>IF(Base_de_donnée_clients!L241="","",Base_de_donnée_clients!L241)</f>
        <v/>
      </c>
      <c r="I241" s="8" t="str">
        <f>IF(Base_de_donnée_clients!M241="","",Base_de_donnée_clients!M241)</f>
        <v/>
      </c>
      <c r="J241" s="8" t="str">
        <f>IF(Base_de_donnée_clients!N241="","",Base_de_donnée_clients!N241)</f>
        <v/>
      </c>
      <c r="K241" s="9" t="str">
        <f>IF(Base_de_donnée_clients!O241="","",Base_de_donnée_clients!O241)</f>
        <v/>
      </c>
      <c r="L241" s="9" t="str">
        <f>IF(Base_de_donnée_clients!P241="","",Base_de_donnée_clients!P241)</f>
        <v/>
      </c>
      <c r="M241" s="9" t="str">
        <f>IF(Base_de_donnée_clients!Q241="","",Base_de_donnée_clients!Q241)</f>
        <v/>
      </c>
      <c r="N241" s="8" t="str">
        <f>IF(Base_de_donnée_clients!R241="","",Base_de_donnée_clients!R241)</f>
        <v/>
      </c>
    </row>
    <row r="242" spans="1:14" ht="24" customHeight="1" x14ac:dyDescent="0.45">
      <c r="A242" s="16" t="str">
        <f>IF(Base_de_donnée_clients!A242="","",Base_de_donnée_clients!A242)</f>
        <v/>
      </c>
      <c r="B242" s="8" t="str">
        <f>IF(Base_de_donnée_clients!B242="","",Base_de_donnée_clients!B242)</f>
        <v/>
      </c>
      <c r="C242" s="8" t="str">
        <f>IF(Base_de_donnée_clients!C242="","",Base_de_donnée_clients!C242)</f>
        <v/>
      </c>
      <c r="D242" s="8" t="str">
        <f>IF(Base_de_donnée_clients!H242="","",Base_de_donnée_clients!H242)</f>
        <v/>
      </c>
      <c r="E242" s="8" t="str">
        <f>IF(Base_de_donnée_clients!I242="","",Base_de_donnée_clients!I242)</f>
        <v/>
      </c>
      <c r="F242" s="9" t="str">
        <f>IF(Base_de_donnée_clients!J242="","",Base_de_donnée_clients!J242)</f>
        <v/>
      </c>
      <c r="G242" s="9" t="str">
        <f>IF(Base_de_donnée_clients!K242="","",Base_de_donnée_clients!K242)</f>
        <v/>
      </c>
      <c r="H242" s="8" t="str">
        <f>IF(Base_de_donnée_clients!L242="","",Base_de_donnée_clients!L242)</f>
        <v/>
      </c>
      <c r="I242" s="8" t="str">
        <f>IF(Base_de_donnée_clients!M242="","",Base_de_donnée_clients!M242)</f>
        <v/>
      </c>
      <c r="J242" s="8" t="str">
        <f>IF(Base_de_donnée_clients!N242="","",Base_de_donnée_clients!N242)</f>
        <v/>
      </c>
      <c r="K242" s="9" t="str">
        <f>IF(Base_de_donnée_clients!O242="","",Base_de_donnée_clients!O242)</f>
        <v/>
      </c>
      <c r="L242" s="9" t="str">
        <f>IF(Base_de_donnée_clients!P242="","",Base_de_donnée_clients!P242)</f>
        <v/>
      </c>
      <c r="M242" s="9" t="str">
        <f>IF(Base_de_donnée_clients!Q242="","",Base_de_donnée_clients!Q242)</f>
        <v/>
      </c>
      <c r="N242" s="8" t="str">
        <f>IF(Base_de_donnée_clients!R242="","",Base_de_donnée_clients!R242)</f>
        <v/>
      </c>
    </row>
    <row r="243" spans="1:14" ht="24" customHeight="1" x14ac:dyDescent="0.45">
      <c r="A243" s="16" t="str">
        <f>IF(Base_de_donnée_clients!A243="","",Base_de_donnée_clients!A243)</f>
        <v/>
      </c>
      <c r="B243" s="8" t="str">
        <f>IF(Base_de_donnée_clients!B243="","",Base_de_donnée_clients!B243)</f>
        <v/>
      </c>
      <c r="C243" s="8" t="str">
        <f>IF(Base_de_donnée_clients!C243="","",Base_de_donnée_clients!C243)</f>
        <v/>
      </c>
      <c r="D243" s="8" t="str">
        <f>IF(Base_de_donnée_clients!H243="","",Base_de_donnée_clients!H243)</f>
        <v/>
      </c>
      <c r="E243" s="8" t="str">
        <f>IF(Base_de_donnée_clients!I243="","",Base_de_donnée_clients!I243)</f>
        <v/>
      </c>
      <c r="F243" s="9" t="str">
        <f>IF(Base_de_donnée_clients!J243="","",Base_de_donnée_clients!J243)</f>
        <v/>
      </c>
      <c r="G243" s="9" t="str">
        <f>IF(Base_de_donnée_clients!K243="","",Base_de_donnée_clients!K243)</f>
        <v/>
      </c>
      <c r="H243" s="8" t="str">
        <f>IF(Base_de_donnée_clients!L243="","",Base_de_donnée_clients!L243)</f>
        <v/>
      </c>
      <c r="I243" s="8" t="str">
        <f>IF(Base_de_donnée_clients!M243="","",Base_de_donnée_clients!M243)</f>
        <v/>
      </c>
      <c r="J243" s="8" t="str">
        <f>IF(Base_de_donnée_clients!N243="","",Base_de_donnée_clients!N243)</f>
        <v/>
      </c>
      <c r="K243" s="9" t="str">
        <f>IF(Base_de_donnée_clients!O243="","",Base_de_donnée_clients!O243)</f>
        <v/>
      </c>
      <c r="L243" s="9" t="str">
        <f>IF(Base_de_donnée_clients!P243="","",Base_de_donnée_clients!P243)</f>
        <v/>
      </c>
      <c r="M243" s="9" t="str">
        <f>IF(Base_de_donnée_clients!Q243="","",Base_de_donnée_clients!Q243)</f>
        <v/>
      </c>
      <c r="N243" s="8" t="str">
        <f>IF(Base_de_donnée_clients!R243="","",Base_de_donnée_clients!R243)</f>
        <v/>
      </c>
    </row>
    <row r="244" spans="1:14" ht="24" customHeight="1" x14ac:dyDescent="0.45">
      <c r="A244" s="16" t="str">
        <f>IF(Base_de_donnée_clients!A244="","",Base_de_donnée_clients!A244)</f>
        <v/>
      </c>
      <c r="B244" s="8" t="str">
        <f>IF(Base_de_donnée_clients!B244="","",Base_de_donnée_clients!B244)</f>
        <v/>
      </c>
      <c r="C244" s="8" t="str">
        <f>IF(Base_de_donnée_clients!C244="","",Base_de_donnée_clients!C244)</f>
        <v/>
      </c>
      <c r="D244" s="8" t="str">
        <f>IF(Base_de_donnée_clients!H244="","",Base_de_donnée_clients!H244)</f>
        <v/>
      </c>
      <c r="E244" s="8" t="str">
        <f>IF(Base_de_donnée_clients!I244="","",Base_de_donnée_clients!I244)</f>
        <v/>
      </c>
      <c r="F244" s="9" t="str">
        <f>IF(Base_de_donnée_clients!J244="","",Base_de_donnée_clients!J244)</f>
        <v/>
      </c>
      <c r="G244" s="9" t="str">
        <f>IF(Base_de_donnée_clients!K244="","",Base_de_donnée_clients!K244)</f>
        <v/>
      </c>
      <c r="H244" s="8" t="str">
        <f>IF(Base_de_donnée_clients!L244="","",Base_de_donnée_clients!L244)</f>
        <v/>
      </c>
      <c r="I244" s="8" t="str">
        <f>IF(Base_de_donnée_clients!M244="","",Base_de_donnée_clients!M244)</f>
        <v/>
      </c>
      <c r="J244" s="8" t="str">
        <f>IF(Base_de_donnée_clients!N244="","",Base_de_donnée_clients!N244)</f>
        <v/>
      </c>
      <c r="K244" s="9" t="str">
        <f>IF(Base_de_donnée_clients!O244="","",Base_de_donnée_clients!O244)</f>
        <v/>
      </c>
      <c r="L244" s="9" t="str">
        <f>IF(Base_de_donnée_clients!P244="","",Base_de_donnée_clients!P244)</f>
        <v/>
      </c>
      <c r="M244" s="9" t="str">
        <f>IF(Base_de_donnée_clients!Q244="","",Base_de_donnée_clients!Q244)</f>
        <v/>
      </c>
      <c r="N244" s="8" t="str">
        <f>IF(Base_de_donnée_clients!R244="","",Base_de_donnée_clients!R244)</f>
        <v/>
      </c>
    </row>
    <row r="245" spans="1:14" ht="24" customHeight="1" x14ac:dyDescent="0.45">
      <c r="A245" s="16" t="str">
        <f>IF(Base_de_donnée_clients!A245="","",Base_de_donnée_clients!A245)</f>
        <v/>
      </c>
      <c r="B245" s="8" t="str">
        <f>IF(Base_de_donnée_clients!B245="","",Base_de_donnée_clients!B245)</f>
        <v/>
      </c>
      <c r="C245" s="8" t="str">
        <f>IF(Base_de_donnée_clients!C245="","",Base_de_donnée_clients!C245)</f>
        <v/>
      </c>
      <c r="D245" s="8" t="str">
        <f>IF(Base_de_donnée_clients!H245="","",Base_de_donnée_clients!H245)</f>
        <v/>
      </c>
      <c r="E245" s="8" t="str">
        <f>IF(Base_de_donnée_clients!I245="","",Base_de_donnée_clients!I245)</f>
        <v/>
      </c>
      <c r="F245" s="9" t="str">
        <f>IF(Base_de_donnée_clients!J245="","",Base_de_donnée_clients!J245)</f>
        <v/>
      </c>
      <c r="G245" s="9" t="str">
        <f>IF(Base_de_donnée_clients!K245="","",Base_de_donnée_clients!K245)</f>
        <v/>
      </c>
      <c r="H245" s="8" t="str">
        <f>IF(Base_de_donnée_clients!L245="","",Base_de_donnée_clients!L245)</f>
        <v/>
      </c>
      <c r="I245" s="8" t="str">
        <f>IF(Base_de_donnée_clients!M245="","",Base_de_donnée_clients!M245)</f>
        <v/>
      </c>
      <c r="J245" s="8" t="str">
        <f>IF(Base_de_donnée_clients!N245="","",Base_de_donnée_clients!N245)</f>
        <v/>
      </c>
      <c r="K245" s="9" t="str">
        <f>IF(Base_de_donnée_clients!O245="","",Base_de_donnée_clients!O245)</f>
        <v/>
      </c>
      <c r="L245" s="9" t="str">
        <f>IF(Base_de_donnée_clients!P245="","",Base_de_donnée_clients!P245)</f>
        <v/>
      </c>
      <c r="M245" s="9" t="str">
        <f>IF(Base_de_donnée_clients!Q245="","",Base_de_donnée_clients!Q245)</f>
        <v/>
      </c>
      <c r="N245" s="8" t="str">
        <f>IF(Base_de_donnée_clients!R245="","",Base_de_donnée_clients!R245)</f>
        <v/>
      </c>
    </row>
    <row r="246" spans="1:14" ht="24" customHeight="1" x14ac:dyDescent="0.45">
      <c r="A246" s="16" t="str">
        <f>IF(Base_de_donnée_clients!A246="","",Base_de_donnée_clients!A246)</f>
        <v/>
      </c>
      <c r="B246" s="8" t="str">
        <f>IF(Base_de_donnée_clients!B246="","",Base_de_donnée_clients!B246)</f>
        <v/>
      </c>
      <c r="C246" s="8" t="str">
        <f>IF(Base_de_donnée_clients!C246="","",Base_de_donnée_clients!C246)</f>
        <v/>
      </c>
      <c r="D246" s="8" t="str">
        <f>IF(Base_de_donnée_clients!H246="","",Base_de_donnée_clients!H246)</f>
        <v/>
      </c>
      <c r="E246" s="8" t="str">
        <f>IF(Base_de_donnée_clients!I246="","",Base_de_donnée_clients!I246)</f>
        <v/>
      </c>
      <c r="F246" s="9" t="str">
        <f>IF(Base_de_donnée_clients!J246="","",Base_de_donnée_clients!J246)</f>
        <v/>
      </c>
      <c r="G246" s="9" t="str">
        <f>IF(Base_de_donnée_clients!K246="","",Base_de_donnée_clients!K246)</f>
        <v/>
      </c>
      <c r="H246" s="8" t="str">
        <f>IF(Base_de_donnée_clients!L246="","",Base_de_donnée_clients!L246)</f>
        <v/>
      </c>
      <c r="I246" s="8" t="str">
        <f>IF(Base_de_donnée_clients!M246="","",Base_de_donnée_clients!M246)</f>
        <v/>
      </c>
      <c r="J246" s="8" t="str">
        <f>IF(Base_de_donnée_clients!N246="","",Base_de_donnée_clients!N246)</f>
        <v/>
      </c>
      <c r="K246" s="9" t="str">
        <f>IF(Base_de_donnée_clients!O246="","",Base_de_donnée_clients!O246)</f>
        <v/>
      </c>
      <c r="L246" s="9" t="str">
        <f>IF(Base_de_donnée_clients!P246="","",Base_de_donnée_clients!P246)</f>
        <v/>
      </c>
      <c r="M246" s="9" t="str">
        <f>IF(Base_de_donnée_clients!Q246="","",Base_de_donnée_clients!Q246)</f>
        <v/>
      </c>
      <c r="N246" s="8" t="str">
        <f>IF(Base_de_donnée_clients!R246="","",Base_de_donnée_clients!R246)</f>
        <v/>
      </c>
    </row>
    <row r="247" spans="1:14" ht="24" customHeight="1" x14ac:dyDescent="0.45">
      <c r="A247" s="16" t="str">
        <f>IF(Base_de_donnée_clients!A247="","",Base_de_donnée_clients!A247)</f>
        <v/>
      </c>
      <c r="B247" s="8" t="str">
        <f>IF(Base_de_donnée_clients!B247="","",Base_de_donnée_clients!B247)</f>
        <v/>
      </c>
      <c r="C247" s="8" t="str">
        <f>IF(Base_de_donnée_clients!C247="","",Base_de_donnée_clients!C247)</f>
        <v/>
      </c>
      <c r="D247" s="8" t="str">
        <f>IF(Base_de_donnée_clients!H247="","",Base_de_donnée_clients!H247)</f>
        <v/>
      </c>
      <c r="E247" s="8" t="str">
        <f>IF(Base_de_donnée_clients!I247="","",Base_de_donnée_clients!I247)</f>
        <v/>
      </c>
      <c r="F247" s="9" t="str">
        <f>IF(Base_de_donnée_clients!J247="","",Base_de_donnée_clients!J247)</f>
        <v/>
      </c>
      <c r="G247" s="9" t="str">
        <f>IF(Base_de_donnée_clients!K247="","",Base_de_donnée_clients!K247)</f>
        <v/>
      </c>
      <c r="H247" s="8" t="str">
        <f>IF(Base_de_donnée_clients!L247="","",Base_de_donnée_clients!L247)</f>
        <v/>
      </c>
      <c r="I247" s="8" t="str">
        <f>IF(Base_de_donnée_clients!M247="","",Base_de_donnée_clients!M247)</f>
        <v/>
      </c>
      <c r="J247" s="8" t="str">
        <f>IF(Base_de_donnée_clients!N247="","",Base_de_donnée_clients!N247)</f>
        <v/>
      </c>
      <c r="K247" s="9" t="str">
        <f>IF(Base_de_donnée_clients!O247="","",Base_de_donnée_clients!O247)</f>
        <v/>
      </c>
      <c r="L247" s="9" t="str">
        <f>IF(Base_de_donnée_clients!P247="","",Base_de_donnée_clients!P247)</f>
        <v/>
      </c>
      <c r="M247" s="9" t="str">
        <f>IF(Base_de_donnée_clients!Q247="","",Base_de_donnée_clients!Q247)</f>
        <v/>
      </c>
      <c r="N247" s="8" t="str">
        <f>IF(Base_de_donnée_clients!R247="","",Base_de_donnée_clients!R247)</f>
        <v/>
      </c>
    </row>
    <row r="248" spans="1:14" ht="24" customHeight="1" x14ac:dyDescent="0.45">
      <c r="A248" s="16" t="str">
        <f>IF(Base_de_donnée_clients!A248="","",Base_de_donnée_clients!A248)</f>
        <v/>
      </c>
      <c r="B248" s="8" t="str">
        <f>IF(Base_de_donnée_clients!B248="","",Base_de_donnée_clients!B248)</f>
        <v/>
      </c>
      <c r="C248" s="8" t="str">
        <f>IF(Base_de_donnée_clients!C248="","",Base_de_donnée_clients!C248)</f>
        <v/>
      </c>
      <c r="D248" s="8" t="str">
        <f>IF(Base_de_donnée_clients!H248="","",Base_de_donnée_clients!H248)</f>
        <v/>
      </c>
      <c r="E248" s="8" t="str">
        <f>IF(Base_de_donnée_clients!I248="","",Base_de_donnée_clients!I248)</f>
        <v/>
      </c>
      <c r="F248" s="9" t="str">
        <f>IF(Base_de_donnée_clients!J248="","",Base_de_donnée_clients!J248)</f>
        <v/>
      </c>
      <c r="G248" s="9" t="str">
        <f>IF(Base_de_donnée_clients!K248="","",Base_de_donnée_clients!K248)</f>
        <v/>
      </c>
      <c r="H248" s="8" t="str">
        <f>IF(Base_de_donnée_clients!L248="","",Base_de_donnée_clients!L248)</f>
        <v/>
      </c>
      <c r="I248" s="8" t="str">
        <f>IF(Base_de_donnée_clients!M248="","",Base_de_donnée_clients!M248)</f>
        <v/>
      </c>
      <c r="J248" s="8" t="str">
        <f>IF(Base_de_donnée_clients!N248="","",Base_de_donnée_clients!N248)</f>
        <v/>
      </c>
      <c r="K248" s="9" t="str">
        <f>IF(Base_de_donnée_clients!O248="","",Base_de_donnée_clients!O248)</f>
        <v/>
      </c>
      <c r="L248" s="9" t="str">
        <f>IF(Base_de_donnée_clients!P248="","",Base_de_donnée_clients!P248)</f>
        <v/>
      </c>
      <c r="M248" s="9" t="str">
        <f>IF(Base_de_donnée_clients!Q248="","",Base_de_donnée_clients!Q248)</f>
        <v/>
      </c>
      <c r="N248" s="8" t="str">
        <f>IF(Base_de_donnée_clients!R248="","",Base_de_donnée_clients!R248)</f>
        <v/>
      </c>
    </row>
    <row r="249" spans="1:14" ht="24" customHeight="1" x14ac:dyDescent="0.45">
      <c r="A249" s="16" t="str">
        <f>IF(Base_de_donnée_clients!A249="","",Base_de_donnée_clients!A249)</f>
        <v/>
      </c>
      <c r="B249" s="8" t="str">
        <f>IF(Base_de_donnée_clients!B249="","",Base_de_donnée_clients!B249)</f>
        <v/>
      </c>
      <c r="C249" s="8" t="str">
        <f>IF(Base_de_donnée_clients!C249="","",Base_de_donnée_clients!C249)</f>
        <v/>
      </c>
      <c r="D249" s="8" t="str">
        <f>IF(Base_de_donnée_clients!H249="","",Base_de_donnée_clients!H249)</f>
        <v/>
      </c>
      <c r="E249" s="8" t="str">
        <f>IF(Base_de_donnée_clients!I249="","",Base_de_donnée_clients!I249)</f>
        <v/>
      </c>
      <c r="F249" s="9" t="str">
        <f>IF(Base_de_donnée_clients!J249="","",Base_de_donnée_clients!J249)</f>
        <v/>
      </c>
      <c r="G249" s="9" t="str">
        <f>IF(Base_de_donnée_clients!K249="","",Base_de_donnée_clients!K249)</f>
        <v/>
      </c>
      <c r="H249" s="8" t="str">
        <f>IF(Base_de_donnée_clients!L249="","",Base_de_donnée_clients!L249)</f>
        <v/>
      </c>
      <c r="I249" s="8" t="str">
        <f>IF(Base_de_donnée_clients!M249="","",Base_de_donnée_clients!M249)</f>
        <v/>
      </c>
      <c r="J249" s="8" t="str">
        <f>IF(Base_de_donnée_clients!N249="","",Base_de_donnée_clients!N249)</f>
        <v/>
      </c>
      <c r="K249" s="9" t="str">
        <f>IF(Base_de_donnée_clients!O249="","",Base_de_donnée_clients!O249)</f>
        <v/>
      </c>
      <c r="L249" s="9" t="str">
        <f>IF(Base_de_donnée_clients!P249="","",Base_de_donnée_clients!P249)</f>
        <v/>
      </c>
      <c r="M249" s="9" t="str">
        <f>IF(Base_de_donnée_clients!Q249="","",Base_de_donnée_clients!Q249)</f>
        <v/>
      </c>
      <c r="N249" s="8" t="str">
        <f>IF(Base_de_donnée_clients!R249="","",Base_de_donnée_clients!R249)</f>
        <v/>
      </c>
    </row>
    <row r="250" spans="1:14" ht="24" customHeight="1" x14ac:dyDescent="0.45">
      <c r="A250" s="16" t="str">
        <f>IF(Base_de_donnée_clients!A250="","",Base_de_donnée_clients!A250)</f>
        <v/>
      </c>
      <c r="B250" s="8" t="str">
        <f>IF(Base_de_donnée_clients!B250="","",Base_de_donnée_clients!B250)</f>
        <v/>
      </c>
      <c r="C250" s="8" t="str">
        <f>IF(Base_de_donnée_clients!C250="","",Base_de_donnée_clients!C250)</f>
        <v/>
      </c>
      <c r="D250" s="8" t="str">
        <f>IF(Base_de_donnée_clients!H250="","",Base_de_donnée_clients!H250)</f>
        <v/>
      </c>
      <c r="E250" s="8" t="str">
        <f>IF(Base_de_donnée_clients!I250="","",Base_de_donnée_clients!I250)</f>
        <v/>
      </c>
      <c r="F250" s="9" t="str">
        <f>IF(Base_de_donnée_clients!J250="","",Base_de_donnée_clients!J250)</f>
        <v/>
      </c>
      <c r="G250" s="9" t="str">
        <f>IF(Base_de_donnée_clients!K250="","",Base_de_donnée_clients!K250)</f>
        <v/>
      </c>
      <c r="H250" s="8" t="str">
        <f>IF(Base_de_donnée_clients!L250="","",Base_de_donnée_clients!L250)</f>
        <v/>
      </c>
      <c r="I250" s="8" t="str">
        <f>IF(Base_de_donnée_clients!M250="","",Base_de_donnée_clients!M250)</f>
        <v/>
      </c>
      <c r="J250" s="8" t="str">
        <f>IF(Base_de_donnée_clients!N250="","",Base_de_donnée_clients!N250)</f>
        <v/>
      </c>
      <c r="K250" s="9" t="str">
        <f>IF(Base_de_donnée_clients!O250="","",Base_de_donnée_clients!O250)</f>
        <v/>
      </c>
      <c r="L250" s="9" t="str">
        <f>IF(Base_de_donnée_clients!P250="","",Base_de_donnée_clients!P250)</f>
        <v/>
      </c>
      <c r="M250" s="9" t="str">
        <f>IF(Base_de_donnée_clients!Q250="","",Base_de_donnée_clients!Q250)</f>
        <v/>
      </c>
      <c r="N250" s="8" t="str">
        <f>IF(Base_de_donnée_clients!R250="","",Base_de_donnée_clients!R250)</f>
        <v/>
      </c>
    </row>
    <row r="251" spans="1:14" ht="24" customHeight="1" x14ac:dyDescent="0.45">
      <c r="A251" s="16" t="str">
        <f>IF(Base_de_donnée_clients!A251="","",Base_de_donnée_clients!A251)</f>
        <v/>
      </c>
      <c r="B251" s="8" t="str">
        <f>IF(Base_de_donnée_clients!B251="","",Base_de_donnée_clients!B251)</f>
        <v/>
      </c>
      <c r="C251" s="8" t="str">
        <f>IF(Base_de_donnée_clients!C251="","",Base_de_donnée_clients!C251)</f>
        <v/>
      </c>
      <c r="D251" s="8" t="str">
        <f>IF(Base_de_donnée_clients!H251="","",Base_de_donnée_clients!H251)</f>
        <v/>
      </c>
      <c r="E251" s="8" t="str">
        <f>IF(Base_de_donnée_clients!I251="","",Base_de_donnée_clients!I251)</f>
        <v/>
      </c>
      <c r="F251" s="9" t="str">
        <f>IF(Base_de_donnée_clients!J251="","",Base_de_donnée_clients!J251)</f>
        <v/>
      </c>
      <c r="G251" s="9" t="str">
        <f>IF(Base_de_donnée_clients!K251="","",Base_de_donnée_clients!K251)</f>
        <v/>
      </c>
      <c r="H251" s="8" t="str">
        <f>IF(Base_de_donnée_clients!L251="","",Base_de_donnée_clients!L251)</f>
        <v/>
      </c>
      <c r="I251" s="8" t="str">
        <f>IF(Base_de_donnée_clients!M251="","",Base_de_donnée_clients!M251)</f>
        <v/>
      </c>
      <c r="J251" s="8" t="str">
        <f>IF(Base_de_donnée_clients!N251="","",Base_de_donnée_clients!N251)</f>
        <v/>
      </c>
      <c r="K251" s="9" t="str">
        <f>IF(Base_de_donnée_clients!O251="","",Base_de_donnée_clients!O251)</f>
        <v/>
      </c>
      <c r="L251" s="9" t="str">
        <f>IF(Base_de_donnée_clients!P251="","",Base_de_donnée_clients!P251)</f>
        <v/>
      </c>
      <c r="M251" s="9" t="str">
        <f>IF(Base_de_donnée_clients!Q251="","",Base_de_donnée_clients!Q251)</f>
        <v/>
      </c>
      <c r="N251" s="8" t="str">
        <f>IF(Base_de_donnée_clients!R251="","",Base_de_donnée_clients!R251)</f>
        <v/>
      </c>
    </row>
    <row r="252" spans="1:14" ht="24" customHeight="1" x14ac:dyDescent="0.45">
      <c r="A252" s="16" t="str">
        <f>IF(Base_de_donnée_clients!A252="","",Base_de_donnée_clients!A252)</f>
        <v/>
      </c>
      <c r="B252" s="8" t="str">
        <f>IF(Base_de_donnée_clients!B252="","",Base_de_donnée_clients!B252)</f>
        <v/>
      </c>
      <c r="C252" s="8" t="str">
        <f>IF(Base_de_donnée_clients!C252="","",Base_de_donnée_clients!C252)</f>
        <v/>
      </c>
      <c r="D252" s="8" t="str">
        <f>IF(Base_de_donnée_clients!H252="","",Base_de_donnée_clients!H252)</f>
        <v/>
      </c>
      <c r="E252" s="8" t="str">
        <f>IF(Base_de_donnée_clients!I252="","",Base_de_donnée_clients!I252)</f>
        <v/>
      </c>
      <c r="F252" s="9" t="str">
        <f>IF(Base_de_donnée_clients!J252="","",Base_de_donnée_clients!J252)</f>
        <v/>
      </c>
      <c r="G252" s="9" t="str">
        <f>IF(Base_de_donnée_clients!K252="","",Base_de_donnée_clients!K252)</f>
        <v/>
      </c>
      <c r="H252" s="8" t="str">
        <f>IF(Base_de_donnée_clients!L252="","",Base_de_donnée_clients!L252)</f>
        <v/>
      </c>
      <c r="I252" s="8" t="str">
        <f>IF(Base_de_donnée_clients!M252="","",Base_de_donnée_clients!M252)</f>
        <v/>
      </c>
      <c r="J252" s="8" t="str">
        <f>IF(Base_de_donnée_clients!N252="","",Base_de_donnée_clients!N252)</f>
        <v/>
      </c>
      <c r="K252" s="9" t="str">
        <f>IF(Base_de_donnée_clients!O252="","",Base_de_donnée_clients!O252)</f>
        <v/>
      </c>
      <c r="L252" s="9" t="str">
        <f>IF(Base_de_donnée_clients!P252="","",Base_de_donnée_clients!P252)</f>
        <v/>
      </c>
      <c r="M252" s="9" t="str">
        <f>IF(Base_de_donnée_clients!Q252="","",Base_de_donnée_clients!Q252)</f>
        <v/>
      </c>
      <c r="N252" s="8" t="str">
        <f>IF(Base_de_donnée_clients!R252="","",Base_de_donnée_clients!R252)</f>
        <v/>
      </c>
    </row>
    <row r="253" spans="1:14" ht="24" customHeight="1" x14ac:dyDescent="0.45">
      <c r="A253" s="16" t="str">
        <f>IF(Base_de_donnée_clients!A253="","",Base_de_donnée_clients!A253)</f>
        <v/>
      </c>
      <c r="B253" s="8" t="str">
        <f>IF(Base_de_donnée_clients!B253="","",Base_de_donnée_clients!B253)</f>
        <v/>
      </c>
      <c r="C253" s="8" t="str">
        <f>IF(Base_de_donnée_clients!C253="","",Base_de_donnée_clients!C253)</f>
        <v/>
      </c>
      <c r="D253" s="8" t="str">
        <f>IF(Base_de_donnée_clients!H253="","",Base_de_donnée_clients!H253)</f>
        <v/>
      </c>
      <c r="E253" s="8" t="str">
        <f>IF(Base_de_donnée_clients!I253="","",Base_de_donnée_clients!I253)</f>
        <v/>
      </c>
      <c r="F253" s="9" t="str">
        <f>IF(Base_de_donnée_clients!J253="","",Base_de_donnée_clients!J253)</f>
        <v/>
      </c>
      <c r="G253" s="9" t="str">
        <f>IF(Base_de_donnée_clients!K253="","",Base_de_donnée_clients!K253)</f>
        <v/>
      </c>
      <c r="H253" s="8" t="str">
        <f>IF(Base_de_donnée_clients!L253="","",Base_de_donnée_clients!L253)</f>
        <v/>
      </c>
      <c r="I253" s="8" t="str">
        <f>IF(Base_de_donnée_clients!M253="","",Base_de_donnée_clients!M253)</f>
        <v/>
      </c>
      <c r="J253" s="8" t="str">
        <f>IF(Base_de_donnée_clients!N253="","",Base_de_donnée_clients!N253)</f>
        <v/>
      </c>
      <c r="K253" s="9" t="str">
        <f>IF(Base_de_donnée_clients!O253="","",Base_de_donnée_clients!O253)</f>
        <v/>
      </c>
      <c r="L253" s="9" t="str">
        <f>IF(Base_de_donnée_clients!P253="","",Base_de_donnée_clients!P253)</f>
        <v/>
      </c>
      <c r="M253" s="9" t="str">
        <f>IF(Base_de_donnée_clients!Q253="","",Base_de_donnée_clients!Q253)</f>
        <v/>
      </c>
      <c r="N253" s="8" t="str">
        <f>IF(Base_de_donnée_clients!R253="","",Base_de_donnée_clients!R253)</f>
        <v/>
      </c>
    </row>
    <row r="254" spans="1:14" ht="24" customHeight="1" x14ac:dyDescent="0.45">
      <c r="A254" s="16" t="str">
        <f>IF(Base_de_donnée_clients!A254="","",Base_de_donnée_clients!A254)</f>
        <v/>
      </c>
      <c r="B254" s="8" t="str">
        <f>IF(Base_de_donnée_clients!B254="","",Base_de_donnée_clients!B254)</f>
        <v/>
      </c>
      <c r="C254" s="8" t="str">
        <f>IF(Base_de_donnée_clients!C254="","",Base_de_donnée_clients!C254)</f>
        <v/>
      </c>
      <c r="D254" s="8" t="str">
        <f>IF(Base_de_donnée_clients!H254="","",Base_de_donnée_clients!H254)</f>
        <v/>
      </c>
      <c r="E254" s="8" t="str">
        <f>IF(Base_de_donnée_clients!I254="","",Base_de_donnée_clients!I254)</f>
        <v/>
      </c>
      <c r="F254" s="9" t="str">
        <f>IF(Base_de_donnée_clients!J254="","",Base_de_donnée_clients!J254)</f>
        <v/>
      </c>
      <c r="G254" s="9" t="str">
        <f>IF(Base_de_donnée_clients!K254="","",Base_de_donnée_clients!K254)</f>
        <v/>
      </c>
      <c r="H254" s="8" t="str">
        <f>IF(Base_de_donnée_clients!L254="","",Base_de_donnée_clients!L254)</f>
        <v/>
      </c>
      <c r="I254" s="8" t="str">
        <f>IF(Base_de_donnée_clients!M254="","",Base_de_donnée_clients!M254)</f>
        <v/>
      </c>
      <c r="J254" s="8" t="str">
        <f>IF(Base_de_donnée_clients!N254="","",Base_de_donnée_clients!N254)</f>
        <v/>
      </c>
      <c r="K254" s="9" t="str">
        <f>IF(Base_de_donnée_clients!O254="","",Base_de_donnée_clients!O254)</f>
        <v/>
      </c>
      <c r="L254" s="9" t="str">
        <f>IF(Base_de_donnée_clients!P254="","",Base_de_donnée_clients!P254)</f>
        <v/>
      </c>
      <c r="M254" s="9" t="str">
        <f>IF(Base_de_donnée_clients!Q254="","",Base_de_donnée_clients!Q254)</f>
        <v/>
      </c>
      <c r="N254" s="8" t="str">
        <f>IF(Base_de_donnée_clients!R254="","",Base_de_donnée_clients!R254)</f>
        <v/>
      </c>
    </row>
    <row r="255" spans="1:14" ht="24" customHeight="1" x14ac:dyDescent="0.45">
      <c r="A255" s="16" t="str">
        <f>IF(Base_de_donnée_clients!A255="","",Base_de_donnée_clients!A255)</f>
        <v/>
      </c>
      <c r="B255" s="8" t="str">
        <f>IF(Base_de_donnée_clients!B255="","",Base_de_donnée_clients!B255)</f>
        <v/>
      </c>
      <c r="C255" s="8" t="str">
        <f>IF(Base_de_donnée_clients!C255="","",Base_de_donnée_clients!C255)</f>
        <v/>
      </c>
      <c r="D255" s="8" t="str">
        <f>IF(Base_de_donnée_clients!H255="","",Base_de_donnée_clients!H255)</f>
        <v/>
      </c>
      <c r="E255" s="8" t="str">
        <f>IF(Base_de_donnée_clients!I255="","",Base_de_donnée_clients!I255)</f>
        <v/>
      </c>
      <c r="F255" s="9" t="str">
        <f>IF(Base_de_donnée_clients!J255="","",Base_de_donnée_clients!J255)</f>
        <v/>
      </c>
      <c r="G255" s="9" t="str">
        <f>IF(Base_de_donnée_clients!K255="","",Base_de_donnée_clients!K255)</f>
        <v/>
      </c>
      <c r="H255" s="8" t="str">
        <f>IF(Base_de_donnée_clients!L255="","",Base_de_donnée_clients!L255)</f>
        <v/>
      </c>
      <c r="I255" s="8" t="str">
        <f>IF(Base_de_donnée_clients!M255="","",Base_de_donnée_clients!M255)</f>
        <v/>
      </c>
      <c r="J255" s="8" t="str">
        <f>IF(Base_de_donnée_clients!N255="","",Base_de_donnée_clients!N255)</f>
        <v/>
      </c>
      <c r="K255" s="9" t="str">
        <f>IF(Base_de_donnée_clients!O255="","",Base_de_donnée_clients!O255)</f>
        <v/>
      </c>
      <c r="L255" s="9" t="str">
        <f>IF(Base_de_donnée_clients!P255="","",Base_de_donnée_clients!P255)</f>
        <v/>
      </c>
      <c r="M255" s="9" t="str">
        <f>IF(Base_de_donnée_clients!Q255="","",Base_de_donnée_clients!Q255)</f>
        <v/>
      </c>
      <c r="N255" s="8" t="str">
        <f>IF(Base_de_donnée_clients!R255="","",Base_de_donnée_clients!R255)</f>
        <v/>
      </c>
    </row>
    <row r="256" spans="1:14" ht="24" customHeight="1" x14ac:dyDescent="0.45">
      <c r="A256" s="16" t="str">
        <f>IF(Base_de_donnée_clients!A256="","",Base_de_donnée_clients!A256)</f>
        <v/>
      </c>
      <c r="B256" s="8" t="str">
        <f>IF(Base_de_donnée_clients!B256="","",Base_de_donnée_clients!B256)</f>
        <v/>
      </c>
      <c r="C256" s="8" t="str">
        <f>IF(Base_de_donnée_clients!C256="","",Base_de_donnée_clients!C256)</f>
        <v/>
      </c>
      <c r="D256" s="8" t="str">
        <f>IF(Base_de_donnée_clients!H256="","",Base_de_donnée_clients!H256)</f>
        <v/>
      </c>
      <c r="E256" s="8" t="str">
        <f>IF(Base_de_donnée_clients!I256="","",Base_de_donnée_clients!I256)</f>
        <v/>
      </c>
      <c r="F256" s="9" t="str">
        <f>IF(Base_de_donnée_clients!J256="","",Base_de_donnée_clients!J256)</f>
        <v/>
      </c>
      <c r="G256" s="9" t="str">
        <f>IF(Base_de_donnée_clients!K256="","",Base_de_donnée_clients!K256)</f>
        <v/>
      </c>
      <c r="H256" s="8" t="str">
        <f>IF(Base_de_donnée_clients!L256="","",Base_de_donnée_clients!L256)</f>
        <v/>
      </c>
      <c r="I256" s="8" t="str">
        <f>IF(Base_de_donnée_clients!M256="","",Base_de_donnée_clients!M256)</f>
        <v/>
      </c>
      <c r="J256" s="8" t="str">
        <f>IF(Base_de_donnée_clients!N256="","",Base_de_donnée_clients!N256)</f>
        <v/>
      </c>
      <c r="K256" s="9" t="str">
        <f>IF(Base_de_donnée_clients!O256="","",Base_de_donnée_clients!O256)</f>
        <v/>
      </c>
      <c r="L256" s="9" t="str">
        <f>IF(Base_de_donnée_clients!P256="","",Base_de_donnée_clients!P256)</f>
        <v/>
      </c>
      <c r="M256" s="9" t="str">
        <f>IF(Base_de_donnée_clients!Q256="","",Base_de_donnée_clients!Q256)</f>
        <v/>
      </c>
      <c r="N256" s="8" t="str">
        <f>IF(Base_de_donnée_clients!R256="","",Base_de_donnée_clients!R256)</f>
        <v/>
      </c>
    </row>
    <row r="257" spans="1:14" ht="24" customHeight="1" x14ac:dyDescent="0.45">
      <c r="A257" s="16" t="str">
        <f>IF(Base_de_donnée_clients!A257="","",Base_de_donnée_clients!A257)</f>
        <v/>
      </c>
      <c r="B257" s="8" t="str">
        <f>IF(Base_de_donnée_clients!B257="","",Base_de_donnée_clients!B257)</f>
        <v/>
      </c>
      <c r="C257" s="8" t="str">
        <f>IF(Base_de_donnée_clients!C257="","",Base_de_donnée_clients!C257)</f>
        <v/>
      </c>
      <c r="D257" s="8" t="str">
        <f>IF(Base_de_donnée_clients!H257="","",Base_de_donnée_clients!H257)</f>
        <v/>
      </c>
      <c r="E257" s="8" t="str">
        <f>IF(Base_de_donnée_clients!I257="","",Base_de_donnée_clients!I257)</f>
        <v/>
      </c>
      <c r="F257" s="9" t="str">
        <f>IF(Base_de_donnée_clients!J257="","",Base_de_donnée_clients!J257)</f>
        <v/>
      </c>
      <c r="G257" s="9" t="str">
        <f>IF(Base_de_donnée_clients!K257="","",Base_de_donnée_clients!K257)</f>
        <v/>
      </c>
      <c r="H257" s="8" t="str">
        <f>IF(Base_de_donnée_clients!L257="","",Base_de_donnée_clients!L257)</f>
        <v/>
      </c>
      <c r="I257" s="8" t="str">
        <f>IF(Base_de_donnée_clients!M257="","",Base_de_donnée_clients!M257)</f>
        <v/>
      </c>
      <c r="J257" s="8" t="str">
        <f>IF(Base_de_donnée_clients!N257="","",Base_de_donnée_clients!N257)</f>
        <v/>
      </c>
      <c r="K257" s="9" t="str">
        <f>IF(Base_de_donnée_clients!O257="","",Base_de_donnée_clients!O257)</f>
        <v/>
      </c>
      <c r="L257" s="9" t="str">
        <f>IF(Base_de_donnée_clients!P257="","",Base_de_donnée_clients!P257)</f>
        <v/>
      </c>
      <c r="M257" s="9" t="str">
        <f>IF(Base_de_donnée_clients!Q257="","",Base_de_donnée_clients!Q257)</f>
        <v/>
      </c>
      <c r="N257" s="8" t="str">
        <f>IF(Base_de_donnée_clients!R257="","",Base_de_donnée_clients!R257)</f>
        <v/>
      </c>
    </row>
    <row r="258" spans="1:14" ht="24" customHeight="1" x14ac:dyDescent="0.45">
      <c r="A258" s="16" t="str">
        <f>IF(Base_de_donnée_clients!A258="","",Base_de_donnée_clients!A258)</f>
        <v/>
      </c>
      <c r="B258" s="8" t="str">
        <f>IF(Base_de_donnée_clients!B258="","",Base_de_donnée_clients!B258)</f>
        <v/>
      </c>
      <c r="C258" s="8" t="str">
        <f>IF(Base_de_donnée_clients!C258="","",Base_de_donnée_clients!C258)</f>
        <v/>
      </c>
      <c r="D258" s="8" t="str">
        <f>IF(Base_de_donnée_clients!H258="","",Base_de_donnée_clients!H258)</f>
        <v/>
      </c>
      <c r="E258" s="8" t="str">
        <f>IF(Base_de_donnée_clients!I258="","",Base_de_donnée_clients!I258)</f>
        <v/>
      </c>
      <c r="F258" s="9" t="str">
        <f>IF(Base_de_donnée_clients!J258="","",Base_de_donnée_clients!J258)</f>
        <v/>
      </c>
      <c r="G258" s="9" t="str">
        <f>IF(Base_de_donnée_clients!K258="","",Base_de_donnée_clients!K258)</f>
        <v/>
      </c>
      <c r="H258" s="8" t="str">
        <f>IF(Base_de_donnée_clients!L258="","",Base_de_donnée_clients!L258)</f>
        <v/>
      </c>
      <c r="I258" s="8" t="str">
        <f>IF(Base_de_donnée_clients!M258="","",Base_de_donnée_clients!M258)</f>
        <v/>
      </c>
      <c r="J258" s="8" t="str">
        <f>IF(Base_de_donnée_clients!N258="","",Base_de_donnée_clients!N258)</f>
        <v/>
      </c>
      <c r="K258" s="9" t="str">
        <f>IF(Base_de_donnée_clients!O258="","",Base_de_donnée_clients!O258)</f>
        <v/>
      </c>
      <c r="L258" s="9" t="str">
        <f>IF(Base_de_donnée_clients!P258="","",Base_de_donnée_clients!P258)</f>
        <v/>
      </c>
      <c r="M258" s="9" t="str">
        <f>IF(Base_de_donnée_clients!Q258="","",Base_de_donnée_clients!Q258)</f>
        <v/>
      </c>
      <c r="N258" s="8" t="str">
        <f>IF(Base_de_donnée_clients!R258="","",Base_de_donnée_clients!R258)</f>
        <v/>
      </c>
    </row>
    <row r="259" spans="1:14" ht="24" customHeight="1" x14ac:dyDescent="0.45">
      <c r="A259" s="16" t="str">
        <f>IF(Base_de_donnée_clients!A259="","",Base_de_donnée_clients!A259)</f>
        <v/>
      </c>
      <c r="B259" s="8" t="str">
        <f>IF(Base_de_donnée_clients!B259="","",Base_de_donnée_clients!B259)</f>
        <v/>
      </c>
      <c r="C259" s="8" t="str">
        <f>IF(Base_de_donnée_clients!C259="","",Base_de_donnée_clients!C259)</f>
        <v/>
      </c>
      <c r="D259" s="8" t="str">
        <f>IF(Base_de_donnée_clients!H259="","",Base_de_donnée_clients!H259)</f>
        <v/>
      </c>
      <c r="E259" s="8" t="str">
        <f>IF(Base_de_donnée_clients!I259="","",Base_de_donnée_clients!I259)</f>
        <v/>
      </c>
      <c r="F259" s="9" t="str">
        <f>IF(Base_de_donnée_clients!J259="","",Base_de_donnée_clients!J259)</f>
        <v/>
      </c>
      <c r="G259" s="9" t="str">
        <f>IF(Base_de_donnée_clients!K259="","",Base_de_donnée_clients!K259)</f>
        <v/>
      </c>
      <c r="H259" s="8" t="str">
        <f>IF(Base_de_donnée_clients!L259="","",Base_de_donnée_clients!L259)</f>
        <v/>
      </c>
      <c r="I259" s="8" t="str">
        <f>IF(Base_de_donnée_clients!M259="","",Base_de_donnée_clients!M259)</f>
        <v/>
      </c>
      <c r="J259" s="8" t="str">
        <f>IF(Base_de_donnée_clients!N259="","",Base_de_donnée_clients!N259)</f>
        <v/>
      </c>
      <c r="K259" s="9" t="str">
        <f>IF(Base_de_donnée_clients!O259="","",Base_de_donnée_clients!O259)</f>
        <v/>
      </c>
      <c r="L259" s="9" t="str">
        <f>IF(Base_de_donnée_clients!P259="","",Base_de_donnée_clients!P259)</f>
        <v/>
      </c>
      <c r="M259" s="9" t="str">
        <f>IF(Base_de_donnée_clients!Q259="","",Base_de_donnée_clients!Q259)</f>
        <v/>
      </c>
      <c r="N259" s="8" t="str">
        <f>IF(Base_de_donnée_clients!R259="","",Base_de_donnée_clients!R259)</f>
        <v/>
      </c>
    </row>
    <row r="260" spans="1:14" ht="24" customHeight="1" x14ac:dyDescent="0.45">
      <c r="A260" s="16" t="str">
        <f>IF(Base_de_donnée_clients!A260="","",Base_de_donnée_clients!A260)</f>
        <v/>
      </c>
      <c r="B260" s="8" t="str">
        <f>IF(Base_de_donnée_clients!B260="","",Base_de_donnée_clients!B260)</f>
        <v/>
      </c>
      <c r="C260" s="8" t="str">
        <f>IF(Base_de_donnée_clients!C260="","",Base_de_donnée_clients!C260)</f>
        <v/>
      </c>
      <c r="D260" s="8" t="str">
        <f>IF(Base_de_donnée_clients!H260="","",Base_de_donnée_clients!H260)</f>
        <v/>
      </c>
      <c r="E260" s="8" t="str">
        <f>IF(Base_de_donnée_clients!I260="","",Base_de_donnée_clients!I260)</f>
        <v/>
      </c>
      <c r="F260" s="9" t="str">
        <f>IF(Base_de_donnée_clients!J260="","",Base_de_donnée_clients!J260)</f>
        <v/>
      </c>
      <c r="G260" s="9" t="str">
        <f>IF(Base_de_donnée_clients!K260="","",Base_de_donnée_clients!K260)</f>
        <v/>
      </c>
      <c r="H260" s="8" t="str">
        <f>IF(Base_de_donnée_clients!L260="","",Base_de_donnée_clients!L260)</f>
        <v/>
      </c>
      <c r="I260" s="8" t="str">
        <f>IF(Base_de_donnée_clients!M260="","",Base_de_donnée_clients!M260)</f>
        <v/>
      </c>
      <c r="J260" s="8" t="str">
        <f>IF(Base_de_donnée_clients!N260="","",Base_de_donnée_clients!N260)</f>
        <v/>
      </c>
      <c r="K260" s="9" t="str">
        <f>IF(Base_de_donnée_clients!O260="","",Base_de_donnée_clients!O260)</f>
        <v/>
      </c>
      <c r="L260" s="9" t="str">
        <f>IF(Base_de_donnée_clients!P260="","",Base_de_donnée_clients!P260)</f>
        <v/>
      </c>
      <c r="M260" s="9" t="str">
        <f>IF(Base_de_donnée_clients!Q260="","",Base_de_donnée_clients!Q260)</f>
        <v/>
      </c>
      <c r="N260" s="8" t="str">
        <f>IF(Base_de_donnée_clients!R260="","",Base_de_donnée_clients!R260)</f>
        <v/>
      </c>
    </row>
    <row r="261" spans="1:14" ht="24" customHeight="1" x14ac:dyDescent="0.45">
      <c r="A261" s="16" t="str">
        <f>IF(Base_de_donnée_clients!A261="","",Base_de_donnée_clients!A261)</f>
        <v/>
      </c>
      <c r="B261" s="8" t="str">
        <f>IF(Base_de_donnée_clients!B261="","",Base_de_donnée_clients!B261)</f>
        <v/>
      </c>
      <c r="C261" s="8" t="str">
        <f>IF(Base_de_donnée_clients!C261="","",Base_de_donnée_clients!C261)</f>
        <v/>
      </c>
      <c r="D261" s="8" t="str">
        <f>IF(Base_de_donnée_clients!H261="","",Base_de_donnée_clients!H261)</f>
        <v/>
      </c>
      <c r="E261" s="8" t="str">
        <f>IF(Base_de_donnée_clients!I261="","",Base_de_donnée_clients!I261)</f>
        <v/>
      </c>
      <c r="F261" s="9" t="str">
        <f>IF(Base_de_donnée_clients!J261="","",Base_de_donnée_clients!J261)</f>
        <v/>
      </c>
      <c r="G261" s="9" t="str">
        <f>IF(Base_de_donnée_clients!K261="","",Base_de_donnée_clients!K261)</f>
        <v/>
      </c>
      <c r="H261" s="8" t="str">
        <f>IF(Base_de_donnée_clients!L261="","",Base_de_donnée_clients!L261)</f>
        <v/>
      </c>
      <c r="I261" s="8" t="str">
        <f>IF(Base_de_donnée_clients!M261="","",Base_de_donnée_clients!M261)</f>
        <v/>
      </c>
      <c r="J261" s="8" t="str">
        <f>IF(Base_de_donnée_clients!N261="","",Base_de_donnée_clients!N261)</f>
        <v/>
      </c>
      <c r="K261" s="9" t="str">
        <f>IF(Base_de_donnée_clients!O261="","",Base_de_donnée_clients!O261)</f>
        <v/>
      </c>
      <c r="L261" s="9" t="str">
        <f>IF(Base_de_donnée_clients!P261="","",Base_de_donnée_clients!P261)</f>
        <v/>
      </c>
      <c r="M261" s="9" t="str">
        <f>IF(Base_de_donnée_clients!Q261="","",Base_de_donnée_clients!Q261)</f>
        <v/>
      </c>
      <c r="N261" s="8" t="str">
        <f>IF(Base_de_donnée_clients!R261="","",Base_de_donnée_clients!R261)</f>
        <v/>
      </c>
    </row>
    <row r="262" spans="1:14" ht="24" customHeight="1" x14ac:dyDescent="0.45">
      <c r="A262" s="16" t="str">
        <f>IF(Base_de_donnée_clients!A262="","",Base_de_donnée_clients!A262)</f>
        <v/>
      </c>
      <c r="B262" s="8" t="str">
        <f>IF(Base_de_donnée_clients!B262="","",Base_de_donnée_clients!B262)</f>
        <v/>
      </c>
      <c r="C262" s="8" t="str">
        <f>IF(Base_de_donnée_clients!C262="","",Base_de_donnée_clients!C262)</f>
        <v/>
      </c>
      <c r="D262" s="8" t="str">
        <f>IF(Base_de_donnée_clients!H262="","",Base_de_donnée_clients!H262)</f>
        <v/>
      </c>
      <c r="E262" s="8" t="str">
        <f>IF(Base_de_donnée_clients!I262="","",Base_de_donnée_clients!I262)</f>
        <v/>
      </c>
      <c r="F262" s="9" t="str">
        <f>IF(Base_de_donnée_clients!J262="","",Base_de_donnée_clients!J262)</f>
        <v/>
      </c>
      <c r="G262" s="9" t="str">
        <f>IF(Base_de_donnée_clients!K262="","",Base_de_donnée_clients!K262)</f>
        <v/>
      </c>
      <c r="H262" s="8" t="str">
        <f>IF(Base_de_donnée_clients!L262="","",Base_de_donnée_clients!L262)</f>
        <v/>
      </c>
      <c r="I262" s="8" t="str">
        <f>IF(Base_de_donnée_clients!M262="","",Base_de_donnée_clients!M262)</f>
        <v/>
      </c>
      <c r="J262" s="8" t="str">
        <f>IF(Base_de_donnée_clients!N262="","",Base_de_donnée_clients!N262)</f>
        <v/>
      </c>
      <c r="K262" s="9" t="str">
        <f>IF(Base_de_donnée_clients!O262="","",Base_de_donnée_clients!O262)</f>
        <v/>
      </c>
      <c r="L262" s="9" t="str">
        <f>IF(Base_de_donnée_clients!P262="","",Base_de_donnée_clients!P262)</f>
        <v/>
      </c>
      <c r="M262" s="9" t="str">
        <f>IF(Base_de_donnée_clients!Q262="","",Base_de_donnée_clients!Q262)</f>
        <v/>
      </c>
      <c r="N262" s="8" t="str">
        <f>IF(Base_de_donnée_clients!R262="","",Base_de_donnée_clients!R262)</f>
        <v/>
      </c>
    </row>
    <row r="263" spans="1:14" ht="24" customHeight="1" x14ac:dyDescent="0.45">
      <c r="A263" s="16" t="str">
        <f>IF(Base_de_donnée_clients!A263="","",Base_de_donnée_clients!A263)</f>
        <v/>
      </c>
      <c r="B263" s="8" t="str">
        <f>IF(Base_de_donnée_clients!B263="","",Base_de_donnée_clients!B263)</f>
        <v/>
      </c>
      <c r="C263" s="8" t="str">
        <f>IF(Base_de_donnée_clients!C263="","",Base_de_donnée_clients!C263)</f>
        <v/>
      </c>
      <c r="D263" s="8" t="str">
        <f>IF(Base_de_donnée_clients!H263="","",Base_de_donnée_clients!H263)</f>
        <v/>
      </c>
      <c r="E263" s="8" t="str">
        <f>IF(Base_de_donnée_clients!I263="","",Base_de_donnée_clients!I263)</f>
        <v/>
      </c>
      <c r="F263" s="9" t="str">
        <f>IF(Base_de_donnée_clients!J263="","",Base_de_donnée_clients!J263)</f>
        <v/>
      </c>
      <c r="G263" s="9" t="str">
        <f>IF(Base_de_donnée_clients!K263="","",Base_de_donnée_clients!K263)</f>
        <v/>
      </c>
      <c r="H263" s="8" t="str">
        <f>IF(Base_de_donnée_clients!L263="","",Base_de_donnée_clients!L263)</f>
        <v/>
      </c>
      <c r="I263" s="8" t="str">
        <f>IF(Base_de_donnée_clients!M263="","",Base_de_donnée_clients!M263)</f>
        <v/>
      </c>
      <c r="J263" s="8" t="str">
        <f>IF(Base_de_donnée_clients!N263="","",Base_de_donnée_clients!N263)</f>
        <v/>
      </c>
      <c r="K263" s="9" t="str">
        <f>IF(Base_de_donnée_clients!O263="","",Base_de_donnée_clients!O263)</f>
        <v/>
      </c>
      <c r="L263" s="9" t="str">
        <f>IF(Base_de_donnée_clients!P263="","",Base_de_donnée_clients!P263)</f>
        <v/>
      </c>
      <c r="M263" s="9" t="str">
        <f>IF(Base_de_donnée_clients!Q263="","",Base_de_donnée_clients!Q263)</f>
        <v/>
      </c>
      <c r="N263" s="8" t="str">
        <f>IF(Base_de_donnée_clients!R263="","",Base_de_donnée_clients!R263)</f>
        <v/>
      </c>
    </row>
    <row r="264" spans="1:14" ht="24" customHeight="1" x14ac:dyDescent="0.45">
      <c r="A264" s="16" t="str">
        <f>IF(Base_de_donnée_clients!A264="","",Base_de_donnée_clients!A264)</f>
        <v/>
      </c>
      <c r="B264" s="8" t="str">
        <f>IF(Base_de_donnée_clients!B264="","",Base_de_donnée_clients!B264)</f>
        <v/>
      </c>
      <c r="C264" s="8" t="str">
        <f>IF(Base_de_donnée_clients!C264="","",Base_de_donnée_clients!C264)</f>
        <v/>
      </c>
      <c r="D264" s="8" t="str">
        <f>IF(Base_de_donnée_clients!H264="","",Base_de_donnée_clients!H264)</f>
        <v/>
      </c>
      <c r="E264" s="8" t="str">
        <f>IF(Base_de_donnée_clients!I264="","",Base_de_donnée_clients!I264)</f>
        <v/>
      </c>
      <c r="F264" s="9" t="str">
        <f>IF(Base_de_donnée_clients!J264="","",Base_de_donnée_clients!J264)</f>
        <v/>
      </c>
      <c r="G264" s="9" t="str">
        <f>IF(Base_de_donnée_clients!K264="","",Base_de_donnée_clients!K264)</f>
        <v/>
      </c>
      <c r="H264" s="8" t="str">
        <f>IF(Base_de_donnée_clients!L264="","",Base_de_donnée_clients!L264)</f>
        <v/>
      </c>
      <c r="I264" s="8" t="str">
        <f>IF(Base_de_donnée_clients!M264="","",Base_de_donnée_clients!M264)</f>
        <v/>
      </c>
      <c r="J264" s="8" t="str">
        <f>IF(Base_de_donnée_clients!N264="","",Base_de_donnée_clients!N264)</f>
        <v/>
      </c>
      <c r="K264" s="9" t="str">
        <f>IF(Base_de_donnée_clients!O264="","",Base_de_donnée_clients!O264)</f>
        <v/>
      </c>
      <c r="L264" s="9" t="str">
        <f>IF(Base_de_donnée_clients!P264="","",Base_de_donnée_clients!P264)</f>
        <v/>
      </c>
      <c r="M264" s="9" t="str">
        <f>IF(Base_de_donnée_clients!Q264="","",Base_de_donnée_clients!Q264)</f>
        <v/>
      </c>
      <c r="N264" s="8" t="str">
        <f>IF(Base_de_donnée_clients!R264="","",Base_de_donnée_clients!R264)</f>
        <v/>
      </c>
    </row>
    <row r="265" spans="1:14" ht="24" customHeight="1" x14ac:dyDescent="0.45">
      <c r="A265" s="16" t="str">
        <f>IF(Base_de_donnée_clients!A265="","",Base_de_donnée_clients!A265)</f>
        <v/>
      </c>
      <c r="B265" s="8" t="str">
        <f>IF(Base_de_donnée_clients!B265="","",Base_de_donnée_clients!B265)</f>
        <v/>
      </c>
      <c r="C265" s="8" t="str">
        <f>IF(Base_de_donnée_clients!C265="","",Base_de_donnée_clients!C265)</f>
        <v/>
      </c>
      <c r="D265" s="8" t="str">
        <f>IF(Base_de_donnée_clients!H265="","",Base_de_donnée_clients!H265)</f>
        <v/>
      </c>
      <c r="E265" s="8" t="str">
        <f>IF(Base_de_donnée_clients!I265="","",Base_de_donnée_clients!I265)</f>
        <v/>
      </c>
      <c r="F265" s="9" t="str">
        <f>IF(Base_de_donnée_clients!J265="","",Base_de_donnée_clients!J265)</f>
        <v/>
      </c>
      <c r="G265" s="9" t="str">
        <f>IF(Base_de_donnée_clients!K265="","",Base_de_donnée_clients!K265)</f>
        <v/>
      </c>
      <c r="H265" s="8" t="str">
        <f>IF(Base_de_donnée_clients!L265="","",Base_de_donnée_clients!L265)</f>
        <v/>
      </c>
      <c r="I265" s="8" t="str">
        <f>IF(Base_de_donnée_clients!M265="","",Base_de_donnée_clients!M265)</f>
        <v/>
      </c>
      <c r="J265" s="8" t="str">
        <f>IF(Base_de_donnée_clients!N265="","",Base_de_donnée_clients!N265)</f>
        <v/>
      </c>
      <c r="K265" s="9" t="str">
        <f>IF(Base_de_donnée_clients!O265="","",Base_de_donnée_clients!O265)</f>
        <v/>
      </c>
      <c r="L265" s="9" t="str">
        <f>IF(Base_de_donnée_clients!P265="","",Base_de_donnée_clients!P265)</f>
        <v/>
      </c>
      <c r="M265" s="9" t="str">
        <f>IF(Base_de_donnée_clients!Q265="","",Base_de_donnée_clients!Q265)</f>
        <v/>
      </c>
      <c r="N265" s="8" t="str">
        <f>IF(Base_de_donnée_clients!R265="","",Base_de_donnée_clients!R265)</f>
        <v/>
      </c>
    </row>
    <row r="266" spans="1:14" ht="24" customHeight="1" x14ac:dyDescent="0.45">
      <c r="A266" s="16" t="str">
        <f>IF(Base_de_donnée_clients!A266="","",Base_de_donnée_clients!A266)</f>
        <v/>
      </c>
      <c r="B266" s="8" t="str">
        <f>IF(Base_de_donnée_clients!B266="","",Base_de_donnée_clients!B266)</f>
        <v/>
      </c>
      <c r="C266" s="8" t="str">
        <f>IF(Base_de_donnée_clients!C266="","",Base_de_donnée_clients!C266)</f>
        <v/>
      </c>
      <c r="D266" s="8" t="str">
        <f>IF(Base_de_donnée_clients!H266="","",Base_de_donnée_clients!H266)</f>
        <v/>
      </c>
      <c r="E266" s="8" t="str">
        <f>IF(Base_de_donnée_clients!I266="","",Base_de_donnée_clients!I266)</f>
        <v/>
      </c>
      <c r="F266" s="9" t="str">
        <f>IF(Base_de_donnée_clients!J266="","",Base_de_donnée_clients!J266)</f>
        <v/>
      </c>
      <c r="G266" s="9" t="str">
        <f>IF(Base_de_donnée_clients!K266="","",Base_de_donnée_clients!K266)</f>
        <v/>
      </c>
      <c r="H266" s="8" t="str">
        <f>IF(Base_de_donnée_clients!L266="","",Base_de_donnée_clients!L266)</f>
        <v/>
      </c>
      <c r="I266" s="8" t="str">
        <f>IF(Base_de_donnée_clients!M266="","",Base_de_donnée_clients!M266)</f>
        <v/>
      </c>
      <c r="J266" s="8" t="str">
        <f>IF(Base_de_donnée_clients!N266="","",Base_de_donnée_clients!N266)</f>
        <v/>
      </c>
      <c r="K266" s="9" t="str">
        <f>IF(Base_de_donnée_clients!O266="","",Base_de_donnée_clients!O266)</f>
        <v/>
      </c>
      <c r="L266" s="9" t="str">
        <f>IF(Base_de_donnée_clients!P266="","",Base_de_donnée_clients!P266)</f>
        <v/>
      </c>
      <c r="M266" s="9" t="str">
        <f>IF(Base_de_donnée_clients!Q266="","",Base_de_donnée_clients!Q266)</f>
        <v/>
      </c>
      <c r="N266" s="8" t="str">
        <f>IF(Base_de_donnée_clients!R266="","",Base_de_donnée_clients!R266)</f>
        <v/>
      </c>
    </row>
    <row r="267" spans="1:14" ht="24" customHeight="1" x14ac:dyDescent="0.45">
      <c r="A267" s="16" t="str">
        <f>IF(Base_de_donnée_clients!A267="","",Base_de_donnée_clients!A267)</f>
        <v/>
      </c>
      <c r="B267" s="8" t="str">
        <f>IF(Base_de_donnée_clients!B267="","",Base_de_donnée_clients!B267)</f>
        <v/>
      </c>
      <c r="C267" s="8" t="str">
        <f>IF(Base_de_donnée_clients!C267="","",Base_de_donnée_clients!C267)</f>
        <v/>
      </c>
      <c r="D267" s="8" t="str">
        <f>IF(Base_de_donnée_clients!H267="","",Base_de_donnée_clients!H267)</f>
        <v/>
      </c>
      <c r="E267" s="8" t="str">
        <f>IF(Base_de_donnée_clients!I267="","",Base_de_donnée_clients!I267)</f>
        <v/>
      </c>
      <c r="F267" s="9" t="str">
        <f>IF(Base_de_donnée_clients!J267="","",Base_de_donnée_clients!J267)</f>
        <v/>
      </c>
      <c r="G267" s="9" t="str">
        <f>IF(Base_de_donnée_clients!K267="","",Base_de_donnée_clients!K267)</f>
        <v/>
      </c>
      <c r="H267" s="8" t="str">
        <f>IF(Base_de_donnée_clients!L267="","",Base_de_donnée_clients!L267)</f>
        <v/>
      </c>
      <c r="I267" s="8" t="str">
        <f>IF(Base_de_donnée_clients!M267="","",Base_de_donnée_clients!M267)</f>
        <v/>
      </c>
      <c r="J267" s="8" t="str">
        <f>IF(Base_de_donnée_clients!N267="","",Base_de_donnée_clients!N267)</f>
        <v/>
      </c>
      <c r="K267" s="9" t="str">
        <f>IF(Base_de_donnée_clients!O267="","",Base_de_donnée_clients!O267)</f>
        <v/>
      </c>
      <c r="L267" s="9" t="str">
        <f>IF(Base_de_donnée_clients!P267="","",Base_de_donnée_clients!P267)</f>
        <v/>
      </c>
      <c r="M267" s="9" t="str">
        <f>IF(Base_de_donnée_clients!Q267="","",Base_de_donnée_clients!Q267)</f>
        <v/>
      </c>
      <c r="N267" s="8" t="str">
        <f>IF(Base_de_donnée_clients!R267="","",Base_de_donnée_clients!R267)</f>
        <v/>
      </c>
    </row>
    <row r="268" spans="1:14" ht="24" customHeight="1" x14ac:dyDescent="0.45">
      <c r="A268" s="16" t="str">
        <f>IF(Base_de_donnée_clients!A268="","",Base_de_donnée_clients!A268)</f>
        <v/>
      </c>
      <c r="B268" s="8" t="str">
        <f>IF(Base_de_donnée_clients!B268="","",Base_de_donnée_clients!B268)</f>
        <v/>
      </c>
      <c r="C268" s="8" t="str">
        <f>IF(Base_de_donnée_clients!C268="","",Base_de_donnée_clients!C268)</f>
        <v/>
      </c>
      <c r="D268" s="8" t="str">
        <f>IF(Base_de_donnée_clients!H268="","",Base_de_donnée_clients!H268)</f>
        <v/>
      </c>
      <c r="E268" s="8" t="str">
        <f>IF(Base_de_donnée_clients!I268="","",Base_de_donnée_clients!I268)</f>
        <v/>
      </c>
      <c r="F268" s="9" t="str">
        <f>IF(Base_de_donnée_clients!J268="","",Base_de_donnée_clients!J268)</f>
        <v/>
      </c>
      <c r="G268" s="9" t="str">
        <f>IF(Base_de_donnée_clients!K268="","",Base_de_donnée_clients!K268)</f>
        <v/>
      </c>
      <c r="H268" s="8" t="str">
        <f>IF(Base_de_donnée_clients!L268="","",Base_de_donnée_clients!L268)</f>
        <v/>
      </c>
      <c r="I268" s="8" t="str">
        <f>IF(Base_de_donnée_clients!M268="","",Base_de_donnée_clients!M268)</f>
        <v/>
      </c>
      <c r="J268" s="8" t="str">
        <f>IF(Base_de_donnée_clients!N268="","",Base_de_donnée_clients!N268)</f>
        <v/>
      </c>
      <c r="K268" s="9" t="str">
        <f>IF(Base_de_donnée_clients!O268="","",Base_de_donnée_clients!O268)</f>
        <v/>
      </c>
      <c r="L268" s="9" t="str">
        <f>IF(Base_de_donnée_clients!P268="","",Base_de_donnée_clients!P268)</f>
        <v/>
      </c>
      <c r="M268" s="9" t="str">
        <f>IF(Base_de_donnée_clients!Q268="","",Base_de_donnée_clients!Q268)</f>
        <v/>
      </c>
      <c r="N268" s="8" t="str">
        <f>IF(Base_de_donnée_clients!R268="","",Base_de_donnée_clients!R268)</f>
        <v/>
      </c>
    </row>
    <row r="269" spans="1:14" ht="24" customHeight="1" x14ac:dyDescent="0.45">
      <c r="A269" s="16" t="str">
        <f>IF(Base_de_donnée_clients!A269="","",Base_de_donnée_clients!A269)</f>
        <v/>
      </c>
      <c r="B269" s="8" t="str">
        <f>IF(Base_de_donnée_clients!B269="","",Base_de_donnée_clients!B269)</f>
        <v/>
      </c>
      <c r="C269" s="8" t="str">
        <f>IF(Base_de_donnée_clients!C269="","",Base_de_donnée_clients!C269)</f>
        <v/>
      </c>
      <c r="D269" s="8" t="str">
        <f>IF(Base_de_donnée_clients!H269="","",Base_de_donnée_clients!H269)</f>
        <v/>
      </c>
      <c r="E269" s="8" t="str">
        <f>IF(Base_de_donnée_clients!I269="","",Base_de_donnée_clients!I269)</f>
        <v/>
      </c>
      <c r="F269" s="9" t="str">
        <f>IF(Base_de_donnée_clients!J269="","",Base_de_donnée_clients!J269)</f>
        <v/>
      </c>
      <c r="G269" s="9" t="str">
        <f>IF(Base_de_donnée_clients!K269="","",Base_de_donnée_clients!K269)</f>
        <v/>
      </c>
      <c r="H269" s="8" t="str">
        <f>IF(Base_de_donnée_clients!L269="","",Base_de_donnée_clients!L269)</f>
        <v/>
      </c>
      <c r="I269" s="8" t="str">
        <f>IF(Base_de_donnée_clients!M269="","",Base_de_donnée_clients!M269)</f>
        <v/>
      </c>
      <c r="J269" s="8" t="str">
        <f>IF(Base_de_donnée_clients!N269="","",Base_de_donnée_clients!N269)</f>
        <v/>
      </c>
      <c r="K269" s="9" t="str">
        <f>IF(Base_de_donnée_clients!O269="","",Base_de_donnée_clients!O269)</f>
        <v/>
      </c>
      <c r="L269" s="9" t="str">
        <f>IF(Base_de_donnée_clients!P269="","",Base_de_donnée_clients!P269)</f>
        <v/>
      </c>
      <c r="M269" s="9" t="str">
        <f>IF(Base_de_donnée_clients!Q269="","",Base_de_donnée_clients!Q269)</f>
        <v/>
      </c>
      <c r="N269" s="8" t="str">
        <f>IF(Base_de_donnée_clients!R269="","",Base_de_donnée_clients!R269)</f>
        <v/>
      </c>
    </row>
    <row r="270" spans="1:14" ht="24" customHeight="1" x14ac:dyDescent="0.45">
      <c r="A270" s="16" t="str">
        <f>IF(Base_de_donnée_clients!A270="","",Base_de_donnée_clients!A270)</f>
        <v/>
      </c>
      <c r="B270" s="8" t="str">
        <f>IF(Base_de_donnée_clients!B270="","",Base_de_donnée_clients!B270)</f>
        <v/>
      </c>
      <c r="C270" s="8" t="str">
        <f>IF(Base_de_donnée_clients!C270="","",Base_de_donnée_clients!C270)</f>
        <v/>
      </c>
      <c r="D270" s="8" t="str">
        <f>IF(Base_de_donnée_clients!H270="","",Base_de_donnée_clients!H270)</f>
        <v/>
      </c>
      <c r="E270" s="8" t="str">
        <f>IF(Base_de_donnée_clients!I270="","",Base_de_donnée_clients!I270)</f>
        <v/>
      </c>
      <c r="F270" s="9" t="str">
        <f>IF(Base_de_donnée_clients!J270="","",Base_de_donnée_clients!J270)</f>
        <v/>
      </c>
      <c r="G270" s="9" t="str">
        <f>IF(Base_de_donnée_clients!K270="","",Base_de_donnée_clients!K270)</f>
        <v/>
      </c>
      <c r="H270" s="8" t="str">
        <f>IF(Base_de_donnée_clients!L270="","",Base_de_donnée_clients!L270)</f>
        <v/>
      </c>
      <c r="I270" s="8" t="str">
        <f>IF(Base_de_donnée_clients!M270="","",Base_de_donnée_clients!M270)</f>
        <v/>
      </c>
      <c r="J270" s="8" t="str">
        <f>IF(Base_de_donnée_clients!N270="","",Base_de_donnée_clients!N270)</f>
        <v/>
      </c>
      <c r="K270" s="9" t="str">
        <f>IF(Base_de_donnée_clients!O270="","",Base_de_donnée_clients!O270)</f>
        <v/>
      </c>
      <c r="L270" s="9" t="str">
        <f>IF(Base_de_donnée_clients!P270="","",Base_de_donnée_clients!P270)</f>
        <v/>
      </c>
      <c r="M270" s="9" t="str">
        <f>IF(Base_de_donnée_clients!Q270="","",Base_de_donnée_clients!Q270)</f>
        <v/>
      </c>
      <c r="N270" s="8" t="str">
        <f>IF(Base_de_donnée_clients!R270="","",Base_de_donnée_clients!R270)</f>
        <v/>
      </c>
    </row>
    <row r="271" spans="1:14" ht="24" customHeight="1" x14ac:dyDescent="0.45">
      <c r="A271" s="16" t="str">
        <f>IF(Base_de_donnée_clients!A271="","",Base_de_donnée_clients!A271)</f>
        <v/>
      </c>
      <c r="B271" s="8" t="str">
        <f>IF(Base_de_donnée_clients!B271="","",Base_de_donnée_clients!B271)</f>
        <v/>
      </c>
      <c r="C271" s="8" t="str">
        <f>IF(Base_de_donnée_clients!C271="","",Base_de_donnée_clients!C271)</f>
        <v/>
      </c>
      <c r="D271" s="8" t="str">
        <f>IF(Base_de_donnée_clients!H271="","",Base_de_donnée_clients!H271)</f>
        <v/>
      </c>
      <c r="E271" s="8" t="str">
        <f>IF(Base_de_donnée_clients!I271="","",Base_de_donnée_clients!I271)</f>
        <v/>
      </c>
      <c r="F271" s="9" t="str">
        <f>IF(Base_de_donnée_clients!J271="","",Base_de_donnée_clients!J271)</f>
        <v/>
      </c>
      <c r="G271" s="9" t="str">
        <f>IF(Base_de_donnée_clients!K271="","",Base_de_donnée_clients!K271)</f>
        <v/>
      </c>
      <c r="H271" s="8" t="str">
        <f>IF(Base_de_donnée_clients!L271="","",Base_de_donnée_clients!L271)</f>
        <v/>
      </c>
      <c r="I271" s="8" t="str">
        <f>IF(Base_de_donnée_clients!M271="","",Base_de_donnée_clients!M271)</f>
        <v/>
      </c>
      <c r="J271" s="8" t="str">
        <f>IF(Base_de_donnée_clients!N271="","",Base_de_donnée_clients!N271)</f>
        <v/>
      </c>
      <c r="K271" s="9" t="str">
        <f>IF(Base_de_donnée_clients!O271="","",Base_de_donnée_clients!O271)</f>
        <v/>
      </c>
      <c r="L271" s="9" t="str">
        <f>IF(Base_de_donnée_clients!P271="","",Base_de_donnée_clients!P271)</f>
        <v/>
      </c>
      <c r="M271" s="9" t="str">
        <f>IF(Base_de_donnée_clients!Q271="","",Base_de_donnée_clients!Q271)</f>
        <v/>
      </c>
      <c r="N271" s="8" t="str">
        <f>IF(Base_de_donnée_clients!R271="","",Base_de_donnée_clients!R271)</f>
        <v/>
      </c>
    </row>
    <row r="272" spans="1:14" ht="24" customHeight="1" x14ac:dyDescent="0.45">
      <c r="A272" s="16" t="str">
        <f>IF(Base_de_donnée_clients!A272="","",Base_de_donnée_clients!A272)</f>
        <v/>
      </c>
      <c r="B272" s="8" t="str">
        <f>IF(Base_de_donnée_clients!B272="","",Base_de_donnée_clients!B272)</f>
        <v/>
      </c>
      <c r="C272" s="8" t="str">
        <f>IF(Base_de_donnée_clients!C272="","",Base_de_donnée_clients!C272)</f>
        <v/>
      </c>
      <c r="D272" s="8" t="str">
        <f>IF(Base_de_donnée_clients!H272="","",Base_de_donnée_clients!H272)</f>
        <v/>
      </c>
      <c r="E272" s="8" t="str">
        <f>IF(Base_de_donnée_clients!I272="","",Base_de_donnée_clients!I272)</f>
        <v/>
      </c>
      <c r="F272" s="9" t="str">
        <f>IF(Base_de_donnée_clients!J272="","",Base_de_donnée_clients!J272)</f>
        <v/>
      </c>
      <c r="G272" s="9" t="str">
        <f>IF(Base_de_donnée_clients!K272="","",Base_de_donnée_clients!K272)</f>
        <v/>
      </c>
      <c r="H272" s="8" t="str">
        <f>IF(Base_de_donnée_clients!L272="","",Base_de_donnée_clients!L272)</f>
        <v/>
      </c>
      <c r="I272" s="8" t="str">
        <f>IF(Base_de_donnée_clients!M272="","",Base_de_donnée_clients!M272)</f>
        <v/>
      </c>
      <c r="J272" s="8" t="str">
        <f>IF(Base_de_donnée_clients!N272="","",Base_de_donnée_clients!N272)</f>
        <v/>
      </c>
      <c r="K272" s="9" t="str">
        <f>IF(Base_de_donnée_clients!O272="","",Base_de_donnée_clients!O272)</f>
        <v/>
      </c>
      <c r="L272" s="9" t="str">
        <f>IF(Base_de_donnée_clients!P272="","",Base_de_donnée_clients!P272)</f>
        <v/>
      </c>
      <c r="M272" s="9" t="str">
        <f>IF(Base_de_donnée_clients!Q272="","",Base_de_donnée_clients!Q272)</f>
        <v/>
      </c>
      <c r="N272" s="8" t="str">
        <f>IF(Base_de_donnée_clients!R272="","",Base_de_donnée_clients!R272)</f>
        <v/>
      </c>
    </row>
    <row r="273" spans="1:14" ht="24" customHeight="1" x14ac:dyDescent="0.45">
      <c r="A273" s="16" t="str">
        <f>IF(Base_de_donnée_clients!A273="","",Base_de_donnée_clients!A273)</f>
        <v/>
      </c>
      <c r="B273" s="8" t="str">
        <f>IF(Base_de_donnée_clients!B273="","",Base_de_donnée_clients!B273)</f>
        <v/>
      </c>
      <c r="C273" s="8" t="str">
        <f>IF(Base_de_donnée_clients!C273="","",Base_de_donnée_clients!C273)</f>
        <v/>
      </c>
      <c r="D273" s="8" t="str">
        <f>IF(Base_de_donnée_clients!H273="","",Base_de_donnée_clients!H273)</f>
        <v/>
      </c>
      <c r="E273" s="8" t="str">
        <f>IF(Base_de_donnée_clients!I273="","",Base_de_donnée_clients!I273)</f>
        <v/>
      </c>
      <c r="F273" s="9" t="str">
        <f>IF(Base_de_donnée_clients!J273="","",Base_de_donnée_clients!J273)</f>
        <v/>
      </c>
      <c r="G273" s="9" t="str">
        <f>IF(Base_de_donnée_clients!K273="","",Base_de_donnée_clients!K273)</f>
        <v/>
      </c>
      <c r="H273" s="8" t="str">
        <f>IF(Base_de_donnée_clients!L273="","",Base_de_donnée_clients!L273)</f>
        <v/>
      </c>
      <c r="I273" s="8" t="str">
        <f>IF(Base_de_donnée_clients!M273="","",Base_de_donnée_clients!M273)</f>
        <v/>
      </c>
      <c r="J273" s="8" t="str">
        <f>IF(Base_de_donnée_clients!N273="","",Base_de_donnée_clients!N273)</f>
        <v/>
      </c>
      <c r="K273" s="9" t="str">
        <f>IF(Base_de_donnée_clients!O273="","",Base_de_donnée_clients!O273)</f>
        <v/>
      </c>
      <c r="L273" s="9" t="str">
        <f>IF(Base_de_donnée_clients!P273="","",Base_de_donnée_clients!P273)</f>
        <v/>
      </c>
      <c r="M273" s="9" t="str">
        <f>IF(Base_de_donnée_clients!Q273="","",Base_de_donnée_clients!Q273)</f>
        <v/>
      </c>
      <c r="N273" s="8" t="str">
        <f>IF(Base_de_donnée_clients!R273="","",Base_de_donnée_clients!R273)</f>
        <v/>
      </c>
    </row>
    <row r="274" spans="1:14" ht="24" customHeight="1" x14ac:dyDescent="0.45">
      <c r="A274" s="16" t="str">
        <f>IF(Base_de_donnée_clients!A274="","",Base_de_donnée_clients!A274)</f>
        <v/>
      </c>
      <c r="B274" s="8" t="str">
        <f>IF(Base_de_donnée_clients!B274="","",Base_de_donnée_clients!B274)</f>
        <v/>
      </c>
      <c r="C274" s="8" t="str">
        <f>IF(Base_de_donnée_clients!C274="","",Base_de_donnée_clients!C274)</f>
        <v/>
      </c>
      <c r="D274" s="8" t="str">
        <f>IF(Base_de_donnée_clients!H274="","",Base_de_donnée_clients!H274)</f>
        <v/>
      </c>
      <c r="E274" s="8" t="str">
        <f>IF(Base_de_donnée_clients!I274="","",Base_de_donnée_clients!I274)</f>
        <v/>
      </c>
      <c r="F274" s="9" t="str">
        <f>IF(Base_de_donnée_clients!J274="","",Base_de_donnée_clients!J274)</f>
        <v/>
      </c>
      <c r="G274" s="9" t="str">
        <f>IF(Base_de_donnée_clients!K274="","",Base_de_donnée_clients!K274)</f>
        <v/>
      </c>
      <c r="H274" s="8" t="str">
        <f>IF(Base_de_donnée_clients!L274="","",Base_de_donnée_clients!L274)</f>
        <v/>
      </c>
      <c r="I274" s="8" t="str">
        <f>IF(Base_de_donnée_clients!M274="","",Base_de_donnée_clients!M274)</f>
        <v/>
      </c>
      <c r="J274" s="8" t="str">
        <f>IF(Base_de_donnée_clients!N274="","",Base_de_donnée_clients!N274)</f>
        <v/>
      </c>
      <c r="K274" s="9" t="str">
        <f>IF(Base_de_donnée_clients!O274="","",Base_de_donnée_clients!O274)</f>
        <v/>
      </c>
      <c r="L274" s="9" t="str">
        <f>IF(Base_de_donnée_clients!P274="","",Base_de_donnée_clients!P274)</f>
        <v/>
      </c>
      <c r="M274" s="9" t="str">
        <f>IF(Base_de_donnée_clients!Q274="","",Base_de_donnée_clients!Q274)</f>
        <v/>
      </c>
      <c r="N274" s="8" t="str">
        <f>IF(Base_de_donnée_clients!R274="","",Base_de_donnée_clients!R274)</f>
        <v/>
      </c>
    </row>
    <row r="275" spans="1:14" ht="24" customHeight="1" x14ac:dyDescent="0.45">
      <c r="A275" s="16" t="str">
        <f>IF(Base_de_donnée_clients!A275="","",Base_de_donnée_clients!A275)</f>
        <v/>
      </c>
      <c r="B275" s="8" t="str">
        <f>IF(Base_de_donnée_clients!B275="","",Base_de_donnée_clients!B275)</f>
        <v/>
      </c>
      <c r="C275" s="8" t="str">
        <f>IF(Base_de_donnée_clients!C275="","",Base_de_donnée_clients!C275)</f>
        <v/>
      </c>
      <c r="D275" s="8" t="str">
        <f>IF(Base_de_donnée_clients!H275="","",Base_de_donnée_clients!H275)</f>
        <v/>
      </c>
      <c r="E275" s="8" t="str">
        <f>IF(Base_de_donnée_clients!I275="","",Base_de_donnée_clients!I275)</f>
        <v/>
      </c>
      <c r="F275" s="9" t="str">
        <f>IF(Base_de_donnée_clients!J275="","",Base_de_donnée_clients!J275)</f>
        <v/>
      </c>
      <c r="G275" s="9" t="str">
        <f>IF(Base_de_donnée_clients!K275="","",Base_de_donnée_clients!K275)</f>
        <v/>
      </c>
      <c r="H275" s="8" t="str">
        <f>IF(Base_de_donnée_clients!L275="","",Base_de_donnée_clients!L275)</f>
        <v/>
      </c>
      <c r="I275" s="8" t="str">
        <f>IF(Base_de_donnée_clients!M275="","",Base_de_donnée_clients!M275)</f>
        <v/>
      </c>
      <c r="J275" s="8" t="str">
        <f>IF(Base_de_donnée_clients!N275="","",Base_de_donnée_clients!N275)</f>
        <v/>
      </c>
      <c r="K275" s="9" t="str">
        <f>IF(Base_de_donnée_clients!O275="","",Base_de_donnée_clients!O275)</f>
        <v/>
      </c>
      <c r="L275" s="9" t="str">
        <f>IF(Base_de_donnée_clients!P275="","",Base_de_donnée_clients!P275)</f>
        <v/>
      </c>
      <c r="M275" s="9" t="str">
        <f>IF(Base_de_donnée_clients!Q275="","",Base_de_donnée_clients!Q275)</f>
        <v/>
      </c>
      <c r="N275" s="8" t="str">
        <f>IF(Base_de_donnée_clients!R275="","",Base_de_donnée_clients!R275)</f>
        <v/>
      </c>
    </row>
    <row r="276" spans="1:14" ht="24" customHeight="1" x14ac:dyDescent="0.45">
      <c r="A276" s="16" t="str">
        <f>IF(Base_de_donnée_clients!A276="","",Base_de_donnée_clients!A276)</f>
        <v/>
      </c>
      <c r="B276" s="8" t="str">
        <f>IF(Base_de_donnée_clients!B276="","",Base_de_donnée_clients!B276)</f>
        <v/>
      </c>
      <c r="C276" s="8" t="str">
        <f>IF(Base_de_donnée_clients!C276="","",Base_de_donnée_clients!C276)</f>
        <v/>
      </c>
      <c r="D276" s="8" t="str">
        <f>IF(Base_de_donnée_clients!H276="","",Base_de_donnée_clients!H276)</f>
        <v/>
      </c>
      <c r="E276" s="8" t="str">
        <f>IF(Base_de_donnée_clients!I276="","",Base_de_donnée_clients!I276)</f>
        <v/>
      </c>
      <c r="F276" s="9" t="str">
        <f>IF(Base_de_donnée_clients!J276="","",Base_de_donnée_clients!J276)</f>
        <v/>
      </c>
      <c r="G276" s="9" t="str">
        <f>IF(Base_de_donnée_clients!K276="","",Base_de_donnée_clients!K276)</f>
        <v/>
      </c>
      <c r="H276" s="8" t="str">
        <f>IF(Base_de_donnée_clients!L276="","",Base_de_donnée_clients!L276)</f>
        <v/>
      </c>
      <c r="I276" s="8" t="str">
        <f>IF(Base_de_donnée_clients!M276="","",Base_de_donnée_clients!M276)</f>
        <v/>
      </c>
      <c r="J276" s="8" t="str">
        <f>IF(Base_de_donnée_clients!N276="","",Base_de_donnée_clients!N276)</f>
        <v/>
      </c>
      <c r="K276" s="9" t="str">
        <f>IF(Base_de_donnée_clients!O276="","",Base_de_donnée_clients!O276)</f>
        <v/>
      </c>
      <c r="L276" s="9" t="str">
        <f>IF(Base_de_donnée_clients!P276="","",Base_de_donnée_clients!P276)</f>
        <v/>
      </c>
      <c r="M276" s="9" t="str">
        <f>IF(Base_de_donnée_clients!Q276="","",Base_de_donnée_clients!Q276)</f>
        <v/>
      </c>
      <c r="N276" s="8" t="str">
        <f>IF(Base_de_donnée_clients!R276="","",Base_de_donnée_clients!R276)</f>
        <v/>
      </c>
    </row>
    <row r="277" spans="1:14" ht="24" customHeight="1" x14ac:dyDescent="0.45">
      <c r="A277" s="16" t="str">
        <f>IF(Base_de_donnée_clients!A277="","",Base_de_donnée_clients!A277)</f>
        <v/>
      </c>
      <c r="B277" s="8" t="str">
        <f>IF(Base_de_donnée_clients!B277="","",Base_de_donnée_clients!B277)</f>
        <v/>
      </c>
      <c r="C277" s="8" t="str">
        <f>IF(Base_de_donnée_clients!C277="","",Base_de_donnée_clients!C277)</f>
        <v/>
      </c>
      <c r="D277" s="8" t="str">
        <f>IF(Base_de_donnée_clients!H277="","",Base_de_donnée_clients!H277)</f>
        <v/>
      </c>
      <c r="E277" s="8" t="str">
        <f>IF(Base_de_donnée_clients!I277="","",Base_de_donnée_clients!I277)</f>
        <v/>
      </c>
      <c r="F277" s="9" t="str">
        <f>IF(Base_de_donnée_clients!J277="","",Base_de_donnée_clients!J277)</f>
        <v/>
      </c>
      <c r="G277" s="9" t="str">
        <f>IF(Base_de_donnée_clients!K277="","",Base_de_donnée_clients!K277)</f>
        <v/>
      </c>
      <c r="H277" s="8" t="str">
        <f>IF(Base_de_donnée_clients!L277="","",Base_de_donnée_clients!L277)</f>
        <v/>
      </c>
      <c r="I277" s="8" t="str">
        <f>IF(Base_de_donnée_clients!M277="","",Base_de_donnée_clients!M277)</f>
        <v/>
      </c>
      <c r="J277" s="8" t="str">
        <f>IF(Base_de_donnée_clients!N277="","",Base_de_donnée_clients!N277)</f>
        <v/>
      </c>
      <c r="K277" s="9" t="str">
        <f>IF(Base_de_donnée_clients!O277="","",Base_de_donnée_clients!O277)</f>
        <v/>
      </c>
      <c r="L277" s="9" t="str">
        <f>IF(Base_de_donnée_clients!P277="","",Base_de_donnée_clients!P277)</f>
        <v/>
      </c>
      <c r="M277" s="9" t="str">
        <f>IF(Base_de_donnée_clients!Q277="","",Base_de_donnée_clients!Q277)</f>
        <v/>
      </c>
      <c r="N277" s="8" t="str">
        <f>IF(Base_de_donnée_clients!R277="","",Base_de_donnée_clients!R277)</f>
        <v/>
      </c>
    </row>
    <row r="278" spans="1:14" ht="24" customHeight="1" x14ac:dyDescent="0.45">
      <c r="A278" s="16" t="str">
        <f>IF(Base_de_donnée_clients!A278="","",Base_de_donnée_clients!A278)</f>
        <v/>
      </c>
      <c r="B278" s="8" t="str">
        <f>IF(Base_de_donnée_clients!B278="","",Base_de_donnée_clients!B278)</f>
        <v/>
      </c>
      <c r="C278" s="8" t="str">
        <f>IF(Base_de_donnée_clients!C278="","",Base_de_donnée_clients!C278)</f>
        <v/>
      </c>
      <c r="D278" s="8" t="str">
        <f>IF(Base_de_donnée_clients!H278="","",Base_de_donnée_clients!H278)</f>
        <v/>
      </c>
      <c r="E278" s="8" t="str">
        <f>IF(Base_de_donnée_clients!I278="","",Base_de_donnée_clients!I278)</f>
        <v/>
      </c>
      <c r="F278" s="9" t="str">
        <f>IF(Base_de_donnée_clients!J278="","",Base_de_donnée_clients!J278)</f>
        <v/>
      </c>
      <c r="G278" s="9" t="str">
        <f>IF(Base_de_donnée_clients!K278="","",Base_de_donnée_clients!K278)</f>
        <v/>
      </c>
      <c r="H278" s="8" t="str">
        <f>IF(Base_de_donnée_clients!L278="","",Base_de_donnée_clients!L278)</f>
        <v/>
      </c>
      <c r="I278" s="8" t="str">
        <f>IF(Base_de_donnée_clients!M278="","",Base_de_donnée_clients!M278)</f>
        <v/>
      </c>
      <c r="J278" s="8" t="str">
        <f>IF(Base_de_donnée_clients!N278="","",Base_de_donnée_clients!N278)</f>
        <v/>
      </c>
      <c r="K278" s="9" t="str">
        <f>IF(Base_de_donnée_clients!O278="","",Base_de_donnée_clients!O278)</f>
        <v/>
      </c>
      <c r="L278" s="9" t="str">
        <f>IF(Base_de_donnée_clients!P278="","",Base_de_donnée_clients!P278)</f>
        <v/>
      </c>
      <c r="M278" s="9" t="str">
        <f>IF(Base_de_donnée_clients!Q278="","",Base_de_donnée_clients!Q278)</f>
        <v/>
      </c>
      <c r="N278" s="8" t="str">
        <f>IF(Base_de_donnée_clients!R278="","",Base_de_donnée_clients!R278)</f>
        <v/>
      </c>
    </row>
    <row r="279" spans="1:14" ht="24" customHeight="1" x14ac:dyDescent="0.45">
      <c r="A279" s="16" t="str">
        <f>IF(Base_de_donnée_clients!A279="","",Base_de_donnée_clients!A279)</f>
        <v/>
      </c>
      <c r="B279" s="8" t="str">
        <f>IF(Base_de_donnée_clients!B279="","",Base_de_donnée_clients!B279)</f>
        <v/>
      </c>
      <c r="C279" s="8" t="str">
        <f>IF(Base_de_donnée_clients!C279="","",Base_de_donnée_clients!C279)</f>
        <v/>
      </c>
      <c r="D279" s="8" t="str">
        <f>IF(Base_de_donnée_clients!H279="","",Base_de_donnée_clients!H279)</f>
        <v/>
      </c>
      <c r="E279" s="8" t="str">
        <f>IF(Base_de_donnée_clients!I279="","",Base_de_donnée_clients!I279)</f>
        <v/>
      </c>
      <c r="F279" s="9" t="str">
        <f>IF(Base_de_donnée_clients!J279="","",Base_de_donnée_clients!J279)</f>
        <v/>
      </c>
      <c r="G279" s="9" t="str">
        <f>IF(Base_de_donnée_clients!K279="","",Base_de_donnée_clients!K279)</f>
        <v/>
      </c>
      <c r="H279" s="8" t="str">
        <f>IF(Base_de_donnée_clients!L279="","",Base_de_donnée_clients!L279)</f>
        <v/>
      </c>
      <c r="I279" s="8" t="str">
        <f>IF(Base_de_donnée_clients!M279="","",Base_de_donnée_clients!M279)</f>
        <v/>
      </c>
      <c r="J279" s="8" t="str">
        <f>IF(Base_de_donnée_clients!N279="","",Base_de_donnée_clients!N279)</f>
        <v/>
      </c>
      <c r="K279" s="9" t="str">
        <f>IF(Base_de_donnée_clients!O279="","",Base_de_donnée_clients!O279)</f>
        <v/>
      </c>
      <c r="L279" s="9" t="str">
        <f>IF(Base_de_donnée_clients!P279="","",Base_de_donnée_clients!P279)</f>
        <v/>
      </c>
      <c r="M279" s="9" t="str">
        <f>IF(Base_de_donnée_clients!Q279="","",Base_de_donnée_clients!Q279)</f>
        <v/>
      </c>
      <c r="N279" s="8" t="str">
        <f>IF(Base_de_donnée_clients!R279="","",Base_de_donnée_clients!R279)</f>
        <v/>
      </c>
    </row>
    <row r="280" spans="1:14" ht="24" customHeight="1" x14ac:dyDescent="0.45">
      <c r="A280" s="16" t="str">
        <f>IF(Base_de_donnée_clients!A280="","",Base_de_donnée_clients!A280)</f>
        <v/>
      </c>
      <c r="B280" s="8" t="str">
        <f>IF(Base_de_donnée_clients!B280="","",Base_de_donnée_clients!B280)</f>
        <v/>
      </c>
      <c r="C280" s="8" t="str">
        <f>IF(Base_de_donnée_clients!C280="","",Base_de_donnée_clients!C280)</f>
        <v/>
      </c>
      <c r="D280" s="8" t="str">
        <f>IF(Base_de_donnée_clients!H280="","",Base_de_donnée_clients!H280)</f>
        <v/>
      </c>
      <c r="E280" s="8" t="str">
        <f>IF(Base_de_donnée_clients!I280="","",Base_de_donnée_clients!I280)</f>
        <v/>
      </c>
      <c r="F280" s="9" t="str">
        <f>IF(Base_de_donnée_clients!J280="","",Base_de_donnée_clients!J280)</f>
        <v/>
      </c>
      <c r="G280" s="9" t="str">
        <f>IF(Base_de_donnée_clients!K280="","",Base_de_donnée_clients!K280)</f>
        <v/>
      </c>
      <c r="H280" s="8" t="str">
        <f>IF(Base_de_donnée_clients!L280="","",Base_de_donnée_clients!L280)</f>
        <v/>
      </c>
      <c r="I280" s="8" t="str">
        <f>IF(Base_de_donnée_clients!M280="","",Base_de_donnée_clients!M280)</f>
        <v/>
      </c>
      <c r="J280" s="8" t="str">
        <f>IF(Base_de_donnée_clients!N280="","",Base_de_donnée_clients!N280)</f>
        <v/>
      </c>
      <c r="K280" s="9" t="str">
        <f>IF(Base_de_donnée_clients!O280="","",Base_de_donnée_clients!O280)</f>
        <v/>
      </c>
      <c r="L280" s="9" t="str">
        <f>IF(Base_de_donnée_clients!P280="","",Base_de_donnée_clients!P280)</f>
        <v/>
      </c>
      <c r="M280" s="9" t="str">
        <f>IF(Base_de_donnée_clients!Q280="","",Base_de_donnée_clients!Q280)</f>
        <v/>
      </c>
      <c r="N280" s="8" t="str">
        <f>IF(Base_de_donnée_clients!R280="","",Base_de_donnée_clients!R280)</f>
        <v/>
      </c>
    </row>
    <row r="281" spans="1:14" ht="24" customHeight="1" x14ac:dyDescent="0.45">
      <c r="A281" s="16" t="str">
        <f>IF(Base_de_donnée_clients!A281="","",Base_de_donnée_clients!A281)</f>
        <v/>
      </c>
      <c r="B281" s="8" t="str">
        <f>IF(Base_de_donnée_clients!B281="","",Base_de_donnée_clients!B281)</f>
        <v/>
      </c>
      <c r="C281" s="8" t="str">
        <f>IF(Base_de_donnée_clients!C281="","",Base_de_donnée_clients!C281)</f>
        <v/>
      </c>
      <c r="D281" s="8" t="str">
        <f>IF(Base_de_donnée_clients!H281="","",Base_de_donnée_clients!H281)</f>
        <v/>
      </c>
      <c r="E281" s="8" t="str">
        <f>IF(Base_de_donnée_clients!I281="","",Base_de_donnée_clients!I281)</f>
        <v/>
      </c>
      <c r="F281" s="9" t="str">
        <f>IF(Base_de_donnée_clients!J281="","",Base_de_donnée_clients!J281)</f>
        <v/>
      </c>
      <c r="G281" s="9" t="str">
        <f>IF(Base_de_donnée_clients!K281="","",Base_de_donnée_clients!K281)</f>
        <v/>
      </c>
      <c r="H281" s="8" t="str">
        <f>IF(Base_de_donnée_clients!L281="","",Base_de_donnée_clients!L281)</f>
        <v/>
      </c>
      <c r="I281" s="8" t="str">
        <f>IF(Base_de_donnée_clients!M281="","",Base_de_donnée_clients!M281)</f>
        <v/>
      </c>
      <c r="J281" s="8" t="str">
        <f>IF(Base_de_donnée_clients!N281="","",Base_de_donnée_clients!N281)</f>
        <v/>
      </c>
      <c r="K281" s="9" t="str">
        <f>IF(Base_de_donnée_clients!O281="","",Base_de_donnée_clients!O281)</f>
        <v/>
      </c>
      <c r="L281" s="9" t="str">
        <f>IF(Base_de_donnée_clients!P281="","",Base_de_donnée_clients!P281)</f>
        <v/>
      </c>
      <c r="M281" s="9" t="str">
        <f>IF(Base_de_donnée_clients!Q281="","",Base_de_donnée_clients!Q281)</f>
        <v/>
      </c>
      <c r="N281" s="8" t="str">
        <f>IF(Base_de_donnée_clients!R281="","",Base_de_donnée_clients!R281)</f>
        <v/>
      </c>
    </row>
    <row r="282" spans="1:14" ht="24" customHeight="1" x14ac:dyDescent="0.45">
      <c r="A282" s="16" t="str">
        <f>IF(Base_de_donnée_clients!A282="","",Base_de_donnée_clients!A282)</f>
        <v/>
      </c>
      <c r="B282" s="8" t="str">
        <f>IF(Base_de_donnée_clients!B282="","",Base_de_donnée_clients!B282)</f>
        <v/>
      </c>
      <c r="C282" s="8" t="str">
        <f>IF(Base_de_donnée_clients!C282="","",Base_de_donnée_clients!C282)</f>
        <v/>
      </c>
      <c r="D282" s="8" t="str">
        <f>IF(Base_de_donnée_clients!H282="","",Base_de_donnée_clients!H282)</f>
        <v/>
      </c>
      <c r="E282" s="8" t="str">
        <f>IF(Base_de_donnée_clients!I282="","",Base_de_donnée_clients!I282)</f>
        <v/>
      </c>
      <c r="F282" s="9" t="str">
        <f>IF(Base_de_donnée_clients!J282="","",Base_de_donnée_clients!J282)</f>
        <v/>
      </c>
      <c r="G282" s="9" t="str">
        <f>IF(Base_de_donnée_clients!K282="","",Base_de_donnée_clients!K282)</f>
        <v/>
      </c>
      <c r="H282" s="8" t="str">
        <f>IF(Base_de_donnée_clients!L282="","",Base_de_donnée_clients!L282)</f>
        <v/>
      </c>
      <c r="I282" s="8" t="str">
        <f>IF(Base_de_donnée_clients!M282="","",Base_de_donnée_clients!M282)</f>
        <v/>
      </c>
      <c r="J282" s="8" t="str">
        <f>IF(Base_de_donnée_clients!N282="","",Base_de_donnée_clients!N282)</f>
        <v/>
      </c>
      <c r="K282" s="9" t="str">
        <f>IF(Base_de_donnée_clients!O282="","",Base_de_donnée_clients!O282)</f>
        <v/>
      </c>
      <c r="L282" s="9" t="str">
        <f>IF(Base_de_donnée_clients!P282="","",Base_de_donnée_clients!P282)</f>
        <v/>
      </c>
      <c r="M282" s="9" t="str">
        <f>IF(Base_de_donnée_clients!Q282="","",Base_de_donnée_clients!Q282)</f>
        <v/>
      </c>
      <c r="N282" s="8" t="str">
        <f>IF(Base_de_donnée_clients!R282="","",Base_de_donnée_clients!R282)</f>
        <v/>
      </c>
    </row>
    <row r="283" spans="1:14" ht="24" customHeight="1" x14ac:dyDescent="0.45">
      <c r="A283" s="16" t="str">
        <f>IF(Base_de_donnée_clients!A283="","",Base_de_donnée_clients!A283)</f>
        <v/>
      </c>
      <c r="B283" s="8" t="str">
        <f>IF(Base_de_donnée_clients!B283="","",Base_de_donnée_clients!B283)</f>
        <v/>
      </c>
      <c r="C283" s="8" t="str">
        <f>IF(Base_de_donnée_clients!C283="","",Base_de_donnée_clients!C283)</f>
        <v/>
      </c>
      <c r="D283" s="8" t="str">
        <f>IF(Base_de_donnée_clients!H283="","",Base_de_donnée_clients!H283)</f>
        <v/>
      </c>
      <c r="E283" s="8" t="str">
        <f>IF(Base_de_donnée_clients!I283="","",Base_de_donnée_clients!I283)</f>
        <v/>
      </c>
      <c r="F283" s="9" t="str">
        <f>IF(Base_de_donnée_clients!J283="","",Base_de_donnée_clients!J283)</f>
        <v/>
      </c>
      <c r="G283" s="9" t="str">
        <f>IF(Base_de_donnée_clients!K283="","",Base_de_donnée_clients!K283)</f>
        <v/>
      </c>
      <c r="H283" s="8" t="str">
        <f>IF(Base_de_donnée_clients!L283="","",Base_de_donnée_clients!L283)</f>
        <v/>
      </c>
      <c r="I283" s="8" t="str">
        <f>IF(Base_de_donnée_clients!M283="","",Base_de_donnée_clients!M283)</f>
        <v/>
      </c>
      <c r="J283" s="8" t="str">
        <f>IF(Base_de_donnée_clients!N283="","",Base_de_donnée_clients!N283)</f>
        <v/>
      </c>
      <c r="K283" s="9" t="str">
        <f>IF(Base_de_donnée_clients!O283="","",Base_de_donnée_clients!O283)</f>
        <v/>
      </c>
      <c r="L283" s="9" t="str">
        <f>IF(Base_de_donnée_clients!P283="","",Base_de_donnée_clients!P283)</f>
        <v/>
      </c>
      <c r="M283" s="9" t="str">
        <f>IF(Base_de_donnée_clients!Q283="","",Base_de_donnée_clients!Q283)</f>
        <v/>
      </c>
      <c r="N283" s="8" t="str">
        <f>IF(Base_de_donnée_clients!R283="","",Base_de_donnée_clients!R283)</f>
        <v/>
      </c>
    </row>
    <row r="284" spans="1:14" ht="24" customHeight="1" x14ac:dyDescent="0.45">
      <c r="A284" s="16" t="str">
        <f>IF(Base_de_donnée_clients!A284="","",Base_de_donnée_clients!A284)</f>
        <v/>
      </c>
      <c r="B284" s="8" t="str">
        <f>IF(Base_de_donnée_clients!B284="","",Base_de_donnée_clients!B284)</f>
        <v/>
      </c>
      <c r="C284" s="8" t="str">
        <f>IF(Base_de_donnée_clients!C284="","",Base_de_donnée_clients!C284)</f>
        <v/>
      </c>
      <c r="D284" s="8" t="str">
        <f>IF(Base_de_donnée_clients!H284="","",Base_de_donnée_clients!H284)</f>
        <v/>
      </c>
      <c r="E284" s="8" t="str">
        <f>IF(Base_de_donnée_clients!I284="","",Base_de_donnée_clients!I284)</f>
        <v/>
      </c>
      <c r="F284" s="9" t="str">
        <f>IF(Base_de_donnée_clients!J284="","",Base_de_donnée_clients!J284)</f>
        <v/>
      </c>
      <c r="G284" s="9" t="str">
        <f>IF(Base_de_donnée_clients!K284="","",Base_de_donnée_clients!K284)</f>
        <v/>
      </c>
      <c r="H284" s="8" t="str">
        <f>IF(Base_de_donnée_clients!L284="","",Base_de_donnée_clients!L284)</f>
        <v/>
      </c>
      <c r="I284" s="8" t="str">
        <f>IF(Base_de_donnée_clients!M284="","",Base_de_donnée_clients!M284)</f>
        <v/>
      </c>
      <c r="J284" s="8" t="str">
        <f>IF(Base_de_donnée_clients!N284="","",Base_de_donnée_clients!N284)</f>
        <v/>
      </c>
      <c r="K284" s="9" t="str">
        <f>IF(Base_de_donnée_clients!O284="","",Base_de_donnée_clients!O284)</f>
        <v/>
      </c>
      <c r="L284" s="9" t="str">
        <f>IF(Base_de_donnée_clients!P284="","",Base_de_donnée_clients!P284)</f>
        <v/>
      </c>
      <c r="M284" s="9" t="str">
        <f>IF(Base_de_donnée_clients!Q284="","",Base_de_donnée_clients!Q284)</f>
        <v/>
      </c>
      <c r="N284" s="8" t="str">
        <f>IF(Base_de_donnée_clients!R284="","",Base_de_donnée_clients!R284)</f>
        <v/>
      </c>
    </row>
    <row r="285" spans="1:14" ht="24" customHeight="1" x14ac:dyDescent="0.45">
      <c r="A285" s="16" t="str">
        <f>IF(Base_de_donnée_clients!A285="","",Base_de_donnée_clients!A285)</f>
        <v/>
      </c>
      <c r="B285" s="8" t="str">
        <f>IF(Base_de_donnée_clients!B285="","",Base_de_donnée_clients!B285)</f>
        <v/>
      </c>
      <c r="C285" s="8" t="str">
        <f>IF(Base_de_donnée_clients!C285="","",Base_de_donnée_clients!C285)</f>
        <v/>
      </c>
      <c r="D285" s="8" t="str">
        <f>IF(Base_de_donnée_clients!H285="","",Base_de_donnée_clients!H285)</f>
        <v/>
      </c>
      <c r="E285" s="8" t="str">
        <f>IF(Base_de_donnée_clients!I285="","",Base_de_donnée_clients!I285)</f>
        <v/>
      </c>
      <c r="F285" s="9" t="str">
        <f>IF(Base_de_donnée_clients!J285="","",Base_de_donnée_clients!J285)</f>
        <v/>
      </c>
      <c r="G285" s="9" t="str">
        <f>IF(Base_de_donnée_clients!K285="","",Base_de_donnée_clients!K285)</f>
        <v/>
      </c>
      <c r="H285" s="8" t="str">
        <f>IF(Base_de_donnée_clients!L285="","",Base_de_donnée_clients!L285)</f>
        <v/>
      </c>
      <c r="I285" s="8" t="str">
        <f>IF(Base_de_donnée_clients!M285="","",Base_de_donnée_clients!M285)</f>
        <v/>
      </c>
      <c r="J285" s="8" t="str">
        <f>IF(Base_de_donnée_clients!N285="","",Base_de_donnée_clients!N285)</f>
        <v/>
      </c>
      <c r="K285" s="9" t="str">
        <f>IF(Base_de_donnée_clients!O285="","",Base_de_donnée_clients!O285)</f>
        <v/>
      </c>
      <c r="L285" s="9" t="str">
        <f>IF(Base_de_donnée_clients!P285="","",Base_de_donnée_clients!P285)</f>
        <v/>
      </c>
      <c r="M285" s="9" t="str">
        <f>IF(Base_de_donnée_clients!Q285="","",Base_de_donnée_clients!Q285)</f>
        <v/>
      </c>
      <c r="N285" s="8" t="str">
        <f>IF(Base_de_donnée_clients!R285="","",Base_de_donnée_clients!R285)</f>
        <v/>
      </c>
    </row>
    <row r="286" spans="1:14" ht="24" customHeight="1" x14ac:dyDescent="0.45">
      <c r="A286" s="16" t="str">
        <f>IF(Base_de_donnée_clients!A286="","",Base_de_donnée_clients!A286)</f>
        <v/>
      </c>
      <c r="B286" s="8" t="str">
        <f>IF(Base_de_donnée_clients!B286="","",Base_de_donnée_clients!B286)</f>
        <v/>
      </c>
      <c r="C286" s="8" t="str">
        <f>IF(Base_de_donnée_clients!C286="","",Base_de_donnée_clients!C286)</f>
        <v/>
      </c>
      <c r="D286" s="8" t="str">
        <f>IF(Base_de_donnée_clients!H286="","",Base_de_donnée_clients!H286)</f>
        <v/>
      </c>
      <c r="E286" s="8" t="str">
        <f>IF(Base_de_donnée_clients!I286="","",Base_de_donnée_clients!I286)</f>
        <v/>
      </c>
      <c r="F286" s="9" t="str">
        <f>IF(Base_de_donnée_clients!J286="","",Base_de_donnée_clients!J286)</f>
        <v/>
      </c>
      <c r="G286" s="9" t="str">
        <f>IF(Base_de_donnée_clients!K286="","",Base_de_donnée_clients!K286)</f>
        <v/>
      </c>
      <c r="H286" s="8" t="str">
        <f>IF(Base_de_donnée_clients!L286="","",Base_de_donnée_clients!L286)</f>
        <v/>
      </c>
      <c r="I286" s="8" t="str">
        <f>IF(Base_de_donnée_clients!M286="","",Base_de_donnée_clients!M286)</f>
        <v/>
      </c>
      <c r="J286" s="8" t="str">
        <f>IF(Base_de_donnée_clients!N286="","",Base_de_donnée_clients!N286)</f>
        <v/>
      </c>
      <c r="K286" s="9" t="str">
        <f>IF(Base_de_donnée_clients!O286="","",Base_de_donnée_clients!O286)</f>
        <v/>
      </c>
      <c r="L286" s="9" t="str">
        <f>IF(Base_de_donnée_clients!P286="","",Base_de_donnée_clients!P286)</f>
        <v/>
      </c>
      <c r="M286" s="9" t="str">
        <f>IF(Base_de_donnée_clients!Q286="","",Base_de_donnée_clients!Q286)</f>
        <v/>
      </c>
      <c r="N286" s="8" t="str">
        <f>IF(Base_de_donnée_clients!R286="","",Base_de_donnée_clients!R286)</f>
        <v/>
      </c>
    </row>
    <row r="287" spans="1:14" ht="24" customHeight="1" x14ac:dyDescent="0.45">
      <c r="A287" s="16" t="str">
        <f>IF(Base_de_donnée_clients!A287="","",Base_de_donnée_clients!A287)</f>
        <v/>
      </c>
      <c r="B287" s="8" t="str">
        <f>IF(Base_de_donnée_clients!B287="","",Base_de_donnée_clients!B287)</f>
        <v/>
      </c>
      <c r="C287" s="8" t="str">
        <f>IF(Base_de_donnée_clients!C287="","",Base_de_donnée_clients!C287)</f>
        <v/>
      </c>
      <c r="D287" s="8" t="str">
        <f>IF(Base_de_donnée_clients!H287="","",Base_de_donnée_clients!H287)</f>
        <v/>
      </c>
      <c r="E287" s="8" t="str">
        <f>IF(Base_de_donnée_clients!I287="","",Base_de_donnée_clients!I287)</f>
        <v/>
      </c>
      <c r="F287" s="9" t="str">
        <f>IF(Base_de_donnée_clients!J287="","",Base_de_donnée_clients!J287)</f>
        <v/>
      </c>
      <c r="G287" s="9" t="str">
        <f>IF(Base_de_donnée_clients!K287="","",Base_de_donnée_clients!K287)</f>
        <v/>
      </c>
      <c r="H287" s="8" t="str">
        <f>IF(Base_de_donnée_clients!L287="","",Base_de_donnée_clients!L287)</f>
        <v/>
      </c>
      <c r="I287" s="8" t="str">
        <f>IF(Base_de_donnée_clients!M287="","",Base_de_donnée_clients!M287)</f>
        <v/>
      </c>
      <c r="J287" s="8" t="str">
        <f>IF(Base_de_donnée_clients!N287="","",Base_de_donnée_clients!N287)</f>
        <v/>
      </c>
      <c r="K287" s="9" t="str">
        <f>IF(Base_de_donnée_clients!O287="","",Base_de_donnée_clients!O287)</f>
        <v/>
      </c>
      <c r="L287" s="9" t="str">
        <f>IF(Base_de_donnée_clients!P287="","",Base_de_donnée_clients!P287)</f>
        <v/>
      </c>
      <c r="M287" s="9" t="str">
        <f>IF(Base_de_donnée_clients!Q287="","",Base_de_donnée_clients!Q287)</f>
        <v/>
      </c>
      <c r="N287" s="8" t="str">
        <f>IF(Base_de_donnée_clients!R287="","",Base_de_donnée_clients!R287)</f>
        <v/>
      </c>
    </row>
    <row r="288" spans="1:14" ht="24" customHeight="1" x14ac:dyDescent="0.45">
      <c r="A288" s="16" t="str">
        <f>IF(Base_de_donnée_clients!A288="","",Base_de_donnée_clients!A288)</f>
        <v/>
      </c>
      <c r="B288" s="8" t="str">
        <f>IF(Base_de_donnée_clients!B288="","",Base_de_donnée_clients!B288)</f>
        <v/>
      </c>
      <c r="C288" s="8" t="str">
        <f>IF(Base_de_donnée_clients!C288="","",Base_de_donnée_clients!C288)</f>
        <v/>
      </c>
      <c r="D288" s="8" t="str">
        <f>IF(Base_de_donnée_clients!H288="","",Base_de_donnée_clients!H288)</f>
        <v/>
      </c>
      <c r="E288" s="8" t="str">
        <f>IF(Base_de_donnée_clients!I288="","",Base_de_donnée_clients!I288)</f>
        <v/>
      </c>
      <c r="F288" s="9" t="str">
        <f>IF(Base_de_donnée_clients!J288="","",Base_de_donnée_clients!J288)</f>
        <v/>
      </c>
      <c r="G288" s="9" t="str">
        <f>IF(Base_de_donnée_clients!K288="","",Base_de_donnée_clients!K288)</f>
        <v/>
      </c>
      <c r="H288" s="8" t="str">
        <f>IF(Base_de_donnée_clients!L288="","",Base_de_donnée_clients!L288)</f>
        <v/>
      </c>
      <c r="I288" s="8" t="str">
        <f>IF(Base_de_donnée_clients!M288="","",Base_de_donnée_clients!M288)</f>
        <v/>
      </c>
      <c r="J288" s="8" t="str">
        <f>IF(Base_de_donnée_clients!N288="","",Base_de_donnée_clients!N288)</f>
        <v/>
      </c>
      <c r="K288" s="9" t="str">
        <f>IF(Base_de_donnée_clients!O288="","",Base_de_donnée_clients!O288)</f>
        <v/>
      </c>
      <c r="L288" s="9" t="str">
        <f>IF(Base_de_donnée_clients!P288="","",Base_de_donnée_clients!P288)</f>
        <v/>
      </c>
      <c r="M288" s="9" t="str">
        <f>IF(Base_de_donnée_clients!Q288="","",Base_de_donnée_clients!Q288)</f>
        <v/>
      </c>
      <c r="N288" s="8" t="str">
        <f>IF(Base_de_donnée_clients!R288="","",Base_de_donnée_clients!R288)</f>
        <v/>
      </c>
    </row>
    <row r="289" spans="1:14" ht="24" customHeight="1" x14ac:dyDescent="0.45">
      <c r="A289" s="16" t="str">
        <f>IF(Base_de_donnée_clients!A289="","",Base_de_donnée_clients!A289)</f>
        <v/>
      </c>
      <c r="B289" s="8" t="str">
        <f>IF(Base_de_donnée_clients!B289="","",Base_de_donnée_clients!B289)</f>
        <v/>
      </c>
      <c r="C289" s="8" t="str">
        <f>IF(Base_de_donnée_clients!C289="","",Base_de_donnée_clients!C289)</f>
        <v/>
      </c>
      <c r="D289" s="8" t="str">
        <f>IF(Base_de_donnée_clients!H289="","",Base_de_donnée_clients!H289)</f>
        <v/>
      </c>
      <c r="E289" s="8" t="str">
        <f>IF(Base_de_donnée_clients!I289="","",Base_de_donnée_clients!I289)</f>
        <v/>
      </c>
      <c r="F289" s="9" t="str">
        <f>IF(Base_de_donnée_clients!J289="","",Base_de_donnée_clients!J289)</f>
        <v/>
      </c>
      <c r="G289" s="9" t="str">
        <f>IF(Base_de_donnée_clients!K289="","",Base_de_donnée_clients!K289)</f>
        <v/>
      </c>
      <c r="H289" s="8" t="str">
        <f>IF(Base_de_donnée_clients!L289="","",Base_de_donnée_clients!L289)</f>
        <v/>
      </c>
      <c r="I289" s="8" t="str">
        <f>IF(Base_de_donnée_clients!M289="","",Base_de_donnée_clients!M289)</f>
        <v/>
      </c>
      <c r="J289" s="8" t="str">
        <f>IF(Base_de_donnée_clients!N289="","",Base_de_donnée_clients!N289)</f>
        <v/>
      </c>
      <c r="K289" s="9" t="str">
        <f>IF(Base_de_donnée_clients!O289="","",Base_de_donnée_clients!O289)</f>
        <v/>
      </c>
      <c r="L289" s="9" t="str">
        <f>IF(Base_de_donnée_clients!P289="","",Base_de_donnée_clients!P289)</f>
        <v/>
      </c>
      <c r="M289" s="9" t="str">
        <f>IF(Base_de_donnée_clients!Q289="","",Base_de_donnée_clients!Q289)</f>
        <v/>
      </c>
      <c r="N289" s="8" t="str">
        <f>IF(Base_de_donnée_clients!R289="","",Base_de_donnée_clients!R289)</f>
        <v/>
      </c>
    </row>
    <row r="290" spans="1:14" ht="24" customHeight="1" x14ac:dyDescent="0.45">
      <c r="A290" s="16" t="str">
        <f>IF(Base_de_donnée_clients!A290="","",Base_de_donnée_clients!A290)</f>
        <v/>
      </c>
      <c r="B290" s="8" t="str">
        <f>IF(Base_de_donnée_clients!B290="","",Base_de_donnée_clients!B290)</f>
        <v/>
      </c>
      <c r="C290" s="8" t="str">
        <f>IF(Base_de_donnée_clients!C290="","",Base_de_donnée_clients!C290)</f>
        <v/>
      </c>
      <c r="D290" s="8" t="str">
        <f>IF(Base_de_donnée_clients!H290="","",Base_de_donnée_clients!H290)</f>
        <v/>
      </c>
      <c r="E290" s="8" t="str">
        <f>IF(Base_de_donnée_clients!I290="","",Base_de_donnée_clients!I290)</f>
        <v/>
      </c>
      <c r="F290" s="9" t="str">
        <f>IF(Base_de_donnée_clients!J290="","",Base_de_donnée_clients!J290)</f>
        <v/>
      </c>
      <c r="G290" s="9" t="str">
        <f>IF(Base_de_donnée_clients!K290="","",Base_de_donnée_clients!K290)</f>
        <v/>
      </c>
      <c r="H290" s="8" t="str">
        <f>IF(Base_de_donnée_clients!L290="","",Base_de_donnée_clients!L290)</f>
        <v/>
      </c>
      <c r="I290" s="8" t="str">
        <f>IF(Base_de_donnée_clients!M290="","",Base_de_donnée_clients!M290)</f>
        <v/>
      </c>
      <c r="J290" s="8" t="str">
        <f>IF(Base_de_donnée_clients!N290="","",Base_de_donnée_clients!N290)</f>
        <v/>
      </c>
      <c r="K290" s="9" t="str">
        <f>IF(Base_de_donnée_clients!O290="","",Base_de_donnée_clients!O290)</f>
        <v/>
      </c>
      <c r="L290" s="9" t="str">
        <f>IF(Base_de_donnée_clients!P290="","",Base_de_donnée_clients!P290)</f>
        <v/>
      </c>
      <c r="M290" s="9" t="str">
        <f>IF(Base_de_donnée_clients!Q290="","",Base_de_donnée_clients!Q290)</f>
        <v/>
      </c>
      <c r="N290" s="8" t="str">
        <f>IF(Base_de_donnée_clients!R290="","",Base_de_donnée_clients!R290)</f>
        <v/>
      </c>
    </row>
    <row r="291" spans="1:14" ht="24" customHeight="1" x14ac:dyDescent="0.45">
      <c r="A291" s="16" t="str">
        <f>IF(Base_de_donnée_clients!A291="","",Base_de_donnée_clients!A291)</f>
        <v/>
      </c>
      <c r="B291" s="8" t="str">
        <f>IF(Base_de_donnée_clients!B291="","",Base_de_donnée_clients!B291)</f>
        <v/>
      </c>
      <c r="C291" s="8" t="str">
        <f>IF(Base_de_donnée_clients!C291="","",Base_de_donnée_clients!C291)</f>
        <v/>
      </c>
      <c r="D291" s="8" t="str">
        <f>IF(Base_de_donnée_clients!H291="","",Base_de_donnée_clients!H291)</f>
        <v/>
      </c>
      <c r="E291" s="8" t="str">
        <f>IF(Base_de_donnée_clients!I291="","",Base_de_donnée_clients!I291)</f>
        <v/>
      </c>
      <c r="F291" s="9" t="str">
        <f>IF(Base_de_donnée_clients!J291="","",Base_de_donnée_clients!J291)</f>
        <v/>
      </c>
      <c r="G291" s="9" t="str">
        <f>IF(Base_de_donnée_clients!K291="","",Base_de_donnée_clients!K291)</f>
        <v/>
      </c>
      <c r="H291" s="8" t="str">
        <f>IF(Base_de_donnée_clients!L291="","",Base_de_donnée_clients!L291)</f>
        <v/>
      </c>
      <c r="I291" s="8" t="str">
        <f>IF(Base_de_donnée_clients!M291="","",Base_de_donnée_clients!M291)</f>
        <v/>
      </c>
      <c r="J291" s="8" t="str">
        <f>IF(Base_de_donnée_clients!N291="","",Base_de_donnée_clients!N291)</f>
        <v/>
      </c>
      <c r="K291" s="9" t="str">
        <f>IF(Base_de_donnée_clients!O291="","",Base_de_donnée_clients!O291)</f>
        <v/>
      </c>
      <c r="L291" s="9" t="str">
        <f>IF(Base_de_donnée_clients!P291="","",Base_de_donnée_clients!P291)</f>
        <v/>
      </c>
      <c r="M291" s="9" t="str">
        <f>IF(Base_de_donnée_clients!Q291="","",Base_de_donnée_clients!Q291)</f>
        <v/>
      </c>
      <c r="N291" s="8" t="str">
        <f>IF(Base_de_donnée_clients!R291="","",Base_de_donnée_clients!R291)</f>
        <v/>
      </c>
    </row>
    <row r="292" spans="1:14" ht="24" customHeight="1" x14ac:dyDescent="0.45">
      <c r="A292" s="16" t="str">
        <f>IF(Base_de_donnée_clients!A292="","",Base_de_donnée_clients!A292)</f>
        <v/>
      </c>
      <c r="B292" s="8" t="str">
        <f>IF(Base_de_donnée_clients!B292="","",Base_de_donnée_clients!B292)</f>
        <v/>
      </c>
      <c r="C292" s="8" t="str">
        <f>IF(Base_de_donnée_clients!C292="","",Base_de_donnée_clients!C292)</f>
        <v/>
      </c>
      <c r="D292" s="8" t="str">
        <f>IF(Base_de_donnée_clients!H292="","",Base_de_donnée_clients!H292)</f>
        <v/>
      </c>
      <c r="E292" s="8" t="str">
        <f>IF(Base_de_donnée_clients!I292="","",Base_de_donnée_clients!I292)</f>
        <v/>
      </c>
      <c r="F292" s="9" t="str">
        <f>IF(Base_de_donnée_clients!J292="","",Base_de_donnée_clients!J292)</f>
        <v/>
      </c>
      <c r="G292" s="9" t="str">
        <f>IF(Base_de_donnée_clients!K292="","",Base_de_donnée_clients!K292)</f>
        <v/>
      </c>
      <c r="H292" s="8" t="str">
        <f>IF(Base_de_donnée_clients!L292="","",Base_de_donnée_clients!L292)</f>
        <v/>
      </c>
      <c r="I292" s="8" t="str">
        <f>IF(Base_de_donnée_clients!M292="","",Base_de_donnée_clients!M292)</f>
        <v/>
      </c>
      <c r="J292" s="8" t="str">
        <f>IF(Base_de_donnée_clients!N292="","",Base_de_donnée_clients!N292)</f>
        <v/>
      </c>
      <c r="K292" s="9" t="str">
        <f>IF(Base_de_donnée_clients!O292="","",Base_de_donnée_clients!O292)</f>
        <v/>
      </c>
      <c r="L292" s="9" t="str">
        <f>IF(Base_de_donnée_clients!P292="","",Base_de_donnée_clients!P292)</f>
        <v/>
      </c>
      <c r="M292" s="9" t="str">
        <f>IF(Base_de_donnée_clients!Q292="","",Base_de_donnée_clients!Q292)</f>
        <v/>
      </c>
      <c r="N292" s="8" t="str">
        <f>IF(Base_de_donnée_clients!R292="","",Base_de_donnée_clients!R292)</f>
        <v/>
      </c>
    </row>
    <row r="293" spans="1:14" ht="24" customHeight="1" x14ac:dyDescent="0.45">
      <c r="A293" s="16" t="str">
        <f>IF(Base_de_donnée_clients!A293="","",Base_de_donnée_clients!A293)</f>
        <v/>
      </c>
      <c r="B293" s="8" t="str">
        <f>IF(Base_de_donnée_clients!B293="","",Base_de_donnée_clients!B293)</f>
        <v/>
      </c>
      <c r="C293" s="8" t="str">
        <f>IF(Base_de_donnée_clients!C293="","",Base_de_donnée_clients!C293)</f>
        <v/>
      </c>
      <c r="D293" s="8" t="str">
        <f>IF(Base_de_donnée_clients!H293="","",Base_de_donnée_clients!H293)</f>
        <v/>
      </c>
      <c r="E293" s="8" t="str">
        <f>IF(Base_de_donnée_clients!I293="","",Base_de_donnée_clients!I293)</f>
        <v/>
      </c>
      <c r="F293" s="9" t="str">
        <f>IF(Base_de_donnée_clients!J293="","",Base_de_donnée_clients!J293)</f>
        <v/>
      </c>
      <c r="G293" s="9" t="str">
        <f>IF(Base_de_donnée_clients!K293="","",Base_de_donnée_clients!K293)</f>
        <v/>
      </c>
      <c r="H293" s="8" t="str">
        <f>IF(Base_de_donnée_clients!L293="","",Base_de_donnée_clients!L293)</f>
        <v/>
      </c>
      <c r="I293" s="8" t="str">
        <f>IF(Base_de_donnée_clients!M293="","",Base_de_donnée_clients!M293)</f>
        <v/>
      </c>
      <c r="J293" s="8" t="str">
        <f>IF(Base_de_donnée_clients!N293="","",Base_de_donnée_clients!N293)</f>
        <v/>
      </c>
      <c r="K293" s="9" t="str">
        <f>IF(Base_de_donnée_clients!O293="","",Base_de_donnée_clients!O293)</f>
        <v/>
      </c>
      <c r="L293" s="9" t="str">
        <f>IF(Base_de_donnée_clients!P293="","",Base_de_donnée_clients!P293)</f>
        <v/>
      </c>
      <c r="M293" s="9" t="str">
        <f>IF(Base_de_donnée_clients!Q293="","",Base_de_donnée_clients!Q293)</f>
        <v/>
      </c>
      <c r="N293" s="8" t="str">
        <f>IF(Base_de_donnée_clients!R293="","",Base_de_donnée_clients!R293)</f>
        <v/>
      </c>
    </row>
  </sheetData>
  <sheetProtection algorithmName="SHA-512" hashValue="s3chJTfsem0hudwkMr/dvMPP1eN1+aGyEvly4tKjc23f3x5uqfQnfIjHY84XkeHmf9TI3k1mz2hWqPMASWPQ8A==" saltValue="RGRX0ZSU4dfMBktg+0Z5Jg==" spinCount="100000" sheet="1" objects="1" scenarios="1"/>
  <autoFilter ref="B7:N7" xr:uid="{00000000-0009-0000-0000-000003000000}"/>
  <mergeCells count="3">
    <mergeCell ref="A1:N1"/>
    <mergeCell ref="A2:N2"/>
    <mergeCell ref="G11:K11"/>
  </mergeCells>
  <conditionalFormatting sqref="A8:N10 A13:N293 A11:G12 L11:N12">
    <cfRule type="expression" dxfId="81" priority="3">
      <formula>$M8&lt;&gt;""</formula>
    </cfRule>
    <cfRule type="expression" dxfId="80" priority="4">
      <formula>MOD(ROW(),2)=0</formula>
    </cfRule>
  </conditionalFormatting>
  <conditionalFormatting sqref="N8:N293">
    <cfRule type="expression" dxfId="79" priority="2">
      <formula>AND($M8="",$L8&lt;&gt;"",TODAY()&gt;$L8-30)</formula>
    </cfRule>
  </conditionalFormatting>
  <conditionalFormatting sqref="H8:H10 H13:H293">
    <cfRule type="expression" dxfId="78" priority="1">
      <formula>AND($M8="",$K8="",TODAY()&gt;=$G8-15)</formula>
    </cfRule>
  </conditionalFormatting>
  <printOptions horizontalCentered="1"/>
  <pageMargins left="0.39370078740157477" right="0.39370078740157477" top="0.39370078740157477" bottom="0.59055118110236215" header="0.19685039370078738" footer="0.31496062992125989"/>
  <pageSetup paperSize="9" scale="62" fitToHeight="0" orientation="landscape" horizontalDpi="0" verticalDpi="0" r:id="rId1"/>
  <headerFooter>
    <oddFooter>&amp;CDocument généré le 21/04/2026&amp;RPage 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W302"/>
  <sheetViews>
    <sheetView workbookViewId="0">
      <selection activeCell="F17" sqref="F17"/>
    </sheetView>
  </sheetViews>
  <sheetFormatPr baseColWidth="10" defaultColWidth="9.06640625" defaultRowHeight="14.25" x14ac:dyDescent="0.45"/>
  <cols>
    <col min="1" max="1" width="12.1328125" customWidth="1"/>
    <col min="2" max="2" width="14.265625" customWidth="1"/>
    <col min="3" max="3" width="24.796875" customWidth="1"/>
    <col min="4" max="4" width="15.73046875" style="104" customWidth="1"/>
    <col min="5" max="5" width="12.59765625" customWidth="1"/>
    <col min="6" max="6" width="10.59765625" style="101" customWidth="1"/>
    <col min="7" max="7" width="12.59765625" customWidth="1"/>
    <col min="8" max="8" width="10.59765625" style="101" customWidth="1"/>
    <col min="9" max="9" width="12.59765625" customWidth="1"/>
    <col min="10" max="10" width="10.59765625" style="101" customWidth="1"/>
    <col min="11" max="11" width="12.59765625" style="104" customWidth="1"/>
    <col min="12" max="12" width="10.59765625" style="101" customWidth="1"/>
    <col min="13" max="13" width="12.59765625" style="104" customWidth="1"/>
    <col min="14" max="14" width="10.59765625" style="101" customWidth="1"/>
    <col min="15" max="15" width="12.59765625" customWidth="1"/>
    <col min="16" max="16" width="10.59765625" style="101" customWidth="1"/>
    <col min="17" max="19" width="12.59765625" customWidth="1"/>
  </cols>
  <sheetData>
    <row r="1" spans="1:23" s="2" customFormat="1" ht="40.9" customHeight="1" thickBot="1" x14ac:dyDescent="0.5">
      <c r="A1" s="148" t="s">
        <v>157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50"/>
      <c r="T1" s="5"/>
      <c r="U1" s="5"/>
      <c r="V1" s="5"/>
      <c r="W1" s="5"/>
    </row>
    <row r="2" spans="1:23" ht="80" customHeight="1" x14ac:dyDescent="0.45">
      <c r="A2" s="151" t="s">
        <v>190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</row>
    <row r="3" spans="1:23" ht="26" customHeight="1" x14ac:dyDescent="0.45">
      <c r="A3" s="107" t="s">
        <v>158</v>
      </c>
      <c r="B3" s="108" t="s">
        <v>196</v>
      </c>
      <c r="C3" s="109" t="s">
        <v>2</v>
      </c>
      <c r="D3" s="110">
        <v>12</v>
      </c>
      <c r="E3" s="18"/>
      <c r="F3" s="18"/>
      <c r="G3" s="44"/>
      <c r="H3" s="227"/>
      <c r="I3" s="227"/>
      <c r="J3" s="227"/>
      <c r="K3" s="227"/>
      <c r="L3"/>
      <c r="M3"/>
      <c r="N3"/>
      <c r="P3" s="227"/>
      <c r="Q3" s="227"/>
      <c r="R3" s="168"/>
      <c r="S3" s="169"/>
    </row>
    <row r="4" spans="1:23" ht="26" customHeight="1" x14ac:dyDescent="0.45">
      <c r="A4" s="117" t="s">
        <v>0</v>
      </c>
      <c r="B4" s="108" t="s">
        <v>153</v>
      </c>
      <c r="C4" s="109" t="s">
        <v>3</v>
      </c>
      <c r="D4" s="118">
        <v>46112</v>
      </c>
      <c r="E4" s="119"/>
      <c r="F4" s="18"/>
      <c r="G4" s="120"/>
      <c r="H4" s="227"/>
      <c r="I4" s="227"/>
      <c r="J4" s="227"/>
      <c r="K4" s="227"/>
      <c r="L4"/>
      <c r="M4"/>
      <c r="N4"/>
      <c r="P4" s="227"/>
      <c r="Q4" s="227"/>
      <c r="R4" s="168"/>
      <c r="S4" s="170"/>
    </row>
    <row r="5" spans="1:23" ht="26" customHeight="1" x14ac:dyDescent="0.55000000000000004">
      <c r="A5" s="117" t="s">
        <v>1</v>
      </c>
      <c r="B5" s="108" t="s">
        <v>5</v>
      </c>
      <c r="C5" s="44"/>
      <c r="D5" s="44"/>
      <c r="E5" s="18"/>
      <c r="F5" s="18"/>
      <c r="G5" s="18"/>
      <c r="H5" s="228" t="s">
        <v>197</v>
      </c>
      <c r="I5" s="227"/>
      <c r="J5" s="227"/>
      <c r="K5" s="227"/>
      <c r="L5"/>
      <c r="M5"/>
      <c r="N5"/>
      <c r="P5" s="227"/>
      <c r="Q5" s="227"/>
      <c r="R5" s="171"/>
      <c r="S5" s="168"/>
    </row>
    <row r="6" spans="1:23" ht="26" customHeight="1" thickBot="1" x14ac:dyDescent="0.5">
      <c r="A6" s="242"/>
      <c r="B6" s="243"/>
      <c r="C6" s="244"/>
      <c r="D6" s="244"/>
      <c r="E6" s="243"/>
      <c r="F6" s="243"/>
      <c r="G6" s="243"/>
      <c r="H6" s="245"/>
      <c r="I6" s="245"/>
      <c r="J6" s="245"/>
      <c r="K6" s="245"/>
      <c r="L6" s="245"/>
      <c r="M6" s="245"/>
      <c r="N6" s="245"/>
      <c r="O6" s="245"/>
      <c r="P6" s="246"/>
      <c r="Q6" s="246"/>
      <c r="R6" s="247"/>
      <c r="S6" s="247"/>
    </row>
    <row r="7" spans="1:23" s="14" customFormat="1" ht="60.75" customHeight="1" thickBot="1" x14ac:dyDescent="0.5">
      <c r="A7" s="28" t="s">
        <v>152</v>
      </c>
      <c r="B7" s="29" t="s">
        <v>4</v>
      </c>
      <c r="C7" s="29" t="s">
        <v>6</v>
      </c>
      <c r="D7" s="102" t="s">
        <v>38</v>
      </c>
      <c r="E7" s="29" t="str">
        <f>IFERROR(IF(Parametres!D2="","",Parametres!D2&amp;" ("&amp;TEXT(Parametres!E2,"0%")&amp;")"),"")</f>
        <v>Réservation (5%)</v>
      </c>
      <c r="F7" s="27" t="s">
        <v>93</v>
      </c>
      <c r="G7" s="29" t="str">
        <f>IFERROR(IF(Parametres!D3="","",Parametres!D3&amp;" ("&amp;TEXT(Parametres!E3,"0%")&amp;")"),"")</f>
        <v>Achèvement des fondations (30%)</v>
      </c>
      <c r="H7" s="27" t="s">
        <v>93</v>
      </c>
      <c r="I7" s="29" t="str">
        <f>IFERROR(IF(Parametres!D4="","",Parametres!D4&amp;" ("&amp;TEXT(Parametres!E4,"0%")&amp;")"),"")</f>
        <v>Mise hors d'eau  (25%)</v>
      </c>
      <c r="J7" s="27" t="s">
        <v>93</v>
      </c>
      <c r="K7" s="29" t="str">
        <f>IFERROR(IF(Parametres!D5="","",Parametres!D5&amp;" ("&amp;TEXT(Parametres!E5,"0%")&amp;")"),"")</f>
        <v>Mise hors d'air (30%)</v>
      </c>
      <c r="L7" s="27" t="s">
        <v>93</v>
      </c>
      <c r="M7" s="29" t="str">
        <f>IFERROR(IF(Parametres!D6="","",Parametres!D6&amp;" ("&amp;TEXT(Parametres!E6,"0%")&amp;")"),"")</f>
        <v>Achèvement des travaux (5%)</v>
      </c>
      <c r="N7" s="27" t="s">
        <v>93</v>
      </c>
      <c r="O7" s="29" t="str">
        <f>IFERROR(IF(Parametres!D7="","",Parametres!D7&amp;" ("&amp;TEXT(Parametres!E7,"0%")&amp;")"),"")</f>
        <v>Remise des clés (5%)</v>
      </c>
      <c r="P7" s="27" t="s">
        <v>93</v>
      </c>
      <c r="Q7" s="102" t="s">
        <v>94</v>
      </c>
      <c r="R7" s="102" t="s">
        <v>95</v>
      </c>
      <c r="S7" s="103" t="s">
        <v>96</v>
      </c>
    </row>
    <row r="8" spans="1:23" ht="24" customHeight="1" x14ac:dyDescent="0.45">
      <c r="A8" s="131">
        <f>IFERROR(IF(Base_de_donnée_clients!A8="","",Base_de_donnée_clients!A8),"")</f>
        <v>1</v>
      </c>
      <c r="B8" s="132" t="str">
        <f>IFERROR(IF(Base_de_donnée_clients!B8="","",Base_de_donnée_clients!B8),"")</f>
        <v>A01</v>
      </c>
      <c r="C8" s="132" t="str">
        <f>IFERROR(IF(Base_de_donnée_clients!C8="","",Base_de_donnée_clients!C8),"")</f>
        <v>M. FOURNIER</v>
      </c>
      <c r="D8" s="134">
        <f>IFERROR(IF(OR(Synthese_Programme!M8="Réservé",Synthese_Programme!M8="Acté",Synthese_Programme!M8="réservé",Synthese_Programme!M8="acté"),Synthese_Programme!K8,""),"")</f>
        <v>260000</v>
      </c>
      <c r="E8" s="135">
        <f>IFERROR(IF(OR(Synthese_Programme!M8="Réservé",Synthese_Programme!M8="Acté",Synthese_Programme!M8="réservé",Synthese_Programme!M8="acté"),$D8*Parametres!E2,""),"")</f>
        <v>13000</v>
      </c>
      <c r="F8" s="58">
        <f>IFERROR(IF(Base_de_donnée_clients!J8="","",Base_de_donnée_clients!J8),"")</f>
        <v>45700</v>
      </c>
      <c r="G8" s="135" t="str">
        <f>IF($C8="","",IF(AND(Parametres!F3&lt;&gt;"",Synthese_Programme!M8="Acté"),$D8*Parametres!E3,""))</f>
        <v/>
      </c>
      <c r="H8" s="58"/>
      <c r="I8" s="135" t="str">
        <f>IF($C8="","",IF(AND(Parametres!F4&lt;&gt;"",Synthese_Programme!M8="Acté"),$D8*Parametres!E4,""))</f>
        <v/>
      </c>
      <c r="J8" s="58"/>
      <c r="K8" s="136" t="str">
        <f>IF($C8="","",IF(AND(Parametres!F5&lt;&gt;"",Synthese_Programme!M8="Acté"),$D8*Parametres!E5,""))</f>
        <v/>
      </c>
      <c r="L8" s="137"/>
      <c r="M8" s="136" t="str">
        <f>IF($C8="","",IF(AND(Parametres!F6&lt;&gt;"",Synthese_Programme!M8="Acté"),$D8*Parametres!E6,""))</f>
        <v/>
      </c>
      <c r="N8" s="137"/>
      <c r="O8" s="136" t="str">
        <f>IF($C8="","",IF(AND(Parametres!F7&lt;&gt;"",Synthese_Programme!M8="Acté"),$D8*Parametres!E7,""))</f>
        <v/>
      </c>
      <c r="P8" s="137"/>
      <c r="Q8" s="134">
        <f>IFERROR(D8-(IF(F8="",0,E8)+IF(H8="",0,G8)+IF(J8="",0,I8)+IF(L8="",0,K8)+IF(N8="",0,M8)+IF(P8="",0,O8)),"")</f>
        <v>247000</v>
      </c>
      <c r="R8" s="134">
        <f t="shared" ref="R8:R68" si="0">IF(C8="","",IFERROR(IF(F8="",0,E8)+IF(H8="",0,G8)+IF(J8="",0,I8)+IF(L8="",0,K8)+IF(N8="",0,M8)+IF(P8="",0,O8),""))</f>
        <v>13000</v>
      </c>
      <c r="S8" s="134">
        <f t="shared" ref="S8:S68" si="1">Q8</f>
        <v>247000</v>
      </c>
    </row>
    <row r="9" spans="1:23" ht="24" customHeight="1" x14ac:dyDescent="0.45">
      <c r="A9" s="131">
        <f>IFERROR(IF(Base_de_donnée_clients!A9="","",Base_de_donnée_clients!A9),"")</f>
        <v>2</v>
      </c>
      <c r="B9" s="132" t="str">
        <f>IFERROR(IF(Base_de_donnée_clients!B9="","",Base_de_donnée_clients!B9),"")</f>
        <v>A02</v>
      </c>
      <c r="C9" s="132" t="str">
        <f>IFERROR(IF(Base_de_donnée_clients!C9="","",Base_de_donnée_clients!C9),"")</f>
        <v>Mme DUPONT</v>
      </c>
      <c r="D9" s="134">
        <f>IFERROR(IF(OR(Synthese_Programme!M9="Réservé",Synthese_Programme!M9="Acté",Synthese_Programme!M9="réservé",Synthese_Programme!M9="acté"),Synthese_Programme!K9,""),"")</f>
        <v>370000</v>
      </c>
      <c r="E9" s="135">
        <f>IFERROR(IF(OR(Synthese_Programme!M9="Réservé",Synthese_Programme!M9="Acté",Synthese_Programme!M9="réservé",Synthese_Programme!M9="acté"),$D9*Parametres!E2,""),"")</f>
        <v>18500</v>
      </c>
      <c r="F9" s="58">
        <f>IFERROR(IF(Base_de_donnée_clients!J9="","",Base_de_donnée_clients!J9),"")</f>
        <v>45575</v>
      </c>
      <c r="G9" s="135">
        <f>IF($C9="","",IF(AND(Parametres!F3&lt;&gt;"",Synthese_Programme!M9="Acté"),$D9*Parametres!E3,""))</f>
        <v>111000</v>
      </c>
      <c r="H9" s="58">
        <v>45884</v>
      </c>
      <c r="I9" s="135">
        <f>IF($C9="","",IF(AND(Parametres!F4&lt;&gt;"",Synthese_Programme!M9="Acté"),$D9*Parametres!E4,""))</f>
        <v>92500</v>
      </c>
      <c r="J9" s="58">
        <v>45953</v>
      </c>
      <c r="K9" s="136">
        <f>IF($C9="","",IF(AND(Parametres!F5&lt;&gt;"",Synthese_Programme!M9="Acté"),$D9*Parametres!E5,""))</f>
        <v>111000</v>
      </c>
      <c r="L9" s="137"/>
      <c r="M9" s="136" t="str">
        <f>IF($C9="","",IF(AND(Parametres!F6&lt;&gt;"",Synthese_Programme!M9="Acté"),$D9*Parametres!E6,""))</f>
        <v/>
      </c>
      <c r="N9" s="137"/>
      <c r="O9" s="136" t="str">
        <f>IF($C9="","",IF(AND(Parametres!F7&lt;&gt;"",Synthese_Programme!M9="Acté"),$D9*Parametres!E7,""))</f>
        <v/>
      </c>
      <c r="P9" s="137"/>
      <c r="Q9" s="134">
        <f t="shared" ref="Q9:Q68" si="2">IFERROR(D9-(IF(F9="",0,E9)+IF(H9="",0,G9)+IF(J9="",0,I9)+IF(L9="",0,K9)+IF(N9="",0,M9)+IF(P9="",0,O9)),"")</f>
        <v>148000</v>
      </c>
      <c r="R9" s="134">
        <f t="shared" si="0"/>
        <v>222000</v>
      </c>
      <c r="S9" s="134">
        <f t="shared" si="1"/>
        <v>148000</v>
      </c>
    </row>
    <row r="10" spans="1:23" ht="24" customHeight="1" x14ac:dyDescent="0.45">
      <c r="A10" s="131">
        <f>IFERROR(IF(Base_de_donnée_clients!A10="","",Base_de_donnée_clients!A10),"")</f>
        <v>3</v>
      </c>
      <c r="B10" s="132" t="str">
        <f>IFERROR(IF(Base_de_donnée_clients!B10="","",Base_de_donnée_clients!B10),"")</f>
        <v>A03</v>
      </c>
      <c r="C10" s="132" t="str">
        <f>IFERROR(IF(Base_de_donnée_clients!C10="","",Base_de_donnée_clients!C10),"")</f>
        <v/>
      </c>
      <c r="D10" s="134" t="str">
        <f>IFERROR(IF(OR(Synthese_Programme!M10="Réservé",Synthese_Programme!M10="Acté",Synthese_Programme!M10="réservé",Synthese_Programme!M10="acté"),Synthese_Programme!K10,""),"")</f>
        <v/>
      </c>
      <c r="E10" s="135" t="str">
        <f>IFERROR(IF(OR(Synthese_Programme!M10="Réservé",Synthese_Programme!M10="Acté",Synthese_Programme!M10="réservé",Synthese_Programme!M10="acté"),$D10*Parametres!E2,""),"")</f>
        <v/>
      </c>
      <c r="F10" s="58" t="str">
        <f>IFERROR(IF(Base_de_donnée_clients!J10="","",Base_de_donnée_clients!J10),"")</f>
        <v/>
      </c>
      <c r="G10" s="135" t="str">
        <f>IF($C10="","",IF(AND(Parametres!F3&lt;&gt;"",Synthese_Programme!M10="Acté"),$D10*Parametres!E3,""))</f>
        <v/>
      </c>
      <c r="H10" s="58"/>
      <c r="I10" s="135" t="str">
        <f>IF($C10="","",IF(AND(Parametres!F4&lt;&gt;"",Synthese_Programme!M10="Acté"),$D10*Parametres!E4,""))</f>
        <v/>
      </c>
      <c r="J10" s="58"/>
      <c r="K10" s="136" t="str">
        <f>IF($C10="","",IF(AND(Parametres!F5&lt;&gt;"",Synthese_Programme!M10="Acté"),$D10*Parametres!E5,""))</f>
        <v/>
      </c>
      <c r="L10" s="137"/>
      <c r="M10" s="136" t="str">
        <f>IF($C10="","",IF(AND(Parametres!F6&lt;&gt;"",Synthese_Programme!M10="Acté"),$D10*Parametres!E6,""))</f>
        <v/>
      </c>
      <c r="N10" s="137"/>
      <c r="O10" s="136" t="str">
        <f>IF($C10="","",IF(AND(Parametres!F7&lt;&gt;"",Synthese_Programme!M10="Acté"),$D10*Parametres!E7,""))</f>
        <v/>
      </c>
      <c r="P10" s="137"/>
      <c r="Q10" s="134" t="str">
        <f t="shared" si="2"/>
        <v/>
      </c>
      <c r="R10" s="134" t="str">
        <f t="shared" si="0"/>
        <v/>
      </c>
      <c r="S10" s="134" t="str">
        <f t="shared" si="1"/>
        <v/>
      </c>
    </row>
    <row r="11" spans="1:23" ht="24" customHeight="1" x14ac:dyDescent="0.45">
      <c r="A11" s="131">
        <f>IFERROR(IF(Base_de_donnée_clients!A11="","",Base_de_donnée_clients!A11),"")</f>
        <v>4</v>
      </c>
      <c r="B11" s="132" t="str">
        <f>IFERROR(IF(Base_de_donnée_clients!B11="","",Base_de_donnée_clients!B11),"")</f>
        <v>A04</v>
      </c>
      <c r="C11" s="132" t="str">
        <f>IFERROR(IF(Base_de_donnée_clients!C11="","",Base_de_donnée_clients!C11),"")</f>
        <v>M. et Mme ARNAUD</v>
      </c>
      <c r="D11" s="134">
        <f>IFERROR(IF(OR(Synthese_Programme!M11="Réservé",Synthese_Programme!M11="Acté",Synthese_Programme!M11="réservé",Synthese_Programme!M11="acté"),Synthese_Programme!K11,""),"")</f>
        <v>262000</v>
      </c>
      <c r="E11" s="135">
        <f>IFERROR(IF(OR(Synthese_Programme!M11="Réservé",Synthese_Programme!M11="Acté",Synthese_Programme!M11="réservé",Synthese_Programme!M11="acté"),$D11*Parametres!E2,""),"")</f>
        <v>13100</v>
      </c>
      <c r="F11" s="58">
        <f>IFERROR(IF(Base_de_donnée_clients!J11="","",Base_de_donnée_clients!J11),"")</f>
        <v>45719</v>
      </c>
      <c r="G11" s="135" t="str">
        <f>IF($C11="","",IF(AND(Parametres!F3&lt;&gt;"",Synthese_Programme!M11="Acté"),$D11*Parametres!E3,""))</f>
        <v/>
      </c>
      <c r="H11" s="58"/>
      <c r="I11" s="135" t="str">
        <f>IF($C11="","",IF(AND(Parametres!F4&lt;&gt;"",Synthese_Programme!M11="Acté"),$D11*Parametres!E4,""))</f>
        <v/>
      </c>
      <c r="J11" s="58"/>
      <c r="K11" s="136" t="str">
        <f>IF($C11="","",IF(AND(Parametres!F5&lt;&gt;"",Synthese_Programme!M11="Acté"),$D11*Parametres!E5,""))</f>
        <v/>
      </c>
      <c r="L11" s="137"/>
      <c r="M11" s="136" t="str">
        <f>IF($C11="","",IF(AND(Parametres!F6&lt;&gt;"",Synthese_Programme!M11="Acté"),$D11*Parametres!E6,""))</f>
        <v/>
      </c>
      <c r="N11" s="137"/>
      <c r="O11" s="136" t="str">
        <f>IF($C11="","",IF(AND(Parametres!F7&lt;&gt;"",Synthese_Programme!M11="Acté"),$D11*Parametres!E7,""))</f>
        <v/>
      </c>
      <c r="P11" s="137"/>
      <c r="Q11" s="134">
        <f t="shared" si="2"/>
        <v>248900</v>
      </c>
      <c r="R11" s="134">
        <f t="shared" si="0"/>
        <v>13100</v>
      </c>
      <c r="S11" s="134">
        <f t="shared" si="1"/>
        <v>248900</v>
      </c>
    </row>
    <row r="12" spans="1:23" ht="24" customHeight="1" x14ac:dyDescent="0.45">
      <c r="A12" s="131">
        <f>IFERROR(IF(Base_de_donnée_clients!A12="","",Base_de_donnée_clients!A12),"")</f>
        <v>5</v>
      </c>
      <c r="B12" s="132" t="str">
        <f>IFERROR(IF(Base_de_donnée_clients!B12="","",Base_de_donnée_clients!B12),"")</f>
        <v>A101</v>
      </c>
      <c r="C12" s="132" t="str">
        <f>IFERROR(IF(Base_de_donnée_clients!C12="","",Base_de_donnée_clients!C12),"")</f>
        <v/>
      </c>
      <c r="D12" s="134" t="str">
        <f>IFERROR(IF(OR(Synthese_Programme!M12="Réservé",Synthese_Programme!M12="Acté",Synthese_Programme!M12="réservé",Synthese_Programme!M12="acté"),Synthese_Programme!K12,""),"")</f>
        <v/>
      </c>
      <c r="E12" s="135" t="str">
        <f>IFERROR(IF(OR(Synthese_Programme!M12="Réservé",Synthese_Programme!M12="Acté",Synthese_Programme!M12="réservé",Synthese_Programme!M12="acté"),$D12*Parametres!E2,""),"")</f>
        <v/>
      </c>
      <c r="F12" s="58" t="str">
        <f>IFERROR(IF(Base_de_donnée_clients!J12="","",Base_de_donnée_clients!J12),"")</f>
        <v/>
      </c>
      <c r="G12" s="135" t="str">
        <f>IF($C12="","",IF(AND(Parametres!F3&lt;&gt;"",Synthese_Programme!M12="Acté"),$D12*Parametres!E3,""))</f>
        <v/>
      </c>
      <c r="H12" s="58"/>
      <c r="I12" s="135" t="str">
        <f>IF($C12="","",IF(AND(Parametres!F4&lt;&gt;"",Synthese_Programme!M12="Acté"),$D12*Parametres!E4,""))</f>
        <v/>
      </c>
      <c r="J12" s="58"/>
      <c r="K12" s="136" t="str">
        <f>IF($C12="","",IF(AND(Parametres!F5&lt;&gt;"",Synthese_Programme!M12="Acté"),$D12*Parametres!E5,""))</f>
        <v/>
      </c>
      <c r="L12" s="137"/>
      <c r="M12" s="136" t="str">
        <f>IF($C12="","",IF(AND(Parametres!F6&lt;&gt;"",Synthese_Programme!M12="Acté"),$D12*Parametres!E6,""))</f>
        <v/>
      </c>
      <c r="N12" s="137"/>
      <c r="O12" s="136" t="str">
        <f>IF($C12="","",IF(AND(Parametres!F7&lt;&gt;"",Synthese_Programme!M12="Acté"),$D12*Parametres!E7,""))</f>
        <v/>
      </c>
      <c r="P12" s="137"/>
      <c r="Q12" s="134" t="str">
        <f t="shared" si="2"/>
        <v/>
      </c>
      <c r="R12" s="134" t="str">
        <f t="shared" si="0"/>
        <v/>
      </c>
      <c r="S12" s="134" t="str">
        <f t="shared" si="1"/>
        <v/>
      </c>
    </row>
    <row r="13" spans="1:23" ht="24" customHeight="1" x14ac:dyDescent="0.45">
      <c r="A13" s="131">
        <f>IFERROR(IF(Base_de_donnée_clients!A13="","",Base_de_donnée_clients!A13),"")</f>
        <v>6</v>
      </c>
      <c r="B13" s="132" t="str">
        <f>IFERROR(IF(Base_de_donnée_clients!B13="","",Base_de_donnée_clients!B13),"")</f>
        <v>A102</v>
      </c>
      <c r="C13" s="132" t="str">
        <f>IFERROR(IF(Base_de_donnée_clients!C13="","",Base_de_donnée_clients!C13),"")</f>
        <v>M. et Mme JAUREGUI</v>
      </c>
      <c r="D13" s="134">
        <f>IFERROR(IF(OR(Synthese_Programme!M13="Réservé",Synthese_Programme!M13="Acté",Synthese_Programme!M13="réservé",Synthese_Programme!M13="acté"),Synthese_Programme!K13,""),"")</f>
        <v>525000</v>
      </c>
      <c r="E13" s="135">
        <f>IFERROR(IF(OR(Synthese_Programme!M13="Réservé",Synthese_Programme!M13="Acté",Synthese_Programme!M13="réservé",Synthese_Programme!M13="acté"),$D13*Parametres!E2,""),"")</f>
        <v>26250</v>
      </c>
      <c r="F13" s="58">
        <f>IFERROR(IF(Base_de_donnée_clients!J13="","",Base_de_donnée_clients!J13),"")</f>
        <v>45795</v>
      </c>
      <c r="G13" s="135" t="str">
        <f>IF($C13="","",IF(AND(Parametres!F3&lt;&gt;"",Synthese_Programme!M13="Acté"),$D13*Parametres!E3,""))</f>
        <v/>
      </c>
      <c r="H13" s="58"/>
      <c r="I13" s="135" t="str">
        <f>IF($C13="","",IF(AND(Parametres!F4&lt;&gt;"",Synthese_Programme!M13="Acté"),$D13*Parametres!E4,""))</f>
        <v/>
      </c>
      <c r="J13" s="58"/>
      <c r="K13" s="136" t="str">
        <f>IF($C13="","",IF(AND(Parametres!F5&lt;&gt;"",Synthese_Programme!M13="Acté"),$D13*Parametres!E5,""))</f>
        <v/>
      </c>
      <c r="L13" s="137"/>
      <c r="M13" s="136" t="str">
        <f>IF($C13="","",IF(AND(Parametres!F6&lt;&gt;"",Synthese_Programme!M13="Acté"),$D13*Parametres!E6,""))</f>
        <v/>
      </c>
      <c r="N13" s="137"/>
      <c r="O13" s="136" t="str">
        <f>IF($C13="","",IF(AND(Parametres!F7&lt;&gt;"",Synthese_Programme!M13="Acté"),$D13*Parametres!E7,""))</f>
        <v/>
      </c>
      <c r="P13" s="137"/>
      <c r="Q13" s="134">
        <f t="shared" si="2"/>
        <v>498750</v>
      </c>
      <c r="R13" s="134">
        <f t="shared" si="0"/>
        <v>26250</v>
      </c>
      <c r="S13" s="134">
        <f t="shared" si="1"/>
        <v>498750</v>
      </c>
    </row>
    <row r="14" spans="1:23" ht="24" customHeight="1" x14ac:dyDescent="0.45">
      <c r="A14" s="131">
        <f>IFERROR(IF(Base_de_donnée_clients!A14="","",Base_de_donnée_clients!A14),"")</f>
        <v>7</v>
      </c>
      <c r="B14" s="132" t="str">
        <f>IFERROR(IF(Base_de_donnée_clients!B14="","",Base_de_donnée_clients!B14),"")</f>
        <v>A103</v>
      </c>
      <c r="C14" s="132" t="str">
        <f>IFERROR(IF(Base_de_donnée_clients!C14="","",Base_de_donnée_clients!C14),"")</f>
        <v>M. DESPRES</v>
      </c>
      <c r="D14" s="134">
        <f>IFERROR(IF(OR(Synthese_Programme!M14="Réservé",Synthese_Programme!M14="Acté",Synthese_Programme!M14="réservé",Synthese_Programme!M14="acté"),Synthese_Programme!K14,""),"")</f>
        <v>390000</v>
      </c>
      <c r="E14" s="135">
        <f>IFERROR(IF(OR(Synthese_Programme!M14="Réservé",Synthese_Programme!M14="Acté",Synthese_Programme!M14="réservé",Synthese_Programme!M14="acté"),$D14*Parametres!E2,""),"")</f>
        <v>19500</v>
      </c>
      <c r="F14" s="58">
        <f>IFERROR(IF(Base_de_donnée_clients!J14="","",Base_de_donnée_clients!J14),"")</f>
        <v>45609</v>
      </c>
      <c r="G14" s="135">
        <f>IF($C14="","",IF(AND(Parametres!F3&lt;&gt;"",Synthese_Programme!M14="Acté"),$D14*Parametres!E3,""))</f>
        <v>117000</v>
      </c>
      <c r="H14" s="58">
        <v>45883</v>
      </c>
      <c r="I14" s="135">
        <f>IF($C14="","",IF(AND(Parametres!F4&lt;&gt;"",Synthese_Programme!M14="Acté"),$D14*Parametres!E4,""))</f>
        <v>97500</v>
      </c>
      <c r="J14" s="58">
        <v>45953</v>
      </c>
      <c r="K14" s="136">
        <f>IF($C14="","",IF(AND(Parametres!F5&lt;&gt;"",Synthese_Programme!M14="Acté"),$D14*Parametres!E5,""))</f>
        <v>117000</v>
      </c>
      <c r="L14" s="137">
        <v>45983</v>
      </c>
      <c r="M14" s="136" t="str">
        <f>IF($C14="","",IF(AND(Parametres!F6&lt;&gt;"",Synthese_Programme!M14="Acté"),$D14*Parametres!E6,""))</f>
        <v/>
      </c>
      <c r="N14" s="137"/>
      <c r="O14" s="136" t="str">
        <f>IF($C14="","",IF(AND(Parametres!F7&lt;&gt;"",Synthese_Programme!M14="Acté"),$D14*Parametres!E7,""))</f>
        <v/>
      </c>
      <c r="P14" s="137"/>
      <c r="Q14" s="134">
        <f t="shared" si="2"/>
        <v>39000</v>
      </c>
      <c r="R14" s="134">
        <f t="shared" si="0"/>
        <v>351000</v>
      </c>
      <c r="S14" s="134">
        <f t="shared" si="1"/>
        <v>39000</v>
      </c>
    </row>
    <row r="15" spans="1:23" ht="24" customHeight="1" x14ac:dyDescent="0.45">
      <c r="A15" s="131">
        <f>IFERROR(IF(Base_de_donnée_clients!A15="","",Base_de_donnée_clients!A15),"")</f>
        <v>8</v>
      </c>
      <c r="B15" s="132" t="str">
        <f>IFERROR(IF(Base_de_donnée_clients!B15="","",Base_de_donnée_clients!B15),"")</f>
        <v>A104</v>
      </c>
      <c r="C15" s="132" t="str">
        <f>IFERROR(IF(Base_de_donnée_clients!C15="","",Base_de_donnée_clients!C15),"")</f>
        <v/>
      </c>
      <c r="D15" s="134" t="str">
        <f>IFERROR(IF(OR(Synthese_Programme!M15="Réservé",Synthese_Programme!M15="Acté",Synthese_Programme!M15="réservé",Synthese_Programme!M15="acté"),Synthese_Programme!K15,""),"")</f>
        <v/>
      </c>
      <c r="E15" s="135" t="str">
        <f>IFERROR(IF(OR(Synthese_Programme!M15="Réservé",Synthese_Programme!M15="Acté",Synthese_Programme!M15="réservé",Synthese_Programme!M15="acté"),$D15*Parametres!E2,""),"")</f>
        <v/>
      </c>
      <c r="F15" s="58" t="str">
        <f>IFERROR(IF(Base_de_donnée_clients!J15="","",Base_de_donnée_clients!J15),"")</f>
        <v/>
      </c>
      <c r="G15" s="135" t="str">
        <f>IF($C15="","",IF(AND(Parametres!F3&lt;&gt;"",Synthese_Programme!M15="Acté"),$D15*Parametres!E3,""))</f>
        <v/>
      </c>
      <c r="H15" s="58"/>
      <c r="I15" s="135" t="str">
        <f>IF($C15="","",IF(AND(Parametres!F4&lt;&gt;"",Synthese_Programme!M15="Acté"),$D15*Parametres!E4,""))</f>
        <v/>
      </c>
      <c r="J15" s="58"/>
      <c r="K15" s="136" t="str">
        <f>IF($C15="","",IF(AND(Parametres!F5&lt;&gt;"",Synthese_Programme!M15="Acté"),$D15*Parametres!E5,""))</f>
        <v/>
      </c>
      <c r="L15" s="137"/>
      <c r="M15" s="136" t="str">
        <f>IF($C15="","",IF(AND(Parametres!F6&lt;&gt;"",Synthese_Programme!M15="Acté"),$D15*Parametres!E6,""))</f>
        <v/>
      </c>
      <c r="N15" s="137"/>
      <c r="O15" s="136" t="str">
        <f>IF($C15="","",IF(AND(Parametres!F7&lt;&gt;"",Synthese_Programme!M15="Acté"),$D15*Parametres!E7,""))</f>
        <v/>
      </c>
      <c r="P15" s="137"/>
      <c r="Q15" s="134" t="str">
        <f t="shared" si="2"/>
        <v/>
      </c>
      <c r="R15" s="134" t="str">
        <f t="shared" si="0"/>
        <v/>
      </c>
      <c r="S15" s="134" t="str">
        <f t="shared" si="1"/>
        <v/>
      </c>
    </row>
    <row r="16" spans="1:23" ht="24" customHeight="1" x14ac:dyDescent="0.45">
      <c r="A16" s="131">
        <f>IFERROR(IF(Base_de_donnée_clients!A16="","",Base_de_donnée_clients!A16),"")</f>
        <v>9</v>
      </c>
      <c r="B16" s="132" t="str">
        <f>IFERROR(IF(Base_de_donnée_clients!B16="","",Base_de_donnée_clients!B16),"")</f>
        <v>A201</v>
      </c>
      <c r="C16" s="132" t="str">
        <f>IFERROR(IF(Base_de_donnée_clients!C16="","",Base_de_donnée_clients!C16),"")</f>
        <v>M. et Mme RATOI</v>
      </c>
      <c r="D16" s="134">
        <f>IFERROR(IF(OR(Synthese_Programme!M16="Réservé",Synthese_Programme!M16="Acté",Synthese_Programme!M16="réservé",Synthese_Programme!M16="acté"),Synthese_Programme!K16,""),"")</f>
        <v>280000</v>
      </c>
      <c r="E16" s="135">
        <f>IFERROR(IF(OR(Synthese_Programme!M16="Réservé",Synthese_Programme!M16="Acté",Synthese_Programme!M16="réservé",Synthese_Programme!M16="acté"),$D16*Parametres!E2,""),"")</f>
        <v>14000</v>
      </c>
      <c r="F16" s="58">
        <f>IFERROR(IF(Base_de_donnée_clients!J16="","",Base_de_donnée_clients!J16),"")</f>
        <v>45667</v>
      </c>
      <c r="G16" s="135">
        <f>IF($C16="","",IF(AND(Parametres!F3&lt;&gt;"",Synthese_Programme!M16="Acté"),$D16*Parametres!E3,""))</f>
        <v>84000</v>
      </c>
      <c r="H16" s="58">
        <v>45889</v>
      </c>
      <c r="I16" s="135">
        <f>IF($C16="","",IF(AND(Parametres!F4&lt;&gt;"",Synthese_Programme!M16="Acté"),$D16*Parametres!E4,""))</f>
        <v>70000</v>
      </c>
      <c r="J16" s="58"/>
      <c r="K16" s="136">
        <f>IF($C16="","",IF(AND(Parametres!F5&lt;&gt;"",Synthese_Programme!M16="Acté"),$D16*Parametres!E5,""))</f>
        <v>84000</v>
      </c>
      <c r="L16" s="137"/>
      <c r="M16" s="136" t="str">
        <f>IF($C16="","",IF(AND(Parametres!F6&lt;&gt;"",Synthese_Programme!M16="Acté"),$D16*Parametres!E6,""))</f>
        <v/>
      </c>
      <c r="N16" s="137"/>
      <c r="O16" s="136" t="str">
        <f>IF($C16="","",IF(AND(Parametres!F7&lt;&gt;"",Synthese_Programme!M16="Acté"),$D16*Parametres!E7,""))</f>
        <v/>
      </c>
      <c r="P16" s="137"/>
      <c r="Q16" s="134">
        <f t="shared" si="2"/>
        <v>182000</v>
      </c>
      <c r="R16" s="134">
        <f t="shared" si="0"/>
        <v>98000</v>
      </c>
      <c r="S16" s="134">
        <f t="shared" si="1"/>
        <v>182000</v>
      </c>
    </row>
    <row r="17" spans="1:19" ht="24" customHeight="1" x14ac:dyDescent="0.45">
      <c r="A17" s="131">
        <f>IFERROR(IF(Base_de_donnée_clients!A17="","",Base_de_donnée_clients!A17),"")</f>
        <v>10</v>
      </c>
      <c r="B17" s="132" t="str">
        <f>IFERROR(IF(Base_de_donnée_clients!B17="","",Base_de_donnée_clients!B17),"")</f>
        <v>A202</v>
      </c>
      <c r="C17" s="132" t="str">
        <f>IFERROR(IF(Base_de_donnée_clients!C17="","",Base_de_donnée_clients!C17),"")</f>
        <v/>
      </c>
      <c r="D17" s="134" t="str">
        <f>IFERROR(IF(OR(Synthese_Programme!M17="Réservé",Synthese_Programme!M17="Acté",Synthese_Programme!M17="réservé",Synthese_Programme!M17="acté"),Synthese_Programme!K17,""),"")</f>
        <v/>
      </c>
      <c r="E17" s="135" t="str">
        <f>IFERROR(IF(OR(Synthese_Programme!M17="Réservé",Synthese_Programme!M17="Acté",Synthese_Programme!M17="réservé",Synthese_Programme!M17="acté"),$D17*Parametres!E2,""),"")</f>
        <v/>
      </c>
      <c r="F17" s="58" t="str">
        <f>IFERROR(IF(Base_de_donnée_clients!J17="","",Base_de_donnée_clients!J17),"")</f>
        <v/>
      </c>
      <c r="G17" s="135" t="str">
        <f>IF($C17="","",IF(AND(Parametres!F3&lt;&gt;"",Synthese_Programme!M17="Acté"),$D17*Parametres!E3,""))</f>
        <v/>
      </c>
      <c r="H17" s="58"/>
      <c r="I17" s="135" t="str">
        <f>IF($C17="","",IF(AND(Parametres!F4&lt;&gt;"",Synthese_Programme!M17="Acté"),$D17*Parametres!E4,""))</f>
        <v/>
      </c>
      <c r="J17" s="58"/>
      <c r="K17" s="136" t="str">
        <f>IF($C17="","",IF(AND(Parametres!F5&lt;&gt;"",Synthese_Programme!M17="Acté"),$D17*Parametres!E5,""))</f>
        <v/>
      </c>
      <c r="L17" s="137"/>
      <c r="M17" s="136" t="str">
        <f>IF($C17="","",IF(AND(Parametres!F6&lt;&gt;"",Synthese_Programme!M17="Acté"),$D17*Parametres!E6,""))</f>
        <v/>
      </c>
      <c r="N17" s="137"/>
      <c r="O17" s="136" t="str">
        <f>IF($C17="","",IF(AND(Parametres!F7&lt;&gt;"",Synthese_Programme!M17="Acté"),$D17*Parametres!E7,""))</f>
        <v/>
      </c>
      <c r="P17" s="137"/>
      <c r="Q17" s="134" t="str">
        <f t="shared" si="2"/>
        <v/>
      </c>
      <c r="R17" s="134" t="str">
        <f t="shared" si="0"/>
        <v/>
      </c>
      <c r="S17" s="134" t="str">
        <f t="shared" si="1"/>
        <v/>
      </c>
    </row>
    <row r="18" spans="1:19" ht="24" customHeight="1" x14ac:dyDescent="0.45">
      <c r="A18" s="131">
        <f>IFERROR(IF(Base_de_donnée_clients!A18="","",Base_de_donnée_clients!A18),"")</f>
        <v>11</v>
      </c>
      <c r="B18" s="132" t="str">
        <f>IFERROR(IF(Base_de_donnée_clients!B18="","",Base_de_donnée_clients!B18),"")</f>
        <v>A203</v>
      </c>
      <c r="C18" s="132" t="str">
        <f>IFERROR(IF(Base_de_donnée_clients!C18="","",Base_de_donnée_clients!C18),"")</f>
        <v>M. JUZAN</v>
      </c>
      <c r="D18" s="134">
        <f>IFERROR(IF(OR(Synthese_Programme!M18="Réservé",Synthese_Programme!M18="Acté",Synthese_Programme!M18="réservé",Synthese_Programme!M18="acté"),Synthese_Programme!K18,""),"")</f>
        <v>400000</v>
      </c>
      <c r="E18" s="135">
        <f>IFERROR(IF(OR(Synthese_Programme!M18="Réservé",Synthese_Programme!M18="Acté",Synthese_Programme!M18="réservé",Synthese_Programme!M18="acté"),$D18*Parametres!E2,""),"")</f>
        <v>20000</v>
      </c>
      <c r="F18" s="58">
        <f>IFERROR(IF(Base_de_donnée_clients!J18="","",Base_de_donnée_clients!J18),"")</f>
        <v>45704</v>
      </c>
      <c r="G18" s="135" t="str">
        <f>IF($C18="","",IF(AND(Parametres!F3&lt;&gt;"",Synthese_Programme!M18="Acté"),$D18*Parametres!E3,""))</f>
        <v/>
      </c>
      <c r="H18" s="58"/>
      <c r="I18" s="135" t="str">
        <f>IF($C18="","",IF(AND(Parametres!F4&lt;&gt;"",Synthese_Programme!M18="Acté"),$D18*Parametres!E4,""))</f>
        <v/>
      </c>
      <c r="J18" s="58"/>
      <c r="K18" s="136" t="str">
        <f>IF($C18="","",IF(AND(Parametres!F5&lt;&gt;"",Synthese_Programme!M18="Acté"),$D18*Parametres!E5,""))</f>
        <v/>
      </c>
      <c r="L18" s="137"/>
      <c r="M18" s="136" t="str">
        <f>IF($C18="","",IF(AND(Parametres!F6&lt;&gt;"",Synthese_Programme!M18="Acté"),$D18*Parametres!E6,""))</f>
        <v/>
      </c>
      <c r="N18" s="137"/>
      <c r="O18" s="136" t="str">
        <f>IF($C18="","",IF(AND(Parametres!F7&lt;&gt;"",Synthese_Programme!M18="Acté"),$D18*Parametres!E7,""))</f>
        <v/>
      </c>
      <c r="P18" s="137"/>
      <c r="Q18" s="134">
        <f t="shared" si="2"/>
        <v>380000</v>
      </c>
      <c r="R18" s="134">
        <f t="shared" si="0"/>
        <v>20000</v>
      </c>
      <c r="S18" s="134">
        <f t="shared" si="1"/>
        <v>380000</v>
      </c>
    </row>
    <row r="19" spans="1:19" ht="24" customHeight="1" x14ac:dyDescent="0.45">
      <c r="A19" s="131">
        <f>IFERROR(IF(Base_de_donnée_clients!A19="","",Base_de_donnée_clients!A19),"")</f>
        <v>12</v>
      </c>
      <c r="B19" s="132" t="str">
        <f>IFERROR(IF(Base_de_donnée_clients!B19="","",Base_de_donnée_clients!B19),"")</f>
        <v>A204</v>
      </c>
      <c r="C19" s="132" t="str">
        <f>IFERROR(IF(Base_de_donnée_clients!C19="","",Base_de_donnée_clients!C19),"")</f>
        <v/>
      </c>
      <c r="D19" s="134" t="str">
        <f>IFERROR(IF(OR(Synthese_Programme!M19="Réservé",Synthese_Programme!M19="Acté",Synthese_Programme!M19="réservé",Synthese_Programme!M19="acté"),Synthese_Programme!K19,""),"")</f>
        <v/>
      </c>
      <c r="E19" s="136" t="str">
        <f>IFERROR(IF(OR(Synthese_Programme!M19="Réservé",Synthese_Programme!M19="Acté",Synthese_Programme!M19="réservé",Synthese_Programme!M19="acté"),$D19*Parametres!E2,""),"")</f>
        <v/>
      </c>
      <c r="F19" s="137" t="str">
        <f>IFERROR(IF(Base_de_donnée_clients!J19="","",Base_de_donnée_clients!J19),"")</f>
        <v/>
      </c>
      <c r="G19" s="136" t="str">
        <f>IF($C19="","",IF(AND(Parametres!F3&lt;&gt;"",Synthese_Programme!M19="Acté"),$D19*Parametres!E3,""))</f>
        <v/>
      </c>
      <c r="H19" s="137"/>
      <c r="I19" s="136" t="str">
        <f>IF($C19="","",IF(AND(Parametres!F4&lt;&gt;"",Synthese_Programme!M19="Acté"),$D19*Parametres!E4,""))</f>
        <v/>
      </c>
      <c r="J19" s="137"/>
      <c r="K19" s="136" t="str">
        <f>IF($C19="","",IF(AND(Parametres!F5&lt;&gt;"",Synthese_Programme!M19="Acté"),$D19*Parametres!E5,""))</f>
        <v/>
      </c>
      <c r="L19" s="137"/>
      <c r="M19" s="136" t="str">
        <f>IF($C19="","",IF(AND(Parametres!F6&lt;&gt;"",Synthese_Programme!M19="Acté"),$D19*Parametres!E6,""))</f>
        <v/>
      </c>
      <c r="N19" s="137"/>
      <c r="O19" s="136" t="str">
        <f>IF($C19="","",IF(AND(Parametres!F7&lt;&gt;"",Synthese_Programme!M19="Acté"),$D19*Parametres!E7,""))</f>
        <v/>
      </c>
      <c r="P19" s="137"/>
      <c r="Q19" s="134" t="str">
        <f t="shared" si="2"/>
        <v/>
      </c>
      <c r="R19" s="134" t="str">
        <f t="shared" si="0"/>
        <v/>
      </c>
      <c r="S19" s="134" t="str">
        <f t="shared" si="1"/>
        <v/>
      </c>
    </row>
    <row r="20" spans="1:19" ht="24" customHeight="1" x14ac:dyDescent="0.45">
      <c r="A20" s="237" t="str">
        <f>IFERROR(IF(Base_de_donnée_clients!A20="","",Base_de_donnée_clients!A20),"")</f>
        <v/>
      </c>
      <c r="B20" s="226" t="str">
        <f>IFERROR(IF(Base_de_donnée_clients!B20="","",Base_de_donnée_clients!B20),"")</f>
        <v/>
      </c>
      <c r="C20" s="226" t="str">
        <f>IFERROR(IF(Base_de_donnée_clients!C20="","",Base_de_donnée_clients!C20),"")</f>
        <v/>
      </c>
      <c r="D20" s="238" t="str">
        <f>IFERROR(IF(OR(Synthese_Programme!M20="Réservé",Synthese_Programme!M20="Acté",Synthese_Programme!M20="réservé",Synthese_Programme!M20="acté"),Synthese_Programme!K20,""),"")</f>
        <v/>
      </c>
      <c r="E20" s="239" t="str">
        <f>IFERROR(IF(OR(Synthese_Programme!M20="Réservé",Synthese_Programme!M20="Acté",Synthese_Programme!M20="réservé",Synthese_Programme!M20="acté"),$D20*Parametres!E2,""),"")</f>
        <v/>
      </c>
      <c r="F20" s="240" t="str">
        <f>IFERROR(IF(Base_de_donnée_clients!J20="","",Base_de_donnée_clients!J20),"")</f>
        <v/>
      </c>
      <c r="G20" s="239" t="str">
        <f>IF($C20="","",IF(AND(Parametres!F3&lt;&gt;"",Synthese_Programme!M20="Acté"),$D20*Parametres!E3,""))</f>
        <v/>
      </c>
      <c r="H20" s="240"/>
      <c r="I20" s="239" t="str">
        <f>IF($C20="","",IF(AND(Parametres!F4&lt;&gt;"",Synthese_Programme!M20="Acté"),$D20*Parametres!E4,""))</f>
        <v/>
      </c>
      <c r="J20" s="240"/>
      <c r="K20" s="239" t="str">
        <f>IF($C20="","",IF(AND(Parametres!F5&lt;&gt;"",Synthese_Programme!M20="Acté"),$D20*Parametres!E5,""))</f>
        <v/>
      </c>
      <c r="L20" s="240"/>
      <c r="M20" s="239" t="str">
        <f>IF($C20="","",IF(AND(Parametres!F6&lt;&gt;"",Synthese_Programme!M20="Acté"),$D20*Parametres!E6,""))</f>
        <v/>
      </c>
      <c r="N20" s="240"/>
      <c r="O20" s="239" t="str">
        <f>IF($C20="","",IF(AND(Parametres!F7&lt;&gt;"",Synthese_Programme!M20="Acté"),$D20*Parametres!E7,""))</f>
        <v/>
      </c>
      <c r="P20" s="240"/>
      <c r="Q20" s="238" t="str">
        <f t="shared" si="2"/>
        <v/>
      </c>
      <c r="R20" s="238" t="str">
        <f t="shared" si="0"/>
        <v/>
      </c>
      <c r="S20" s="238" t="str">
        <f t="shared" si="1"/>
        <v/>
      </c>
    </row>
    <row r="21" spans="1:19" ht="24" customHeight="1" x14ac:dyDescent="0.45">
      <c r="A21" s="237" t="str">
        <f>IFERROR(IF(Base_de_donnée_clients!A21="","",Base_de_donnée_clients!A21),"")</f>
        <v/>
      </c>
      <c r="B21" s="226" t="str">
        <f>IFERROR(IF(Base_de_donnée_clients!B21="","",Base_de_donnée_clients!B21),"")</f>
        <v/>
      </c>
      <c r="C21" s="226" t="str">
        <f>IFERROR(IF(Base_de_donnée_clients!C21="","",Base_de_donnée_clients!C21),"")</f>
        <v/>
      </c>
      <c r="D21" s="238" t="str">
        <f>IFERROR(IF(OR(Synthese_Programme!M21="Réservé",Synthese_Programme!M21="Acté",Synthese_Programme!M21="réservé",Synthese_Programme!M21="acté"),Synthese_Programme!K21,""),"")</f>
        <v/>
      </c>
      <c r="E21" s="239" t="str">
        <f>IFERROR(IF(OR(Synthese_Programme!M21="Réservé",Synthese_Programme!M21="Acté",Synthese_Programme!M21="réservé",Synthese_Programme!M21="acté"),$D21*Parametres!E2,""),"")</f>
        <v/>
      </c>
      <c r="F21" s="240" t="str">
        <f>IFERROR(IF(Base_de_donnée_clients!J21="","",Base_de_donnée_clients!J21),"")</f>
        <v/>
      </c>
      <c r="G21" s="239" t="str">
        <f>IF($C21="","",IF(AND(Parametres!F3&lt;&gt;"",Synthese_Programme!M21="Acté"),$D21*Parametres!E3,""))</f>
        <v/>
      </c>
      <c r="H21" s="240"/>
      <c r="I21" s="239" t="str">
        <f>IF($C21="","",IF(AND(Parametres!F4&lt;&gt;"",Synthese_Programme!M21="Acté"),$D21*Parametres!E4,""))</f>
        <v/>
      </c>
      <c r="J21" s="240"/>
      <c r="K21" s="239" t="str">
        <f>IF($C21="","",IF(AND(Parametres!F5&lt;&gt;"",Synthese_Programme!M21="Acté"),$D21*Parametres!E5,""))</f>
        <v/>
      </c>
      <c r="L21" s="240"/>
      <c r="M21" s="239" t="str">
        <f>IF($C21="","",IF(AND(Parametres!F6&lt;&gt;"",Synthese_Programme!M21="Acté"),$D21*Parametres!E6,""))</f>
        <v/>
      </c>
      <c r="N21" s="240"/>
      <c r="O21" s="239" t="str">
        <f>IF($C21="","",IF(AND(Parametres!F7&lt;&gt;"",Synthese_Programme!M21="Acté"),$D21*Parametres!E7,""))</f>
        <v/>
      </c>
      <c r="P21" s="240"/>
      <c r="Q21" s="238" t="str">
        <f t="shared" si="2"/>
        <v/>
      </c>
      <c r="R21" s="238" t="str">
        <f t="shared" si="0"/>
        <v/>
      </c>
      <c r="S21" s="238" t="str">
        <f t="shared" si="1"/>
        <v/>
      </c>
    </row>
    <row r="22" spans="1:19" ht="24" customHeight="1" x14ac:dyDescent="0.45">
      <c r="A22" s="237" t="str">
        <f>IFERROR(IF(Base_de_donnée_clients!A22="","",Base_de_donnée_clients!A22),"")</f>
        <v/>
      </c>
      <c r="B22" s="226" t="str">
        <f>IFERROR(IF(Base_de_donnée_clients!B22="","",Base_de_donnée_clients!B22),"")</f>
        <v/>
      </c>
      <c r="C22" s="226" t="str">
        <f>IFERROR(IF(Base_de_donnée_clients!C22="","",Base_de_donnée_clients!C22),"")</f>
        <v/>
      </c>
      <c r="D22" s="238" t="str">
        <f>IFERROR(IF(OR(Synthese_Programme!M22="Réservé",Synthese_Programme!M22="Acté",Synthese_Programme!M22="réservé",Synthese_Programme!M22="acté"),Synthese_Programme!K22,""),"")</f>
        <v/>
      </c>
      <c r="E22" s="239" t="str">
        <f>IFERROR(IF(OR(Synthese_Programme!M22="Réservé",Synthese_Programme!M22="Acté",Synthese_Programme!M22="réservé",Synthese_Programme!M22="acté"),$D22*Parametres!E2,""),"")</f>
        <v/>
      </c>
      <c r="F22" s="240" t="str">
        <f>IFERROR(IF(Base_de_donnée_clients!J22="","",Base_de_donnée_clients!J22),"")</f>
        <v/>
      </c>
      <c r="G22" s="239" t="str">
        <f>IF($C22="","",IF(AND(Parametres!F3&lt;&gt;"",Synthese_Programme!M22="Acté"),$D22*Parametres!E3,""))</f>
        <v/>
      </c>
      <c r="H22" s="240"/>
      <c r="I22" s="239" t="str">
        <f>IF($C22="","",IF(AND(Parametres!F4&lt;&gt;"",Synthese_Programme!M22="Acté"),$D22*Parametres!E4,""))</f>
        <v/>
      </c>
      <c r="J22" s="240"/>
      <c r="K22" s="239" t="str">
        <f>IF($C22="","",IF(AND(Parametres!F5&lt;&gt;"",Synthese_Programme!M22="Acté"),$D22*Parametres!E5,""))</f>
        <v/>
      </c>
      <c r="L22" s="240"/>
      <c r="M22" s="239" t="str">
        <f>IF($C22="","",IF(AND(Parametres!F6&lt;&gt;"",Synthese_Programme!M22="Acté"),$D22*Parametres!E6,""))</f>
        <v/>
      </c>
      <c r="N22" s="240"/>
      <c r="O22" s="239" t="str">
        <f>IF($C22="","",IF(AND(Parametres!F7&lt;&gt;"",Synthese_Programme!M22="Acté"),$D22*Parametres!E7,""))</f>
        <v/>
      </c>
      <c r="P22" s="240"/>
      <c r="Q22" s="238" t="str">
        <f t="shared" si="2"/>
        <v/>
      </c>
      <c r="R22" s="238" t="str">
        <f t="shared" si="0"/>
        <v/>
      </c>
      <c r="S22" s="238" t="str">
        <f t="shared" si="1"/>
        <v/>
      </c>
    </row>
    <row r="23" spans="1:19" ht="24" customHeight="1" x14ac:dyDescent="0.45">
      <c r="A23" s="237" t="str">
        <f>IFERROR(IF(Base_de_donnée_clients!A23="","",Base_de_donnée_clients!A23),"")</f>
        <v/>
      </c>
      <c r="B23" s="226" t="str">
        <f>IFERROR(IF(Base_de_donnée_clients!B23="","",Base_de_donnée_clients!B23),"")</f>
        <v/>
      </c>
      <c r="C23" s="226" t="str">
        <f>IFERROR(IF(Base_de_donnée_clients!C23="","",Base_de_donnée_clients!C23),"")</f>
        <v/>
      </c>
      <c r="D23" s="238" t="str">
        <f>IFERROR(IF(OR(Synthese_Programme!M23="Réservé",Synthese_Programme!M23="Acté",Synthese_Programme!M23="réservé",Synthese_Programme!M23="acté"),Synthese_Programme!K23,""),"")</f>
        <v/>
      </c>
      <c r="E23" s="239" t="str">
        <f>IFERROR(IF(OR(Synthese_Programme!M23="Réservé",Synthese_Programme!M23="Acté",Synthese_Programme!M23="réservé",Synthese_Programme!M23="acté"),$D23*Parametres!E2,""),"")</f>
        <v/>
      </c>
      <c r="F23" s="240" t="str">
        <f>IFERROR(IF(Base_de_donnée_clients!J23="","",Base_de_donnée_clients!J23),"")</f>
        <v/>
      </c>
      <c r="G23" s="239" t="str">
        <f>IF($C23="","",IF(AND(Parametres!F3&lt;&gt;"",Synthese_Programme!M23="Acté"),$D23*Parametres!E3,""))</f>
        <v/>
      </c>
      <c r="H23" s="240"/>
      <c r="I23" s="239" t="str">
        <f>IF($C23="","",IF(AND(Parametres!F4&lt;&gt;"",Synthese_Programme!M23="Acté"),$D23*Parametres!E4,""))</f>
        <v/>
      </c>
      <c r="J23" s="240"/>
      <c r="K23" s="239" t="str">
        <f>IF($C23="","",IF(AND(Parametres!F5&lt;&gt;"",Synthese_Programme!M23="Acté"),$D23*Parametres!E5,""))</f>
        <v/>
      </c>
      <c r="L23" s="240"/>
      <c r="M23" s="239" t="str">
        <f>IF($C23="","",IF(AND(Parametres!F6&lt;&gt;"",Synthese_Programme!M23="Acté"),$D23*Parametres!E6,""))</f>
        <v/>
      </c>
      <c r="N23" s="240"/>
      <c r="O23" s="239" t="str">
        <f>IF($C23="","",IF(AND(Parametres!F7&lt;&gt;"",Synthese_Programme!M23="Acté"),$D23*Parametres!E7,""))</f>
        <v/>
      </c>
      <c r="P23" s="240"/>
      <c r="Q23" s="238" t="str">
        <f t="shared" si="2"/>
        <v/>
      </c>
      <c r="R23" s="238" t="str">
        <f t="shared" si="0"/>
        <v/>
      </c>
      <c r="S23" s="238" t="str">
        <f t="shared" si="1"/>
        <v/>
      </c>
    </row>
    <row r="24" spans="1:19" ht="24" customHeight="1" x14ac:dyDescent="0.45">
      <c r="A24" s="237" t="str">
        <f>IFERROR(IF(Base_de_donnée_clients!A24="","",Base_de_donnée_clients!A24),"")</f>
        <v/>
      </c>
      <c r="B24" s="226" t="str">
        <f>IFERROR(IF(Base_de_donnée_clients!B24="","",Base_de_donnée_clients!B24),"")</f>
        <v/>
      </c>
      <c r="C24" s="226" t="str">
        <f>IFERROR(IF(Base_de_donnée_clients!C24="","",Base_de_donnée_clients!C24),"")</f>
        <v/>
      </c>
      <c r="D24" s="238" t="str">
        <f>IFERROR(IF(OR(Synthese_Programme!M24="Réservé",Synthese_Programme!M24="Acté",Synthese_Programme!M24="réservé",Synthese_Programme!M24="acté"),Synthese_Programme!K24,""),"")</f>
        <v/>
      </c>
      <c r="E24" s="239" t="str">
        <f>IFERROR(IF(OR(Synthese_Programme!M24="Réservé",Synthese_Programme!M24="Acté",Synthese_Programme!M24="réservé",Synthese_Programme!M24="acté"),$D24*Parametres!E2,""),"")</f>
        <v/>
      </c>
      <c r="F24" s="240" t="str">
        <f>IFERROR(IF(Base_de_donnée_clients!J24="","",Base_de_donnée_clients!J24),"")</f>
        <v/>
      </c>
      <c r="G24" s="239" t="str">
        <f>IF($C24="","",IF(AND(Parametres!F3&lt;&gt;"",Synthese_Programme!M24="Acté"),$D24*Parametres!E3,""))</f>
        <v/>
      </c>
      <c r="H24" s="240"/>
      <c r="I24" s="239" t="str">
        <f>IF($C24="","",IF(AND(Parametres!F4&lt;&gt;"",Synthese_Programme!M24="Acté"),$D24*Parametres!E4,""))</f>
        <v/>
      </c>
      <c r="J24" s="240"/>
      <c r="K24" s="239" t="str">
        <f>IF($C24="","",IF(AND(Parametres!F5&lt;&gt;"",Synthese_Programme!M24="Acté"),$D24*Parametres!E5,""))</f>
        <v/>
      </c>
      <c r="L24" s="240"/>
      <c r="M24" s="239" t="str">
        <f>IF($C24="","",IF(AND(Parametres!F6&lt;&gt;"",Synthese_Programme!M24="Acté"),$D24*Parametres!E6,""))</f>
        <v/>
      </c>
      <c r="N24" s="240"/>
      <c r="O24" s="239" t="str">
        <f>IF($C24="","",IF(AND(Parametres!F7&lt;&gt;"",Synthese_Programme!M24="Acté"),$D24*Parametres!E7,""))</f>
        <v/>
      </c>
      <c r="P24" s="240"/>
      <c r="Q24" s="238" t="str">
        <f t="shared" si="2"/>
        <v/>
      </c>
      <c r="R24" s="238" t="str">
        <f t="shared" si="0"/>
        <v/>
      </c>
      <c r="S24" s="238" t="str">
        <f t="shared" si="1"/>
        <v/>
      </c>
    </row>
    <row r="25" spans="1:19" ht="24" customHeight="1" x14ac:dyDescent="0.45">
      <c r="A25" s="237" t="str">
        <f>IFERROR(IF(Base_de_donnée_clients!A25="","",Base_de_donnée_clients!A25),"")</f>
        <v/>
      </c>
      <c r="B25" s="226" t="str">
        <f>IFERROR(IF(Base_de_donnée_clients!B25="","",Base_de_donnée_clients!B25),"")</f>
        <v/>
      </c>
      <c r="C25" s="226" t="str">
        <f>IFERROR(IF(Base_de_donnée_clients!C25="","",Base_de_donnée_clients!C25),"")</f>
        <v/>
      </c>
      <c r="D25" s="238" t="str">
        <f>IFERROR(IF(OR(Synthese_Programme!M25="Réservé",Synthese_Programme!M25="Acté",Synthese_Programme!M25="réservé",Synthese_Programme!M25="acté"),Synthese_Programme!K25,""),"")</f>
        <v/>
      </c>
      <c r="E25" s="239" t="str">
        <f>IFERROR(IF(OR(Synthese_Programme!M25="Réservé",Synthese_Programme!M25="Acté",Synthese_Programme!M25="réservé",Synthese_Programme!M25="acté"),$D25*Parametres!E2,""),"")</f>
        <v/>
      </c>
      <c r="F25" s="240" t="str">
        <f>IFERROR(IF(Base_de_donnée_clients!J25="","",Base_de_donnée_clients!J25),"")</f>
        <v/>
      </c>
      <c r="G25" s="239" t="str">
        <f>IF($C25="","",IF(AND(Parametres!F3&lt;&gt;"",Synthese_Programme!M25="Acté"),$D25*Parametres!E3,""))</f>
        <v/>
      </c>
      <c r="H25" s="240"/>
      <c r="I25" s="239" t="str">
        <f>IF($C25="","",IF(AND(Parametres!F4&lt;&gt;"",Synthese_Programme!M25="Acté"),$D25*Parametres!E4,""))</f>
        <v/>
      </c>
      <c r="J25" s="240"/>
      <c r="K25" s="239" t="str">
        <f>IF($C25="","",IF(AND(Parametres!F5&lt;&gt;"",Synthese_Programme!M25="Acté"),$D25*Parametres!E5,""))</f>
        <v/>
      </c>
      <c r="L25" s="240"/>
      <c r="M25" s="239" t="str">
        <f>IF($C25="","",IF(AND(Parametres!F6&lt;&gt;"",Synthese_Programme!M25="Acté"),$D25*Parametres!E6,""))</f>
        <v/>
      </c>
      <c r="N25" s="240"/>
      <c r="O25" s="239" t="str">
        <f>IF($C25="","",IF(AND(Parametres!F7&lt;&gt;"",Synthese_Programme!M25="Acté"),$D25*Parametres!E7,""))</f>
        <v/>
      </c>
      <c r="P25" s="240"/>
      <c r="Q25" s="238" t="str">
        <f t="shared" si="2"/>
        <v/>
      </c>
      <c r="R25" s="238" t="str">
        <f t="shared" si="0"/>
        <v/>
      </c>
      <c r="S25" s="238" t="str">
        <f t="shared" si="1"/>
        <v/>
      </c>
    </row>
    <row r="26" spans="1:19" ht="24" customHeight="1" x14ac:dyDescent="0.45">
      <c r="A26" s="237" t="str">
        <f>IFERROR(IF(Base_de_donnée_clients!A26="","",Base_de_donnée_clients!A26),"")</f>
        <v/>
      </c>
      <c r="B26" s="226" t="str">
        <f>IFERROR(IF(Base_de_donnée_clients!B26="","",Base_de_donnée_clients!B26),"")</f>
        <v/>
      </c>
      <c r="C26" s="226" t="str">
        <f>IFERROR(IF(Base_de_donnée_clients!C26="","",Base_de_donnée_clients!C26),"")</f>
        <v/>
      </c>
      <c r="D26" s="238" t="str">
        <f>IFERROR(IF(OR(Synthese_Programme!M26="Réservé",Synthese_Programme!M26="Acté",Synthese_Programme!M26="réservé",Synthese_Programme!M26="acté"),Synthese_Programme!K26,""),"")</f>
        <v/>
      </c>
      <c r="E26" s="239" t="str">
        <f>IFERROR(IF(OR(Synthese_Programme!M26="Réservé",Synthese_Programme!M26="Acté",Synthese_Programme!M26="réservé",Synthese_Programme!M26="acté"),$D26*Parametres!E2,""),"")</f>
        <v/>
      </c>
      <c r="F26" s="240" t="str">
        <f>IFERROR(IF(Base_de_donnée_clients!J26="","",Base_de_donnée_clients!J26),"")</f>
        <v/>
      </c>
      <c r="G26" s="239" t="str">
        <f>IF($C26="","",IF(AND(Parametres!F3&lt;&gt;"",Synthese_Programme!M26="Acté"),$D26*Parametres!E3,""))</f>
        <v/>
      </c>
      <c r="H26" s="240"/>
      <c r="I26" s="239" t="str">
        <f>IF($C26="","",IF(AND(Parametres!F4&lt;&gt;"",Synthese_Programme!M26="Acté"),$D26*Parametres!E4,""))</f>
        <v/>
      </c>
      <c r="J26" s="240"/>
      <c r="K26" s="239" t="str">
        <f>IF($C26="","",IF(AND(Parametres!F5&lt;&gt;"",Synthese_Programme!M26="Acté"),$D26*Parametres!E5,""))</f>
        <v/>
      </c>
      <c r="L26" s="240"/>
      <c r="M26" s="239" t="str">
        <f>IF($C26="","",IF(AND(Parametres!F6&lt;&gt;"",Synthese_Programme!M26="Acté"),$D26*Parametres!E6,""))</f>
        <v/>
      </c>
      <c r="N26" s="240"/>
      <c r="O26" s="239" t="str">
        <f>IF($C26="","",IF(AND(Parametres!F7&lt;&gt;"",Synthese_Programme!M26="Acté"),$D26*Parametres!E7,""))</f>
        <v/>
      </c>
      <c r="P26" s="240"/>
      <c r="Q26" s="238" t="str">
        <f t="shared" si="2"/>
        <v/>
      </c>
      <c r="R26" s="238" t="str">
        <f t="shared" si="0"/>
        <v/>
      </c>
      <c r="S26" s="238" t="str">
        <f t="shared" si="1"/>
        <v/>
      </c>
    </row>
    <row r="27" spans="1:19" ht="24" customHeight="1" x14ac:dyDescent="0.45">
      <c r="A27" s="237" t="str">
        <f>IFERROR(IF(Base_de_donnée_clients!A27="","",Base_de_donnée_clients!A27),"")</f>
        <v/>
      </c>
      <c r="B27" s="226" t="str">
        <f>IFERROR(IF(Base_de_donnée_clients!B27="","",Base_de_donnée_clients!B27),"")</f>
        <v/>
      </c>
      <c r="C27" s="226" t="str">
        <f>IFERROR(IF(Base_de_donnée_clients!C27="","",Base_de_donnée_clients!C27),"")</f>
        <v/>
      </c>
      <c r="D27" s="238" t="str">
        <f>IFERROR(IF(OR(Synthese_Programme!M27="Réservé",Synthese_Programme!M27="Acté",Synthese_Programme!M27="réservé",Synthese_Programme!M27="acté"),Synthese_Programme!K27,""),"")</f>
        <v/>
      </c>
      <c r="E27" s="239" t="str">
        <f>IFERROR(IF(OR(Synthese_Programme!M27="Réservé",Synthese_Programme!M27="Acté",Synthese_Programme!M27="réservé",Synthese_Programme!M27="acté"),$D27*Parametres!E2,""),"")</f>
        <v/>
      </c>
      <c r="F27" s="240" t="str">
        <f>IFERROR(IF(Base_de_donnée_clients!J27="","",Base_de_donnée_clients!J27),"")</f>
        <v/>
      </c>
      <c r="G27" s="239" t="str">
        <f>IF($C27="","",IF(AND(Parametres!F3&lt;&gt;"",Synthese_Programme!M27="Acté"),$D27*Parametres!E3,""))</f>
        <v/>
      </c>
      <c r="H27" s="240"/>
      <c r="I27" s="239" t="str">
        <f>IF($C27="","",IF(AND(Parametres!F4&lt;&gt;"",Synthese_Programme!M27="Acté"),$D27*Parametres!E4,""))</f>
        <v/>
      </c>
      <c r="J27" s="240"/>
      <c r="K27" s="239" t="str">
        <f>IF($C27="","",IF(AND(Parametres!F5&lt;&gt;"",Synthese_Programme!M27="Acté"),$D27*Parametres!E5,""))</f>
        <v/>
      </c>
      <c r="L27" s="240"/>
      <c r="M27" s="239" t="str">
        <f>IF($C27="","",IF(AND(Parametres!F6&lt;&gt;"",Synthese_Programme!M27="Acté"),$D27*Parametres!E6,""))</f>
        <v/>
      </c>
      <c r="N27" s="240"/>
      <c r="O27" s="239" t="str">
        <f>IF($C27="","",IF(AND(Parametres!F7&lt;&gt;"",Synthese_Programme!M27="Acté"),$D27*Parametres!E7,""))</f>
        <v/>
      </c>
      <c r="P27" s="240"/>
      <c r="Q27" s="238" t="str">
        <f t="shared" si="2"/>
        <v/>
      </c>
      <c r="R27" s="238" t="str">
        <f t="shared" si="0"/>
        <v/>
      </c>
      <c r="S27" s="238" t="str">
        <f t="shared" si="1"/>
        <v/>
      </c>
    </row>
    <row r="28" spans="1:19" ht="24" customHeight="1" x14ac:dyDescent="0.45">
      <c r="A28" s="237" t="str">
        <f>IFERROR(IF(Base_de_donnée_clients!A28="","",Base_de_donnée_clients!A28),"")</f>
        <v/>
      </c>
      <c r="B28" s="226" t="str">
        <f>IFERROR(IF(Base_de_donnée_clients!B28="","",Base_de_donnée_clients!B28),"")</f>
        <v/>
      </c>
      <c r="C28" s="226" t="str">
        <f>IFERROR(IF(Base_de_donnée_clients!C28="","",Base_de_donnée_clients!C28),"")</f>
        <v/>
      </c>
      <c r="D28" s="238" t="str">
        <f>IFERROR(IF(OR(Synthese_Programme!M28="Réservé",Synthese_Programme!M28="Acté",Synthese_Programme!M28="réservé",Synthese_Programme!M28="acté"),Synthese_Programme!K28,""),"")</f>
        <v/>
      </c>
      <c r="E28" s="239" t="str">
        <f>IFERROR(IF(OR(Synthese_Programme!M28="Réservé",Synthese_Programme!M28="Acté",Synthese_Programme!M28="réservé",Synthese_Programme!M28="acté"),$D28*Parametres!E2,""),"")</f>
        <v/>
      </c>
      <c r="F28" s="240" t="str">
        <f>IFERROR(IF(Base_de_donnée_clients!J28="","",Base_de_donnée_clients!J28),"")</f>
        <v/>
      </c>
      <c r="G28" s="239" t="str">
        <f>IF($C28="","",IF(AND(Parametres!F3&lt;&gt;"",Synthese_Programme!M28="Acté"),$D28*Parametres!E3,""))</f>
        <v/>
      </c>
      <c r="H28" s="240"/>
      <c r="I28" s="239" t="str">
        <f>IF($C28="","",IF(AND(Parametres!F4&lt;&gt;"",Synthese_Programme!M28="Acté"),$D28*Parametres!E4,""))</f>
        <v/>
      </c>
      <c r="J28" s="240"/>
      <c r="K28" s="239" t="str">
        <f>IF($C28="","",IF(AND(Parametres!F5&lt;&gt;"",Synthese_Programme!M28="Acté"),$D28*Parametres!E5,""))</f>
        <v/>
      </c>
      <c r="L28" s="240"/>
      <c r="M28" s="239" t="str">
        <f>IF($C28="","",IF(AND(Parametres!F6&lt;&gt;"",Synthese_Programme!M28="Acté"),$D28*Parametres!E6,""))</f>
        <v/>
      </c>
      <c r="N28" s="240"/>
      <c r="O28" s="239" t="str">
        <f>IF($C28="","",IF(AND(Parametres!F7&lt;&gt;"",Synthese_Programme!M28="Acté"),$D28*Parametres!E7,""))</f>
        <v/>
      </c>
      <c r="P28" s="240"/>
      <c r="Q28" s="238" t="str">
        <f t="shared" si="2"/>
        <v/>
      </c>
      <c r="R28" s="238" t="str">
        <f t="shared" si="0"/>
        <v/>
      </c>
      <c r="S28" s="238" t="str">
        <f t="shared" si="1"/>
        <v/>
      </c>
    </row>
    <row r="29" spans="1:19" ht="24" customHeight="1" x14ac:dyDescent="0.45">
      <c r="A29" s="237" t="str">
        <f>IFERROR(IF(Base_de_donnée_clients!A29="","",Base_de_donnée_clients!A29),"")</f>
        <v/>
      </c>
      <c r="B29" s="226" t="str">
        <f>IFERROR(IF(Base_de_donnée_clients!B29="","",Base_de_donnée_clients!B29),"")</f>
        <v/>
      </c>
      <c r="C29" s="226" t="str">
        <f>IFERROR(IF(Base_de_donnée_clients!C29="","",Base_de_donnée_clients!C29),"")</f>
        <v/>
      </c>
      <c r="D29" s="238" t="str">
        <f>IFERROR(IF(OR(Synthese_Programme!M29="Réservé",Synthese_Programme!M29="Acté",Synthese_Programme!M29="réservé",Synthese_Programme!M29="acté"),Synthese_Programme!K29,""),"")</f>
        <v/>
      </c>
      <c r="E29" s="239" t="str">
        <f>IFERROR(IF(OR(Synthese_Programme!M29="Réservé",Synthese_Programme!M29="Acté",Synthese_Programme!M29="réservé",Synthese_Programme!M29="acté"),$D29*Parametres!E2,""),"")</f>
        <v/>
      </c>
      <c r="F29" s="240" t="str">
        <f>IFERROR(IF(Base_de_donnée_clients!J29="","",Base_de_donnée_clients!J29),"")</f>
        <v/>
      </c>
      <c r="G29" s="239" t="str">
        <f>IF($C29="","",IF(AND(Parametres!F3&lt;&gt;"",Synthese_Programme!M29="Acté"),$D29*Parametres!E3,""))</f>
        <v/>
      </c>
      <c r="H29" s="240"/>
      <c r="I29" s="239" t="str">
        <f>IF($C29="","",IF(AND(Parametres!F4&lt;&gt;"",Synthese_Programme!M29="Acté"),$D29*Parametres!E4,""))</f>
        <v/>
      </c>
      <c r="J29" s="240"/>
      <c r="K29" s="239" t="str">
        <f>IF($C29="","",IF(AND(Parametres!F5&lt;&gt;"",Synthese_Programme!M29="Acté"),$D29*Parametres!E5,""))</f>
        <v/>
      </c>
      <c r="L29" s="240"/>
      <c r="M29" s="239" t="str">
        <f>IF($C29="","",IF(AND(Parametres!F6&lt;&gt;"",Synthese_Programme!M29="Acté"),$D29*Parametres!E6,""))</f>
        <v/>
      </c>
      <c r="N29" s="240"/>
      <c r="O29" s="239" t="str">
        <f>IF($C29="","",IF(AND(Parametres!F7&lt;&gt;"",Synthese_Programme!M29="Acté"),$D29*Parametres!E7,""))</f>
        <v/>
      </c>
      <c r="P29" s="240"/>
      <c r="Q29" s="238" t="str">
        <f t="shared" si="2"/>
        <v/>
      </c>
      <c r="R29" s="238" t="str">
        <f t="shared" si="0"/>
        <v/>
      </c>
      <c r="S29" s="238" t="str">
        <f t="shared" si="1"/>
        <v/>
      </c>
    </row>
    <row r="30" spans="1:19" ht="24" customHeight="1" x14ac:dyDescent="0.45">
      <c r="A30" s="237" t="str">
        <f>IFERROR(IF(Base_de_donnée_clients!A30="","",Base_de_donnée_clients!A30),"")</f>
        <v/>
      </c>
      <c r="B30" s="226" t="str">
        <f>IFERROR(IF(Base_de_donnée_clients!B30="","",Base_de_donnée_clients!B30),"")</f>
        <v/>
      </c>
      <c r="C30" s="226" t="str">
        <f>IFERROR(IF(Base_de_donnée_clients!C30="","",Base_de_donnée_clients!C30),"")</f>
        <v/>
      </c>
      <c r="D30" s="238" t="str">
        <f>IFERROR(IF(OR(Synthese_Programme!M30="Réservé",Synthese_Programme!M30="Acté",Synthese_Programme!M30="réservé",Synthese_Programme!M30="acté"),Synthese_Programme!K30,""),"")</f>
        <v/>
      </c>
      <c r="E30" s="239" t="str">
        <f>IFERROR(IF(OR(Synthese_Programme!M30="Réservé",Synthese_Programme!M30="Acté",Synthese_Programme!M30="réservé",Synthese_Programme!M30="acté"),$D30*Parametres!E2,""),"")</f>
        <v/>
      </c>
      <c r="F30" s="240" t="str">
        <f>IFERROR(IF(Base_de_donnée_clients!J30="","",Base_de_donnée_clients!J30),"")</f>
        <v/>
      </c>
      <c r="G30" s="239" t="str">
        <f>IF($C30="","",IF(AND(Parametres!F3&lt;&gt;"",Synthese_Programme!M30="Acté"),$D30*Parametres!E3,""))</f>
        <v/>
      </c>
      <c r="H30" s="240"/>
      <c r="I30" s="239" t="str">
        <f>IF($C30="","",IF(AND(Parametres!F4&lt;&gt;"",Synthese_Programme!M30="Acté"),$D30*Parametres!E4,""))</f>
        <v/>
      </c>
      <c r="J30" s="240"/>
      <c r="K30" s="239" t="str">
        <f>IF($C30="","",IF(AND(Parametres!F5&lt;&gt;"",Synthese_Programme!M30="Acté"),$D30*Parametres!E5,""))</f>
        <v/>
      </c>
      <c r="L30" s="240"/>
      <c r="M30" s="239" t="str">
        <f>IF($C30="","",IF(AND(Parametres!F6&lt;&gt;"",Synthese_Programme!M30="Acté"),$D30*Parametres!E6,""))</f>
        <v/>
      </c>
      <c r="N30" s="240"/>
      <c r="O30" s="239" t="str">
        <f>IF($C30="","",IF(AND(Parametres!F7&lt;&gt;"",Synthese_Programme!M30="Acté"),$D30*Parametres!E7,""))</f>
        <v/>
      </c>
      <c r="P30" s="240"/>
      <c r="Q30" s="238" t="str">
        <f t="shared" si="2"/>
        <v/>
      </c>
      <c r="R30" s="238" t="str">
        <f t="shared" si="0"/>
        <v/>
      </c>
      <c r="S30" s="238" t="str">
        <f t="shared" si="1"/>
        <v/>
      </c>
    </row>
    <row r="31" spans="1:19" ht="24" customHeight="1" x14ac:dyDescent="0.45">
      <c r="A31" s="237" t="str">
        <f>IFERROR(IF(Base_de_donnée_clients!A31="","",Base_de_donnée_clients!A31),"")</f>
        <v/>
      </c>
      <c r="B31" s="226" t="str">
        <f>IFERROR(IF(Base_de_donnée_clients!B31="","",Base_de_donnée_clients!B31),"")</f>
        <v/>
      </c>
      <c r="C31" s="226" t="str">
        <f>IFERROR(IF(Base_de_donnée_clients!C31="","",Base_de_donnée_clients!C31),"")</f>
        <v/>
      </c>
      <c r="D31" s="238" t="str">
        <f>IFERROR(IF(OR(Synthese_Programme!M31="Réservé",Synthese_Programme!M31="Acté",Synthese_Programme!M31="réservé",Synthese_Programme!M31="acté"),Synthese_Programme!K31,""),"")</f>
        <v/>
      </c>
      <c r="E31" s="239" t="str">
        <f>IFERROR(IF(OR(Synthese_Programme!M31="Réservé",Synthese_Programme!M31="Acté",Synthese_Programme!M31="réservé",Synthese_Programme!M31="acté"),$D31*Parametres!E2,""),"")</f>
        <v/>
      </c>
      <c r="F31" s="240" t="str">
        <f>IFERROR(IF(Base_de_donnée_clients!J31="","",Base_de_donnée_clients!J31),"")</f>
        <v/>
      </c>
      <c r="G31" s="239" t="str">
        <f>IF($C31="","",IF(AND(Parametres!F3&lt;&gt;"",Synthese_Programme!M31="Acté"),$D31*Parametres!E3,""))</f>
        <v/>
      </c>
      <c r="H31" s="240"/>
      <c r="I31" s="239" t="str">
        <f>IF($C31="","",IF(AND(Parametres!F4&lt;&gt;"",Synthese_Programme!M31="Acté"),$D31*Parametres!E4,""))</f>
        <v/>
      </c>
      <c r="J31" s="240"/>
      <c r="K31" s="239" t="str">
        <f>IF($C31="","",IF(AND(Parametres!F5&lt;&gt;"",Synthese_Programme!M31="Acté"),$D31*Parametres!E5,""))</f>
        <v/>
      </c>
      <c r="L31" s="240"/>
      <c r="M31" s="239" t="str">
        <f>IF($C31="","",IF(AND(Parametres!F6&lt;&gt;"",Synthese_Programme!M31="Acté"),$D31*Parametres!E6,""))</f>
        <v/>
      </c>
      <c r="N31" s="240"/>
      <c r="O31" s="239" t="str">
        <f>IF($C31="","",IF(AND(Parametres!F7&lt;&gt;"",Synthese_Programme!M31="Acté"),$D31*Parametres!E7,""))</f>
        <v/>
      </c>
      <c r="P31" s="240"/>
      <c r="Q31" s="238" t="str">
        <f t="shared" si="2"/>
        <v/>
      </c>
      <c r="R31" s="238" t="str">
        <f t="shared" si="0"/>
        <v/>
      </c>
      <c r="S31" s="238" t="str">
        <f t="shared" si="1"/>
        <v/>
      </c>
    </row>
    <row r="32" spans="1:19" ht="24" customHeight="1" x14ac:dyDescent="0.45">
      <c r="A32" s="237" t="str">
        <f>IFERROR(IF(Base_de_donnée_clients!A32="","",Base_de_donnée_clients!A32),"")</f>
        <v/>
      </c>
      <c r="B32" s="226" t="str">
        <f>IFERROR(IF(Base_de_donnée_clients!B32="","",Base_de_donnée_clients!B32),"")</f>
        <v/>
      </c>
      <c r="C32" s="226" t="str">
        <f>IFERROR(IF(Base_de_donnée_clients!C32="","",Base_de_donnée_clients!C32),"")</f>
        <v/>
      </c>
      <c r="D32" s="238" t="str">
        <f>IFERROR(IF(OR(Synthese_Programme!M32="Réservé",Synthese_Programme!M32="Acté",Synthese_Programme!M32="réservé",Synthese_Programme!M32="acté"),Synthese_Programme!K32,""),"")</f>
        <v/>
      </c>
      <c r="E32" s="239" t="str">
        <f>IFERROR(IF(OR(Synthese_Programme!M32="Réservé",Synthese_Programme!M32="Acté",Synthese_Programme!M32="réservé",Synthese_Programme!M32="acté"),$D32*Parametres!E2,""),"")</f>
        <v/>
      </c>
      <c r="F32" s="240" t="str">
        <f>IFERROR(IF(Base_de_donnée_clients!J32="","",Base_de_donnée_clients!J32),"")</f>
        <v/>
      </c>
      <c r="G32" s="239" t="str">
        <f>IF($C32="","",IF(AND(Parametres!F3&lt;&gt;"",Synthese_Programme!M32="Acté"),$D32*Parametres!E3,""))</f>
        <v/>
      </c>
      <c r="H32" s="240"/>
      <c r="I32" s="239" t="str">
        <f>IF($C32="","",IF(AND(Parametres!F4&lt;&gt;"",Synthese_Programme!M32="Acté"),$D32*Parametres!E4,""))</f>
        <v/>
      </c>
      <c r="J32" s="240"/>
      <c r="K32" s="239" t="str">
        <f>IF($C32="","",IF(AND(Parametres!F5&lt;&gt;"",Synthese_Programme!M32="Acté"),$D32*Parametres!E5,""))</f>
        <v/>
      </c>
      <c r="L32" s="240"/>
      <c r="M32" s="239" t="str">
        <f>IF($C32="","",IF(AND(Parametres!F6&lt;&gt;"",Synthese_Programme!M32="Acté"),$D32*Parametres!E6,""))</f>
        <v/>
      </c>
      <c r="N32" s="240"/>
      <c r="O32" s="239" t="str">
        <f>IF($C32="","",IF(AND(Parametres!F7&lt;&gt;"",Synthese_Programme!M32="Acté"),$D32*Parametres!E7,""))</f>
        <v/>
      </c>
      <c r="P32" s="240"/>
      <c r="Q32" s="238" t="str">
        <f t="shared" si="2"/>
        <v/>
      </c>
      <c r="R32" s="238" t="str">
        <f t="shared" si="0"/>
        <v/>
      </c>
      <c r="S32" s="238" t="str">
        <f t="shared" si="1"/>
        <v/>
      </c>
    </row>
    <row r="33" spans="1:19" ht="24" customHeight="1" x14ac:dyDescent="0.45">
      <c r="A33" s="237" t="str">
        <f>IFERROR(IF(Base_de_donnée_clients!A33="","",Base_de_donnée_clients!A33),"")</f>
        <v/>
      </c>
      <c r="B33" s="226" t="str">
        <f>IFERROR(IF(Base_de_donnée_clients!B33="","",Base_de_donnée_clients!B33),"")</f>
        <v/>
      </c>
      <c r="C33" s="226" t="str">
        <f>IFERROR(IF(Base_de_donnée_clients!C33="","",Base_de_donnée_clients!C33),"")</f>
        <v/>
      </c>
      <c r="D33" s="238" t="str">
        <f>IFERROR(IF(OR(Synthese_Programme!M33="Réservé",Synthese_Programme!M33="Acté",Synthese_Programme!M33="réservé",Synthese_Programme!M33="acté"),Synthese_Programme!K33,""),"")</f>
        <v/>
      </c>
      <c r="E33" s="239" t="str">
        <f>IFERROR(IF(OR(Synthese_Programme!M33="Réservé",Synthese_Programme!M33="Acté",Synthese_Programme!M33="réservé",Synthese_Programme!M33="acté"),$D33*Parametres!E2,""),"")</f>
        <v/>
      </c>
      <c r="F33" s="240" t="str">
        <f>IFERROR(IF(Base_de_donnée_clients!J33="","",Base_de_donnée_clients!J33),"")</f>
        <v/>
      </c>
      <c r="G33" s="239" t="str">
        <f>IF($C33="","",IF(AND(Parametres!F3&lt;&gt;"",Synthese_Programme!M33="Acté"),$D33*Parametres!E3,""))</f>
        <v/>
      </c>
      <c r="H33" s="240"/>
      <c r="I33" s="239" t="str">
        <f>IF($C33="","",IF(AND(Parametres!F4&lt;&gt;"",Synthese_Programme!M33="Acté"),$D33*Parametres!E4,""))</f>
        <v/>
      </c>
      <c r="J33" s="240"/>
      <c r="K33" s="239" t="str">
        <f>IF($C33="","",IF(AND(Parametres!F5&lt;&gt;"",Synthese_Programme!M33="Acté"),$D33*Parametres!E5,""))</f>
        <v/>
      </c>
      <c r="L33" s="240"/>
      <c r="M33" s="239" t="str">
        <f>IF($C33="","",IF(AND(Parametres!F6&lt;&gt;"",Synthese_Programme!M33="Acté"),$D33*Parametres!E6,""))</f>
        <v/>
      </c>
      <c r="N33" s="240"/>
      <c r="O33" s="239" t="str">
        <f>IF($C33="","",IF(AND(Parametres!F7&lt;&gt;"",Synthese_Programme!M33="Acté"),$D33*Parametres!E7,""))</f>
        <v/>
      </c>
      <c r="P33" s="240"/>
      <c r="Q33" s="238" t="str">
        <f t="shared" si="2"/>
        <v/>
      </c>
      <c r="R33" s="238" t="str">
        <f t="shared" si="0"/>
        <v/>
      </c>
      <c r="S33" s="238" t="str">
        <f t="shared" si="1"/>
        <v/>
      </c>
    </row>
    <row r="34" spans="1:19" ht="24" customHeight="1" x14ac:dyDescent="0.45">
      <c r="A34" s="237" t="str">
        <f>IFERROR(IF(Base_de_donnée_clients!A34="","",Base_de_donnée_clients!A34),"")</f>
        <v/>
      </c>
      <c r="B34" s="226" t="str">
        <f>IFERROR(IF(Base_de_donnée_clients!B34="","",Base_de_donnée_clients!B34),"")</f>
        <v/>
      </c>
      <c r="C34" s="226" t="str">
        <f>IFERROR(IF(Base_de_donnée_clients!C34="","",Base_de_donnée_clients!C34),"")</f>
        <v/>
      </c>
      <c r="D34" s="238" t="str">
        <f>IFERROR(IF(OR(Synthese_Programme!M34="Réservé",Synthese_Programme!M34="Acté",Synthese_Programme!M34="réservé",Synthese_Programme!M34="acté"),Synthese_Programme!K34,""),"")</f>
        <v/>
      </c>
      <c r="E34" s="239" t="str">
        <f>IFERROR(IF(OR(Synthese_Programme!M34="Réservé",Synthese_Programme!M34="Acté",Synthese_Programme!M34="réservé",Synthese_Programme!M34="acté"),$D34*Parametres!E2,""),"")</f>
        <v/>
      </c>
      <c r="F34" s="240" t="str">
        <f>IFERROR(IF(Base_de_donnée_clients!J34="","",Base_de_donnée_clients!J34),"")</f>
        <v/>
      </c>
      <c r="G34" s="239" t="str">
        <f>IF($C34="","",IF(AND(Parametres!F3&lt;&gt;"",Synthese_Programme!M34="Acté"),$D34*Parametres!E3,""))</f>
        <v/>
      </c>
      <c r="H34" s="240"/>
      <c r="I34" s="239" t="str">
        <f>IF($C34="","",IF(AND(Parametres!F4&lt;&gt;"",Synthese_Programme!M34="Acté"),$D34*Parametres!E4,""))</f>
        <v/>
      </c>
      <c r="J34" s="240"/>
      <c r="K34" s="239" t="str">
        <f>IF($C34="","",IF(AND(Parametres!F5&lt;&gt;"",Synthese_Programme!M34="Acté"),$D34*Parametres!E5,""))</f>
        <v/>
      </c>
      <c r="L34" s="240"/>
      <c r="M34" s="239" t="str">
        <f>IF($C34="","",IF(AND(Parametres!F6&lt;&gt;"",Synthese_Programme!M34="Acté"),$D34*Parametres!E6,""))</f>
        <v/>
      </c>
      <c r="N34" s="240"/>
      <c r="O34" s="239" t="str">
        <f>IF($C34="","",IF(AND(Parametres!F7&lt;&gt;"",Synthese_Programme!M34="Acté"),$D34*Parametres!E7,""))</f>
        <v/>
      </c>
      <c r="P34" s="240"/>
      <c r="Q34" s="238" t="str">
        <f t="shared" si="2"/>
        <v/>
      </c>
      <c r="R34" s="238" t="str">
        <f t="shared" si="0"/>
        <v/>
      </c>
      <c r="S34" s="238" t="str">
        <f t="shared" si="1"/>
        <v/>
      </c>
    </row>
    <row r="35" spans="1:19" ht="24" customHeight="1" x14ac:dyDescent="0.45">
      <c r="A35" s="237" t="str">
        <f>IFERROR(IF(Base_de_donnée_clients!A35="","",Base_de_donnée_clients!A35),"")</f>
        <v/>
      </c>
      <c r="B35" s="226" t="str">
        <f>IFERROR(IF(Base_de_donnée_clients!B35="","",Base_de_donnée_clients!B35),"")</f>
        <v/>
      </c>
      <c r="C35" s="226" t="str">
        <f>IFERROR(IF(Base_de_donnée_clients!C35="","",Base_de_donnée_clients!C35),"")</f>
        <v/>
      </c>
      <c r="D35" s="238" t="str">
        <f>IFERROR(IF(OR(Synthese_Programme!M35="Réservé",Synthese_Programme!M35="Acté",Synthese_Programme!M35="réservé",Synthese_Programme!M35="acté"),Synthese_Programme!K35,""),"")</f>
        <v/>
      </c>
      <c r="E35" s="239" t="str">
        <f>IFERROR(IF(OR(Synthese_Programme!M35="Réservé",Synthese_Programme!M35="Acté",Synthese_Programme!M35="réservé",Synthese_Programme!M35="acté"),$D35*Parametres!E2,""),"")</f>
        <v/>
      </c>
      <c r="F35" s="240" t="str">
        <f>IFERROR(IF(Base_de_donnée_clients!J35="","",Base_de_donnée_clients!J35),"")</f>
        <v/>
      </c>
      <c r="G35" s="239" t="str">
        <f>IF($C35="","",IF(AND(Parametres!F3&lt;&gt;"",Synthese_Programme!M35="Acté"),$D35*Parametres!E3,""))</f>
        <v/>
      </c>
      <c r="H35" s="240"/>
      <c r="I35" s="239" t="str">
        <f>IF($C35="","",IF(AND(Parametres!F4&lt;&gt;"",Synthese_Programme!M35="Acté"),$D35*Parametres!E4,""))</f>
        <v/>
      </c>
      <c r="J35" s="240"/>
      <c r="K35" s="239" t="str">
        <f>IF($C35="","",IF(AND(Parametres!F5&lt;&gt;"",Synthese_Programme!M35="Acté"),$D35*Parametres!E5,""))</f>
        <v/>
      </c>
      <c r="L35" s="240"/>
      <c r="M35" s="239" t="str">
        <f>IF($C35="","",IF(AND(Parametres!F6&lt;&gt;"",Synthese_Programme!M35="Acté"),$D35*Parametres!E6,""))</f>
        <v/>
      </c>
      <c r="N35" s="240"/>
      <c r="O35" s="239" t="str">
        <f>IF($C35="","",IF(AND(Parametres!F7&lt;&gt;"",Synthese_Programme!M35="Acté"),$D35*Parametres!E7,""))</f>
        <v/>
      </c>
      <c r="P35" s="240"/>
      <c r="Q35" s="238" t="str">
        <f t="shared" si="2"/>
        <v/>
      </c>
      <c r="R35" s="238" t="str">
        <f t="shared" si="0"/>
        <v/>
      </c>
      <c r="S35" s="238" t="str">
        <f t="shared" si="1"/>
        <v/>
      </c>
    </row>
    <row r="36" spans="1:19" ht="24" customHeight="1" x14ac:dyDescent="0.45">
      <c r="A36" s="237" t="str">
        <f>IFERROR(IF(Base_de_donnée_clients!A36="","",Base_de_donnée_clients!A36),"")</f>
        <v/>
      </c>
      <c r="B36" s="226" t="str">
        <f>IFERROR(IF(Base_de_donnée_clients!B36="","",Base_de_donnée_clients!B36),"")</f>
        <v/>
      </c>
      <c r="C36" s="226" t="str">
        <f>IFERROR(IF(Base_de_donnée_clients!C36="","",Base_de_donnée_clients!C36),"")</f>
        <v/>
      </c>
      <c r="D36" s="238" t="str">
        <f>IFERROR(IF(OR(Synthese_Programme!M36="Réservé",Synthese_Programme!M36="Acté",Synthese_Programme!M36="réservé",Synthese_Programme!M36="acté"),Synthese_Programme!K36,""),"")</f>
        <v/>
      </c>
      <c r="E36" s="239" t="str">
        <f>IFERROR(IF(OR(Synthese_Programme!M36="Réservé",Synthese_Programme!M36="Acté",Synthese_Programme!M36="réservé",Synthese_Programme!M36="acté"),$D36*Parametres!E2,""),"")</f>
        <v/>
      </c>
      <c r="F36" s="240" t="str">
        <f>IFERROR(IF(Base_de_donnée_clients!J36="","",Base_de_donnée_clients!J36),"")</f>
        <v/>
      </c>
      <c r="G36" s="239" t="str">
        <f>IF($C36="","",IF(AND(Parametres!F3&lt;&gt;"",Synthese_Programme!M36="Acté"),$D36*Parametres!E3,""))</f>
        <v/>
      </c>
      <c r="H36" s="240"/>
      <c r="I36" s="239" t="str">
        <f>IF($C36="","",IF(AND(Parametres!F4&lt;&gt;"",Synthese_Programme!M36="Acté"),$D36*Parametres!E4,""))</f>
        <v/>
      </c>
      <c r="J36" s="240"/>
      <c r="K36" s="239" t="str">
        <f>IF($C36="","",IF(AND(Parametres!F5&lt;&gt;"",Synthese_Programme!M36="Acté"),$D36*Parametres!E5,""))</f>
        <v/>
      </c>
      <c r="L36" s="240"/>
      <c r="M36" s="239" t="str">
        <f>IF($C36="","",IF(AND(Parametres!F6&lt;&gt;"",Synthese_Programme!M36="Acté"),$D36*Parametres!E6,""))</f>
        <v/>
      </c>
      <c r="N36" s="240"/>
      <c r="O36" s="239" t="str">
        <f>IF($C36="","",IF(AND(Parametres!F7&lt;&gt;"",Synthese_Programme!M36="Acté"),$D36*Parametres!E7,""))</f>
        <v/>
      </c>
      <c r="P36" s="240"/>
      <c r="Q36" s="238" t="str">
        <f t="shared" si="2"/>
        <v/>
      </c>
      <c r="R36" s="238" t="str">
        <f t="shared" si="0"/>
        <v/>
      </c>
      <c r="S36" s="238" t="str">
        <f t="shared" si="1"/>
        <v/>
      </c>
    </row>
    <row r="37" spans="1:19" ht="24" customHeight="1" x14ac:dyDescent="0.45">
      <c r="A37" s="237" t="str">
        <f>IFERROR(IF(Base_de_donnée_clients!A37="","",Base_de_donnée_clients!A37),"")</f>
        <v/>
      </c>
      <c r="B37" s="226" t="str">
        <f>IFERROR(IF(Base_de_donnée_clients!B37="","",Base_de_donnée_clients!B37),"")</f>
        <v/>
      </c>
      <c r="C37" s="226" t="str">
        <f>IFERROR(IF(Base_de_donnée_clients!C37="","",Base_de_donnée_clients!C37),"")</f>
        <v/>
      </c>
      <c r="D37" s="238" t="str">
        <f>IFERROR(IF(OR(Synthese_Programme!M37="Réservé",Synthese_Programme!M37="Acté",Synthese_Programme!M37="réservé",Synthese_Programme!M37="acté"),Synthese_Programme!K37,""),"")</f>
        <v/>
      </c>
      <c r="E37" s="239" t="str">
        <f>IFERROR(IF(OR(Synthese_Programme!M37="Réservé",Synthese_Programme!M37="Acté",Synthese_Programme!M37="réservé",Synthese_Programme!M37="acté"),$D37*Parametres!E2,""),"")</f>
        <v/>
      </c>
      <c r="F37" s="240" t="str">
        <f>IFERROR(IF(Base_de_donnée_clients!J37="","",Base_de_donnée_clients!J37),"")</f>
        <v/>
      </c>
      <c r="G37" s="239" t="str">
        <f>IF($C37="","",IF(AND(Parametres!F3&lt;&gt;"",Synthese_Programme!M37="Acté"),$D37*Parametres!E3,""))</f>
        <v/>
      </c>
      <c r="H37" s="240"/>
      <c r="I37" s="239" t="str">
        <f>IF($C37="","",IF(AND(Parametres!F4&lt;&gt;"",Synthese_Programme!M37="Acté"),$D37*Parametres!E4,""))</f>
        <v/>
      </c>
      <c r="J37" s="240"/>
      <c r="K37" s="239" t="str">
        <f>IF($C37="","",IF(AND(Parametres!F5&lt;&gt;"",Synthese_Programme!M37="Acté"),$D37*Parametres!E5,""))</f>
        <v/>
      </c>
      <c r="L37" s="240"/>
      <c r="M37" s="239" t="str">
        <f>IF($C37="","",IF(AND(Parametres!F6&lt;&gt;"",Synthese_Programme!M37="Acté"),$D37*Parametres!E6,""))</f>
        <v/>
      </c>
      <c r="N37" s="240"/>
      <c r="O37" s="239" t="str">
        <f>IF($C37="","",IF(AND(Parametres!F7&lt;&gt;"",Synthese_Programme!M37="Acté"),$D37*Parametres!E7,""))</f>
        <v/>
      </c>
      <c r="P37" s="240"/>
      <c r="Q37" s="238" t="str">
        <f t="shared" si="2"/>
        <v/>
      </c>
      <c r="R37" s="238" t="str">
        <f t="shared" si="0"/>
        <v/>
      </c>
      <c r="S37" s="238" t="str">
        <f t="shared" si="1"/>
        <v/>
      </c>
    </row>
    <row r="38" spans="1:19" ht="24" customHeight="1" x14ac:dyDescent="0.45">
      <c r="A38" s="237" t="str">
        <f>IFERROR(IF(Base_de_donnée_clients!A38="","",Base_de_donnée_clients!A38),"")</f>
        <v/>
      </c>
      <c r="B38" s="226" t="str">
        <f>IFERROR(IF(Base_de_donnée_clients!B38="","",Base_de_donnée_clients!B38),"")</f>
        <v/>
      </c>
      <c r="C38" s="226" t="str">
        <f>IFERROR(IF(Base_de_donnée_clients!C38="","",Base_de_donnée_clients!C38),"")</f>
        <v/>
      </c>
      <c r="D38" s="238" t="str">
        <f>IFERROR(IF(OR(Synthese_Programme!M38="Réservé",Synthese_Programme!M38="Acté",Synthese_Programme!M38="réservé",Synthese_Programme!M38="acté"),Synthese_Programme!K38,""),"")</f>
        <v/>
      </c>
      <c r="E38" s="239" t="str">
        <f>IFERROR(IF(OR(Synthese_Programme!M38="Réservé",Synthese_Programme!M38="Acté",Synthese_Programme!M38="réservé",Synthese_Programme!M38="acté"),$D38*Parametres!E2,""),"")</f>
        <v/>
      </c>
      <c r="F38" s="240" t="str">
        <f>IFERROR(IF(Base_de_donnée_clients!J38="","",Base_de_donnée_clients!J38),"")</f>
        <v/>
      </c>
      <c r="G38" s="239" t="str">
        <f>IF($C38="","",IF(AND(Parametres!F3&lt;&gt;"",Synthese_Programme!M38="Acté"),$D38*Parametres!E3,""))</f>
        <v/>
      </c>
      <c r="H38" s="240"/>
      <c r="I38" s="239" t="str">
        <f>IF($C38="","",IF(AND(Parametres!F4&lt;&gt;"",Synthese_Programme!M38="Acté"),$D38*Parametres!E4,""))</f>
        <v/>
      </c>
      <c r="J38" s="240"/>
      <c r="K38" s="239" t="str">
        <f>IF($C38="","",IF(AND(Parametres!F5&lt;&gt;"",Synthese_Programme!M38="Acté"),$D38*Parametres!E5,""))</f>
        <v/>
      </c>
      <c r="L38" s="240"/>
      <c r="M38" s="239" t="str">
        <f>IF($C38="","",IF(AND(Parametres!F6&lt;&gt;"",Synthese_Programme!M38="Acté"),$D38*Parametres!E6,""))</f>
        <v/>
      </c>
      <c r="N38" s="240"/>
      <c r="O38" s="239" t="str">
        <f>IF($C38="","",IF(AND(Parametres!F7&lt;&gt;"",Synthese_Programme!M38="Acté"),$D38*Parametres!E7,""))</f>
        <v/>
      </c>
      <c r="P38" s="240"/>
      <c r="Q38" s="238" t="str">
        <f t="shared" si="2"/>
        <v/>
      </c>
      <c r="R38" s="238" t="str">
        <f t="shared" si="0"/>
        <v/>
      </c>
      <c r="S38" s="238" t="str">
        <f t="shared" si="1"/>
        <v/>
      </c>
    </row>
    <row r="39" spans="1:19" ht="24" customHeight="1" x14ac:dyDescent="0.45">
      <c r="A39" s="237" t="str">
        <f>IFERROR(IF(Base_de_donnée_clients!A39="","",Base_de_donnée_clients!A39),"")</f>
        <v/>
      </c>
      <c r="B39" s="226" t="str">
        <f>IFERROR(IF(Base_de_donnée_clients!B39="","",Base_de_donnée_clients!B39),"")</f>
        <v/>
      </c>
      <c r="C39" s="226" t="str">
        <f>IFERROR(IF(Base_de_donnée_clients!C39="","",Base_de_donnée_clients!C39),"")</f>
        <v/>
      </c>
      <c r="D39" s="238" t="str">
        <f>IFERROR(IF(OR(Synthese_Programme!M39="Réservé",Synthese_Programme!M39="Acté",Synthese_Programme!M39="réservé",Synthese_Programme!M39="acté"),Synthese_Programme!K39,""),"")</f>
        <v/>
      </c>
      <c r="E39" s="239" t="str">
        <f>IFERROR(IF(OR(Synthese_Programme!M39="Réservé",Synthese_Programme!M39="Acté",Synthese_Programme!M39="réservé",Synthese_Programme!M39="acté"),$D39*Parametres!E2,""),"")</f>
        <v/>
      </c>
      <c r="F39" s="240" t="str">
        <f>IFERROR(IF(Base_de_donnée_clients!J39="","",Base_de_donnée_clients!J39),"")</f>
        <v/>
      </c>
      <c r="G39" s="239" t="str">
        <f>IF($C39="","",IF(AND(Parametres!F3&lt;&gt;"",Synthese_Programme!M39="Acté"),$D39*Parametres!E3,""))</f>
        <v/>
      </c>
      <c r="H39" s="240"/>
      <c r="I39" s="239" t="str">
        <f>IF($C39="","",IF(AND(Parametres!F4&lt;&gt;"",Synthese_Programme!M39="Acté"),$D39*Parametres!E4,""))</f>
        <v/>
      </c>
      <c r="J39" s="240"/>
      <c r="K39" s="239" t="str">
        <f>IF($C39="","",IF(AND(Parametres!F5&lt;&gt;"",Synthese_Programme!M39="Acté"),$D39*Parametres!E5,""))</f>
        <v/>
      </c>
      <c r="L39" s="240"/>
      <c r="M39" s="239" t="str">
        <f>IF($C39="","",IF(AND(Parametres!F6&lt;&gt;"",Synthese_Programme!M39="Acté"),$D39*Parametres!E6,""))</f>
        <v/>
      </c>
      <c r="N39" s="240"/>
      <c r="O39" s="239" t="str">
        <f>IF($C39="","",IF(AND(Parametres!F7&lt;&gt;"",Synthese_Programme!M39="Acté"),$D39*Parametres!E7,""))</f>
        <v/>
      </c>
      <c r="P39" s="240"/>
      <c r="Q39" s="238" t="str">
        <f t="shared" si="2"/>
        <v/>
      </c>
      <c r="R39" s="238" t="str">
        <f t="shared" si="0"/>
        <v/>
      </c>
      <c r="S39" s="238" t="str">
        <f t="shared" si="1"/>
        <v/>
      </c>
    </row>
    <row r="40" spans="1:19" ht="24" customHeight="1" x14ac:dyDescent="0.45">
      <c r="A40" s="237" t="str">
        <f>IFERROR(IF(Base_de_donnée_clients!A40="","",Base_de_donnée_clients!A40),"")</f>
        <v/>
      </c>
      <c r="B40" s="226" t="str">
        <f>IFERROR(IF(Base_de_donnée_clients!B40="","",Base_de_donnée_clients!B40),"")</f>
        <v/>
      </c>
      <c r="C40" s="226" t="str">
        <f>IFERROR(IF(Base_de_donnée_clients!C40="","",Base_de_donnée_clients!C40),"")</f>
        <v/>
      </c>
      <c r="D40" s="238" t="str">
        <f>IFERROR(IF(OR(Synthese_Programme!M40="Réservé",Synthese_Programme!M40="Acté",Synthese_Programme!M40="réservé",Synthese_Programme!M40="acté"),Synthese_Programme!K40,""),"")</f>
        <v/>
      </c>
      <c r="E40" s="239" t="str">
        <f>IFERROR(IF(OR(Synthese_Programme!M40="Réservé",Synthese_Programme!M40="Acté",Synthese_Programme!M40="réservé",Synthese_Programme!M40="acté"),$D40*Parametres!E2,""),"")</f>
        <v/>
      </c>
      <c r="F40" s="240" t="str">
        <f>IFERROR(IF(Base_de_donnée_clients!J40="","",Base_de_donnée_clients!J40),"")</f>
        <v/>
      </c>
      <c r="G40" s="239" t="str">
        <f>IF($C40="","",IF(AND(Parametres!F3&lt;&gt;"",Synthese_Programme!M40="Acté"),$D40*Parametres!E3,""))</f>
        <v/>
      </c>
      <c r="H40" s="240"/>
      <c r="I40" s="239" t="str">
        <f>IF($C40="","",IF(AND(Parametres!F4&lt;&gt;"",Synthese_Programme!M40="Acté"),$D40*Parametres!E4,""))</f>
        <v/>
      </c>
      <c r="J40" s="240"/>
      <c r="K40" s="239" t="str">
        <f>IF($C40="","",IF(AND(Parametres!F5&lt;&gt;"",Synthese_Programme!M40="Acté"),$D40*Parametres!E5,""))</f>
        <v/>
      </c>
      <c r="L40" s="240"/>
      <c r="M40" s="239" t="str">
        <f>IF($C40="","",IF(AND(Parametres!F6&lt;&gt;"",Synthese_Programme!M40="Acté"),$D40*Parametres!E6,""))</f>
        <v/>
      </c>
      <c r="N40" s="240"/>
      <c r="O40" s="239" t="str">
        <f>IF($C40="","",IF(AND(Parametres!F7&lt;&gt;"",Synthese_Programme!M40="Acté"),$D40*Parametres!E7,""))</f>
        <v/>
      </c>
      <c r="P40" s="240"/>
      <c r="Q40" s="238" t="str">
        <f t="shared" si="2"/>
        <v/>
      </c>
      <c r="R40" s="238" t="str">
        <f t="shared" si="0"/>
        <v/>
      </c>
      <c r="S40" s="238" t="str">
        <f t="shared" si="1"/>
        <v/>
      </c>
    </row>
    <row r="41" spans="1:19" ht="24" customHeight="1" x14ac:dyDescent="0.45">
      <c r="A41" s="237" t="str">
        <f>IFERROR(IF(Base_de_donnée_clients!A41="","",Base_de_donnée_clients!A41),"")</f>
        <v/>
      </c>
      <c r="B41" s="226" t="str">
        <f>IFERROR(IF(Base_de_donnée_clients!B41="","",Base_de_donnée_clients!B41),"")</f>
        <v/>
      </c>
      <c r="C41" s="226" t="str">
        <f>IFERROR(IF(Base_de_donnée_clients!C41="","",Base_de_donnée_clients!C41),"")</f>
        <v/>
      </c>
      <c r="D41" s="238" t="str">
        <f>IFERROR(IF(OR(Synthese_Programme!M41="Réservé",Synthese_Programme!M41="Acté",Synthese_Programme!M41="réservé",Synthese_Programme!M41="acté"),Synthese_Programme!K41,""),"")</f>
        <v/>
      </c>
      <c r="E41" s="239" t="str">
        <f>IFERROR(IF(OR(Synthese_Programme!M41="Réservé",Synthese_Programme!M41="Acté",Synthese_Programme!M41="réservé",Synthese_Programme!M41="acté"),$D41*Parametres!E2,""),"")</f>
        <v/>
      </c>
      <c r="F41" s="240" t="str">
        <f>IFERROR(IF(Base_de_donnée_clients!J41="","",Base_de_donnée_clients!J41),"")</f>
        <v/>
      </c>
      <c r="G41" s="239" t="str">
        <f>IF($C41="","",IF(AND(Parametres!F3&lt;&gt;"",Synthese_Programme!M41="Acté"),$D41*Parametres!E3,""))</f>
        <v/>
      </c>
      <c r="H41" s="240"/>
      <c r="I41" s="239" t="str">
        <f>IF($C41="","",IF(AND(Parametres!F4&lt;&gt;"",Synthese_Programme!M41="Acté"),$D41*Parametres!E4,""))</f>
        <v/>
      </c>
      <c r="J41" s="240"/>
      <c r="K41" s="239" t="str">
        <f>IF($C41="","",IF(AND(Parametres!F5&lt;&gt;"",Synthese_Programme!M41="Acté"),$D41*Parametres!E5,""))</f>
        <v/>
      </c>
      <c r="L41" s="240"/>
      <c r="M41" s="239" t="str">
        <f>IF($C41="","",IF(AND(Parametres!F6&lt;&gt;"",Synthese_Programme!M41="Acté"),$D41*Parametres!E6,""))</f>
        <v/>
      </c>
      <c r="N41" s="240"/>
      <c r="O41" s="239" t="str">
        <f>IF($C41="","",IF(AND(Parametres!F7&lt;&gt;"",Synthese_Programme!M41="Acté"),$D41*Parametres!E7,""))</f>
        <v/>
      </c>
      <c r="P41" s="240"/>
      <c r="Q41" s="238" t="str">
        <f t="shared" si="2"/>
        <v/>
      </c>
      <c r="R41" s="238" t="str">
        <f t="shared" si="0"/>
        <v/>
      </c>
      <c r="S41" s="238" t="str">
        <f t="shared" si="1"/>
        <v/>
      </c>
    </row>
    <row r="42" spans="1:19" ht="24" customHeight="1" x14ac:dyDescent="0.45">
      <c r="A42" s="237" t="str">
        <f>IFERROR(IF(Base_de_donnée_clients!A42="","",Base_de_donnée_clients!A42),"")</f>
        <v/>
      </c>
      <c r="B42" s="226" t="str">
        <f>IFERROR(IF(Base_de_donnée_clients!B42="","",Base_de_donnée_clients!B42),"")</f>
        <v/>
      </c>
      <c r="C42" s="226" t="str">
        <f>IFERROR(IF(Base_de_donnée_clients!C42="","",Base_de_donnée_clients!C42),"")</f>
        <v/>
      </c>
      <c r="D42" s="238" t="str">
        <f>IFERROR(IF(OR(Synthese_Programme!M42="Réservé",Synthese_Programme!M42="Acté",Synthese_Programme!M42="réservé",Synthese_Programme!M42="acté"),Synthese_Programme!K42,""),"")</f>
        <v/>
      </c>
      <c r="E42" s="239" t="str">
        <f>IFERROR(IF(OR(Synthese_Programme!M42="Réservé",Synthese_Programme!M42="Acté",Synthese_Programme!M42="réservé",Synthese_Programme!M42="acté"),$D42*Parametres!E2,""),"")</f>
        <v/>
      </c>
      <c r="F42" s="240" t="str">
        <f>IFERROR(IF(Base_de_donnée_clients!J42="","",Base_de_donnée_clients!J42),"")</f>
        <v/>
      </c>
      <c r="G42" s="239" t="str">
        <f>IF($C42="","",IF(AND(Parametres!F3&lt;&gt;"",Synthese_Programme!M42="Acté"),$D42*Parametres!E3,""))</f>
        <v/>
      </c>
      <c r="H42" s="240"/>
      <c r="I42" s="239" t="str">
        <f>IF($C42="","",IF(AND(Parametres!F4&lt;&gt;"",Synthese_Programme!M42="Acté"),$D42*Parametres!E4,""))</f>
        <v/>
      </c>
      <c r="J42" s="240"/>
      <c r="K42" s="239" t="str">
        <f>IF($C42="","",IF(AND(Parametres!F5&lt;&gt;"",Synthese_Programme!M42="Acté"),$D42*Parametres!E5,""))</f>
        <v/>
      </c>
      <c r="L42" s="240"/>
      <c r="M42" s="239" t="str">
        <f>IF($C42="","",IF(AND(Parametres!F6&lt;&gt;"",Synthese_Programme!M42="Acté"),$D42*Parametres!E6,""))</f>
        <v/>
      </c>
      <c r="N42" s="240"/>
      <c r="O42" s="239" t="str">
        <f>IF($C42="","",IF(AND(Parametres!F7&lt;&gt;"",Synthese_Programme!M42="Acté"),$D42*Parametres!E7,""))</f>
        <v/>
      </c>
      <c r="P42" s="240"/>
      <c r="Q42" s="238" t="str">
        <f t="shared" si="2"/>
        <v/>
      </c>
      <c r="R42" s="238" t="str">
        <f t="shared" si="0"/>
        <v/>
      </c>
      <c r="S42" s="238" t="str">
        <f t="shared" si="1"/>
        <v/>
      </c>
    </row>
    <row r="43" spans="1:19" ht="24" customHeight="1" x14ac:dyDescent="0.45">
      <c r="A43" s="237" t="str">
        <f>IFERROR(IF(Base_de_donnée_clients!A43="","",Base_de_donnée_clients!A43),"")</f>
        <v/>
      </c>
      <c r="B43" s="226" t="str">
        <f>IFERROR(IF(Base_de_donnée_clients!B43="","",Base_de_donnée_clients!B43),"")</f>
        <v/>
      </c>
      <c r="C43" s="226" t="str">
        <f>IFERROR(IF(Base_de_donnée_clients!C43="","",Base_de_donnée_clients!C43),"")</f>
        <v/>
      </c>
      <c r="D43" s="238" t="str">
        <f>IFERROR(IF(OR(Synthese_Programme!M43="Réservé",Synthese_Programme!M43="Acté",Synthese_Programme!M43="réservé",Synthese_Programme!M43="acté"),Synthese_Programme!K43,""),"")</f>
        <v/>
      </c>
      <c r="E43" s="239" t="str">
        <f>IFERROR(IF(OR(Synthese_Programme!M43="Réservé",Synthese_Programme!M43="Acté",Synthese_Programme!M43="réservé",Synthese_Programme!M43="acté"),$D43*Parametres!E2,""),"")</f>
        <v/>
      </c>
      <c r="F43" s="240" t="str">
        <f>IFERROR(IF(Base_de_donnée_clients!J43="","",Base_de_donnée_clients!J43),"")</f>
        <v/>
      </c>
      <c r="G43" s="239" t="str">
        <f>IF($C43="","",IF(AND(Parametres!F3&lt;&gt;"",Synthese_Programme!M43="Acté"),$D43*Parametres!E3,""))</f>
        <v/>
      </c>
      <c r="H43" s="240"/>
      <c r="I43" s="239" t="str">
        <f>IF($C43="","",IF(AND(Parametres!F4&lt;&gt;"",Synthese_Programme!M43="Acté"),$D43*Parametres!E4,""))</f>
        <v/>
      </c>
      <c r="J43" s="240"/>
      <c r="K43" s="239" t="str">
        <f>IF($C43="","",IF(AND(Parametres!F5&lt;&gt;"",Synthese_Programme!M43="Acté"),$D43*Parametres!E5,""))</f>
        <v/>
      </c>
      <c r="L43" s="240"/>
      <c r="M43" s="239" t="str">
        <f>IF($C43="","",IF(AND(Parametres!F6&lt;&gt;"",Synthese_Programme!M43="Acté"),$D43*Parametres!E6,""))</f>
        <v/>
      </c>
      <c r="N43" s="240"/>
      <c r="O43" s="239" t="str">
        <f>IF($C43="","",IF(AND(Parametres!F7&lt;&gt;"",Synthese_Programme!M43="Acté"),$D43*Parametres!E7,""))</f>
        <v/>
      </c>
      <c r="P43" s="240"/>
      <c r="Q43" s="238" t="str">
        <f t="shared" si="2"/>
        <v/>
      </c>
      <c r="R43" s="238" t="str">
        <f t="shared" si="0"/>
        <v/>
      </c>
      <c r="S43" s="238" t="str">
        <f t="shared" si="1"/>
        <v/>
      </c>
    </row>
    <row r="44" spans="1:19" ht="24" customHeight="1" x14ac:dyDescent="0.45">
      <c r="A44" s="237" t="str">
        <f>IFERROR(IF(Base_de_donnée_clients!A44="","",Base_de_donnée_clients!A44),"")</f>
        <v/>
      </c>
      <c r="B44" s="226" t="str">
        <f>IFERROR(IF(Base_de_donnée_clients!B44="","",Base_de_donnée_clients!B44),"")</f>
        <v/>
      </c>
      <c r="C44" s="226" t="str">
        <f>IFERROR(IF(Base_de_donnée_clients!C44="","",Base_de_donnée_clients!C44),"")</f>
        <v/>
      </c>
      <c r="D44" s="238" t="str">
        <f>IFERROR(IF(OR(Synthese_Programme!M44="Réservé",Synthese_Programme!M44="Acté",Synthese_Programme!M44="réservé",Synthese_Programme!M44="acté"),Synthese_Programme!K44,""),"")</f>
        <v/>
      </c>
      <c r="E44" s="239" t="str">
        <f>IFERROR(IF(OR(Synthese_Programme!M44="Réservé",Synthese_Programme!M44="Acté",Synthese_Programme!M44="réservé",Synthese_Programme!M44="acté"),$D44*Parametres!E2,""),"")</f>
        <v/>
      </c>
      <c r="F44" s="240" t="str">
        <f>IFERROR(IF(Base_de_donnée_clients!J44="","",Base_de_donnée_clients!J44),"")</f>
        <v/>
      </c>
      <c r="G44" s="239" t="str">
        <f>IF($C44="","",IF(AND(Parametres!F3&lt;&gt;"",Synthese_Programme!M44="Acté"),$D44*Parametres!E3,""))</f>
        <v/>
      </c>
      <c r="H44" s="240"/>
      <c r="I44" s="239" t="str">
        <f>IF($C44="","",IF(AND(Parametres!F4&lt;&gt;"",Synthese_Programme!M44="Acté"),$D44*Parametres!E4,""))</f>
        <v/>
      </c>
      <c r="J44" s="240"/>
      <c r="K44" s="239" t="str">
        <f>IF($C44="","",IF(AND(Parametres!F5&lt;&gt;"",Synthese_Programme!M44="Acté"),$D44*Parametres!E5,""))</f>
        <v/>
      </c>
      <c r="L44" s="240"/>
      <c r="M44" s="239" t="str">
        <f>IF($C44="","",IF(AND(Parametres!F6&lt;&gt;"",Synthese_Programme!M44="Acté"),$D44*Parametres!E6,""))</f>
        <v/>
      </c>
      <c r="N44" s="240"/>
      <c r="O44" s="239" t="str">
        <f>IF($C44="","",IF(AND(Parametres!F7&lt;&gt;"",Synthese_Programme!M44="Acté"),$D44*Parametres!E7,""))</f>
        <v/>
      </c>
      <c r="P44" s="240"/>
      <c r="Q44" s="238" t="str">
        <f t="shared" si="2"/>
        <v/>
      </c>
      <c r="R44" s="238" t="str">
        <f t="shared" si="0"/>
        <v/>
      </c>
      <c r="S44" s="238" t="str">
        <f t="shared" si="1"/>
        <v/>
      </c>
    </row>
    <row r="45" spans="1:19" ht="24" customHeight="1" x14ac:dyDescent="0.45">
      <c r="A45" s="237" t="str">
        <f>IFERROR(IF(Base_de_donnée_clients!A45="","",Base_de_donnée_clients!A45),"")</f>
        <v/>
      </c>
      <c r="B45" s="226" t="str">
        <f>IFERROR(IF(Base_de_donnée_clients!B45="","",Base_de_donnée_clients!B45),"")</f>
        <v/>
      </c>
      <c r="C45" s="226" t="str">
        <f>IFERROR(IF(Base_de_donnée_clients!C45="","",Base_de_donnée_clients!C45),"")</f>
        <v/>
      </c>
      <c r="D45" s="238" t="str">
        <f>IFERROR(IF(OR(Synthese_Programme!M45="Réservé",Synthese_Programme!M45="Acté",Synthese_Programme!M45="réservé",Synthese_Programme!M45="acté"),Synthese_Programme!K45,""),"")</f>
        <v/>
      </c>
      <c r="E45" s="239" t="str">
        <f>IFERROR(IF(OR(Synthese_Programme!M45="Réservé",Synthese_Programme!M45="Acté",Synthese_Programme!M45="réservé",Synthese_Programme!M45="acté"),$D45*Parametres!E2,""),"")</f>
        <v/>
      </c>
      <c r="F45" s="240" t="str">
        <f>IFERROR(IF(Base_de_donnée_clients!J45="","",Base_de_donnée_clients!J45),"")</f>
        <v/>
      </c>
      <c r="G45" s="239" t="str">
        <f>IF($C45="","",IF(AND(Parametres!F3&lt;&gt;"",Synthese_Programme!M45="Acté"),$D45*Parametres!E3,""))</f>
        <v/>
      </c>
      <c r="H45" s="240"/>
      <c r="I45" s="239" t="str">
        <f>IF($C45="","",IF(AND(Parametres!F4&lt;&gt;"",Synthese_Programme!M45="Acté"),$D45*Parametres!E4,""))</f>
        <v/>
      </c>
      <c r="J45" s="240"/>
      <c r="K45" s="239" t="str">
        <f>IF($C45="","",IF(AND(Parametres!F5&lt;&gt;"",Synthese_Programme!M45="Acté"),$D45*Parametres!E5,""))</f>
        <v/>
      </c>
      <c r="L45" s="240"/>
      <c r="M45" s="239" t="str">
        <f>IF($C45="","",IF(AND(Parametres!F6&lt;&gt;"",Synthese_Programme!M45="Acté"),$D45*Parametres!E6,""))</f>
        <v/>
      </c>
      <c r="N45" s="240"/>
      <c r="O45" s="239" t="str">
        <f>IF($C45="","",IF(AND(Parametres!F7&lt;&gt;"",Synthese_Programme!M45="Acté"),$D45*Parametres!E7,""))</f>
        <v/>
      </c>
      <c r="P45" s="240"/>
      <c r="Q45" s="238" t="str">
        <f t="shared" si="2"/>
        <v/>
      </c>
      <c r="R45" s="238" t="str">
        <f t="shared" si="0"/>
        <v/>
      </c>
      <c r="S45" s="238" t="str">
        <f t="shared" si="1"/>
        <v/>
      </c>
    </row>
    <row r="46" spans="1:19" ht="24" customHeight="1" x14ac:dyDescent="0.45">
      <c r="A46" s="237" t="str">
        <f>IFERROR(IF(Base_de_donnée_clients!A46="","",Base_de_donnée_clients!A46),"")</f>
        <v/>
      </c>
      <c r="B46" s="226" t="str">
        <f>IFERROR(IF(Base_de_donnée_clients!B46="","",Base_de_donnée_clients!B46),"")</f>
        <v/>
      </c>
      <c r="C46" s="226" t="str">
        <f>IFERROR(IF(Base_de_donnée_clients!C46="","",Base_de_donnée_clients!C46),"")</f>
        <v/>
      </c>
      <c r="D46" s="238" t="str">
        <f>IFERROR(IF(OR(Synthese_Programme!M46="Réservé",Synthese_Programme!M46="Acté",Synthese_Programme!M46="réservé",Synthese_Programme!M46="acté"),Synthese_Programme!K46,""),"")</f>
        <v/>
      </c>
      <c r="E46" s="239" t="str">
        <f>IFERROR(IF(OR(Synthese_Programme!M46="Réservé",Synthese_Programme!M46="Acté",Synthese_Programme!M46="réservé",Synthese_Programme!M46="acté"),$D46*Parametres!E2,""),"")</f>
        <v/>
      </c>
      <c r="F46" s="240" t="str">
        <f>IFERROR(IF(Base_de_donnée_clients!J46="","",Base_de_donnée_clients!J46),"")</f>
        <v/>
      </c>
      <c r="G46" s="239" t="str">
        <f>IF($C46="","",IF(AND(Parametres!F3&lt;&gt;"",Synthese_Programme!M46="Acté"),$D46*Parametres!E3,""))</f>
        <v/>
      </c>
      <c r="H46" s="240"/>
      <c r="I46" s="239" t="str">
        <f>IF($C46="","",IF(AND(Parametres!F4&lt;&gt;"",Synthese_Programme!M46="Acté"),$D46*Parametres!E4,""))</f>
        <v/>
      </c>
      <c r="J46" s="240"/>
      <c r="K46" s="239" t="str">
        <f>IF($C46="","",IF(AND(Parametres!F5&lt;&gt;"",Synthese_Programme!M46="Acté"),$D46*Parametres!E5,""))</f>
        <v/>
      </c>
      <c r="L46" s="240"/>
      <c r="M46" s="239" t="str">
        <f>IF($C46="","",IF(AND(Parametres!F6&lt;&gt;"",Synthese_Programme!M46="Acté"),$D46*Parametres!E6,""))</f>
        <v/>
      </c>
      <c r="N46" s="240"/>
      <c r="O46" s="239" t="str">
        <f>IF($C46="","",IF(AND(Parametres!F7&lt;&gt;"",Synthese_Programme!M46="Acté"),$D46*Parametres!E7,""))</f>
        <v/>
      </c>
      <c r="P46" s="240"/>
      <c r="Q46" s="238" t="str">
        <f t="shared" si="2"/>
        <v/>
      </c>
      <c r="R46" s="238" t="str">
        <f t="shared" si="0"/>
        <v/>
      </c>
      <c r="S46" s="238" t="str">
        <f t="shared" si="1"/>
        <v/>
      </c>
    </row>
    <row r="47" spans="1:19" ht="24" customHeight="1" x14ac:dyDescent="0.45">
      <c r="A47" s="237" t="str">
        <f>IFERROR(IF(Base_de_donnée_clients!A47="","",Base_de_donnée_clients!A47),"")</f>
        <v/>
      </c>
      <c r="B47" s="226" t="str">
        <f>IFERROR(IF(Base_de_donnée_clients!B47="","",Base_de_donnée_clients!B47),"")</f>
        <v/>
      </c>
      <c r="C47" s="226" t="str">
        <f>IFERROR(IF(Base_de_donnée_clients!C47="","",Base_de_donnée_clients!C47),"")</f>
        <v/>
      </c>
      <c r="D47" s="238" t="str">
        <f>IFERROR(IF(OR(Synthese_Programme!M47="Réservé",Synthese_Programme!M47="Acté",Synthese_Programme!M47="réservé",Synthese_Programme!M47="acté"),Synthese_Programme!K47,""),"")</f>
        <v/>
      </c>
      <c r="E47" s="239" t="str">
        <f>IFERROR(IF(OR(Synthese_Programme!M47="Réservé",Synthese_Programme!M47="Acté",Synthese_Programme!M47="réservé",Synthese_Programme!M47="acté"),$D47*Parametres!E2,""),"")</f>
        <v/>
      </c>
      <c r="F47" s="240" t="str">
        <f>IFERROR(IF(Base_de_donnée_clients!J47="","",Base_de_donnée_clients!J47),"")</f>
        <v/>
      </c>
      <c r="G47" s="239" t="str">
        <f>IF($C47="","",IF(AND(Parametres!F3&lt;&gt;"",Synthese_Programme!M47="Acté"),$D47*Parametres!E3,""))</f>
        <v/>
      </c>
      <c r="H47" s="240"/>
      <c r="I47" s="239" t="str">
        <f>IF($C47="","",IF(AND(Parametres!F4&lt;&gt;"",Synthese_Programme!M47="Acté"),$D47*Parametres!E4,""))</f>
        <v/>
      </c>
      <c r="J47" s="240"/>
      <c r="K47" s="239" t="str">
        <f>IF($C47="","",IF(AND(Parametres!F5&lt;&gt;"",Synthese_Programme!M47="Acté"),$D47*Parametres!E5,""))</f>
        <v/>
      </c>
      <c r="L47" s="240"/>
      <c r="M47" s="239" t="str">
        <f>IF($C47="","",IF(AND(Parametres!F6&lt;&gt;"",Synthese_Programme!M47="Acté"),$D47*Parametres!E6,""))</f>
        <v/>
      </c>
      <c r="N47" s="240"/>
      <c r="O47" s="239" t="str">
        <f>IF($C47="","",IF(AND(Parametres!F7&lt;&gt;"",Synthese_Programme!M47="Acté"),$D47*Parametres!E7,""))</f>
        <v/>
      </c>
      <c r="P47" s="240"/>
      <c r="Q47" s="238" t="str">
        <f t="shared" si="2"/>
        <v/>
      </c>
      <c r="R47" s="238" t="str">
        <f t="shared" si="0"/>
        <v/>
      </c>
      <c r="S47" s="238" t="str">
        <f t="shared" si="1"/>
        <v/>
      </c>
    </row>
    <row r="48" spans="1:19" ht="24" customHeight="1" x14ac:dyDescent="0.45">
      <c r="A48" s="237" t="str">
        <f>IFERROR(IF(Base_de_donnée_clients!A48="","",Base_de_donnée_clients!A48),"")</f>
        <v/>
      </c>
      <c r="B48" s="226" t="str">
        <f>IFERROR(IF(Base_de_donnée_clients!B48="","",Base_de_donnée_clients!B48),"")</f>
        <v/>
      </c>
      <c r="C48" s="226" t="str">
        <f>IFERROR(IF(Base_de_donnée_clients!C48="","",Base_de_donnée_clients!C48),"")</f>
        <v/>
      </c>
      <c r="D48" s="238" t="str">
        <f>IFERROR(IF(OR(Synthese_Programme!M48="Réservé",Synthese_Programme!M48="Acté",Synthese_Programme!M48="réservé",Synthese_Programme!M48="acté"),Synthese_Programme!K48,""),"")</f>
        <v/>
      </c>
      <c r="E48" s="239" t="str">
        <f>IFERROR(IF(OR(Synthese_Programme!M48="Réservé",Synthese_Programme!M48="Acté",Synthese_Programme!M48="réservé",Synthese_Programme!M48="acté"),$D48*Parametres!E2,""),"")</f>
        <v/>
      </c>
      <c r="F48" s="240" t="str">
        <f>IFERROR(IF(Base_de_donnée_clients!J48="","",Base_de_donnée_clients!J48),"")</f>
        <v/>
      </c>
      <c r="G48" s="239" t="str">
        <f>IF($C48="","",IF(AND(Parametres!F3&lt;&gt;"",Synthese_Programme!M48="Acté"),$D48*Parametres!E3,""))</f>
        <v/>
      </c>
      <c r="H48" s="240"/>
      <c r="I48" s="239" t="str">
        <f>IF($C48="","",IF(AND(Parametres!F4&lt;&gt;"",Synthese_Programme!M48="Acté"),$D48*Parametres!E4,""))</f>
        <v/>
      </c>
      <c r="J48" s="240"/>
      <c r="K48" s="239" t="str">
        <f>IF($C48="","",IF(AND(Parametres!F5&lt;&gt;"",Synthese_Programme!M48="Acté"),$D48*Parametres!E5,""))</f>
        <v/>
      </c>
      <c r="L48" s="240"/>
      <c r="M48" s="239" t="str">
        <f>IF($C48="","",IF(AND(Parametres!F6&lt;&gt;"",Synthese_Programme!M48="Acté"),$D48*Parametres!E6,""))</f>
        <v/>
      </c>
      <c r="N48" s="240"/>
      <c r="O48" s="239" t="str">
        <f>IF($C48="","",IF(AND(Parametres!F7&lt;&gt;"",Synthese_Programme!M48="Acté"),$D48*Parametres!E7,""))</f>
        <v/>
      </c>
      <c r="P48" s="240"/>
      <c r="Q48" s="238" t="str">
        <f t="shared" si="2"/>
        <v/>
      </c>
      <c r="R48" s="238" t="str">
        <f t="shared" si="0"/>
        <v/>
      </c>
      <c r="S48" s="238" t="str">
        <f t="shared" si="1"/>
        <v/>
      </c>
    </row>
    <row r="49" spans="1:19" ht="24" customHeight="1" x14ac:dyDescent="0.45">
      <c r="A49" s="237" t="str">
        <f>IFERROR(IF(Base_de_donnée_clients!A49="","",Base_de_donnée_clients!A49),"")</f>
        <v/>
      </c>
      <c r="B49" s="226" t="str">
        <f>IFERROR(IF(Base_de_donnée_clients!B49="","",Base_de_donnée_clients!B49),"")</f>
        <v/>
      </c>
      <c r="C49" s="226" t="str">
        <f>IFERROR(IF(Base_de_donnée_clients!C49="","",Base_de_donnée_clients!C49),"")</f>
        <v/>
      </c>
      <c r="D49" s="238" t="str">
        <f>IFERROR(IF(OR(Synthese_Programme!M49="Réservé",Synthese_Programme!M49="Acté",Synthese_Programme!M49="réservé",Synthese_Programme!M49="acté"),Synthese_Programme!K49,""),"")</f>
        <v/>
      </c>
      <c r="E49" s="239" t="str">
        <f>IFERROR(IF(OR(Synthese_Programme!M49="Réservé",Synthese_Programme!M49="Acté",Synthese_Programme!M49="réservé",Synthese_Programme!M49="acté"),$D49*Parametres!E2,""),"")</f>
        <v/>
      </c>
      <c r="F49" s="240" t="str">
        <f>IFERROR(IF(Base_de_donnée_clients!J49="","",Base_de_donnée_clients!J49),"")</f>
        <v/>
      </c>
      <c r="G49" s="239" t="str">
        <f>IF($C49="","",IF(AND(Parametres!F3&lt;&gt;"",Synthese_Programme!M49="Acté"),$D49*Parametres!E3,""))</f>
        <v/>
      </c>
      <c r="H49" s="240"/>
      <c r="I49" s="239" t="str">
        <f>IF($C49="","",IF(AND(Parametres!F4&lt;&gt;"",Synthese_Programme!M49="Acté"),$D49*Parametres!E4,""))</f>
        <v/>
      </c>
      <c r="J49" s="240"/>
      <c r="K49" s="239" t="str">
        <f>IF($C49="","",IF(AND(Parametres!F5&lt;&gt;"",Synthese_Programme!M49="Acté"),$D49*Parametres!E5,""))</f>
        <v/>
      </c>
      <c r="L49" s="240"/>
      <c r="M49" s="239" t="str">
        <f>IF($C49="","",IF(AND(Parametres!F6&lt;&gt;"",Synthese_Programme!M49="Acté"),$D49*Parametres!E6,""))</f>
        <v/>
      </c>
      <c r="N49" s="240"/>
      <c r="O49" s="239" t="str">
        <f>IF($C49="","",IF(AND(Parametres!F7&lt;&gt;"",Synthese_Programme!M49="Acté"),$D49*Parametres!E7,""))</f>
        <v/>
      </c>
      <c r="P49" s="240"/>
      <c r="Q49" s="238" t="str">
        <f t="shared" si="2"/>
        <v/>
      </c>
      <c r="R49" s="238" t="str">
        <f t="shared" si="0"/>
        <v/>
      </c>
      <c r="S49" s="238" t="str">
        <f t="shared" si="1"/>
        <v/>
      </c>
    </row>
    <row r="50" spans="1:19" ht="24" customHeight="1" x14ac:dyDescent="0.45">
      <c r="A50" s="237" t="str">
        <f>IFERROR(IF(Base_de_donnée_clients!A50="","",Base_de_donnée_clients!A50),"")</f>
        <v/>
      </c>
      <c r="B50" s="226" t="str">
        <f>IFERROR(IF(Base_de_donnée_clients!B50="","",Base_de_donnée_clients!B50),"")</f>
        <v/>
      </c>
      <c r="C50" s="226" t="str">
        <f>IFERROR(IF(Base_de_donnée_clients!C50="","",Base_de_donnée_clients!C50),"")</f>
        <v/>
      </c>
      <c r="D50" s="238" t="str">
        <f>IFERROR(IF(OR(Synthese_Programme!M50="Réservé",Synthese_Programme!M50="Acté",Synthese_Programme!M50="réservé",Synthese_Programme!M50="acté"),Synthese_Programme!K50,""),"")</f>
        <v/>
      </c>
      <c r="E50" s="239" t="str">
        <f>IFERROR(IF(OR(Synthese_Programme!M50="Réservé",Synthese_Programme!M50="Acté",Synthese_Programme!M50="réservé",Synthese_Programme!M50="acté"),$D50*Parametres!E2,""),"")</f>
        <v/>
      </c>
      <c r="F50" s="240" t="str">
        <f>IFERROR(IF(Base_de_donnée_clients!J50="","",Base_de_donnée_clients!J50),"")</f>
        <v/>
      </c>
      <c r="G50" s="239" t="str">
        <f>IF($C50="","",IF(AND(Parametres!F3&lt;&gt;"",Synthese_Programme!M50="Acté"),$D50*Parametres!E3,""))</f>
        <v/>
      </c>
      <c r="H50" s="240"/>
      <c r="I50" s="239" t="str">
        <f>IF($C50="","",IF(AND(Parametres!F4&lt;&gt;"",Synthese_Programme!M50="Acté"),$D50*Parametres!E4,""))</f>
        <v/>
      </c>
      <c r="J50" s="240"/>
      <c r="K50" s="239" t="str">
        <f>IF($C50="","",IF(AND(Parametres!F5&lt;&gt;"",Synthese_Programme!M50="Acté"),$D50*Parametres!E5,""))</f>
        <v/>
      </c>
      <c r="L50" s="240"/>
      <c r="M50" s="239" t="str">
        <f>IF($C50="","",IF(AND(Parametres!F6&lt;&gt;"",Synthese_Programme!M50="Acté"),$D50*Parametres!E6,""))</f>
        <v/>
      </c>
      <c r="N50" s="240"/>
      <c r="O50" s="239" t="str">
        <f>IF($C50="","",IF(AND(Parametres!F7&lt;&gt;"",Synthese_Programme!M50="Acté"),$D50*Parametres!E7,""))</f>
        <v/>
      </c>
      <c r="P50" s="240"/>
      <c r="Q50" s="238" t="str">
        <f t="shared" si="2"/>
        <v/>
      </c>
      <c r="R50" s="238" t="str">
        <f t="shared" si="0"/>
        <v/>
      </c>
      <c r="S50" s="238" t="str">
        <f t="shared" si="1"/>
        <v/>
      </c>
    </row>
    <row r="51" spans="1:19" ht="24" customHeight="1" x14ac:dyDescent="0.45">
      <c r="A51" s="237" t="str">
        <f>IFERROR(IF(Base_de_donnée_clients!A51="","",Base_de_donnée_clients!A51),"")</f>
        <v/>
      </c>
      <c r="B51" s="226" t="str">
        <f>IFERROR(IF(Base_de_donnée_clients!B51="","",Base_de_donnée_clients!B51),"")</f>
        <v/>
      </c>
      <c r="C51" s="226" t="str">
        <f>IFERROR(IF(Base_de_donnée_clients!C51="","",Base_de_donnée_clients!C51),"")</f>
        <v/>
      </c>
      <c r="D51" s="238" t="str">
        <f>IFERROR(IF(OR(Synthese_Programme!M51="Réservé",Synthese_Programme!M51="Acté",Synthese_Programme!M51="réservé",Synthese_Programme!M51="acté"),Synthese_Programme!K51,""),"")</f>
        <v/>
      </c>
      <c r="E51" s="239" t="str">
        <f>IFERROR(IF(OR(Synthese_Programme!M51="Réservé",Synthese_Programme!M51="Acté",Synthese_Programme!M51="réservé",Synthese_Programme!M51="acté"),$D51*Parametres!E2,""),"")</f>
        <v/>
      </c>
      <c r="F51" s="240" t="str">
        <f>IFERROR(IF(Base_de_donnée_clients!J51="","",Base_de_donnée_clients!J51),"")</f>
        <v/>
      </c>
      <c r="G51" s="239" t="str">
        <f>IF($C51="","",IF(AND(Parametres!F3&lt;&gt;"",Synthese_Programme!M51="Acté"),$D51*Parametres!E3,""))</f>
        <v/>
      </c>
      <c r="H51" s="240"/>
      <c r="I51" s="239" t="str">
        <f>IF($C51="","",IF(AND(Parametres!F4&lt;&gt;"",Synthese_Programme!M51="Acté"),$D51*Parametres!E4,""))</f>
        <v/>
      </c>
      <c r="J51" s="240"/>
      <c r="K51" s="239" t="str">
        <f>IF($C51="","",IF(AND(Parametres!F5&lt;&gt;"",Synthese_Programme!M51="Acté"),$D51*Parametres!E5,""))</f>
        <v/>
      </c>
      <c r="L51" s="240"/>
      <c r="M51" s="239" t="str">
        <f>IF($C51="","",IF(AND(Parametres!F6&lt;&gt;"",Synthese_Programme!M51="Acté"),$D51*Parametres!E6,""))</f>
        <v/>
      </c>
      <c r="N51" s="240"/>
      <c r="O51" s="239" t="str">
        <f>IF($C51="","",IF(AND(Parametres!F7&lt;&gt;"",Synthese_Programme!M51="Acté"),$D51*Parametres!E7,""))</f>
        <v/>
      </c>
      <c r="P51" s="240"/>
      <c r="Q51" s="238" t="str">
        <f t="shared" si="2"/>
        <v/>
      </c>
      <c r="R51" s="238" t="str">
        <f t="shared" si="0"/>
        <v/>
      </c>
      <c r="S51" s="238" t="str">
        <f t="shared" si="1"/>
        <v/>
      </c>
    </row>
    <row r="52" spans="1:19" ht="24" customHeight="1" x14ac:dyDescent="0.45">
      <c r="A52" s="237" t="str">
        <f>IFERROR(IF(Base_de_donnée_clients!A52="","",Base_de_donnée_clients!A52),"")</f>
        <v/>
      </c>
      <c r="B52" s="226" t="str">
        <f>IFERROR(IF(Base_de_donnée_clients!B52="","",Base_de_donnée_clients!B52),"")</f>
        <v/>
      </c>
      <c r="C52" s="226" t="str">
        <f>IFERROR(IF(Base_de_donnée_clients!C52="","",Base_de_donnée_clients!C52),"")</f>
        <v/>
      </c>
      <c r="D52" s="238" t="str">
        <f>IFERROR(IF(OR(Synthese_Programme!M52="Réservé",Synthese_Programme!M52="Acté",Synthese_Programme!M52="réservé",Synthese_Programme!M52="acté"),Synthese_Programme!K52,""),"")</f>
        <v/>
      </c>
      <c r="E52" s="239" t="str">
        <f>IFERROR(IF(OR(Synthese_Programme!M52="Réservé",Synthese_Programme!M52="Acté",Synthese_Programme!M52="réservé",Synthese_Programme!M52="acté"),$D52*Parametres!E2,""),"")</f>
        <v/>
      </c>
      <c r="F52" s="240" t="str">
        <f>IFERROR(IF(Base_de_donnée_clients!J52="","",Base_de_donnée_clients!J52),"")</f>
        <v/>
      </c>
      <c r="G52" s="239" t="str">
        <f>IF($C52="","",IF(AND(Parametres!F3&lt;&gt;"",Synthese_Programme!M52="Acté"),$D52*Parametres!E3,""))</f>
        <v/>
      </c>
      <c r="H52" s="240"/>
      <c r="I52" s="239" t="str">
        <f>IF($C52="","",IF(AND(Parametres!F4&lt;&gt;"",Synthese_Programme!M52="Acté"),$D52*Parametres!E4,""))</f>
        <v/>
      </c>
      <c r="J52" s="240"/>
      <c r="K52" s="239" t="str">
        <f>IF($C52="","",IF(AND(Parametres!F5&lt;&gt;"",Synthese_Programme!M52="Acté"),$D52*Parametres!E5,""))</f>
        <v/>
      </c>
      <c r="L52" s="240"/>
      <c r="M52" s="239" t="str">
        <f>IF($C52="","",IF(AND(Parametres!F6&lt;&gt;"",Synthese_Programme!M52="Acté"),$D52*Parametres!E6,""))</f>
        <v/>
      </c>
      <c r="N52" s="240"/>
      <c r="O52" s="239" t="str">
        <f>IF($C52="","",IF(AND(Parametres!F7&lt;&gt;"",Synthese_Programme!M52="Acté"),$D52*Parametres!E7,""))</f>
        <v/>
      </c>
      <c r="P52" s="240"/>
      <c r="Q52" s="238" t="str">
        <f t="shared" si="2"/>
        <v/>
      </c>
      <c r="R52" s="238" t="str">
        <f t="shared" si="0"/>
        <v/>
      </c>
      <c r="S52" s="238" t="str">
        <f t="shared" si="1"/>
        <v/>
      </c>
    </row>
    <row r="53" spans="1:19" ht="24" customHeight="1" x14ac:dyDescent="0.45">
      <c r="A53" s="237" t="str">
        <f>IFERROR(IF(Base_de_donnée_clients!A53="","",Base_de_donnée_clients!A53),"")</f>
        <v/>
      </c>
      <c r="B53" s="226" t="str">
        <f>IFERROR(IF(Base_de_donnée_clients!B53="","",Base_de_donnée_clients!B53),"")</f>
        <v/>
      </c>
      <c r="C53" s="226" t="str">
        <f>IFERROR(IF(Base_de_donnée_clients!C53="","",Base_de_donnée_clients!C53),"")</f>
        <v/>
      </c>
      <c r="D53" s="238" t="str">
        <f>IFERROR(IF(OR(Synthese_Programme!M53="Réservé",Synthese_Programme!M53="Acté",Synthese_Programme!M53="réservé",Synthese_Programme!M53="acté"),Synthese_Programme!K53,""),"")</f>
        <v/>
      </c>
      <c r="E53" s="239" t="str">
        <f>IFERROR(IF(OR(Synthese_Programme!M53="Réservé",Synthese_Programme!M53="Acté",Synthese_Programme!M53="réservé",Synthese_Programme!M53="acté"),$D53*Parametres!E2,""),"")</f>
        <v/>
      </c>
      <c r="F53" s="240" t="str">
        <f>IFERROR(IF(Base_de_donnée_clients!J53="","",Base_de_donnée_clients!J53),"")</f>
        <v/>
      </c>
      <c r="G53" s="239" t="str">
        <f>IF($C53="","",IF(AND(Parametres!F3&lt;&gt;"",Synthese_Programme!M53="Acté"),$D53*Parametres!E3,""))</f>
        <v/>
      </c>
      <c r="H53" s="240"/>
      <c r="I53" s="239" t="str">
        <f>IF($C53="","",IF(AND(Parametres!F4&lt;&gt;"",Synthese_Programme!M53="Acté"),$D53*Parametres!E4,""))</f>
        <v/>
      </c>
      <c r="J53" s="240"/>
      <c r="K53" s="239" t="str">
        <f>IF($C53="","",IF(AND(Parametres!F5&lt;&gt;"",Synthese_Programme!M53="Acté"),$D53*Parametres!E5,""))</f>
        <v/>
      </c>
      <c r="L53" s="240"/>
      <c r="M53" s="239" t="str">
        <f>IF($C53="","",IF(AND(Parametres!F6&lt;&gt;"",Synthese_Programme!M53="Acté"),$D53*Parametres!E6,""))</f>
        <v/>
      </c>
      <c r="N53" s="240"/>
      <c r="O53" s="239" t="str">
        <f>IF($C53="","",IF(AND(Parametres!F7&lt;&gt;"",Synthese_Programme!M53="Acté"),$D53*Parametres!E7,""))</f>
        <v/>
      </c>
      <c r="P53" s="240"/>
      <c r="Q53" s="238" t="str">
        <f t="shared" si="2"/>
        <v/>
      </c>
      <c r="R53" s="238" t="str">
        <f t="shared" si="0"/>
        <v/>
      </c>
      <c r="S53" s="238" t="str">
        <f t="shared" si="1"/>
        <v/>
      </c>
    </row>
    <row r="54" spans="1:19" ht="24" customHeight="1" x14ac:dyDescent="0.45">
      <c r="A54" s="237" t="str">
        <f>IFERROR(IF(Base_de_donnée_clients!A54="","",Base_de_donnée_clients!A54),"")</f>
        <v/>
      </c>
      <c r="B54" s="226" t="str">
        <f>IFERROR(IF(Base_de_donnée_clients!B54="","",Base_de_donnée_clients!B54),"")</f>
        <v/>
      </c>
      <c r="C54" s="226" t="str">
        <f>IFERROR(IF(Base_de_donnée_clients!C54="","",Base_de_donnée_clients!C54),"")</f>
        <v/>
      </c>
      <c r="D54" s="238" t="str">
        <f>IFERROR(IF(OR(Synthese_Programme!M54="Réservé",Synthese_Programme!M54="Acté",Synthese_Programme!M54="réservé",Synthese_Programme!M54="acté"),Synthese_Programme!K54,""),"")</f>
        <v/>
      </c>
      <c r="E54" s="239" t="str">
        <f>IFERROR(IF(OR(Synthese_Programme!M54="Réservé",Synthese_Programme!M54="Acté",Synthese_Programme!M54="réservé",Synthese_Programme!M54="acté"),$D54*Parametres!E2,""),"")</f>
        <v/>
      </c>
      <c r="F54" s="240" t="str">
        <f>IFERROR(IF(Base_de_donnée_clients!J54="","",Base_de_donnée_clients!J54),"")</f>
        <v/>
      </c>
      <c r="G54" s="239" t="str">
        <f>IF($C54="","",IF(AND(Parametres!F3&lt;&gt;"",Synthese_Programme!M54="Acté"),$D54*Parametres!E3,""))</f>
        <v/>
      </c>
      <c r="H54" s="240"/>
      <c r="I54" s="239" t="str">
        <f>IF($C54="","",IF(AND(Parametres!F4&lt;&gt;"",Synthese_Programme!M54="Acté"),$D54*Parametres!E4,""))</f>
        <v/>
      </c>
      <c r="J54" s="240"/>
      <c r="K54" s="239" t="str">
        <f>IF($C54="","",IF(AND(Parametres!F5&lt;&gt;"",Synthese_Programme!M54="Acté"),$D54*Parametres!E5,""))</f>
        <v/>
      </c>
      <c r="L54" s="240"/>
      <c r="M54" s="239" t="str">
        <f>IF($C54="","",IF(AND(Parametres!F6&lt;&gt;"",Synthese_Programme!M54="Acté"),$D54*Parametres!E6,""))</f>
        <v/>
      </c>
      <c r="N54" s="240"/>
      <c r="O54" s="239" t="str">
        <f>IF($C54="","",IF(AND(Parametres!F7&lt;&gt;"",Synthese_Programme!M54="Acté"),$D54*Parametres!E7,""))</f>
        <v/>
      </c>
      <c r="P54" s="240"/>
      <c r="Q54" s="238" t="str">
        <f t="shared" si="2"/>
        <v/>
      </c>
      <c r="R54" s="238" t="str">
        <f t="shared" si="0"/>
        <v/>
      </c>
      <c r="S54" s="238" t="str">
        <f t="shared" si="1"/>
        <v/>
      </c>
    </row>
    <row r="55" spans="1:19" ht="24" customHeight="1" x14ac:dyDescent="0.45">
      <c r="A55" s="237" t="str">
        <f>IFERROR(IF(Base_de_donnée_clients!A55="","",Base_de_donnée_clients!A55),"")</f>
        <v/>
      </c>
      <c r="B55" s="226" t="str">
        <f>IFERROR(IF(Base_de_donnée_clients!B55="","",Base_de_donnée_clients!B55),"")</f>
        <v/>
      </c>
      <c r="C55" s="226" t="str">
        <f>IFERROR(IF(Base_de_donnée_clients!C55="","",Base_de_donnée_clients!C55),"")</f>
        <v/>
      </c>
      <c r="D55" s="238" t="str">
        <f>IFERROR(IF(OR(Synthese_Programme!M55="Réservé",Synthese_Programme!M55="Acté",Synthese_Programme!M55="réservé",Synthese_Programme!M55="acté"),Synthese_Programme!K55,""),"")</f>
        <v/>
      </c>
      <c r="E55" s="239" t="str">
        <f>IFERROR(IF(OR(Synthese_Programme!M55="Réservé",Synthese_Programme!M55="Acté",Synthese_Programme!M55="réservé",Synthese_Programme!M55="acté"),$D55*Parametres!E2,""),"")</f>
        <v/>
      </c>
      <c r="F55" s="240" t="str">
        <f>IFERROR(IF(Base_de_donnée_clients!J55="","",Base_de_donnée_clients!J55),"")</f>
        <v/>
      </c>
      <c r="G55" s="239" t="str">
        <f>IF($C55="","",IF(AND(Parametres!F3&lt;&gt;"",Synthese_Programme!M55="Acté"),$D55*Parametres!E3,""))</f>
        <v/>
      </c>
      <c r="H55" s="240"/>
      <c r="I55" s="239" t="str">
        <f>IF($C55="","",IF(AND(Parametres!F4&lt;&gt;"",Synthese_Programme!M55="Acté"),$D55*Parametres!E4,""))</f>
        <v/>
      </c>
      <c r="J55" s="240"/>
      <c r="K55" s="239" t="str">
        <f>IF($C55="","",IF(AND(Parametres!F5&lt;&gt;"",Synthese_Programme!M55="Acté"),$D55*Parametres!E5,""))</f>
        <v/>
      </c>
      <c r="L55" s="240"/>
      <c r="M55" s="239" t="str">
        <f>IF($C55="","",IF(AND(Parametres!F6&lt;&gt;"",Synthese_Programme!M55="Acté"),$D55*Parametres!E6,""))</f>
        <v/>
      </c>
      <c r="N55" s="240"/>
      <c r="O55" s="239" t="str">
        <f>IF($C55="","",IF(AND(Parametres!F7&lt;&gt;"",Synthese_Programme!M55="Acté"),$D55*Parametres!E7,""))</f>
        <v/>
      </c>
      <c r="P55" s="240"/>
      <c r="Q55" s="238" t="str">
        <f t="shared" si="2"/>
        <v/>
      </c>
      <c r="R55" s="238" t="str">
        <f t="shared" si="0"/>
        <v/>
      </c>
      <c r="S55" s="238" t="str">
        <f t="shared" si="1"/>
        <v/>
      </c>
    </row>
    <row r="56" spans="1:19" ht="24" customHeight="1" x14ac:dyDescent="0.45">
      <c r="A56" s="237" t="str">
        <f>IFERROR(IF(Base_de_donnée_clients!A56="","",Base_de_donnée_clients!A56),"")</f>
        <v/>
      </c>
      <c r="B56" s="226" t="str">
        <f>IFERROR(IF(Base_de_donnée_clients!B56="","",Base_de_donnée_clients!B56),"")</f>
        <v/>
      </c>
      <c r="C56" s="226" t="str">
        <f>IFERROR(IF(Base_de_donnée_clients!C56="","",Base_de_donnée_clients!C56),"")</f>
        <v/>
      </c>
      <c r="D56" s="238" t="str">
        <f>IFERROR(IF(OR(Synthese_Programme!M56="Réservé",Synthese_Programme!M56="Acté",Synthese_Programme!M56="réservé",Synthese_Programme!M56="acté"),Synthese_Programme!K56,""),"")</f>
        <v/>
      </c>
      <c r="E56" s="239" t="str">
        <f>IFERROR(IF(OR(Synthese_Programme!M56="Réservé",Synthese_Programme!M56="Acté",Synthese_Programme!M56="réservé",Synthese_Programme!M56="acté"),$D56*Parametres!E2,""),"")</f>
        <v/>
      </c>
      <c r="F56" s="240" t="str">
        <f>IFERROR(IF(Base_de_donnée_clients!J56="","",Base_de_donnée_clients!J56),"")</f>
        <v/>
      </c>
      <c r="G56" s="239" t="str">
        <f>IF($C56="","",IF(AND(Parametres!F3&lt;&gt;"",Synthese_Programme!M56="Acté"),$D56*Parametres!E3,""))</f>
        <v/>
      </c>
      <c r="H56" s="240"/>
      <c r="I56" s="239" t="str">
        <f>IF($C56="","",IF(AND(Parametres!F4&lt;&gt;"",Synthese_Programme!M56="Acté"),$D56*Parametres!E4,""))</f>
        <v/>
      </c>
      <c r="J56" s="240"/>
      <c r="K56" s="239" t="str">
        <f>IF($C56="","",IF(AND(Parametres!F5&lt;&gt;"",Synthese_Programme!M56="Acté"),$D56*Parametres!E5,""))</f>
        <v/>
      </c>
      <c r="L56" s="240"/>
      <c r="M56" s="239" t="str">
        <f>IF($C56="","",IF(AND(Parametres!F6&lt;&gt;"",Synthese_Programme!M56="Acté"),$D56*Parametres!E6,""))</f>
        <v/>
      </c>
      <c r="N56" s="240"/>
      <c r="O56" s="239" t="str">
        <f>IF($C56="","",IF(AND(Parametres!F7&lt;&gt;"",Synthese_Programme!M56="Acté"),$D56*Parametres!E7,""))</f>
        <v/>
      </c>
      <c r="P56" s="240"/>
      <c r="Q56" s="238" t="str">
        <f t="shared" si="2"/>
        <v/>
      </c>
      <c r="R56" s="238" t="str">
        <f t="shared" si="0"/>
        <v/>
      </c>
      <c r="S56" s="238" t="str">
        <f t="shared" si="1"/>
        <v/>
      </c>
    </row>
    <row r="57" spans="1:19" ht="24" customHeight="1" x14ac:dyDescent="0.45">
      <c r="A57" s="237" t="str">
        <f>IFERROR(IF(Base_de_donnée_clients!A57="","",Base_de_donnée_clients!A57),"")</f>
        <v/>
      </c>
      <c r="B57" s="226" t="str">
        <f>IFERROR(IF(Base_de_donnée_clients!B57="","",Base_de_donnée_clients!B57),"")</f>
        <v/>
      </c>
      <c r="C57" s="226" t="str">
        <f>IFERROR(IF(Base_de_donnée_clients!C57="","",Base_de_donnée_clients!C57),"")</f>
        <v/>
      </c>
      <c r="D57" s="238" t="str">
        <f>IFERROR(IF(OR(Synthese_Programme!M57="Réservé",Synthese_Programme!M57="Acté",Synthese_Programme!M57="réservé",Synthese_Programme!M57="acté"),Synthese_Programme!K57,""),"")</f>
        <v/>
      </c>
      <c r="E57" s="239" t="str">
        <f>IFERROR(IF(OR(Synthese_Programme!M57="Réservé",Synthese_Programme!M57="Acté",Synthese_Programme!M57="réservé",Synthese_Programme!M57="acté"),$D57*Parametres!E2,""),"")</f>
        <v/>
      </c>
      <c r="F57" s="240" t="str">
        <f>IFERROR(IF(Base_de_donnée_clients!J57="","",Base_de_donnée_clients!J57),"")</f>
        <v/>
      </c>
      <c r="G57" s="239" t="str">
        <f>IF($C57="","",IF(AND(Parametres!F3&lt;&gt;"",Synthese_Programme!M57="Acté"),$D57*Parametres!E3,""))</f>
        <v/>
      </c>
      <c r="H57" s="240"/>
      <c r="I57" s="239" t="str">
        <f>IF($C57="","",IF(AND(Parametres!F4&lt;&gt;"",Synthese_Programme!M57="Acté"),$D57*Parametres!E4,""))</f>
        <v/>
      </c>
      <c r="J57" s="240"/>
      <c r="K57" s="239" t="str">
        <f>IF($C57="","",IF(AND(Parametres!F5&lt;&gt;"",Synthese_Programme!M57="Acté"),$D57*Parametres!E5,""))</f>
        <v/>
      </c>
      <c r="L57" s="240"/>
      <c r="M57" s="239" t="str">
        <f>IF($C57="","",IF(AND(Parametres!F6&lt;&gt;"",Synthese_Programme!M57="Acté"),$D57*Parametres!E6,""))</f>
        <v/>
      </c>
      <c r="N57" s="240"/>
      <c r="O57" s="239" t="str">
        <f>IF($C57="","",IF(AND(Parametres!F7&lt;&gt;"",Synthese_Programme!M57="Acté"),$D57*Parametres!E7,""))</f>
        <v/>
      </c>
      <c r="P57" s="240"/>
      <c r="Q57" s="238" t="str">
        <f t="shared" si="2"/>
        <v/>
      </c>
      <c r="R57" s="238" t="str">
        <f t="shared" si="0"/>
        <v/>
      </c>
      <c r="S57" s="238" t="str">
        <f t="shared" si="1"/>
        <v/>
      </c>
    </row>
    <row r="58" spans="1:19" ht="24" customHeight="1" x14ac:dyDescent="0.45">
      <c r="A58" s="237" t="str">
        <f>IFERROR(IF(Base_de_donnée_clients!A58="","",Base_de_donnée_clients!A58),"")</f>
        <v/>
      </c>
      <c r="B58" s="226" t="str">
        <f>IFERROR(IF(Base_de_donnée_clients!B58="","",Base_de_donnée_clients!B58),"")</f>
        <v/>
      </c>
      <c r="C58" s="226" t="str">
        <f>IFERROR(IF(Base_de_donnée_clients!C58="","",Base_de_donnée_clients!C58),"")</f>
        <v/>
      </c>
      <c r="D58" s="238" t="str">
        <f>IFERROR(IF(OR(Synthese_Programme!M58="Réservé",Synthese_Programme!M58="Acté",Synthese_Programme!M58="réservé",Synthese_Programme!M58="acté"),Synthese_Programme!K58,""),"")</f>
        <v/>
      </c>
      <c r="E58" s="239" t="str">
        <f>IFERROR(IF(OR(Synthese_Programme!M58="Réservé",Synthese_Programme!M58="Acté",Synthese_Programme!M58="réservé",Synthese_Programme!M58="acté"),$D58*Parametres!E2,""),"")</f>
        <v/>
      </c>
      <c r="F58" s="240" t="str">
        <f>IFERROR(IF(Base_de_donnée_clients!J58="","",Base_de_donnée_clients!J58),"")</f>
        <v/>
      </c>
      <c r="G58" s="239" t="str">
        <f>IF($C58="","",IF(AND(Parametres!F3&lt;&gt;"",Synthese_Programme!M58="Acté"),$D58*Parametres!E3,""))</f>
        <v/>
      </c>
      <c r="H58" s="240"/>
      <c r="I58" s="239" t="str">
        <f>IF($C58="","",IF(AND(Parametres!F4&lt;&gt;"",Synthese_Programme!M58="Acté"),$D58*Parametres!E4,""))</f>
        <v/>
      </c>
      <c r="J58" s="240"/>
      <c r="K58" s="239" t="str">
        <f>IF($C58="","",IF(AND(Parametres!F5&lt;&gt;"",Synthese_Programme!M58="Acté"),$D58*Parametres!E5,""))</f>
        <v/>
      </c>
      <c r="L58" s="240"/>
      <c r="M58" s="239" t="str">
        <f>IF($C58="","",IF(AND(Parametres!F6&lt;&gt;"",Synthese_Programme!M58="Acté"),$D58*Parametres!E6,""))</f>
        <v/>
      </c>
      <c r="N58" s="240"/>
      <c r="O58" s="239" t="str">
        <f>IF($C58="","",IF(AND(Parametres!F7&lt;&gt;"",Synthese_Programme!M58="Acté"),$D58*Parametres!E7,""))</f>
        <v/>
      </c>
      <c r="P58" s="240"/>
      <c r="Q58" s="238" t="str">
        <f t="shared" si="2"/>
        <v/>
      </c>
      <c r="R58" s="238" t="str">
        <f t="shared" si="0"/>
        <v/>
      </c>
      <c r="S58" s="238" t="str">
        <f t="shared" si="1"/>
        <v/>
      </c>
    </row>
    <row r="59" spans="1:19" ht="24" customHeight="1" x14ac:dyDescent="0.45">
      <c r="A59" s="237" t="str">
        <f>IFERROR(IF(Base_de_donnée_clients!A59="","",Base_de_donnée_clients!A59),"")</f>
        <v/>
      </c>
      <c r="B59" s="226" t="str">
        <f>IFERROR(IF(Base_de_donnée_clients!B59="","",Base_de_donnée_clients!B59),"")</f>
        <v/>
      </c>
      <c r="C59" s="226" t="str">
        <f>IFERROR(IF(Base_de_donnée_clients!C59="","",Base_de_donnée_clients!C59),"")</f>
        <v/>
      </c>
      <c r="D59" s="238" t="str">
        <f>IFERROR(IF(OR(Synthese_Programme!M59="Réservé",Synthese_Programme!M59="Acté",Synthese_Programme!M59="réservé",Synthese_Programme!M59="acté"),Synthese_Programme!K59,""),"")</f>
        <v/>
      </c>
      <c r="E59" s="239" t="str">
        <f>IFERROR(IF(OR(Synthese_Programme!M59="Réservé",Synthese_Programme!M59="Acté",Synthese_Programme!M59="réservé",Synthese_Programme!M59="acté"),$D59*Parametres!E2,""),"")</f>
        <v/>
      </c>
      <c r="F59" s="240" t="str">
        <f>IFERROR(IF(Base_de_donnée_clients!J59="","",Base_de_donnée_clients!J59),"")</f>
        <v/>
      </c>
      <c r="G59" s="239" t="str">
        <f>IF($C59="","",IF(AND(Parametres!F3&lt;&gt;"",Synthese_Programme!M59="Acté"),$D59*Parametres!E3,""))</f>
        <v/>
      </c>
      <c r="H59" s="240"/>
      <c r="I59" s="239" t="str">
        <f>IF($C59="","",IF(AND(Parametres!F4&lt;&gt;"",Synthese_Programme!M59="Acté"),$D59*Parametres!E4,""))</f>
        <v/>
      </c>
      <c r="J59" s="240"/>
      <c r="K59" s="239" t="str">
        <f>IF($C59="","",IF(AND(Parametres!F5&lt;&gt;"",Synthese_Programme!M59="Acté"),$D59*Parametres!E5,""))</f>
        <v/>
      </c>
      <c r="L59" s="240"/>
      <c r="M59" s="239" t="str">
        <f>IF($C59="","",IF(AND(Parametres!F6&lt;&gt;"",Synthese_Programme!M59="Acté"),$D59*Parametres!E6,""))</f>
        <v/>
      </c>
      <c r="N59" s="240"/>
      <c r="O59" s="239" t="str">
        <f>IF($C59="","",IF(AND(Parametres!F7&lt;&gt;"",Synthese_Programme!M59="Acté"),$D59*Parametres!E7,""))</f>
        <v/>
      </c>
      <c r="P59" s="240"/>
      <c r="Q59" s="238" t="str">
        <f t="shared" si="2"/>
        <v/>
      </c>
      <c r="R59" s="238" t="str">
        <f t="shared" si="0"/>
        <v/>
      </c>
      <c r="S59" s="238" t="str">
        <f t="shared" si="1"/>
        <v/>
      </c>
    </row>
    <row r="60" spans="1:19" ht="24" customHeight="1" x14ac:dyDescent="0.45">
      <c r="A60" s="237" t="str">
        <f>IFERROR(IF(Base_de_donnée_clients!A60="","",Base_de_donnée_clients!A60),"")</f>
        <v/>
      </c>
      <c r="B60" s="226" t="str">
        <f>IFERROR(IF(Base_de_donnée_clients!B60="","",Base_de_donnée_clients!B60),"")</f>
        <v/>
      </c>
      <c r="C60" s="226" t="str">
        <f>IFERROR(IF(Base_de_donnée_clients!C60="","",Base_de_donnée_clients!C60),"")</f>
        <v/>
      </c>
      <c r="D60" s="238" t="str">
        <f>IFERROR(IF(OR(Synthese_Programme!M60="Réservé",Synthese_Programme!M60="Acté",Synthese_Programme!M60="réservé",Synthese_Programme!M60="acté"),Synthese_Programme!K60,""),"")</f>
        <v/>
      </c>
      <c r="E60" s="239" t="str">
        <f>IFERROR(IF(OR(Synthese_Programme!M60="Réservé",Synthese_Programme!M60="Acté",Synthese_Programme!M60="réservé",Synthese_Programme!M60="acté"),$D60*Parametres!E2,""),"")</f>
        <v/>
      </c>
      <c r="F60" s="240" t="str">
        <f>IFERROR(IF(Base_de_donnée_clients!J60="","",Base_de_donnée_clients!J60),"")</f>
        <v/>
      </c>
      <c r="G60" s="239" t="str">
        <f>IF($C60="","",IF(AND(Parametres!F3&lt;&gt;"",Synthese_Programme!M60="Acté"),$D60*Parametres!E3,""))</f>
        <v/>
      </c>
      <c r="H60" s="240"/>
      <c r="I60" s="239" t="str">
        <f>IF($C60="","",IF(AND(Parametres!F4&lt;&gt;"",Synthese_Programme!M60="Acté"),$D60*Parametres!E4,""))</f>
        <v/>
      </c>
      <c r="J60" s="240"/>
      <c r="K60" s="239" t="str">
        <f>IF($C60="","",IF(AND(Parametres!F5&lt;&gt;"",Synthese_Programme!M60="Acté"),$D60*Parametres!E5,""))</f>
        <v/>
      </c>
      <c r="L60" s="240"/>
      <c r="M60" s="239" t="str">
        <f>IF($C60="","",IF(AND(Parametres!F6&lt;&gt;"",Synthese_Programme!M60="Acté"),$D60*Parametres!E6,""))</f>
        <v/>
      </c>
      <c r="N60" s="240"/>
      <c r="O60" s="239" t="str">
        <f>IF($C60="","",IF(AND(Parametres!F7&lt;&gt;"",Synthese_Programme!M60="Acté"),$D60*Parametres!E7,""))</f>
        <v/>
      </c>
      <c r="P60" s="240"/>
      <c r="Q60" s="238" t="str">
        <f t="shared" si="2"/>
        <v/>
      </c>
      <c r="R60" s="238" t="str">
        <f t="shared" si="0"/>
        <v/>
      </c>
      <c r="S60" s="238" t="str">
        <f t="shared" si="1"/>
        <v/>
      </c>
    </row>
    <row r="61" spans="1:19" ht="24" customHeight="1" x14ac:dyDescent="0.45">
      <c r="A61" s="237" t="str">
        <f>IFERROR(IF(Base_de_donnée_clients!A61="","",Base_de_donnée_clients!A61),"")</f>
        <v/>
      </c>
      <c r="B61" s="226" t="str">
        <f>IFERROR(IF(Base_de_donnée_clients!B61="","",Base_de_donnée_clients!B61),"")</f>
        <v/>
      </c>
      <c r="C61" s="226" t="str">
        <f>IFERROR(IF(Base_de_donnée_clients!C61="","",Base_de_donnée_clients!C61),"")</f>
        <v/>
      </c>
      <c r="D61" s="238" t="str">
        <f>IFERROR(IF(OR(Synthese_Programme!M61="Réservé",Synthese_Programme!M61="Acté",Synthese_Programme!M61="réservé",Synthese_Programme!M61="acté"),Synthese_Programme!K61,""),"")</f>
        <v/>
      </c>
      <c r="E61" s="239" t="str">
        <f>IFERROR(IF(OR(Synthese_Programme!M61="Réservé",Synthese_Programme!M61="Acté",Synthese_Programme!M61="réservé",Synthese_Programme!M61="acté"),$D61*Parametres!E2,""),"")</f>
        <v/>
      </c>
      <c r="F61" s="240" t="str">
        <f>IFERROR(IF(Base_de_donnée_clients!J61="","",Base_de_donnée_clients!J61),"")</f>
        <v/>
      </c>
      <c r="G61" s="239" t="str">
        <f>IF($C61="","",IF(AND(Parametres!F3&lt;&gt;"",Synthese_Programme!M61="Acté"),$D61*Parametres!E3,""))</f>
        <v/>
      </c>
      <c r="H61" s="240"/>
      <c r="I61" s="239" t="str">
        <f>IF($C61="","",IF(AND(Parametres!F4&lt;&gt;"",Synthese_Programme!M61="Acté"),$D61*Parametres!E4,""))</f>
        <v/>
      </c>
      <c r="J61" s="240"/>
      <c r="K61" s="239" t="str">
        <f>IF($C61="","",IF(AND(Parametres!F5&lt;&gt;"",Synthese_Programme!M61="Acté"),$D61*Parametres!E5,""))</f>
        <v/>
      </c>
      <c r="L61" s="240"/>
      <c r="M61" s="239" t="str">
        <f>IF($C61="","",IF(AND(Parametres!F6&lt;&gt;"",Synthese_Programme!M61="Acté"),$D61*Parametres!E6,""))</f>
        <v/>
      </c>
      <c r="N61" s="240"/>
      <c r="O61" s="239" t="str">
        <f>IF($C61="","",IF(AND(Parametres!F7&lt;&gt;"",Synthese_Programme!M61="Acté"),$D61*Parametres!E7,""))</f>
        <v/>
      </c>
      <c r="P61" s="240"/>
      <c r="Q61" s="238" t="str">
        <f t="shared" si="2"/>
        <v/>
      </c>
      <c r="R61" s="238" t="str">
        <f t="shared" si="0"/>
        <v/>
      </c>
      <c r="S61" s="238" t="str">
        <f t="shared" si="1"/>
        <v/>
      </c>
    </row>
    <row r="62" spans="1:19" ht="24" customHeight="1" x14ac:dyDescent="0.45">
      <c r="A62" s="237" t="str">
        <f>IFERROR(IF(Base_de_donnée_clients!A62="","",Base_de_donnée_clients!A62),"")</f>
        <v/>
      </c>
      <c r="B62" s="226" t="str">
        <f>IFERROR(IF(Base_de_donnée_clients!B62="","",Base_de_donnée_clients!B62),"")</f>
        <v/>
      </c>
      <c r="C62" s="226" t="str">
        <f>IFERROR(IF(Base_de_donnée_clients!C62="","",Base_de_donnée_clients!C62),"")</f>
        <v/>
      </c>
      <c r="D62" s="238" t="str">
        <f>IFERROR(IF(OR(Synthese_Programme!M62="Réservé",Synthese_Programme!M62="Acté",Synthese_Programme!M62="réservé",Synthese_Programme!M62="acté"),Synthese_Programme!K62,""),"")</f>
        <v/>
      </c>
      <c r="E62" s="239" t="str">
        <f>IFERROR(IF(OR(Synthese_Programme!M62="Réservé",Synthese_Programme!M62="Acté",Synthese_Programme!M62="réservé",Synthese_Programme!M62="acté"),$D62*Parametres!E2,""),"")</f>
        <v/>
      </c>
      <c r="F62" s="240" t="str">
        <f>IFERROR(IF(Base_de_donnée_clients!J62="","",Base_de_donnée_clients!J62),"")</f>
        <v/>
      </c>
      <c r="G62" s="239" t="str">
        <f>IF($C62="","",IF(AND(Parametres!F3&lt;&gt;"",Synthese_Programme!M62="Acté"),$D62*Parametres!E3,""))</f>
        <v/>
      </c>
      <c r="H62" s="240"/>
      <c r="I62" s="239" t="str">
        <f>IF($C62="","",IF(AND(Parametres!F4&lt;&gt;"",Synthese_Programme!M62="Acté"),$D62*Parametres!E4,""))</f>
        <v/>
      </c>
      <c r="J62" s="240"/>
      <c r="K62" s="239" t="str">
        <f>IF($C62="","",IF(AND(Parametres!F5&lt;&gt;"",Synthese_Programme!M62="Acté"),$D62*Parametres!E5,""))</f>
        <v/>
      </c>
      <c r="L62" s="240"/>
      <c r="M62" s="239" t="str">
        <f>IF($C62="","",IF(AND(Parametres!F6&lt;&gt;"",Synthese_Programme!M62="Acté"),$D62*Parametres!E6,""))</f>
        <v/>
      </c>
      <c r="N62" s="240"/>
      <c r="O62" s="239" t="str">
        <f>IF($C62="","",IF(AND(Parametres!F7&lt;&gt;"",Synthese_Programme!M62="Acté"),$D62*Parametres!E7,""))</f>
        <v/>
      </c>
      <c r="P62" s="240"/>
      <c r="Q62" s="238" t="str">
        <f t="shared" si="2"/>
        <v/>
      </c>
      <c r="R62" s="238" t="str">
        <f t="shared" si="0"/>
        <v/>
      </c>
      <c r="S62" s="238" t="str">
        <f t="shared" si="1"/>
        <v/>
      </c>
    </row>
    <row r="63" spans="1:19" ht="24" customHeight="1" x14ac:dyDescent="0.45">
      <c r="A63" s="237" t="str">
        <f>IFERROR(IF(Base_de_donnée_clients!A63="","",Base_de_donnée_clients!A63),"")</f>
        <v/>
      </c>
      <c r="B63" s="226" t="str">
        <f>IFERROR(IF(Base_de_donnée_clients!B63="","",Base_de_donnée_clients!B63),"")</f>
        <v/>
      </c>
      <c r="C63" s="226" t="str">
        <f>IFERROR(IF(Base_de_donnée_clients!C63="","",Base_de_donnée_clients!C63),"")</f>
        <v/>
      </c>
      <c r="D63" s="238" t="str">
        <f>IFERROR(IF(OR(Synthese_Programme!M63="Réservé",Synthese_Programme!M63="Acté",Synthese_Programme!M63="réservé",Synthese_Programme!M63="acté"),Synthese_Programme!K63,""),"")</f>
        <v/>
      </c>
      <c r="E63" s="239" t="str">
        <f>IFERROR(IF(OR(Synthese_Programme!M63="Réservé",Synthese_Programme!M63="Acté",Synthese_Programme!M63="réservé",Synthese_Programme!M63="acté"),$D63*Parametres!E2,""),"")</f>
        <v/>
      </c>
      <c r="F63" s="240" t="str">
        <f>IFERROR(IF(Base_de_donnée_clients!J63="","",Base_de_donnée_clients!J63),"")</f>
        <v/>
      </c>
      <c r="G63" s="239" t="str">
        <f>IF($C63="","",IF(AND(Parametres!F3&lt;&gt;"",Synthese_Programme!M63="Acté"),$D63*Parametres!E3,""))</f>
        <v/>
      </c>
      <c r="H63" s="240"/>
      <c r="I63" s="239" t="str">
        <f>IF($C63="","",IF(AND(Parametres!F4&lt;&gt;"",Synthese_Programme!M63="Acté"),$D63*Parametres!E4,""))</f>
        <v/>
      </c>
      <c r="J63" s="240"/>
      <c r="K63" s="239" t="str">
        <f>IF($C63="","",IF(AND(Parametres!F5&lt;&gt;"",Synthese_Programme!M63="Acté"),$D63*Parametres!E5,""))</f>
        <v/>
      </c>
      <c r="L63" s="240"/>
      <c r="M63" s="239" t="str">
        <f>IF($C63="","",IF(AND(Parametres!F6&lt;&gt;"",Synthese_Programme!M63="Acté"),$D63*Parametres!E6,""))</f>
        <v/>
      </c>
      <c r="N63" s="240"/>
      <c r="O63" s="239" t="str">
        <f>IF($C63="","",IF(AND(Parametres!F7&lt;&gt;"",Synthese_Programme!M63="Acté"),$D63*Parametres!E7,""))</f>
        <v/>
      </c>
      <c r="P63" s="240"/>
      <c r="Q63" s="238" t="str">
        <f t="shared" si="2"/>
        <v/>
      </c>
      <c r="R63" s="238" t="str">
        <f t="shared" si="0"/>
        <v/>
      </c>
      <c r="S63" s="238" t="str">
        <f t="shared" si="1"/>
        <v/>
      </c>
    </row>
    <row r="64" spans="1:19" ht="24" customHeight="1" x14ac:dyDescent="0.45">
      <c r="A64" s="237" t="str">
        <f>IFERROR(IF(Base_de_donnée_clients!A64="","",Base_de_donnée_clients!A64),"")</f>
        <v/>
      </c>
      <c r="B64" s="226" t="str">
        <f>IFERROR(IF(Base_de_donnée_clients!B64="","",Base_de_donnée_clients!B64),"")</f>
        <v/>
      </c>
      <c r="C64" s="226" t="str">
        <f>IFERROR(IF(Base_de_donnée_clients!C64="","",Base_de_donnée_clients!C64),"")</f>
        <v/>
      </c>
      <c r="D64" s="238" t="str">
        <f>IFERROR(IF(OR(Synthese_Programme!M64="Réservé",Synthese_Programme!M64="Acté",Synthese_Programme!M64="réservé",Synthese_Programme!M64="acté"),Synthese_Programme!K64,""),"")</f>
        <v/>
      </c>
      <c r="E64" s="239" t="str">
        <f>IFERROR(IF(OR(Synthese_Programme!M64="Réservé",Synthese_Programme!M64="Acté",Synthese_Programme!M64="réservé",Synthese_Programme!M64="acté"),$D64*Parametres!E2,""),"")</f>
        <v/>
      </c>
      <c r="F64" s="240" t="str">
        <f>IFERROR(IF(Base_de_donnée_clients!J64="","",Base_de_donnée_clients!J64),"")</f>
        <v/>
      </c>
      <c r="G64" s="239" t="str">
        <f>IF($C64="","",IF(AND(Parametres!F3&lt;&gt;"",Synthese_Programme!M64="Acté"),$D64*Parametres!E3,""))</f>
        <v/>
      </c>
      <c r="H64" s="240"/>
      <c r="I64" s="239" t="str">
        <f>IF($C64="","",IF(AND(Parametres!F4&lt;&gt;"",Synthese_Programme!M64="Acté"),$D64*Parametres!E4,""))</f>
        <v/>
      </c>
      <c r="J64" s="240"/>
      <c r="K64" s="239" t="str">
        <f>IF($C64="","",IF(AND(Parametres!F5&lt;&gt;"",Synthese_Programme!M64="Acté"),$D64*Parametres!E5,""))</f>
        <v/>
      </c>
      <c r="L64" s="240"/>
      <c r="M64" s="239" t="str">
        <f>IF($C64="","",IF(AND(Parametres!F6&lt;&gt;"",Synthese_Programme!M64="Acté"),$D64*Parametres!E6,""))</f>
        <v/>
      </c>
      <c r="N64" s="240"/>
      <c r="O64" s="239" t="str">
        <f>IF($C64="","",IF(AND(Parametres!F7&lt;&gt;"",Synthese_Programme!M64="Acté"),$D64*Parametres!E7,""))</f>
        <v/>
      </c>
      <c r="P64" s="240"/>
      <c r="Q64" s="238" t="str">
        <f t="shared" si="2"/>
        <v/>
      </c>
      <c r="R64" s="238" t="str">
        <f t="shared" si="0"/>
        <v/>
      </c>
      <c r="S64" s="238" t="str">
        <f t="shared" si="1"/>
        <v/>
      </c>
    </row>
    <row r="65" spans="1:19" ht="24" customHeight="1" x14ac:dyDescent="0.45">
      <c r="A65" s="237" t="str">
        <f>IFERROR(IF(Base_de_donnée_clients!A65="","",Base_de_donnée_clients!A65),"")</f>
        <v/>
      </c>
      <c r="B65" s="226" t="str">
        <f>IFERROR(IF(Base_de_donnée_clients!B65="","",Base_de_donnée_clients!B65),"")</f>
        <v/>
      </c>
      <c r="C65" s="226" t="str">
        <f>IFERROR(IF(Base_de_donnée_clients!C65="","",Base_de_donnée_clients!C65),"")</f>
        <v/>
      </c>
      <c r="D65" s="238" t="str">
        <f>IFERROR(IF(OR(Synthese_Programme!M65="Réservé",Synthese_Programme!M65="Acté",Synthese_Programme!M65="réservé",Synthese_Programme!M65="acté"),Synthese_Programme!K65,""),"")</f>
        <v/>
      </c>
      <c r="E65" s="239" t="str">
        <f>IFERROR(IF(OR(Synthese_Programme!M65="Réservé",Synthese_Programme!M65="Acté",Synthese_Programme!M65="réservé",Synthese_Programme!M65="acté"),$D65*Parametres!E2,""),"")</f>
        <v/>
      </c>
      <c r="F65" s="240" t="str">
        <f>IFERROR(IF(Base_de_donnée_clients!J65="","",Base_de_donnée_clients!J65),"")</f>
        <v/>
      </c>
      <c r="G65" s="239" t="str">
        <f>IF($C65="","",IF(AND(Parametres!F3&lt;&gt;"",Synthese_Programme!M65="Acté"),$D65*Parametres!E3,""))</f>
        <v/>
      </c>
      <c r="H65" s="240"/>
      <c r="I65" s="239" t="str">
        <f>IF($C65="","",IF(AND(Parametres!F4&lt;&gt;"",Synthese_Programme!M65="Acté"),$D65*Parametres!E4,""))</f>
        <v/>
      </c>
      <c r="J65" s="240"/>
      <c r="K65" s="239" t="str">
        <f>IF($C65="","",IF(AND(Parametres!F5&lt;&gt;"",Synthese_Programme!M65="Acté"),$D65*Parametres!E5,""))</f>
        <v/>
      </c>
      <c r="L65" s="240"/>
      <c r="M65" s="239" t="str">
        <f>IF($C65="","",IF(AND(Parametres!F6&lt;&gt;"",Synthese_Programme!M65="Acté"),$D65*Parametres!E6,""))</f>
        <v/>
      </c>
      <c r="N65" s="240"/>
      <c r="O65" s="239" t="str">
        <f>IF($C65="","",IF(AND(Parametres!F7&lt;&gt;"",Synthese_Programme!M65="Acté"),$D65*Parametres!E7,""))</f>
        <v/>
      </c>
      <c r="P65" s="240"/>
      <c r="Q65" s="238" t="str">
        <f t="shared" si="2"/>
        <v/>
      </c>
      <c r="R65" s="238" t="str">
        <f t="shared" si="0"/>
        <v/>
      </c>
      <c r="S65" s="238" t="str">
        <f t="shared" si="1"/>
        <v/>
      </c>
    </row>
    <row r="66" spans="1:19" ht="24" customHeight="1" x14ac:dyDescent="0.45">
      <c r="A66" s="237" t="str">
        <f>IFERROR(IF(Base_de_donnée_clients!A66="","",Base_de_donnée_clients!A66),"")</f>
        <v/>
      </c>
      <c r="B66" s="226" t="str">
        <f>IFERROR(IF(Base_de_donnée_clients!B66="","",Base_de_donnée_clients!B66),"")</f>
        <v/>
      </c>
      <c r="C66" s="226" t="str">
        <f>IFERROR(IF(Base_de_donnée_clients!C66="","",Base_de_donnée_clients!C66),"")</f>
        <v/>
      </c>
      <c r="D66" s="238" t="str">
        <f>IFERROR(IF(OR(Synthese_Programme!M66="Réservé",Synthese_Programme!M66="Acté",Synthese_Programme!M66="réservé",Synthese_Programme!M66="acté"),Synthese_Programme!K66,""),"")</f>
        <v/>
      </c>
      <c r="E66" s="239" t="str">
        <f>IFERROR(IF(OR(Synthese_Programme!M66="Réservé",Synthese_Programme!M66="Acté",Synthese_Programme!M66="réservé",Synthese_Programme!M66="acté"),$D66*Parametres!E2,""),"")</f>
        <v/>
      </c>
      <c r="F66" s="240" t="str">
        <f>IFERROR(IF(Base_de_donnée_clients!J66="","",Base_de_donnée_clients!J66),"")</f>
        <v/>
      </c>
      <c r="G66" s="239" t="str">
        <f>IF($C66="","",IF(AND(Parametres!F3&lt;&gt;"",Synthese_Programme!M66="Acté"),$D66*Parametres!E3,""))</f>
        <v/>
      </c>
      <c r="H66" s="240"/>
      <c r="I66" s="239" t="str">
        <f>IF($C66="","",IF(AND(Parametres!F4&lt;&gt;"",Synthese_Programme!M66="Acté"),$D66*Parametres!E4,""))</f>
        <v/>
      </c>
      <c r="J66" s="240"/>
      <c r="K66" s="239" t="str">
        <f>IF($C66="","",IF(AND(Parametres!F5&lt;&gt;"",Synthese_Programme!M66="Acté"),$D66*Parametres!E5,""))</f>
        <v/>
      </c>
      <c r="L66" s="240"/>
      <c r="M66" s="239" t="str">
        <f>IF($C66="","",IF(AND(Parametres!F6&lt;&gt;"",Synthese_Programme!M66="Acté"),$D66*Parametres!E6,""))</f>
        <v/>
      </c>
      <c r="N66" s="240"/>
      <c r="O66" s="239" t="str">
        <f>IF($C66="","",IF(AND(Parametres!F7&lt;&gt;"",Synthese_Programme!M66="Acté"),$D66*Parametres!E7,""))</f>
        <v/>
      </c>
      <c r="P66" s="240"/>
      <c r="Q66" s="238" t="str">
        <f t="shared" si="2"/>
        <v/>
      </c>
      <c r="R66" s="238" t="str">
        <f t="shared" si="0"/>
        <v/>
      </c>
      <c r="S66" s="238" t="str">
        <f t="shared" si="1"/>
        <v/>
      </c>
    </row>
    <row r="67" spans="1:19" ht="24" customHeight="1" x14ac:dyDescent="0.45">
      <c r="A67" s="237" t="str">
        <f>IFERROR(IF(Base_de_donnée_clients!A67="","",Base_de_donnée_clients!A67),"")</f>
        <v/>
      </c>
      <c r="B67" s="226" t="str">
        <f>IFERROR(IF(Base_de_donnée_clients!B67="","",Base_de_donnée_clients!B67),"")</f>
        <v/>
      </c>
      <c r="C67" s="226" t="str">
        <f>IFERROR(IF(Base_de_donnée_clients!C67="","",Base_de_donnée_clients!C67),"")</f>
        <v/>
      </c>
      <c r="D67" s="238" t="str">
        <f>IFERROR(IF(OR(Synthese_Programme!M67="Réservé",Synthese_Programme!M67="Acté",Synthese_Programme!M67="réservé",Synthese_Programme!M67="acté"),Synthese_Programme!K67,""),"")</f>
        <v/>
      </c>
      <c r="E67" s="239" t="str">
        <f>IFERROR(IF(OR(Synthese_Programme!M67="Réservé",Synthese_Programme!M67="Acté",Synthese_Programme!M67="réservé",Synthese_Programme!M67="acté"),$D67*Parametres!E2,""),"")</f>
        <v/>
      </c>
      <c r="F67" s="240" t="str">
        <f>IFERROR(IF(Base_de_donnée_clients!J67="","",Base_de_donnée_clients!J67),"")</f>
        <v/>
      </c>
      <c r="G67" s="239" t="str">
        <f>IF($C67="","",IF(AND(Parametres!F3&lt;&gt;"",Synthese_Programme!M67="Acté"),$D67*Parametres!E3,""))</f>
        <v/>
      </c>
      <c r="H67" s="240"/>
      <c r="I67" s="239" t="str">
        <f>IF($C67="","",IF(AND(Parametres!F4&lt;&gt;"",Synthese_Programme!M67="Acté"),$D67*Parametres!E4,""))</f>
        <v/>
      </c>
      <c r="J67" s="240"/>
      <c r="K67" s="239" t="str">
        <f>IF($C67="","",IF(AND(Parametres!F5&lt;&gt;"",Synthese_Programme!M67="Acté"),$D67*Parametres!E5,""))</f>
        <v/>
      </c>
      <c r="L67" s="240"/>
      <c r="M67" s="239" t="str">
        <f>IF($C67="","",IF(AND(Parametres!F6&lt;&gt;"",Synthese_Programme!M67="Acté"),$D67*Parametres!E6,""))</f>
        <v/>
      </c>
      <c r="N67" s="240"/>
      <c r="O67" s="239" t="str">
        <f>IF($C67="","",IF(AND(Parametres!F7&lt;&gt;"",Synthese_Programme!M67="Acté"),$D67*Parametres!E7,""))</f>
        <v/>
      </c>
      <c r="P67" s="240"/>
      <c r="Q67" s="238" t="str">
        <f t="shared" si="2"/>
        <v/>
      </c>
      <c r="R67" s="238" t="str">
        <f t="shared" si="0"/>
        <v/>
      </c>
      <c r="S67" s="238" t="str">
        <f t="shared" si="1"/>
        <v/>
      </c>
    </row>
    <row r="68" spans="1:19" ht="24" customHeight="1" x14ac:dyDescent="0.45">
      <c r="A68" s="237" t="str">
        <f>IFERROR(IF(Base_de_donnée_clients!A68="","",Base_de_donnée_clients!A68),"")</f>
        <v/>
      </c>
      <c r="B68" s="226" t="str">
        <f>IFERROR(IF(Base_de_donnée_clients!B68="","",Base_de_donnée_clients!B68),"")</f>
        <v/>
      </c>
      <c r="C68" s="226" t="str">
        <f>IFERROR(IF(Base_de_donnée_clients!C68="","",Base_de_donnée_clients!C68),"")</f>
        <v/>
      </c>
      <c r="D68" s="238" t="str">
        <f>IFERROR(IF(OR(Synthese_Programme!M68="Réservé",Synthese_Programme!M68="Acté",Synthese_Programme!M68="réservé",Synthese_Programme!M68="acté"),Synthese_Programme!K68,""),"")</f>
        <v/>
      </c>
      <c r="E68" s="239" t="str">
        <f>IFERROR(IF(OR(Synthese_Programme!M68="Réservé",Synthese_Programme!M68="Acté",Synthese_Programme!M68="réservé",Synthese_Programme!M68="acté"),$D68*Parametres!E2,""),"")</f>
        <v/>
      </c>
      <c r="F68" s="240" t="str">
        <f>IFERROR(IF(Base_de_donnée_clients!J68="","",Base_de_donnée_clients!J68),"")</f>
        <v/>
      </c>
      <c r="G68" s="239" t="str">
        <f>IF($C68="","",IF(AND(Parametres!F3&lt;&gt;"",Synthese_Programme!M68="Acté"),$D68*Parametres!E3,""))</f>
        <v/>
      </c>
      <c r="H68" s="240"/>
      <c r="I68" s="239" t="str">
        <f>IF($C68="","",IF(AND(Parametres!F4&lt;&gt;"",Synthese_Programme!M68="Acté"),$D68*Parametres!E4,""))</f>
        <v/>
      </c>
      <c r="J68" s="240"/>
      <c r="K68" s="239" t="str">
        <f>IF($C68="","",IF(AND(Parametres!F5&lt;&gt;"",Synthese_Programme!M68="Acté"),$D68*Parametres!E5,""))</f>
        <v/>
      </c>
      <c r="L68" s="240"/>
      <c r="M68" s="239" t="str">
        <f>IF($C68="","",IF(AND(Parametres!F6&lt;&gt;"",Synthese_Programme!M68="Acté"),$D68*Parametres!E6,""))</f>
        <v/>
      </c>
      <c r="N68" s="240"/>
      <c r="O68" s="239" t="str">
        <f>IF($C68="","",IF(AND(Parametres!F7&lt;&gt;"",Synthese_Programme!M68="Acté"),$D68*Parametres!E7,""))</f>
        <v/>
      </c>
      <c r="P68" s="240"/>
      <c r="Q68" s="238" t="str">
        <f t="shared" si="2"/>
        <v/>
      </c>
      <c r="R68" s="238" t="str">
        <f t="shared" si="0"/>
        <v/>
      </c>
      <c r="S68" s="238" t="str">
        <f t="shared" si="1"/>
        <v/>
      </c>
    </row>
    <row r="69" spans="1:19" ht="24" customHeight="1" x14ac:dyDescent="0.45">
      <c r="A69" s="237" t="str">
        <f>IFERROR(IF(Base_de_donnée_clients!A69="","",Base_de_donnée_clients!A69),"")</f>
        <v/>
      </c>
      <c r="B69" s="226" t="str">
        <f>IFERROR(IF(Base_de_donnée_clients!B69="","",Base_de_donnée_clients!B69),"")</f>
        <v/>
      </c>
      <c r="C69" s="226" t="str">
        <f>IFERROR(IF(Base_de_donnée_clients!C69="","",Base_de_donnée_clients!C69),"")</f>
        <v/>
      </c>
      <c r="D69" s="238" t="str">
        <f>IFERROR(IF(OR(Synthese_Programme!M69="Réservé",Synthese_Programme!M69="Acté",Synthese_Programme!M69="réservé",Synthese_Programme!M69="acté"),Synthese_Programme!K69,""),"")</f>
        <v/>
      </c>
      <c r="E69" s="239" t="str">
        <f>IFERROR(IF(OR(Synthese_Programme!M69="Réservé",Synthese_Programme!M69="Acté",Synthese_Programme!M69="réservé",Synthese_Programme!M69="acté"),$D69*Parametres!E2,""),"")</f>
        <v/>
      </c>
      <c r="F69" s="240" t="str">
        <f>IFERROR(IF(Base_de_donnée_clients!J69="","",Base_de_donnée_clients!J69),"")</f>
        <v/>
      </c>
      <c r="G69" s="239" t="str">
        <f>IF($C69="","",IF(AND(Parametres!F3&lt;&gt;"",Synthese_Programme!M69="Acté"),$D69*Parametres!E3,""))</f>
        <v/>
      </c>
      <c r="H69" s="240"/>
      <c r="I69" s="239" t="str">
        <f>IF($C69="","",IF(AND(Parametres!F4&lt;&gt;"",Synthese_Programme!M69="Acté"),$D69*Parametres!E4,""))</f>
        <v/>
      </c>
      <c r="J69" s="240"/>
      <c r="K69" s="239" t="str">
        <f>IF($C69="","",IF(AND(Parametres!F5&lt;&gt;"",Synthese_Programme!M69="Acté"),$D69*Parametres!E5,""))</f>
        <v/>
      </c>
      <c r="L69" s="240"/>
      <c r="M69" s="239" t="str">
        <f>IF($C69="","",IF(AND(Parametres!F6&lt;&gt;"",Synthese_Programme!M69="Acté"),$D69*Parametres!E6,""))</f>
        <v/>
      </c>
      <c r="N69" s="240"/>
      <c r="O69" s="239" t="str">
        <f>IF($C69="","",IF(AND(Parametres!F7&lt;&gt;"",Synthese_Programme!M69="Acté"),$D69*Parametres!E7,""))</f>
        <v/>
      </c>
      <c r="P69" s="240"/>
      <c r="Q69" s="238" t="str">
        <f t="shared" ref="Q69:Q132" si="3">IFERROR(D69-(IF(F69="",0,E69)+IF(H69="",0,G69)+IF(J69="",0,I69)+IF(L69="",0,K69)+IF(N69="",0,M69)+IF(P69="",0,O69)),"")</f>
        <v/>
      </c>
      <c r="R69" s="238" t="str">
        <f t="shared" ref="R69:R132" si="4">IF(C69="","",IFERROR(IF(F69="",0,E69)+IF(H69="",0,G69)+IF(J69="",0,I69)+IF(L69="",0,K69)+IF(N69="",0,M69)+IF(P69="",0,O69),""))</f>
        <v/>
      </c>
      <c r="S69" s="238" t="str">
        <f t="shared" ref="S69:S132" si="5">Q69</f>
        <v/>
      </c>
    </row>
    <row r="70" spans="1:19" ht="24" customHeight="1" x14ac:dyDescent="0.45">
      <c r="A70" s="237" t="str">
        <f>IFERROR(IF(Base_de_donnée_clients!A70="","",Base_de_donnée_clients!A70),"")</f>
        <v/>
      </c>
      <c r="B70" s="226" t="str">
        <f>IFERROR(IF(Base_de_donnée_clients!B70="","",Base_de_donnée_clients!B70),"")</f>
        <v/>
      </c>
      <c r="C70" s="226" t="str">
        <f>IFERROR(IF(Base_de_donnée_clients!C70="","",Base_de_donnée_clients!C70),"")</f>
        <v/>
      </c>
      <c r="D70" s="238" t="str">
        <f>IFERROR(IF(OR(Synthese_Programme!M70="Réservé",Synthese_Programme!M70="Acté",Synthese_Programme!M70="réservé",Synthese_Programme!M70="acté"),Synthese_Programme!K70,""),"")</f>
        <v/>
      </c>
      <c r="E70" s="239" t="str">
        <f>IFERROR(IF(OR(Synthese_Programme!M70="Réservé",Synthese_Programme!M70="Acté",Synthese_Programme!M70="réservé",Synthese_Programme!M70="acté"),$D70*Parametres!E2,""),"")</f>
        <v/>
      </c>
      <c r="F70" s="240" t="str">
        <f>IFERROR(IF(Base_de_donnée_clients!J70="","",Base_de_donnée_clients!J70),"")</f>
        <v/>
      </c>
      <c r="G70" s="239" t="str">
        <f>IF($C70="","",IF(AND(Parametres!F3&lt;&gt;"",Synthese_Programme!M70="Acté"),$D70*Parametres!E3,""))</f>
        <v/>
      </c>
      <c r="H70" s="240"/>
      <c r="I70" s="239" t="str">
        <f>IF($C70="","",IF(AND(Parametres!F4&lt;&gt;"",Synthese_Programme!M70="Acté"),$D70*Parametres!E4,""))</f>
        <v/>
      </c>
      <c r="J70" s="240"/>
      <c r="K70" s="239" t="str">
        <f>IF($C70="","",IF(AND(Parametres!F5&lt;&gt;"",Synthese_Programme!M70="Acté"),$D70*Parametres!E5,""))</f>
        <v/>
      </c>
      <c r="L70" s="240"/>
      <c r="M70" s="239" t="str">
        <f>IF($C70="","",IF(AND(Parametres!F6&lt;&gt;"",Synthese_Programme!M70="Acté"),$D70*Parametres!E6,""))</f>
        <v/>
      </c>
      <c r="N70" s="240"/>
      <c r="O70" s="239" t="str">
        <f>IF($C70="","",IF(AND(Parametres!F7&lt;&gt;"",Synthese_Programme!M70="Acté"),$D70*Parametres!E7,""))</f>
        <v/>
      </c>
      <c r="P70" s="240"/>
      <c r="Q70" s="238" t="str">
        <f t="shared" si="3"/>
        <v/>
      </c>
      <c r="R70" s="238" t="str">
        <f t="shared" si="4"/>
        <v/>
      </c>
      <c r="S70" s="238" t="str">
        <f t="shared" si="5"/>
        <v/>
      </c>
    </row>
    <row r="71" spans="1:19" ht="24" customHeight="1" x14ac:dyDescent="0.45">
      <c r="A71" s="237" t="str">
        <f>IFERROR(IF(Base_de_donnée_clients!A71="","",Base_de_donnée_clients!A71),"")</f>
        <v/>
      </c>
      <c r="B71" s="226" t="str">
        <f>IFERROR(IF(Base_de_donnée_clients!B71="","",Base_de_donnée_clients!B71),"")</f>
        <v/>
      </c>
      <c r="C71" s="226" t="str">
        <f>IFERROR(IF(Base_de_donnée_clients!C71="","",Base_de_donnée_clients!C71),"")</f>
        <v/>
      </c>
      <c r="D71" s="238" t="str">
        <f>IFERROR(IF(OR(Synthese_Programme!M71="Réservé",Synthese_Programme!M71="Acté",Synthese_Programme!M71="réservé",Synthese_Programme!M71="acté"),Synthese_Programme!K71,""),"")</f>
        <v/>
      </c>
      <c r="E71" s="239" t="str">
        <f>IFERROR(IF(OR(Synthese_Programme!M71="Réservé",Synthese_Programme!M71="Acté",Synthese_Programme!M71="réservé",Synthese_Programme!M71="acté"),$D71*Parametres!E2,""),"")</f>
        <v/>
      </c>
      <c r="F71" s="240" t="str">
        <f>IFERROR(IF(Base_de_donnée_clients!J71="","",Base_de_donnée_clients!J71),"")</f>
        <v/>
      </c>
      <c r="G71" s="239" t="str">
        <f>IF($C71="","",IF(AND(Parametres!F3&lt;&gt;"",Synthese_Programme!M71="Acté"),$D71*Parametres!E3,""))</f>
        <v/>
      </c>
      <c r="H71" s="240"/>
      <c r="I71" s="239" t="str">
        <f>IF($C71="","",IF(AND(Parametres!F4&lt;&gt;"",Synthese_Programme!M71="Acté"),$D71*Parametres!E4,""))</f>
        <v/>
      </c>
      <c r="J71" s="240"/>
      <c r="K71" s="239" t="str">
        <f>IF($C71="","",IF(AND(Parametres!F5&lt;&gt;"",Synthese_Programme!M71="Acté"),$D71*Parametres!E5,""))</f>
        <v/>
      </c>
      <c r="L71" s="240"/>
      <c r="M71" s="239" t="str">
        <f>IF($C71="","",IF(AND(Parametres!F6&lt;&gt;"",Synthese_Programme!M71="Acté"),$D71*Parametres!E6,""))</f>
        <v/>
      </c>
      <c r="N71" s="240"/>
      <c r="O71" s="239" t="str">
        <f>IF($C71="","",IF(AND(Parametres!F7&lt;&gt;"",Synthese_Programme!M71="Acté"),$D71*Parametres!E7,""))</f>
        <v/>
      </c>
      <c r="P71" s="240"/>
      <c r="Q71" s="238" t="str">
        <f t="shared" si="3"/>
        <v/>
      </c>
      <c r="R71" s="238" t="str">
        <f t="shared" si="4"/>
        <v/>
      </c>
      <c r="S71" s="238" t="str">
        <f t="shared" si="5"/>
        <v/>
      </c>
    </row>
    <row r="72" spans="1:19" ht="24" customHeight="1" x14ac:dyDescent="0.45">
      <c r="A72" s="237" t="str">
        <f>IFERROR(IF(Base_de_donnée_clients!A72="","",Base_de_donnée_clients!A72),"")</f>
        <v/>
      </c>
      <c r="B72" s="226" t="str">
        <f>IFERROR(IF(Base_de_donnée_clients!B72="","",Base_de_donnée_clients!B72),"")</f>
        <v/>
      </c>
      <c r="C72" s="226" t="str">
        <f>IFERROR(IF(Base_de_donnée_clients!C72="","",Base_de_donnée_clients!C72),"")</f>
        <v/>
      </c>
      <c r="D72" s="238" t="str">
        <f>IFERROR(IF(OR(Synthese_Programme!M72="Réservé",Synthese_Programme!M72="Acté",Synthese_Programme!M72="réservé",Synthese_Programme!M72="acté"),Synthese_Programme!K72,""),"")</f>
        <v/>
      </c>
      <c r="E72" s="239" t="str">
        <f>IFERROR(IF(OR(Synthese_Programme!M72="Réservé",Synthese_Programme!M72="Acté",Synthese_Programme!M72="réservé",Synthese_Programme!M72="acté"),$D72*Parametres!E2,""),"")</f>
        <v/>
      </c>
      <c r="F72" s="240" t="str">
        <f>IFERROR(IF(Base_de_donnée_clients!J72="","",Base_de_donnée_clients!J72),"")</f>
        <v/>
      </c>
      <c r="G72" s="239" t="str">
        <f>IF($C72="","",IF(AND(Parametres!F3&lt;&gt;"",Synthese_Programme!M72="Acté"),$D72*Parametres!E3,""))</f>
        <v/>
      </c>
      <c r="H72" s="240"/>
      <c r="I72" s="239" t="str">
        <f>IF($C72="","",IF(AND(Parametres!F4&lt;&gt;"",Synthese_Programme!M72="Acté"),$D72*Parametres!E4,""))</f>
        <v/>
      </c>
      <c r="J72" s="240"/>
      <c r="K72" s="239" t="str">
        <f>IF($C72="","",IF(AND(Parametres!F5&lt;&gt;"",Synthese_Programme!M72="Acté"),$D72*Parametres!E5,""))</f>
        <v/>
      </c>
      <c r="L72" s="240"/>
      <c r="M72" s="239" t="str">
        <f>IF($C72="","",IF(AND(Parametres!F6&lt;&gt;"",Synthese_Programme!M72="Acté"),$D72*Parametres!E6,""))</f>
        <v/>
      </c>
      <c r="N72" s="240"/>
      <c r="O72" s="239" t="str">
        <f>IF($C72="","",IF(AND(Parametres!F7&lt;&gt;"",Synthese_Programme!M72="Acté"),$D72*Parametres!E7,""))</f>
        <v/>
      </c>
      <c r="P72" s="240"/>
      <c r="Q72" s="238" t="str">
        <f t="shared" si="3"/>
        <v/>
      </c>
      <c r="R72" s="238" t="str">
        <f t="shared" si="4"/>
        <v/>
      </c>
      <c r="S72" s="238" t="str">
        <f t="shared" si="5"/>
        <v/>
      </c>
    </row>
    <row r="73" spans="1:19" ht="24" customHeight="1" x14ac:dyDescent="0.45">
      <c r="A73" s="237" t="str">
        <f>IFERROR(IF(Base_de_donnée_clients!A73="","",Base_de_donnée_clients!A73),"")</f>
        <v/>
      </c>
      <c r="B73" s="226" t="str">
        <f>IFERROR(IF(Base_de_donnée_clients!B73="","",Base_de_donnée_clients!B73),"")</f>
        <v/>
      </c>
      <c r="C73" s="226" t="str">
        <f>IFERROR(IF(Base_de_donnée_clients!C73="","",Base_de_donnée_clients!C73),"")</f>
        <v/>
      </c>
      <c r="D73" s="238" t="str">
        <f>IFERROR(IF(OR(Synthese_Programme!M73="Réservé",Synthese_Programme!M73="Acté",Synthese_Programme!M73="réservé",Synthese_Programme!M73="acté"),Synthese_Programme!K73,""),"")</f>
        <v/>
      </c>
      <c r="E73" s="239" t="str">
        <f>IFERROR(IF(OR(Synthese_Programme!M73="Réservé",Synthese_Programme!M73="Acté",Synthese_Programme!M73="réservé",Synthese_Programme!M73="acté"),$D73*Parametres!E2,""),"")</f>
        <v/>
      </c>
      <c r="F73" s="240" t="str">
        <f>IFERROR(IF(Base_de_donnée_clients!J73="","",Base_de_donnée_clients!J73),"")</f>
        <v/>
      </c>
      <c r="G73" s="239" t="str">
        <f>IF($C73="","",IF(AND(Parametres!F3&lt;&gt;"",Synthese_Programme!M73="Acté"),$D73*Parametres!E3,""))</f>
        <v/>
      </c>
      <c r="H73" s="240"/>
      <c r="I73" s="239" t="str">
        <f>IF($C73="","",IF(AND(Parametres!F4&lt;&gt;"",Synthese_Programme!M73="Acté"),$D73*Parametres!E4,""))</f>
        <v/>
      </c>
      <c r="J73" s="240"/>
      <c r="K73" s="239" t="str">
        <f>IF($C73="","",IF(AND(Parametres!F5&lt;&gt;"",Synthese_Programme!M73="Acté"),$D73*Parametres!E5,""))</f>
        <v/>
      </c>
      <c r="L73" s="240"/>
      <c r="M73" s="239" t="str">
        <f>IF($C73="","",IF(AND(Parametres!F6&lt;&gt;"",Synthese_Programme!M73="Acté"),$D73*Parametres!E6,""))</f>
        <v/>
      </c>
      <c r="N73" s="240"/>
      <c r="O73" s="239" t="str">
        <f>IF($C73="","",IF(AND(Parametres!F7&lt;&gt;"",Synthese_Programme!M73="Acté"),$D73*Parametres!E7,""))</f>
        <v/>
      </c>
      <c r="P73" s="240"/>
      <c r="Q73" s="238" t="str">
        <f t="shared" si="3"/>
        <v/>
      </c>
      <c r="R73" s="238" t="str">
        <f t="shared" si="4"/>
        <v/>
      </c>
      <c r="S73" s="238" t="str">
        <f t="shared" si="5"/>
        <v/>
      </c>
    </row>
    <row r="74" spans="1:19" ht="24" customHeight="1" x14ac:dyDescent="0.45">
      <c r="A74" s="237" t="str">
        <f>IFERROR(IF(Base_de_donnée_clients!A74="","",Base_de_donnée_clients!A74),"")</f>
        <v/>
      </c>
      <c r="B74" s="226" t="str">
        <f>IFERROR(IF(Base_de_donnée_clients!B74="","",Base_de_donnée_clients!B74),"")</f>
        <v/>
      </c>
      <c r="C74" s="226" t="str">
        <f>IFERROR(IF(Base_de_donnée_clients!C74="","",Base_de_donnée_clients!C74),"")</f>
        <v/>
      </c>
      <c r="D74" s="238" t="str">
        <f>IFERROR(IF(OR(Synthese_Programme!M74="Réservé",Synthese_Programme!M74="Acté",Synthese_Programme!M74="réservé",Synthese_Programme!M74="acté"),Synthese_Programme!K74,""),"")</f>
        <v/>
      </c>
      <c r="E74" s="239" t="str">
        <f>IFERROR(IF(OR(Synthese_Programme!M74="Réservé",Synthese_Programme!M74="Acté",Synthese_Programme!M74="réservé",Synthese_Programme!M74="acté"),$D74*Parametres!E2,""),"")</f>
        <v/>
      </c>
      <c r="F74" s="240" t="str">
        <f>IFERROR(IF(Base_de_donnée_clients!J74="","",Base_de_donnée_clients!J74),"")</f>
        <v/>
      </c>
      <c r="G74" s="239" t="str">
        <f>IF($C74="","",IF(AND(Parametres!F3&lt;&gt;"",Synthese_Programme!M74="Acté"),$D74*Parametres!E3,""))</f>
        <v/>
      </c>
      <c r="H74" s="240"/>
      <c r="I74" s="239" t="str">
        <f>IF($C74="","",IF(AND(Parametres!F4&lt;&gt;"",Synthese_Programme!M74="Acté"),$D74*Parametres!E4,""))</f>
        <v/>
      </c>
      <c r="J74" s="240"/>
      <c r="K74" s="239" t="str">
        <f>IF($C74="","",IF(AND(Parametres!F5&lt;&gt;"",Synthese_Programme!M74="Acté"),$D74*Parametres!E5,""))</f>
        <v/>
      </c>
      <c r="L74" s="240"/>
      <c r="M74" s="239" t="str">
        <f>IF($C74="","",IF(AND(Parametres!F6&lt;&gt;"",Synthese_Programme!M74="Acté"),$D74*Parametres!E6,""))</f>
        <v/>
      </c>
      <c r="N74" s="240"/>
      <c r="O74" s="239" t="str">
        <f>IF($C74="","",IF(AND(Parametres!F7&lt;&gt;"",Synthese_Programme!M74="Acté"),$D74*Parametres!E7,""))</f>
        <v/>
      </c>
      <c r="P74" s="240"/>
      <c r="Q74" s="238" t="str">
        <f t="shared" si="3"/>
        <v/>
      </c>
      <c r="R74" s="238" t="str">
        <f t="shared" si="4"/>
        <v/>
      </c>
      <c r="S74" s="238" t="str">
        <f t="shared" si="5"/>
        <v/>
      </c>
    </row>
    <row r="75" spans="1:19" ht="24" customHeight="1" x14ac:dyDescent="0.45">
      <c r="A75" s="237" t="str">
        <f>IFERROR(IF(Base_de_donnée_clients!A75="","",Base_de_donnée_clients!A75),"")</f>
        <v/>
      </c>
      <c r="B75" s="226" t="str">
        <f>IFERROR(IF(Base_de_donnée_clients!B75="","",Base_de_donnée_clients!B75),"")</f>
        <v/>
      </c>
      <c r="C75" s="226" t="str">
        <f>IFERROR(IF(Base_de_donnée_clients!C75="","",Base_de_donnée_clients!C75),"")</f>
        <v/>
      </c>
      <c r="D75" s="238" t="str">
        <f>IFERROR(IF(OR(Synthese_Programme!M75="Réservé",Synthese_Programme!M75="Acté",Synthese_Programme!M75="réservé",Synthese_Programme!M75="acté"),Synthese_Programme!K75,""),"")</f>
        <v/>
      </c>
      <c r="E75" s="239" t="str">
        <f>IFERROR(IF(OR(Synthese_Programme!M75="Réservé",Synthese_Programme!M75="Acté",Synthese_Programme!M75="réservé",Synthese_Programme!M75="acté"),$D75*Parametres!E2,""),"")</f>
        <v/>
      </c>
      <c r="F75" s="240" t="str">
        <f>IFERROR(IF(Base_de_donnée_clients!J75="","",Base_de_donnée_clients!J75),"")</f>
        <v/>
      </c>
      <c r="G75" s="239" t="str">
        <f>IF($C75="","",IF(AND(Parametres!F3&lt;&gt;"",Synthese_Programme!M75="Acté"),$D75*Parametres!E3,""))</f>
        <v/>
      </c>
      <c r="H75" s="240"/>
      <c r="I75" s="239" t="str">
        <f>IF($C75="","",IF(AND(Parametres!F4&lt;&gt;"",Synthese_Programme!M75="Acté"),$D75*Parametres!E4,""))</f>
        <v/>
      </c>
      <c r="J75" s="240"/>
      <c r="K75" s="239" t="str">
        <f>IF($C75="","",IF(AND(Parametres!F5&lt;&gt;"",Synthese_Programme!M75="Acté"),$D75*Parametres!E5,""))</f>
        <v/>
      </c>
      <c r="L75" s="240"/>
      <c r="M75" s="239" t="str">
        <f>IF($C75="","",IF(AND(Parametres!F6&lt;&gt;"",Synthese_Programme!M75="Acté"),$D75*Parametres!E6,""))</f>
        <v/>
      </c>
      <c r="N75" s="240"/>
      <c r="O75" s="239" t="str">
        <f>IF($C75="","",IF(AND(Parametres!F7&lt;&gt;"",Synthese_Programme!M75="Acté"),$D75*Parametres!E7,""))</f>
        <v/>
      </c>
      <c r="P75" s="240"/>
      <c r="Q75" s="238" t="str">
        <f t="shared" si="3"/>
        <v/>
      </c>
      <c r="R75" s="238" t="str">
        <f t="shared" si="4"/>
        <v/>
      </c>
      <c r="S75" s="238" t="str">
        <f t="shared" si="5"/>
        <v/>
      </c>
    </row>
    <row r="76" spans="1:19" ht="24" customHeight="1" x14ac:dyDescent="0.45">
      <c r="A76" s="237" t="str">
        <f>IFERROR(IF(Base_de_donnée_clients!A76="","",Base_de_donnée_clients!A76),"")</f>
        <v/>
      </c>
      <c r="B76" s="226" t="str">
        <f>IFERROR(IF(Base_de_donnée_clients!B76="","",Base_de_donnée_clients!B76),"")</f>
        <v/>
      </c>
      <c r="C76" s="226" t="str">
        <f>IFERROR(IF(Base_de_donnée_clients!C76="","",Base_de_donnée_clients!C76),"")</f>
        <v/>
      </c>
      <c r="D76" s="238" t="str">
        <f>IFERROR(IF(OR(Synthese_Programme!M76="Réservé",Synthese_Programme!M76="Acté",Synthese_Programme!M76="réservé",Synthese_Programme!M76="acté"),Synthese_Programme!K76,""),"")</f>
        <v/>
      </c>
      <c r="E76" s="239" t="str">
        <f>IFERROR(IF(OR(Synthese_Programme!M76="Réservé",Synthese_Programme!M76="Acté",Synthese_Programme!M76="réservé",Synthese_Programme!M76="acté"),$D76*Parametres!E2,""),"")</f>
        <v/>
      </c>
      <c r="F76" s="240" t="str">
        <f>IFERROR(IF(Base_de_donnée_clients!J76="","",Base_de_donnée_clients!J76),"")</f>
        <v/>
      </c>
      <c r="G76" s="239" t="str">
        <f>IF($C76="","",IF(AND(Parametres!F3&lt;&gt;"",Synthese_Programme!M76="Acté"),$D76*Parametres!E3,""))</f>
        <v/>
      </c>
      <c r="H76" s="240"/>
      <c r="I76" s="239" t="str">
        <f>IF($C76="","",IF(AND(Parametres!F4&lt;&gt;"",Synthese_Programme!M76="Acté"),$D76*Parametres!E4,""))</f>
        <v/>
      </c>
      <c r="J76" s="240"/>
      <c r="K76" s="239" t="str">
        <f>IF($C76="","",IF(AND(Parametres!F5&lt;&gt;"",Synthese_Programme!M76="Acté"),$D76*Parametres!E5,""))</f>
        <v/>
      </c>
      <c r="L76" s="240"/>
      <c r="M76" s="239" t="str">
        <f>IF($C76="","",IF(AND(Parametres!F6&lt;&gt;"",Synthese_Programme!M76="Acté"),$D76*Parametres!E6,""))</f>
        <v/>
      </c>
      <c r="N76" s="240"/>
      <c r="O76" s="239" t="str">
        <f>IF($C76="","",IF(AND(Parametres!F7&lt;&gt;"",Synthese_Programme!M76="Acté"),$D76*Parametres!E7,""))</f>
        <v/>
      </c>
      <c r="P76" s="240"/>
      <c r="Q76" s="238" t="str">
        <f t="shared" si="3"/>
        <v/>
      </c>
      <c r="R76" s="238" t="str">
        <f t="shared" si="4"/>
        <v/>
      </c>
      <c r="S76" s="238" t="str">
        <f t="shared" si="5"/>
        <v/>
      </c>
    </row>
    <row r="77" spans="1:19" ht="24" customHeight="1" x14ac:dyDescent="0.45">
      <c r="A77" s="237" t="str">
        <f>IFERROR(IF(Base_de_donnée_clients!A77="","",Base_de_donnée_clients!A77),"")</f>
        <v/>
      </c>
      <c r="B77" s="226" t="str">
        <f>IFERROR(IF(Base_de_donnée_clients!B77="","",Base_de_donnée_clients!B77),"")</f>
        <v/>
      </c>
      <c r="C77" s="226" t="str">
        <f>IFERROR(IF(Base_de_donnée_clients!C77="","",Base_de_donnée_clients!C77),"")</f>
        <v/>
      </c>
      <c r="D77" s="238" t="str">
        <f>IFERROR(IF(OR(Synthese_Programme!M77="Réservé",Synthese_Programme!M77="Acté",Synthese_Programme!M77="réservé",Synthese_Programme!M77="acté"),Synthese_Programme!K77,""),"")</f>
        <v/>
      </c>
      <c r="E77" s="239" t="str">
        <f>IFERROR(IF(OR(Synthese_Programme!M77="Réservé",Synthese_Programme!M77="Acté",Synthese_Programme!M77="réservé",Synthese_Programme!M77="acté"),$D77*Parametres!E2,""),"")</f>
        <v/>
      </c>
      <c r="F77" s="240" t="str">
        <f>IFERROR(IF(Base_de_donnée_clients!J77="","",Base_de_donnée_clients!J77),"")</f>
        <v/>
      </c>
      <c r="G77" s="239" t="str">
        <f>IF($C77="","",IF(AND(Parametres!F3&lt;&gt;"",Synthese_Programme!M77="Acté"),$D77*Parametres!E3,""))</f>
        <v/>
      </c>
      <c r="H77" s="240"/>
      <c r="I77" s="239" t="str">
        <f>IF($C77="","",IF(AND(Parametres!F4&lt;&gt;"",Synthese_Programme!M77="Acté"),$D77*Parametres!E4,""))</f>
        <v/>
      </c>
      <c r="J77" s="240"/>
      <c r="K77" s="239" t="str">
        <f>IF($C77="","",IF(AND(Parametres!F5&lt;&gt;"",Synthese_Programme!M77="Acté"),$D77*Parametres!E5,""))</f>
        <v/>
      </c>
      <c r="L77" s="240"/>
      <c r="M77" s="239" t="str">
        <f>IF($C77="","",IF(AND(Parametres!F6&lt;&gt;"",Synthese_Programme!M77="Acté"),$D77*Parametres!E6,""))</f>
        <v/>
      </c>
      <c r="N77" s="240"/>
      <c r="O77" s="239" t="str">
        <f>IF($C77="","",IF(AND(Parametres!F7&lt;&gt;"",Synthese_Programme!M77="Acté"),$D77*Parametres!E7,""))</f>
        <v/>
      </c>
      <c r="P77" s="240"/>
      <c r="Q77" s="238" t="str">
        <f t="shared" si="3"/>
        <v/>
      </c>
      <c r="R77" s="238" t="str">
        <f t="shared" si="4"/>
        <v/>
      </c>
      <c r="S77" s="238" t="str">
        <f t="shared" si="5"/>
        <v/>
      </c>
    </row>
    <row r="78" spans="1:19" ht="24" customHeight="1" x14ac:dyDescent="0.45">
      <c r="A78" s="237" t="str">
        <f>IFERROR(IF(Base_de_donnée_clients!A78="","",Base_de_donnée_clients!A78),"")</f>
        <v/>
      </c>
      <c r="B78" s="226" t="str">
        <f>IFERROR(IF(Base_de_donnée_clients!B78="","",Base_de_donnée_clients!B78),"")</f>
        <v/>
      </c>
      <c r="C78" s="226" t="str">
        <f>IFERROR(IF(Base_de_donnée_clients!C78="","",Base_de_donnée_clients!C78),"")</f>
        <v/>
      </c>
      <c r="D78" s="238" t="str">
        <f>IFERROR(IF(OR(Synthese_Programme!M78="Réservé",Synthese_Programme!M78="Acté",Synthese_Programme!M78="réservé",Synthese_Programme!M78="acté"),Synthese_Programme!K78,""),"")</f>
        <v/>
      </c>
      <c r="E78" s="239" t="str">
        <f>IFERROR(IF(OR(Synthese_Programme!M78="Réservé",Synthese_Programme!M78="Acté",Synthese_Programme!M78="réservé",Synthese_Programme!M78="acté"),$D78*Parametres!E2,""),"")</f>
        <v/>
      </c>
      <c r="F78" s="240" t="str">
        <f>IFERROR(IF(Base_de_donnée_clients!J78="","",Base_de_donnée_clients!J78),"")</f>
        <v/>
      </c>
      <c r="G78" s="239" t="str">
        <f>IF($C78="","",IF(AND(Parametres!F3&lt;&gt;"",Synthese_Programme!M78="Acté"),$D78*Parametres!E3,""))</f>
        <v/>
      </c>
      <c r="H78" s="240"/>
      <c r="I78" s="239" t="str">
        <f>IF($C78="","",IF(AND(Parametres!F4&lt;&gt;"",Synthese_Programme!M78="Acté"),$D78*Parametres!E4,""))</f>
        <v/>
      </c>
      <c r="J78" s="240"/>
      <c r="K78" s="239" t="str">
        <f>IF($C78="","",IF(AND(Parametres!F5&lt;&gt;"",Synthese_Programme!M78="Acté"),$D78*Parametres!E5,""))</f>
        <v/>
      </c>
      <c r="L78" s="240"/>
      <c r="M78" s="239" t="str">
        <f>IF($C78="","",IF(AND(Parametres!F6&lt;&gt;"",Synthese_Programme!M78="Acté"),$D78*Parametres!E6,""))</f>
        <v/>
      </c>
      <c r="N78" s="240"/>
      <c r="O78" s="239" t="str">
        <f>IF($C78="","",IF(AND(Parametres!F7&lt;&gt;"",Synthese_Programme!M78="Acté"),$D78*Parametres!E7,""))</f>
        <v/>
      </c>
      <c r="P78" s="240"/>
      <c r="Q78" s="238" t="str">
        <f t="shared" si="3"/>
        <v/>
      </c>
      <c r="R78" s="238" t="str">
        <f t="shared" si="4"/>
        <v/>
      </c>
      <c r="S78" s="238" t="str">
        <f t="shared" si="5"/>
        <v/>
      </c>
    </row>
    <row r="79" spans="1:19" ht="24" customHeight="1" x14ac:dyDescent="0.45">
      <c r="A79" s="237" t="str">
        <f>IFERROR(IF(Base_de_donnée_clients!A79="","",Base_de_donnée_clients!A79),"")</f>
        <v/>
      </c>
      <c r="B79" s="226" t="str">
        <f>IFERROR(IF(Base_de_donnée_clients!B79="","",Base_de_donnée_clients!B79),"")</f>
        <v/>
      </c>
      <c r="C79" s="226" t="str">
        <f>IFERROR(IF(Base_de_donnée_clients!C79="","",Base_de_donnée_clients!C79),"")</f>
        <v/>
      </c>
      <c r="D79" s="238" t="str">
        <f>IFERROR(IF(OR(Synthese_Programme!M79="Réservé",Synthese_Programme!M79="Acté",Synthese_Programme!M79="réservé",Synthese_Programme!M79="acté"),Synthese_Programme!K79,""),"")</f>
        <v/>
      </c>
      <c r="E79" s="239" t="str">
        <f>IFERROR(IF(OR(Synthese_Programme!M79="Réservé",Synthese_Programme!M79="Acté",Synthese_Programme!M79="réservé",Synthese_Programme!M79="acté"),$D79*Parametres!E2,""),"")</f>
        <v/>
      </c>
      <c r="F79" s="240" t="str">
        <f>IFERROR(IF(Base_de_donnée_clients!J79="","",Base_de_donnée_clients!J79),"")</f>
        <v/>
      </c>
      <c r="G79" s="239" t="str">
        <f>IF($C79="","",IF(AND(Parametres!F3&lt;&gt;"",Synthese_Programme!M79="Acté"),$D79*Parametres!E3,""))</f>
        <v/>
      </c>
      <c r="H79" s="240"/>
      <c r="I79" s="239" t="str">
        <f>IF($C79="","",IF(AND(Parametres!F4&lt;&gt;"",Synthese_Programme!M79="Acté"),$D79*Parametres!E4,""))</f>
        <v/>
      </c>
      <c r="J79" s="240"/>
      <c r="K79" s="239" t="str">
        <f>IF($C79="","",IF(AND(Parametres!F5&lt;&gt;"",Synthese_Programme!M79="Acté"),$D79*Parametres!E5,""))</f>
        <v/>
      </c>
      <c r="L79" s="240"/>
      <c r="M79" s="239" t="str">
        <f>IF($C79="","",IF(AND(Parametres!F6&lt;&gt;"",Synthese_Programme!M79="Acté"),$D79*Parametres!E6,""))</f>
        <v/>
      </c>
      <c r="N79" s="240"/>
      <c r="O79" s="239" t="str">
        <f>IF($C79="","",IF(AND(Parametres!F7&lt;&gt;"",Synthese_Programme!M79="Acté"),$D79*Parametres!E7,""))</f>
        <v/>
      </c>
      <c r="P79" s="240"/>
      <c r="Q79" s="238" t="str">
        <f t="shared" si="3"/>
        <v/>
      </c>
      <c r="R79" s="238" t="str">
        <f t="shared" si="4"/>
        <v/>
      </c>
      <c r="S79" s="238" t="str">
        <f t="shared" si="5"/>
        <v/>
      </c>
    </row>
    <row r="80" spans="1:19" ht="24" customHeight="1" x14ac:dyDescent="0.45">
      <c r="A80" s="237" t="str">
        <f>IFERROR(IF(Base_de_donnée_clients!A80="","",Base_de_donnée_clients!A80),"")</f>
        <v/>
      </c>
      <c r="B80" s="226" t="str">
        <f>IFERROR(IF(Base_de_donnée_clients!B80="","",Base_de_donnée_clients!B80),"")</f>
        <v/>
      </c>
      <c r="C80" s="226" t="str">
        <f>IFERROR(IF(Base_de_donnée_clients!C80="","",Base_de_donnée_clients!C80),"")</f>
        <v/>
      </c>
      <c r="D80" s="238" t="str">
        <f>IFERROR(IF(OR(Synthese_Programme!M80="Réservé",Synthese_Programme!M80="Acté",Synthese_Programme!M80="réservé",Synthese_Programme!M80="acté"),Synthese_Programme!K80,""),"")</f>
        <v/>
      </c>
      <c r="E80" s="239" t="str">
        <f>IFERROR(IF(OR(Synthese_Programme!M80="Réservé",Synthese_Programme!M80="Acté",Synthese_Programme!M80="réservé",Synthese_Programme!M80="acté"),$D80*Parametres!E2,""),"")</f>
        <v/>
      </c>
      <c r="F80" s="240" t="str">
        <f>IFERROR(IF(Base_de_donnée_clients!J80="","",Base_de_donnée_clients!J80),"")</f>
        <v/>
      </c>
      <c r="G80" s="239" t="str">
        <f>IF($C80="","",IF(AND(Parametres!F3&lt;&gt;"",Synthese_Programme!M80="Acté"),$D80*Parametres!E3,""))</f>
        <v/>
      </c>
      <c r="H80" s="240"/>
      <c r="I80" s="239" t="str">
        <f>IF($C80="","",IF(AND(Parametres!F4&lt;&gt;"",Synthese_Programme!M80="Acté"),$D80*Parametres!E4,""))</f>
        <v/>
      </c>
      <c r="J80" s="240"/>
      <c r="K80" s="239" t="str">
        <f>IF($C80="","",IF(AND(Parametres!F5&lt;&gt;"",Synthese_Programme!M80="Acté"),$D80*Parametres!E5,""))</f>
        <v/>
      </c>
      <c r="L80" s="240"/>
      <c r="M80" s="239" t="str">
        <f>IF($C80="","",IF(AND(Parametres!F6&lt;&gt;"",Synthese_Programme!M80="Acté"),$D80*Parametres!E6,""))</f>
        <v/>
      </c>
      <c r="N80" s="240"/>
      <c r="O80" s="239" t="str">
        <f>IF($C80="","",IF(AND(Parametres!F7&lt;&gt;"",Synthese_Programme!M80="Acté"),$D80*Parametres!E7,""))</f>
        <v/>
      </c>
      <c r="P80" s="240"/>
      <c r="Q80" s="238" t="str">
        <f t="shared" si="3"/>
        <v/>
      </c>
      <c r="R80" s="238" t="str">
        <f t="shared" si="4"/>
        <v/>
      </c>
      <c r="S80" s="238" t="str">
        <f t="shared" si="5"/>
        <v/>
      </c>
    </row>
    <row r="81" spans="1:19" ht="24" customHeight="1" x14ac:dyDescent="0.45">
      <c r="A81" s="237" t="str">
        <f>IFERROR(IF(Base_de_donnée_clients!A81="","",Base_de_donnée_clients!A81),"")</f>
        <v/>
      </c>
      <c r="B81" s="226" t="str">
        <f>IFERROR(IF(Base_de_donnée_clients!B81="","",Base_de_donnée_clients!B81),"")</f>
        <v/>
      </c>
      <c r="C81" s="226" t="str">
        <f>IFERROR(IF(Base_de_donnée_clients!C81="","",Base_de_donnée_clients!C81),"")</f>
        <v/>
      </c>
      <c r="D81" s="238" t="str">
        <f>IFERROR(IF(OR(Synthese_Programme!M81="Réservé",Synthese_Programme!M81="Acté",Synthese_Programme!M81="réservé",Synthese_Programme!M81="acté"),Synthese_Programme!K81,""),"")</f>
        <v/>
      </c>
      <c r="E81" s="239" t="str">
        <f>IFERROR(IF(OR(Synthese_Programme!M81="Réservé",Synthese_Programme!M81="Acté",Synthese_Programme!M81="réservé",Synthese_Programme!M81="acté"),$D81*Parametres!E2,""),"")</f>
        <v/>
      </c>
      <c r="F81" s="240" t="str">
        <f>IFERROR(IF(Base_de_donnée_clients!J81="","",Base_de_donnée_clients!J81),"")</f>
        <v/>
      </c>
      <c r="G81" s="239" t="str">
        <f>IF($C81="","",IF(AND(Parametres!F3&lt;&gt;"",Synthese_Programme!M81="Acté"),$D81*Parametres!E3,""))</f>
        <v/>
      </c>
      <c r="H81" s="240"/>
      <c r="I81" s="239" t="str">
        <f>IF($C81="","",IF(AND(Parametres!F4&lt;&gt;"",Synthese_Programme!M81="Acté"),$D81*Parametres!E4,""))</f>
        <v/>
      </c>
      <c r="J81" s="240"/>
      <c r="K81" s="239" t="str">
        <f>IF($C81="","",IF(AND(Parametres!F5&lt;&gt;"",Synthese_Programme!M81="Acté"),$D81*Parametres!E5,""))</f>
        <v/>
      </c>
      <c r="L81" s="240"/>
      <c r="M81" s="239" t="str">
        <f>IF($C81="","",IF(AND(Parametres!F6&lt;&gt;"",Synthese_Programme!M81="Acté"),$D81*Parametres!E6,""))</f>
        <v/>
      </c>
      <c r="N81" s="240"/>
      <c r="O81" s="239" t="str">
        <f>IF($C81="","",IF(AND(Parametres!F7&lt;&gt;"",Synthese_Programme!M81="Acté"),$D81*Parametres!E7,""))</f>
        <v/>
      </c>
      <c r="P81" s="240"/>
      <c r="Q81" s="238" t="str">
        <f t="shared" si="3"/>
        <v/>
      </c>
      <c r="R81" s="238" t="str">
        <f t="shared" si="4"/>
        <v/>
      </c>
      <c r="S81" s="238" t="str">
        <f t="shared" si="5"/>
        <v/>
      </c>
    </row>
    <row r="82" spans="1:19" ht="24" customHeight="1" x14ac:dyDescent="0.45">
      <c r="A82" s="237" t="str">
        <f>IFERROR(IF(Base_de_donnée_clients!A82="","",Base_de_donnée_clients!A82),"")</f>
        <v/>
      </c>
      <c r="B82" s="226" t="str">
        <f>IFERROR(IF(Base_de_donnée_clients!B82="","",Base_de_donnée_clients!B82),"")</f>
        <v/>
      </c>
      <c r="C82" s="226" t="str">
        <f>IFERROR(IF(Base_de_donnée_clients!C82="","",Base_de_donnée_clients!C82),"")</f>
        <v/>
      </c>
      <c r="D82" s="238" t="str">
        <f>IFERROR(IF(OR(Synthese_Programme!M82="Réservé",Synthese_Programme!M82="Acté",Synthese_Programme!M82="réservé",Synthese_Programme!M82="acté"),Synthese_Programme!K82,""),"")</f>
        <v/>
      </c>
      <c r="E82" s="239" t="str">
        <f>IFERROR(IF(OR(Synthese_Programme!M82="Réservé",Synthese_Programme!M82="Acté",Synthese_Programme!M82="réservé",Synthese_Programme!M82="acté"),$D82*Parametres!E2,""),"")</f>
        <v/>
      </c>
      <c r="F82" s="240" t="str">
        <f>IFERROR(IF(Base_de_donnée_clients!J82="","",Base_de_donnée_clients!J82),"")</f>
        <v/>
      </c>
      <c r="G82" s="239" t="str">
        <f>IF($C82="","",IF(AND(Parametres!F3&lt;&gt;"",Synthese_Programme!M82="Acté"),$D82*Parametres!E3,""))</f>
        <v/>
      </c>
      <c r="H82" s="240"/>
      <c r="I82" s="239" t="str">
        <f>IF($C82="","",IF(AND(Parametres!F4&lt;&gt;"",Synthese_Programme!M82="Acté"),$D82*Parametres!E4,""))</f>
        <v/>
      </c>
      <c r="J82" s="240"/>
      <c r="K82" s="239" t="str">
        <f>IF($C82="","",IF(AND(Parametres!F5&lt;&gt;"",Synthese_Programme!M82="Acté"),$D82*Parametres!E5,""))</f>
        <v/>
      </c>
      <c r="L82" s="240"/>
      <c r="M82" s="239" t="str">
        <f>IF($C82="","",IF(AND(Parametres!F6&lt;&gt;"",Synthese_Programme!M82="Acté"),$D82*Parametres!E6,""))</f>
        <v/>
      </c>
      <c r="N82" s="240"/>
      <c r="O82" s="239" t="str">
        <f>IF($C82="","",IF(AND(Parametres!F7&lt;&gt;"",Synthese_Programme!M82="Acté"),$D82*Parametres!E7,""))</f>
        <v/>
      </c>
      <c r="P82" s="240"/>
      <c r="Q82" s="238" t="str">
        <f t="shared" si="3"/>
        <v/>
      </c>
      <c r="R82" s="238" t="str">
        <f t="shared" si="4"/>
        <v/>
      </c>
      <c r="S82" s="238" t="str">
        <f t="shared" si="5"/>
        <v/>
      </c>
    </row>
    <row r="83" spans="1:19" ht="24" customHeight="1" x14ac:dyDescent="0.45">
      <c r="A83" s="237" t="str">
        <f>IFERROR(IF(Base_de_donnée_clients!A83="","",Base_de_donnée_clients!A83),"")</f>
        <v/>
      </c>
      <c r="B83" s="226" t="str">
        <f>IFERROR(IF(Base_de_donnée_clients!B83="","",Base_de_donnée_clients!B83),"")</f>
        <v/>
      </c>
      <c r="C83" s="226" t="str">
        <f>IFERROR(IF(Base_de_donnée_clients!C83="","",Base_de_donnée_clients!C83),"")</f>
        <v/>
      </c>
      <c r="D83" s="238" t="str">
        <f>IFERROR(IF(OR(Synthese_Programme!M83="Réservé",Synthese_Programme!M83="Acté",Synthese_Programme!M83="réservé",Synthese_Programme!M83="acté"),Synthese_Programme!K83,""),"")</f>
        <v/>
      </c>
      <c r="E83" s="239" t="str">
        <f>IFERROR(IF(OR(Synthese_Programme!M83="Réservé",Synthese_Programme!M83="Acté",Synthese_Programme!M83="réservé",Synthese_Programme!M83="acté"),$D83*Parametres!E2,""),"")</f>
        <v/>
      </c>
      <c r="F83" s="240" t="str">
        <f>IFERROR(IF(Base_de_donnée_clients!J83="","",Base_de_donnée_clients!J83),"")</f>
        <v/>
      </c>
      <c r="G83" s="239" t="str">
        <f>IF($C83="","",IF(AND(Parametres!F3&lt;&gt;"",Synthese_Programme!M83="Acté"),$D83*Parametres!E3,""))</f>
        <v/>
      </c>
      <c r="H83" s="240"/>
      <c r="I83" s="239" t="str">
        <f>IF($C83="","",IF(AND(Parametres!F4&lt;&gt;"",Synthese_Programme!M83="Acté"),$D83*Parametres!E4,""))</f>
        <v/>
      </c>
      <c r="J83" s="240"/>
      <c r="K83" s="239" t="str">
        <f>IF($C83="","",IF(AND(Parametres!F5&lt;&gt;"",Synthese_Programme!M83="Acté"),$D83*Parametres!E5,""))</f>
        <v/>
      </c>
      <c r="L83" s="240"/>
      <c r="M83" s="239" t="str">
        <f>IF($C83="","",IF(AND(Parametres!F6&lt;&gt;"",Synthese_Programme!M83="Acté"),$D83*Parametres!E6,""))</f>
        <v/>
      </c>
      <c r="N83" s="240"/>
      <c r="O83" s="239" t="str">
        <f>IF($C83="","",IF(AND(Parametres!F7&lt;&gt;"",Synthese_Programme!M83="Acté"),$D83*Parametres!E7,""))</f>
        <v/>
      </c>
      <c r="P83" s="240"/>
      <c r="Q83" s="238" t="str">
        <f t="shared" si="3"/>
        <v/>
      </c>
      <c r="R83" s="238" t="str">
        <f t="shared" si="4"/>
        <v/>
      </c>
      <c r="S83" s="238" t="str">
        <f t="shared" si="5"/>
        <v/>
      </c>
    </row>
    <row r="84" spans="1:19" ht="24" customHeight="1" x14ac:dyDescent="0.45">
      <c r="A84" s="237" t="str">
        <f>IFERROR(IF(Base_de_donnée_clients!A84="","",Base_de_donnée_clients!A84),"")</f>
        <v/>
      </c>
      <c r="B84" s="226" t="str">
        <f>IFERROR(IF(Base_de_donnée_clients!B84="","",Base_de_donnée_clients!B84),"")</f>
        <v/>
      </c>
      <c r="C84" s="226" t="str">
        <f>IFERROR(IF(Base_de_donnée_clients!C84="","",Base_de_donnée_clients!C84),"")</f>
        <v/>
      </c>
      <c r="D84" s="238" t="str">
        <f>IFERROR(IF(OR(Synthese_Programme!M84="Réservé",Synthese_Programme!M84="Acté",Synthese_Programme!M84="réservé",Synthese_Programme!M84="acté"),Synthese_Programme!K84,""),"")</f>
        <v/>
      </c>
      <c r="E84" s="239" t="str">
        <f>IFERROR(IF(OR(Synthese_Programme!M84="Réservé",Synthese_Programme!M84="Acté",Synthese_Programme!M84="réservé",Synthese_Programme!M84="acté"),$D84*Parametres!E2,""),"")</f>
        <v/>
      </c>
      <c r="F84" s="240" t="str">
        <f>IFERROR(IF(Base_de_donnée_clients!J84="","",Base_de_donnée_clients!J84),"")</f>
        <v/>
      </c>
      <c r="G84" s="239" t="str">
        <f>IF($C84="","",IF(AND(Parametres!F3&lt;&gt;"",Synthese_Programme!M84="Acté"),$D84*Parametres!E3,""))</f>
        <v/>
      </c>
      <c r="H84" s="240"/>
      <c r="I84" s="239" t="str">
        <f>IF($C84="","",IF(AND(Parametres!F4&lt;&gt;"",Synthese_Programme!M84="Acté"),$D84*Parametres!E4,""))</f>
        <v/>
      </c>
      <c r="J84" s="240"/>
      <c r="K84" s="239" t="str">
        <f>IF($C84="","",IF(AND(Parametres!F5&lt;&gt;"",Synthese_Programme!M84="Acté"),$D84*Parametres!E5,""))</f>
        <v/>
      </c>
      <c r="L84" s="240"/>
      <c r="M84" s="239" t="str">
        <f>IF($C84="","",IF(AND(Parametres!F6&lt;&gt;"",Synthese_Programme!M84="Acté"),$D84*Parametres!E6,""))</f>
        <v/>
      </c>
      <c r="N84" s="240"/>
      <c r="O84" s="239" t="str">
        <f>IF($C84="","",IF(AND(Parametres!F7&lt;&gt;"",Synthese_Programme!M84="Acté"),$D84*Parametres!E7,""))</f>
        <v/>
      </c>
      <c r="P84" s="240"/>
      <c r="Q84" s="238" t="str">
        <f t="shared" si="3"/>
        <v/>
      </c>
      <c r="R84" s="238" t="str">
        <f t="shared" si="4"/>
        <v/>
      </c>
      <c r="S84" s="238" t="str">
        <f t="shared" si="5"/>
        <v/>
      </c>
    </row>
    <row r="85" spans="1:19" ht="24" customHeight="1" x14ac:dyDescent="0.45">
      <c r="A85" s="237" t="str">
        <f>IFERROR(IF(Base_de_donnée_clients!A85="","",Base_de_donnée_clients!A85),"")</f>
        <v/>
      </c>
      <c r="B85" s="226" t="str">
        <f>IFERROR(IF(Base_de_donnée_clients!B85="","",Base_de_donnée_clients!B85),"")</f>
        <v/>
      </c>
      <c r="C85" s="226" t="str">
        <f>IFERROR(IF(Base_de_donnée_clients!C85="","",Base_de_donnée_clients!C85),"")</f>
        <v/>
      </c>
      <c r="D85" s="238" t="str">
        <f>IFERROR(IF(OR(Synthese_Programme!M85="Réservé",Synthese_Programme!M85="Acté",Synthese_Programme!M85="réservé",Synthese_Programme!M85="acté"),Synthese_Programme!K85,""),"")</f>
        <v/>
      </c>
      <c r="E85" s="239" t="str">
        <f>IFERROR(IF(OR(Synthese_Programme!M85="Réservé",Synthese_Programme!M85="Acté",Synthese_Programme!M85="réservé",Synthese_Programme!M85="acté"),$D85*Parametres!E2,""),"")</f>
        <v/>
      </c>
      <c r="F85" s="240" t="str">
        <f>IFERROR(IF(Base_de_donnée_clients!J85="","",Base_de_donnée_clients!J85),"")</f>
        <v/>
      </c>
      <c r="G85" s="239" t="str">
        <f>IF($C85="","",IF(AND(Parametres!F3&lt;&gt;"",Synthese_Programme!M85="Acté"),$D85*Parametres!E3,""))</f>
        <v/>
      </c>
      <c r="H85" s="240"/>
      <c r="I85" s="239" t="str">
        <f>IF($C85="","",IF(AND(Parametres!F4&lt;&gt;"",Synthese_Programme!M85="Acté"),$D85*Parametres!E4,""))</f>
        <v/>
      </c>
      <c r="J85" s="240"/>
      <c r="K85" s="239" t="str">
        <f>IF($C85="","",IF(AND(Parametres!F5&lt;&gt;"",Synthese_Programme!M85="Acté"),$D85*Parametres!E5,""))</f>
        <v/>
      </c>
      <c r="L85" s="240"/>
      <c r="M85" s="239" t="str">
        <f>IF($C85="","",IF(AND(Parametres!F6&lt;&gt;"",Synthese_Programme!M85="Acté"),$D85*Parametres!E6,""))</f>
        <v/>
      </c>
      <c r="N85" s="240"/>
      <c r="O85" s="239" t="str">
        <f>IF($C85="","",IF(AND(Parametres!F7&lt;&gt;"",Synthese_Programme!M85="Acté"),$D85*Parametres!E7,""))</f>
        <v/>
      </c>
      <c r="P85" s="240"/>
      <c r="Q85" s="238" t="str">
        <f t="shared" si="3"/>
        <v/>
      </c>
      <c r="R85" s="238" t="str">
        <f t="shared" si="4"/>
        <v/>
      </c>
      <c r="S85" s="238" t="str">
        <f t="shared" si="5"/>
        <v/>
      </c>
    </row>
    <row r="86" spans="1:19" ht="24" customHeight="1" x14ac:dyDescent="0.45">
      <c r="A86" s="237" t="str">
        <f>IFERROR(IF(Base_de_donnée_clients!A86="","",Base_de_donnée_clients!A86),"")</f>
        <v/>
      </c>
      <c r="B86" s="226" t="str">
        <f>IFERROR(IF(Base_de_donnée_clients!B86="","",Base_de_donnée_clients!B86),"")</f>
        <v/>
      </c>
      <c r="C86" s="226" t="str">
        <f>IFERROR(IF(Base_de_donnée_clients!C86="","",Base_de_donnée_clients!C86),"")</f>
        <v/>
      </c>
      <c r="D86" s="238" t="str">
        <f>IFERROR(IF(OR(Synthese_Programme!M86="Réservé",Synthese_Programme!M86="Acté",Synthese_Programme!M86="réservé",Synthese_Programme!M86="acté"),Synthese_Programme!K86,""),"")</f>
        <v/>
      </c>
      <c r="E86" s="239" t="str">
        <f>IFERROR(IF(OR(Synthese_Programme!M86="Réservé",Synthese_Programme!M86="Acté",Synthese_Programme!M86="réservé",Synthese_Programme!M86="acté"),$D86*Parametres!E2,""),"")</f>
        <v/>
      </c>
      <c r="F86" s="240" t="str">
        <f>IFERROR(IF(Base_de_donnée_clients!J86="","",Base_de_donnée_clients!J86),"")</f>
        <v/>
      </c>
      <c r="G86" s="239" t="str">
        <f>IF($C86="","",IF(AND(Parametres!F3&lt;&gt;"",Synthese_Programme!M86="Acté"),$D86*Parametres!E3,""))</f>
        <v/>
      </c>
      <c r="H86" s="240"/>
      <c r="I86" s="239" t="str">
        <f>IF($C86="","",IF(AND(Parametres!F4&lt;&gt;"",Synthese_Programme!M86="Acté"),$D86*Parametres!E4,""))</f>
        <v/>
      </c>
      <c r="J86" s="240"/>
      <c r="K86" s="239" t="str">
        <f>IF($C86="","",IF(AND(Parametres!F5&lt;&gt;"",Synthese_Programme!M86="Acté"),$D86*Parametres!E5,""))</f>
        <v/>
      </c>
      <c r="L86" s="240"/>
      <c r="M86" s="239" t="str">
        <f>IF($C86="","",IF(AND(Parametres!F6&lt;&gt;"",Synthese_Programme!M86="Acté"),$D86*Parametres!E6,""))</f>
        <v/>
      </c>
      <c r="N86" s="240"/>
      <c r="O86" s="239" t="str">
        <f>IF($C86="","",IF(AND(Parametres!F7&lt;&gt;"",Synthese_Programme!M86="Acté"),$D86*Parametres!E7,""))</f>
        <v/>
      </c>
      <c r="P86" s="240"/>
      <c r="Q86" s="238" t="str">
        <f t="shared" si="3"/>
        <v/>
      </c>
      <c r="R86" s="238" t="str">
        <f t="shared" si="4"/>
        <v/>
      </c>
      <c r="S86" s="238" t="str">
        <f t="shared" si="5"/>
        <v/>
      </c>
    </row>
    <row r="87" spans="1:19" ht="24" customHeight="1" x14ac:dyDescent="0.45">
      <c r="A87" s="237" t="str">
        <f>IFERROR(IF(Base_de_donnée_clients!A87="","",Base_de_donnée_clients!A87),"")</f>
        <v/>
      </c>
      <c r="B87" s="226" t="str">
        <f>IFERROR(IF(Base_de_donnée_clients!B87="","",Base_de_donnée_clients!B87),"")</f>
        <v/>
      </c>
      <c r="C87" s="226" t="str">
        <f>IFERROR(IF(Base_de_donnée_clients!C87="","",Base_de_donnée_clients!C87),"")</f>
        <v/>
      </c>
      <c r="D87" s="238" t="str">
        <f>IFERROR(IF(OR(Synthese_Programme!M87="Réservé",Synthese_Programme!M87="Acté",Synthese_Programme!M87="réservé",Synthese_Programme!M87="acté"),Synthese_Programme!K87,""),"")</f>
        <v/>
      </c>
      <c r="E87" s="239" t="str">
        <f>IFERROR(IF(OR(Synthese_Programme!M87="Réservé",Synthese_Programme!M87="Acté",Synthese_Programme!M87="réservé",Synthese_Programme!M87="acté"),$D87*Parametres!E2,""),"")</f>
        <v/>
      </c>
      <c r="F87" s="240" t="str">
        <f>IFERROR(IF(Base_de_donnée_clients!J87="","",Base_de_donnée_clients!J87),"")</f>
        <v/>
      </c>
      <c r="G87" s="239" t="str">
        <f>IF($C87="","",IF(AND(Parametres!F3&lt;&gt;"",Synthese_Programme!M87="Acté"),$D87*Parametres!E3,""))</f>
        <v/>
      </c>
      <c r="H87" s="240"/>
      <c r="I87" s="239" t="str">
        <f>IF($C87="","",IF(AND(Parametres!F4&lt;&gt;"",Synthese_Programme!M87="Acté"),$D87*Parametres!E4,""))</f>
        <v/>
      </c>
      <c r="J87" s="240"/>
      <c r="K87" s="239" t="str">
        <f>IF($C87="","",IF(AND(Parametres!F5&lt;&gt;"",Synthese_Programme!M87="Acté"),$D87*Parametres!E5,""))</f>
        <v/>
      </c>
      <c r="L87" s="240"/>
      <c r="M87" s="239" t="str">
        <f>IF($C87="","",IF(AND(Parametres!F6&lt;&gt;"",Synthese_Programme!M87="Acté"),$D87*Parametres!E6,""))</f>
        <v/>
      </c>
      <c r="N87" s="240"/>
      <c r="O87" s="239" t="str">
        <f>IF($C87="","",IF(AND(Parametres!F7&lt;&gt;"",Synthese_Programme!M87="Acté"),$D87*Parametres!E7,""))</f>
        <v/>
      </c>
      <c r="P87" s="240"/>
      <c r="Q87" s="238" t="str">
        <f t="shared" si="3"/>
        <v/>
      </c>
      <c r="R87" s="238" t="str">
        <f t="shared" si="4"/>
        <v/>
      </c>
      <c r="S87" s="238" t="str">
        <f t="shared" si="5"/>
        <v/>
      </c>
    </row>
    <row r="88" spans="1:19" ht="24" customHeight="1" x14ac:dyDescent="0.45">
      <c r="A88" s="237" t="str">
        <f>IFERROR(IF(Base_de_donnée_clients!A88="","",Base_de_donnée_clients!A88),"")</f>
        <v/>
      </c>
      <c r="B88" s="226" t="str">
        <f>IFERROR(IF(Base_de_donnée_clients!B88="","",Base_de_donnée_clients!B88),"")</f>
        <v/>
      </c>
      <c r="C88" s="226" t="str">
        <f>IFERROR(IF(Base_de_donnée_clients!C88="","",Base_de_donnée_clients!C88),"")</f>
        <v/>
      </c>
      <c r="D88" s="238" t="str">
        <f>IFERROR(IF(OR(Synthese_Programme!M88="Réservé",Synthese_Programme!M88="Acté",Synthese_Programme!M88="réservé",Synthese_Programme!M88="acté"),Synthese_Programme!K88,""),"")</f>
        <v/>
      </c>
      <c r="E88" s="239" t="str">
        <f>IFERROR(IF(OR(Synthese_Programme!M88="Réservé",Synthese_Programme!M88="Acté",Synthese_Programme!M88="réservé",Synthese_Programme!M88="acté"),$D88*Parametres!E2,""),"")</f>
        <v/>
      </c>
      <c r="F88" s="240" t="str">
        <f>IFERROR(IF(Base_de_donnée_clients!J88="","",Base_de_donnée_clients!J88),"")</f>
        <v/>
      </c>
      <c r="G88" s="239" t="str">
        <f>IF($C88="","",IF(AND(Parametres!F3&lt;&gt;"",Synthese_Programme!M88="Acté"),$D88*Parametres!E3,""))</f>
        <v/>
      </c>
      <c r="H88" s="240"/>
      <c r="I88" s="239" t="str">
        <f>IF($C88="","",IF(AND(Parametres!F4&lt;&gt;"",Synthese_Programme!M88="Acté"),$D88*Parametres!E4,""))</f>
        <v/>
      </c>
      <c r="J88" s="240"/>
      <c r="K88" s="239" t="str">
        <f>IF($C88="","",IF(AND(Parametres!F5&lt;&gt;"",Synthese_Programme!M88="Acté"),$D88*Parametres!E5,""))</f>
        <v/>
      </c>
      <c r="L88" s="240"/>
      <c r="M88" s="239" t="str">
        <f>IF($C88="","",IF(AND(Parametres!F6&lt;&gt;"",Synthese_Programme!M88="Acté"),$D88*Parametres!E6,""))</f>
        <v/>
      </c>
      <c r="N88" s="240"/>
      <c r="O88" s="239" t="str">
        <f>IF($C88="","",IF(AND(Parametres!F7&lt;&gt;"",Synthese_Programme!M88="Acté"),$D88*Parametres!E7,""))</f>
        <v/>
      </c>
      <c r="P88" s="240"/>
      <c r="Q88" s="238" t="str">
        <f t="shared" si="3"/>
        <v/>
      </c>
      <c r="R88" s="238" t="str">
        <f t="shared" si="4"/>
        <v/>
      </c>
      <c r="S88" s="238" t="str">
        <f t="shared" si="5"/>
        <v/>
      </c>
    </row>
    <row r="89" spans="1:19" ht="24" customHeight="1" x14ac:dyDescent="0.45">
      <c r="A89" s="237" t="str">
        <f>IFERROR(IF(Base_de_donnée_clients!A89="","",Base_de_donnée_clients!A89),"")</f>
        <v/>
      </c>
      <c r="B89" s="226" t="str">
        <f>IFERROR(IF(Base_de_donnée_clients!B89="","",Base_de_donnée_clients!B89),"")</f>
        <v/>
      </c>
      <c r="C89" s="226" t="str">
        <f>IFERROR(IF(Base_de_donnée_clients!C89="","",Base_de_donnée_clients!C89),"")</f>
        <v/>
      </c>
      <c r="D89" s="238" t="str">
        <f>IFERROR(IF(OR(Synthese_Programme!M89="Réservé",Synthese_Programme!M89="Acté",Synthese_Programme!M89="réservé",Synthese_Programme!M89="acté"),Synthese_Programme!K89,""),"")</f>
        <v/>
      </c>
      <c r="E89" s="239" t="str">
        <f>IFERROR(IF(OR(Synthese_Programme!M89="Réservé",Synthese_Programme!M89="Acté",Synthese_Programme!M89="réservé",Synthese_Programme!M89="acté"),$D89*Parametres!E2,""),"")</f>
        <v/>
      </c>
      <c r="F89" s="240" t="str">
        <f>IFERROR(IF(Base_de_donnée_clients!J89="","",Base_de_donnée_clients!J89),"")</f>
        <v/>
      </c>
      <c r="G89" s="239" t="str">
        <f>IF($C89="","",IF(AND(Parametres!F3&lt;&gt;"",Synthese_Programme!M89="Acté"),$D89*Parametres!E3,""))</f>
        <v/>
      </c>
      <c r="H89" s="240"/>
      <c r="I89" s="239" t="str">
        <f>IF($C89="","",IF(AND(Parametres!F4&lt;&gt;"",Synthese_Programme!M89="Acté"),$D89*Parametres!E4,""))</f>
        <v/>
      </c>
      <c r="J89" s="240"/>
      <c r="K89" s="239" t="str">
        <f>IF($C89="","",IF(AND(Parametres!F5&lt;&gt;"",Synthese_Programme!M89="Acté"),$D89*Parametres!E5,""))</f>
        <v/>
      </c>
      <c r="L89" s="240"/>
      <c r="M89" s="239" t="str">
        <f>IF($C89="","",IF(AND(Parametres!F6&lt;&gt;"",Synthese_Programme!M89="Acté"),$D89*Parametres!E6,""))</f>
        <v/>
      </c>
      <c r="N89" s="240"/>
      <c r="O89" s="239" t="str">
        <f>IF($C89="","",IF(AND(Parametres!F7&lt;&gt;"",Synthese_Programme!M89="Acté"),$D89*Parametres!E7,""))</f>
        <v/>
      </c>
      <c r="P89" s="240"/>
      <c r="Q89" s="238" t="str">
        <f t="shared" si="3"/>
        <v/>
      </c>
      <c r="R89" s="238" t="str">
        <f t="shared" si="4"/>
        <v/>
      </c>
      <c r="S89" s="238" t="str">
        <f t="shared" si="5"/>
        <v/>
      </c>
    </row>
    <row r="90" spans="1:19" ht="24" customHeight="1" x14ac:dyDescent="0.45">
      <c r="A90" s="237" t="str">
        <f>IFERROR(IF(Base_de_donnée_clients!A90="","",Base_de_donnée_clients!A90),"")</f>
        <v/>
      </c>
      <c r="B90" s="226" t="str">
        <f>IFERROR(IF(Base_de_donnée_clients!B90="","",Base_de_donnée_clients!B90),"")</f>
        <v/>
      </c>
      <c r="C90" s="226" t="str">
        <f>IFERROR(IF(Base_de_donnée_clients!C90="","",Base_de_donnée_clients!C90),"")</f>
        <v/>
      </c>
      <c r="D90" s="238" t="str">
        <f>IFERROR(IF(OR(Synthese_Programme!M90="Réservé",Synthese_Programme!M90="Acté",Synthese_Programme!M90="réservé",Synthese_Programme!M90="acté"),Synthese_Programme!K90,""),"")</f>
        <v/>
      </c>
      <c r="E90" s="239" t="str">
        <f>IFERROR(IF(OR(Synthese_Programme!M90="Réservé",Synthese_Programme!M90="Acté",Synthese_Programme!M90="réservé",Synthese_Programme!M90="acté"),$D90*Parametres!E2,""),"")</f>
        <v/>
      </c>
      <c r="F90" s="240" t="str">
        <f>IFERROR(IF(Base_de_donnée_clients!J90="","",Base_de_donnée_clients!J90),"")</f>
        <v/>
      </c>
      <c r="G90" s="239" t="str">
        <f>IF($C90="","",IF(AND(Parametres!F3&lt;&gt;"",Synthese_Programme!M90="Acté"),$D90*Parametres!E3,""))</f>
        <v/>
      </c>
      <c r="H90" s="240"/>
      <c r="I90" s="239" t="str">
        <f>IF($C90="","",IF(AND(Parametres!F4&lt;&gt;"",Synthese_Programme!M90="Acté"),$D90*Parametres!E4,""))</f>
        <v/>
      </c>
      <c r="J90" s="240"/>
      <c r="K90" s="239" t="str">
        <f>IF($C90="","",IF(AND(Parametres!F5&lt;&gt;"",Synthese_Programme!M90="Acté"),$D90*Parametres!E5,""))</f>
        <v/>
      </c>
      <c r="L90" s="240"/>
      <c r="M90" s="239" t="str">
        <f>IF($C90="","",IF(AND(Parametres!F6&lt;&gt;"",Synthese_Programme!M90="Acté"),$D90*Parametres!E6,""))</f>
        <v/>
      </c>
      <c r="N90" s="240"/>
      <c r="O90" s="239" t="str">
        <f>IF($C90="","",IF(AND(Parametres!F7&lt;&gt;"",Synthese_Programme!M90="Acté"),$D90*Parametres!E7,""))</f>
        <v/>
      </c>
      <c r="P90" s="240"/>
      <c r="Q90" s="238" t="str">
        <f t="shared" si="3"/>
        <v/>
      </c>
      <c r="R90" s="238" t="str">
        <f t="shared" si="4"/>
        <v/>
      </c>
      <c r="S90" s="238" t="str">
        <f t="shared" si="5"/>
        <v/>
      </c>
    </row>
    <row r="91" spans="1:19" ht="24" customHeight="1" x14ac:dyDescent="0.45">
      <c r="A91" s="237" t="str">
        <f>IFERROR(IF(Base_de_donnée_clients!A91="","",Base_de_donnée_clients!A91),"")</f>
        <v/>
      </c>
      <c r="B91" s="226" t="str">
        <f>IFERROR(IF(Base_de_donnée_clients!B91="","",Base_de_donnée_clients!B91),"")</f>
        <v/>
      </c>
      <c r="C91" s="226" t="str">
        <f>IFERROR(IF(Base_de_donnée_clients!C91="","",Base_de_donnée_clients!C91),"")</f>
        <v/>
      </c>
      <c r="D91" s="238" t="str">
        <f>IFERROR(IF(OR(Synthese_Programme!M91="Réservé",Synthese_Programme!M91="Acté",Synthese_Programme!M91="réservé",Synthese_Programme!M91="acté"),Synthese_Programme!K91,""),"")</f>
        <v/>
      </c>
      <c r="E91" s="239" t="str">
        <f>IFERROR(IF(OR(Synthese_Programme!M91="Réservé",Synthese_Programme!M91="Acté",Synthese_Programme!M91="réservé",Synthese_Programme!M91="acté"),$D91*Parametres!E2,""),"")</f>
        <v/>
      </c>
      <c r="F91" s="240" t="str">
        <f>IFERROR(IF(Base_de_donnée_clients!J91="","",Base_de_donnée_clients!J91),"")</f>
        <v/>
      </c>
      <c r="G91" s="239" t="str">
        <f>IF($C91="","",IF(AND(Parametres!F3&lt;&gt;"",Synthese_Programme!M91="Acté"),$D91*Parametres!E3,""))</f>
        <v/>
      </c>
      <c r="H91" s="240"/>
      <c r="I91" s="239" t="str">
        <f>IF($C91="","",IF(AND(Parametres!F4&lt;&gt;"",Synthese_Programme!M91="Acté"),$D91*Parametres!E4,""))</f>
        <v/>
      </c>
      <c r="J91" s="240"/>
      <c r="K91" s="239" t="str">
        <f>IF($C91="","",IF(AND(Parametres!F5&lt;&gt;"",Synthese_Programme!M91="Acté"),$D91*Parametres!E5,""))</f>
        <v/>
      </c>
      <c r="L91" s="240"/>
      <c r="M91" s="239" t="str">
        <f>IF($C91="","",IF(AND(Parametres!F6&lt;&gt;"",Synthese_Programme!M91="Acté"),$D91*Parametres!E6,""))</f>
        <v/>
      </c>
      <c r="N91" s="240"/>
      <c r="O91" s="239" t="str">
        <f>IF($C91="","",IF(AND(Parametres!F7&lt;&gt;"",Synthese_Programme!M91="Acté"),$D91*Parametres!E7,""))</f>
        <v/>
      </c>
      <c r="P91" s="240"/>
      <c r="Q91" s="238" t="str">
        <f t="shared" si="3"/>
        <v/>
      </c>
      <c r="R91" s="238" t="str">
        <f t="shared" si="4"/>
        <v/>
      </c>
      <c r="S91" s="238" t="str">
        <f t="shared" si="5"/>
        <v/>
      </c>
    </row>
    <row r="92" spans="1:19" ht="24" customHeight="1" x14ac:dyDescent="0.45">
      <c r="A92" s="237" t="str">
        <f>IFERROR(IF(Base_de_donnée_clients!A92="","",Base_de_donnée_clients!A92),"")</f>
        <v/>
      </c>
      <c r="B92" s="226" t="str">
        <f>IFERROR(IF(Base_de_donnée_clients!B92="","",Base_de_donnée_clients!B92),"")</f>
        <v/>
      </c>
      <c r="C92" s="226" t="str">
        <f>IFERROR(IF(Base_de_donnée_clients!C92="","",Base_de_donnée_clients!C92),"")</f>
        <v/>
      </c>
      <c r="D92" s="238" t="str">
        <f>IFERROR(IF(OR(Synthese_Programme!M92="Réservé",Synthese_Programme!M92="Acté",Synthese_Programme!M92="réservé",Synthese_Programme!M92="acté"),Synthese_Programme!K92,""),"")</f>
        <v/>
      </c>
      <c r="E92" s="239" t="str">
        <f>IFERROR(IF(OR(Synthese_Programme!M92="Réservé",Synthese_Programme!M92="Acté",Synthese_Programme!M92="réservé",Synthese_Programme!M92="acté"),$D92*Parametres!E2,""),"")</f>
        <v/>
      </c>
      <c r="F92" s="240" t="str">
        <f>IFERROR(IF(Base_de_donnée_clients!J92="","",Base_de_donnée_clients!J92),"")</f>
        <v/>
      </c>
      <c r="G92" s="239" t="str">
        <f>IF($C92="","",IF(AND(Parametres!F3&lt;&gt;"",Synthese_Programme!M92="Acté"),$D92*Parametres!E3,""))</f>
        <v/>
      </c>
      <c r="H92" s="240"/>
      <c r="I92" s="239" t="str">
        <f>IF($C92="","",IF(AND(Parametres!F4&lt;&gt;"",Synthese_Programme!M92="Acté"),$D92*Parametres!E4,""))</f>
        <v/>
      </c>
      <c r="J92" s="240"/>
      <c r="K92" s="239" t="str">
        <f>IF($C92="","",IF(AND(Parametres!F5&lt;&gt;"",Synthese_Programme!M92="Acté"),$D92*Parametres!E5,""))</f>
        <v/>
      </c>
      <c r="L92" s="240"/>
      <c r="M92" s="239" t="str">
        <f>IF($C92="","",IF(AND(Parametres!F6&lt;&gt;"",Synthese_Programme!M92="Acté"),$D92*Parametres!E6,""))</f>
        <v/>
      </c>
      <c r="N92" s="240"/>
      <c r="O92" s="239" t="str">
        <f>IF($C92="","",IF(AND(Parametres!F7&lt;&gt;"",Synthese_Programme!M92="Acté"),$D92*Parametres!E7,""))</f>
        <v/>
      </c>
      <c r="P92" s="240"/>
      <c r="Q92" s="238" t="str">
        <f t="shared" si="3"/>
        <v/>
      </c>
      <c r="R92" s="238" t="str">
        <f t="shared" si="4"/>
        <v/>
      </c>
      <c r="S92" s="238" t="str">
        <f t="shared" si="5"/>
        <v/>
      </c>
    </row>
    <row r="93" spans="1:19" ht="24" customHeight="1" x14ac:dyDescent="0.45">
      <c r="A93" s="237" t="str">
        <f>IFERROR(IF(Base_de_donnée_clients!A93="","",Base_de_donnée_clients!A93),"")</f>
        <v/>
      </c>
      <c r="B93" s="226" t="str">
        <f>IFERROR(IF(Base_de_donnée_clients!B93="","",Base_de_donnée_clients!B93),"")</f>
        <v/>
      </c>
      <c r="C93" s="226" t="str">
        <f>IFERROR(IF(Base_de_donnée_clients!C93="","",Base_de_donnée_clients!C93),"")</f>
        <v/>
      </c>
      <c r="D93" s="238" t="str">
        <f>IFERROR(IF(OR(Synthese_Programme!M93="Réservé",Synthese_Programme!M93="Acté",Synthese_Programme!M93="réservé",Synthese_Programme!M93="acté"),Synthese_Programme!K93,""),"")</f>
        <v/>
      </c>
      <c r="E93" s="239" t="str">
        <f>IFERROR(IF(OR(Synthese_Programme!M93="Réservé",Synthese_Programme!M93="Acté",Synthese_Programme!M93="réservé",Synthese_Programme!M93="acté"),$D93*Parametres!E2,""),"")</f>
        <v/>
      </c>
      <c r="F93" s="240" t="str">
        <f>IFERROR(IF(Base_de_donnée_clients!J93="","",Base_de_donnée_clients!J93),"")</f>
        <v/>
      </c>
      <c r="G93" s="239" t="str">
        <f>IF($C93="","",IF(AND(Parametres!F3&lt;&gt;"",Synthese_Programme!M93="Acté"),$D93*Parametres!E3,""))</f>
        <v/>
      </c>
      <c r="H93" s="240"/>
      <c r="I93" s="239" t="str">
        <f>IF($C93="","",IF(AND(Parametres!F4&lt;&gt;"",Synthese_Programme!M93="Acté"),$D93*Parametres!E4,""))</f>
        <v/>
      </c>
      <c r="J93" s="240"/>
      <c r="K93" s="239" t="str">
        <f>IF($C93="","",IF(AND(Parametres!F5&lt;&gt;"",Synthese_Programme!M93="Acté"),$D93*Parametres!E5,""))</f>
        <v/>
      </c>
      <c r="L93" s="240"/>
      <c r="M93" s="239" t="str">
        <f>IF($C93="","",IF(AND(Parametres!F6&lt;&gt;"",Synthese_Programme!M93="Acté"),$D93*Parametres!E6,""))</f>
        <v/>
      </c>
      <c r="N93" s="240"/>
      <c r="O93" s="239" t="str">
        <f>IF($C93="","",IF(AND(Parametres!F7&lt;&gt;"",Synthese_Programme!M93="Acté"),$D93*Parametres!E7,""))</f>
        <v/>
      </c>
      <c r="P93" s="240"/>
      <c r="Q93" s="238" t="str">
        <f t="shared" si="3"/>
        <v/>
      </c>
      <c r="R93" s="238" t="str">
        <f t="shared" si="4"/>
        <v/>
      </c>
      <c r="S93" s="238" t="str">
        <f t="shared" si="5"/>
        <v/>
      </c>
    </row>
    <row r="94" spans="1:19" ht="24" customHeight="1" x14ac:dyDescent="0.45">
      <c r="A94" s="237" t="str">
        <f>IFERROR(IF(Base_de_donnée_clients!A94="","",Base_de_donnée_clients!A94),"")</f>
        <v/>
      </c>
      <c r="B94" s="226" t="str">
        <f>IFERROR(IF(Base_de_donnée_clients!B94="","",Base_de_donnée_clients!B94),"")</f>
        <v/>
      </c>
      <c r="C94" s="226" t="str">
        <f>IFERROR(IF(Base_de_donnée_clients!C94="","",Base_de_donnée_clients!C94),"")</f>
        <v/>
      </c>
      <c r="D94" s="238" t="str">
        <f>IFERROR(IF(OR(Synthese_Programme!M94="Réservé",Synthese_Programme!M94="Acté",Synthese_Programme!M94="réservé",Synthese_Programme!M94="acté"),Synthese_Programme!K94,""),"")</f>
        <v/>
      </c>
      <c r="E94" s="239" t="str">
        <f>IFERROR(IF(OR(Synthese_Programme!M94="Réservé",Synthese_Programme!M94="Acté",Synthese_Programme!M94="réservé",Synthese_Programme!M94="acté"),$D94*Parametres!E2,""),"")</f>
        <v/>
      </c>
      <c r="F94" s="240" t="str">
        <f>IFERROR(IF(Base_de_donnée_clients!J94="","",Base_de_donnée_clients!J94),"")</f>
        <v/>
      </c>
      <c r="G94" s="239" t="str">
        <f>IF($C94="","",IF(AND(Parametres!F3&lt;&gt;"",Synthese_Programme!M94="Acté"),$D94*Parametres!E3,""))</f>
        <v/>
      </c>
      <c r="H94" s="240"/>
      <c r="I94" s="239" t="str">
        <f>IF($C94="","",IF(AND(Parametres!F4&lt;&gt;"",Synthese_Programme!M94="Acté"),$D94*Parametres!E4,""))</f>
        <v/>
      </c>
      <c r="J94" s="240"/>
      <c r="K94" s="239" t="str">
        <f>IF($C94="","",IF(AND(Parametres!F5&lt;&gt;"",Synthese_Programme!M94="Acté"),$D94*Parametres!E5,""))</f>
        <v/>
      </c>
      <c r="L94" s="240"/>
      <c r="M94" s="239" t="str">
        <f>IF($C94="","",IF(AND(Parametres!F6&lt;&gt;"",Synthese_Programme!M94="Acté"),$D94*Parametres!E6,""))</f>
        <v/>
      </c>
      <c r="N94" s="240"/>
      <c r="O94" s="239" t="str">
        <f>IF($C94="","",IF(AND(Parametres!F7&lt;&gt;"",Synthese_Programme!M94="Acté"),$D94*Parametres!E7,""))</f>
        <v/>
      </c>
      <c r="P94" s="240"/>
      <c r="Q94" s="238" t="str">
        <f t="shared" si="3"/>
        <v/>
      </c>
      <c r="R94" s="238" t="str">
        <f t="shared" si="4"/>
        <v/>
      </c>
      <c r="S94" s="238" t="str">
        <f t="shared" si="5"/>
        <v/>
      </c>
    </row>
    <row r="95" spans="1:19" ht="24" customHeight="1" x14ac:dyDescent="0.45">
      <c r="A95" s="237" t="str">
        <f>IFERROR(IF(Base_de_donnée_clients!A95="","",Base_de_donnée_clients!A95),"")</f>
        <v/>
      </c>
      <c r="B95" s="226" t="str">
        <f>IFERROR(IF(Base_de_donnée_clients!B95="","",Base_de_donnée_clients!B95),"")</f>
        <v/>
      </c>
      <c r="C95" s="226" t="str">
        <f>IFERROR(IF(Base_de_donnée_clients!C95="","",Base_de_donnée_clients!C95),"")</f>
        <v/>
      </c>
      <c r="D95" s="238" t="str">
        <f>IFERROR(IF(OR(Synthese_Programme!M95="Réservé",Synthese_Programme!M95="Acté",Synthese_Programme!M95="réservé",Synthese_Programme!M95="acté"),Synthese_Programme!K95,""),"")</f>
        <v/>
      </c>
      <c r="E95" s="239" t="str">
        <f>IFERROR(IF(OR(Synthese_Programme!M95="Réservé",Synthese_Programme!M95="Acté",Synthese_Programme!M95="réservé",Synthese_Programme!M95="acté"),$D95*Parametres!E2,""),"")</f>
        <v/>
      </c>
      <c r="F95" s="240" t="str">
        <f>IFERROR(IF(Base_de_donnée_clients!J95="","",Base_de_donnée_clients!J95),"")</f>
        <v/>
      </c>
      <c r="G95" s="239" t="str">
        <f>IF($C95="","",IF(AND(Parametres!F3&lt;&gt;"",Synthese_Programme!M95="Acté"),$D95*Parametres!E3,""))</f>
        <v/>
      </c>
      <c r="H95" s="240"/>
      <c r="I95" s="239" t="str">
        <f>IF($C95="","",IF(AND(Parametres!F4&lt;&gt;"",Synthese_Programme!M95="Acté"),$D95*Parametres!E4,""))</f>
        <v/>
      </c>
      <c r="J95" s="240"/>
      <c r="K95" s="239" t="str">
        <f>IF($C95="","",IF(AND(Parametres!F5&lt;&gt;"",Synthese_Programme!M95="Acté"),$D95*Parametres!E5,""))</f>
        <v/>
      </c>
      <c r="L95" s="240"/>
      <c r="M95" s="239" t="str">
        <f>IF($C95="","",IF(AND(Parametres!F6&lt;&gt;"",Synthese_Programme!M95="Acté"),$D95*Parametres!E6,""))</f>
        <v/>
      </c>
      <c r="N95" s="240"/>
      <c r="O95" s="239" t="str">
        <f>IF($C95="","",IF(AND(Parametres!F7&lt;&gt;"",Synthese_Programme!M95="Acté"),$D95*Parametres!E7,""))</f>
        <v/>
      </c>
      <c r="P95" s="240"/>
      <c r="Q95" s="238" t="str">
        <f t="shared" si="3"/>
        <v/>
      </c>
      <c r="R95" s="238" t="str">
        <f t="shared" si="4"/>
        <v/>
      </c>
      <c r="S95" s="238" t="str">
        <f t="shared" si="5"/>
        <v/>
      </c>
    </row>
    <row r="96" spans="1:19" ht="24" customHeight="1" x14ac:dyDescent="0.45">
      <c r="A96" s="237" t="str">
        <f>IFERROR(IF(Base_de_donnée_clients!A96="","",Base_de_donnée_clients!A96),"")</f>
        <v/>
      </c>
      <c r="B96" s="226" t="str">
        <f>IFERROR(IF(Base_de_donnée_clients!B96="","",Base_de_donnée_clients!B96),"")</f>
        <v/>
      </c>
      <c r="C96" s="226" t="str">
        <f>IFERROR(IF(Base_de_donnée_clients!C96="","",Base_de_donnée_clients!C96),"")</f>
        <v/>
      </c>
      <c r="D96" s="238" t="str">
        <f>IFERROR(IF(OR(Synthese_Programme!M96="Réservé",Synthese_Programme!M96="Acté",Synthese_Programme!M96="réservé",Synthese_Programme!M96="acté"),Synthese_Programme!K96,""),"")</f>
        <v/>
      </c>
      <c r="E96" s="239" t="str">
        <f>IFERROR(IF(OR(Synthese_Programme!M96="Réservé",Synthese_Programme!M96="Acté",Synthese_Programme!M96="réservé",Synthese_Programme!M96="acté"),$D96*Parametres!E2,""),"")</f>
        <v/>
      </c>
      <c r="F96" s="240" t="str">
        <f>IFERROR(IF(Base_de_donnée_clients!J96="","",Base_de_donnée_clients!J96),"")</f>
        <v/>
      </c>
      <c r="G96" s="239" t="str">
        <f>IF($C96="","",IF(AND(Parametres!F3&lt;&gt;"",Synthese_Programme!M96="Acté"),$D96*Parametres!E3,""))</f>
        <v/>
      </c>
      <c r="H96" s="240"/>
      <c r="I96" s="239" t="str">
        <f>IF($C96="","",IF(AND(Parametres!F4&lt;&gt;"",Synthese_Programme!M96="Acté"),$D96*Parametres!E4,""))</f>
        <v/>
      </c>
      <c r="J96" s="240"/>
      <c r="K96" s="239" t="str">
        <f>IF($C96="","",IF(AND(Parametres!F5&lt;&gt;"",Synthese_Programme!M96="Acté"),$D96*Parametres!E5,""))</f>
        <v/>
      </c>
      <c r="L96" s="240"/>
      <c r="M96" s="239" t="str">
        <f>IF($C96="","",IF(AND(Parametres!F6&lt;&gt;"",Synthese_Programme!M96="Acté"),$D96*Parametres!E6,""))</f>
        <v/>
      </c>
      <c r="N96" s="240"/>
      <c r="O96" s="239" t="str">
        <f>IF($C96="","",IF(AND(Parametres!F7&lt;&gt;"",Synthese_Programme!M96="Acté"),$D96*Parametres!E7,""))</f>
        <v/>
      </c>
      <c r="P96" s="240"/>
      <c r="Q96" s="238" t="str">
        <f t="shared" si="3"/>
        <v/>
      </c>
      <c r="R96" s="238" t="str">
        <f t="shared" si="4"/>
        <v/>
      </c>
      <c r="S96" s="238" t="str">
        <f t="shared" si="5"/>
        <v/>
      </c>
    </row>
    <row r="97" spans="1:19" ht="24" customHeight="1" x14ac:dyDescent="0.45">
      <c r="A97" s="237" t="str">
        <f>IFERROR(IF(Base_de_donnée_clients!A97="","",Base_de_donnée_clients!A97),"")</f>
        <v/>
      </c>
      <c r="B97" s="226" t="str">
        <f>IFERROR(IF(Base_de_donnée_clients!B97="","",Base_de_donnée_clients!B97),"")</f>
        <v/>
      </c>
      <c r="C97" s="226" t="str">
        <f>IFERROR(IF(Base_de_donnée_clients!C97="","",Base_de_donnée_clients!C97),"")</f>
        <v/>
      </c>
      <c r="D97" s="238" t="str">
        <f>IFERROR(IF(OR(Synthese_Programme!M97="Réservé",Synthese_Programme!M97="Acté",Synthese_Programme!M97="réservé",Synthese_Programme!M97="acté"),Synthese_Programme!K97,""),"")</f>
        <v/>
      </c>
      <c r="E97" s="239" t="str">
        <f>IFERROR(IF(OR(Synthese_Programme!M97="Réservé",Synthese_Programme!M97="Acté",Synthese_Programme!M97="réservé",Synthese_Programme!M97="acté"),$D97*Parametres!E2,""),"")</f>
        <v/>
      </c>
      <c r="F97" s="240" t="str">
        <f>IFERROR(IF(Base_de_donnée_clients!J97="","",Base_de_donnée_clients!J97),"")</f>
        <v/>
      </c>
      <c r="G97" s="239" t="str">
        <f>IF($C97="","",IF(AND(Parametres!F3&lt;&gt;"",Synthese_Programme!M97="Acté"),$D97*Parametres!E3,""))</f>
        <v/>
      </c>
      <c r="H97" s="240"/>
      <c r="I97" s="239" t="str">
        <f>IF($C97="","",IF(AND(Parametres!F4&lt;&gt;"",Synthese_Programme!M97="Acté"),$D97*Parametres!E4,""))</f>
        <v/>
      </c>
      <c r="J97" s="240"/>
      <c r="K97" s="239" t="str">
        <f>IF($C97="","",IF(AND(Parametres!F5&lt;&gt;"",Synthese_Programme!M97="Acté"),$D97*Parametres!E5,""))</f>
        <v/>
      </c>
      <c r="L97" s="240"/>
      <c r="M97" s="239" t="str">
        <f>IF($C97="","",IF(AND(Parametres!F6&lt;&gt;"",Synthese_Programme!M97="Acté"),$D97*Parametres!E6,""))</f>
        <v/>
      </c>
      <c r="N97" s="240"/>
      <c r="O97" s="239" t="str">
        <f>IF($C97="","",IF(AND(Parametres!F7&lt;&gt;"",Synthese_Programme!M97="Acté"),$D97*Parametres!E7,""))</f>
        <v/>
      </c>
      <c r="P97" s="240"/>
      <c r="Q97" s="238" t="str">
        <f t="shared" si="3"/>
        <v/>
      </c>
      <c r="R97" s="238" t="str">
        <f t="shared" si="4"/>
        <v/>
      </c>
      <c r="S97" s="238" t="str">
        <f t="shared" si="5"/>
        <v/>
      </c>
    </row>
    <row r="98" spans="1:19" ht="24" customHeight="1" x14ac:dyDescent="0.45">
      <c r="A98" s="237" t="str">
        <f>IFERROR(IF(Base_de_donnée_clients!A98="","",Base_de_donnée_clients!A98),"")</f>
        <v/>
      </c>
      <c r="B98" s="226" t="str">
        <f>IFERROR(IF(Base_de_donnée_clients!B98="","",Base_de_donnée_clients!B98),"")</f>
        <v/>
      </c>
      <c r="C98" s="226" t="str">
        <f>IFERROR(IF(Base_de_donnée_clients!C98="","",Base_de_donnée_clients!C98),"")</f>
        <v/>
      </c>
      <c r="D98" s="238" t="str">
        <f>IFERROR(IF(OR(Synthese_Programme!M98="Réservé",Synthese_Programme!M98="Acté",Synthese_Programme!M98="réservé",Synthese_Programme!M98="acté"),Synthese_Programme!K98,""),"")</f>
        <v/>
      </c>
      <c r="E98" s="239" t="str">
        <f>IFERROR(IF(OR(Synthese_Programme!M98="Réservé",Synthese_Programme!M98="Acté",Synthese_Programme!M98="réservé",Synthese_Programme!M98="acté"),$D98*Parametres!E2,""),"")</f>
        <v/>
      </c>
      <c r="F98" s="240" t="str">
        <f>IFERROR(IF(Base_de_donnée_clients!J98="","",Base_de_donnée_clients!J98),"")</f>
        <v/>
      </c>
      <c r="G98" s="239" t="str">
        <f>IF($C98="","",IF(AND(Parametres!F3&lt;&gt;"",Synthese_Programme!M98="Acté"),$D98*Parametres!E3,""))</f>
        <v/>
      </c>
      <c r="H98" s="240"/>
      <c r="I98" s="239" t="str">
        <f>IF($C98="","",IF(AND(Parametres!F4&lt;&gt;"",Synthese_Programme!M98="Acté"),$D98*Parametres!E4,""))</f>
        <v/>
      </c>
      <c r="J98" s="240"/>
      <c r="K98" s="239" t="str">
        <f>IF($C98="","",IF(AND(Parametres!F5&lt;&gt;"",Synthese_Programme!M98="Acté"),$D98*Parametres!E5,""))</f>
        <v/>
      </c>
      <c r="L98" s="240"/>
      <c r="M98" s="239" t="str">
        <f>IF($C98="","",IF(AND(Parametres!F6&lt;&gt;"",Synthese_Programme!M98="Acté"),$D98*Parametres!E6,""))</f>
        <v/>
      </c>
      <c r="N98" s="240"/>
      <c r="O98" s="239" t="str">
        <f>IF($C98="","",IF(AND(Parametres!F7&lt;&gt;"",Synthese_Programme!M98="Acté"),$D98*Parametres!E7,""))</f>
        <v/>
      </c>
      <c r="P98" s="240"/>
      <c r="Q98" s="238" t="str">
        <f t="shared" si="3"/>
        <v/>
      </c>
      <c r="R98" s="238" t="str">
        <f t="shared" si="4"/>
        <v/>
      </c>
      <c r="S98" s="238" t="str">
        <f t="shared" si="5"/>
        <v/>
      </c>
    </row>
    <row r="99" spans="1:19" ht="24" customHeight="1" x14ac:dyDescent="0.45">
      <c r="A99" s="237" t="str">
        <f>IFERROR(IF(Base_de_donnée_clients!A99="","",Base_de_donnée_clients!A99),"")</f>
        <v/>
      </c>
      <c r="B99" s="226" t="str">
        <f>IFERROR(IF(Base_de_donnée_clients!B99="","",Base_de_donnée_clients!B99),"")</f>
        <v/>
      </c>
      <c r="C99" s="226" t="str">
        <f>IFERROR(IF(Base_de_donnée_clients!C99="","",Base_de_donnée_clients!C99),"")</f>
        <v/>
      </c>
      <c r="D99" s="238" t="str">
        <f>IFERROR(IF(OR(Synthese_Programme!M99="Réservé",Synthese_Programme!M99="Acté",Synthese_Programme!M99="réservé",Synthese_Programme!M99="acté"),Synthese_Programme!K99,""),"")</f>
        <v/>
      </c>
      <c r="E99" s="239" t="str">
        <f>IFERROR(IF(OR(Synthese_Programme!M99="Réservé",Synthese_Programme!M99="Acté",Synthese_Programme!M99="réservé",Synthese_Programme!M99="acté"),$D99*Parametres!E2,""),"")</f>
        <v/>
      </c>
      <c r="F99" s="240" t="str">
        <f>IFERROR(IF(Base_de_donnée_clients!J99="","",Base_de_donnée_clients!J99),"")</f>
        <v/>
      </c>
      <c r="G99" s="239" t="str">
        <f>IF($C99="","",IF(AND(Parametres!F3&lt;&gt;"",Synthese_Programme!M99="Acté"),$D99*Parametres!E3,""))</f>
        <v/>
      </c>
      <c r="H99" s="240"/>
      <c r="I99" s="239" t="str">
        <f>IF($C99="","",IF(AND(Parametres!F4&lt;&gt;"",Synthese_Programme!M99="Acté"),$D99*Parametres!E4,""))</f>
        <v/>
      </c>
      <c r="J99" s="240"/>
      <c r="K99" s="239" t="str">
        <f>IF($C99="","",IF(AND(Parametres!F5&lt;&gt;"",Synthese_Programme!M99="Acté"),$D99*Parametres!E5,""))</f>
        <v/>
      </c>
      <c r="L99" s="240"/>
      <c r="M99" s="239" t="str">
        <f>IF($C99="","",IF(AND(Parametres!F6&lt;&gt;"",Synthese_Programme!M99="Acté"),$D99*Parametres!E6,""))</f>
        <v/>
      </c>
      <c r="N99" s="240"/>
      <c r="O99" s="239" t="str">
        <f>IF($C99="","",IF(AND(Parametres!F7&lt;&gt;"",Synthese_Programme!M99="Acté"),$D99*Parametres!E7,""))</f>
        <v/>
      </c>
      <c r="P99" s="240"/>
      <c r="Q99" s="238" t="str">
        <f t="shared" si="3"/>
        <v/>
      </c>
      <c r="R99" s="238" t="str">
        <f t="shared" si="4"/>
        <v/>
      </c>
      <c r="S99" s="238" t="str">
        <f t="shared" si="5"/>
        <v/>
      </c>
    </row>
    <row r="100" spans="1:19" ht="24" customHeight="1" x14ac:dyDescent="0.45">
      <c r="A100" s="237" t="str">
        <f>IFERROR(IF(Base_de_donnée_clients!A100="","",Base_de_donnée_clients!A100),"")</f>
        <v/>
      </c>
      <c r="B100" s="226" t="str">
        <f>IFERROR(IF(Base_de_donnée_clients!B100="","",Base_de_donnée_clients!B100),"")</f>
        <v/>
      </c>
      <c r="C100" s="226" t="str">
        <f>IFERROR(IF(Base_de_donnée_clients!C100="","",Base_de_donnée_clients!C100),"")</f>
        <v/>
      </c>
      <c r="D100" s="238" t="str">
        <f>IFERROR(IF(OR(Synthese_Programme!M100="Réservé",Synthese_Programme!M100="Acté",Synthese_Programme!M100="réservé",Synthese_Programme!M100="acté"),Synthese_Programme!K100,""),"")</f>
        <v/>
      </c>
      <c r="E100" s="239" t="str">
        <f>IFERROR(IF(OR(Synthese_Programme!M100="Réservé",Synthese_Programme!M100="Acté",Synthese_Programme!M100="réservé",Synthese_Programme!M100="acté"),$D100*Parametres!E2,""),"")</f>
        <v/>
      </c>
      <c r="F100" s="240" t="str">
        <f>IFERROR(IF(Base_de_donnée_clients!J100="","",Base_de_donnée_clients!J100),"")</f>
        <v/>
      </c>
      <c r="G100" s="239" t="str">
        <f>IF($C100="","",IF(AND(Parametres!F3&lt;&gt;"",Synthese_Programme!M100="Acté"),$D100*Parametres!E3,""))</f>
        <v/>
      </c>
      <c r="H100" s="240"/>
      <c r="I100" s="239" t="str">
        <f>IF($C100="","",IF(AND(Parametres!F4&lt;&gt;"",Synthese_Programme!M100="Acté"),$D100*Parametres!E4,""))</f>
        <v/>
      </c>
      <c r="J100" s="240"/>
      <c r="K100" s="239" t="str">
        <f>IF($C100="","",IF(AND(Parametres!F5&lt;&gt;"",Synthese_Programme!M100="Acté"),$D100*Parametres!E5,""))</f>
        <v/>
      </c>
      <c r="L100" s="240"/>
      <c r="M100" s="239" t="str">
        <f>IF($C100="","",IF(AND(Parametres!F6&lt;&gt;"",Synthese_Programme!M100="Acté"),$D100*Parametres!E6,""))</f>
        <v/>
      </c>
      <c r="N100" s="240"/>
      <c r="O100" s="239" t="str">
        <f>IF($C100="","",IF(AND(Parametres!F7&lt;&gt;"",Synthese_Programme!M100="Acté"),$D100*Parametres!E7,""))</f>
        <v/>
      </c>
      <c r="P100" s="240"/>
      <c r="Q100" s="238" t="str">
        <f t="shared" si="3"/>
        <v/>
      </c>
      <c r="R100" s="238" t="str">
        <f t="shared" si="4"/>
        <v/>
      </c>
      <c r="S100" s="238" t="str">
        <f t="shared" si="5"/>
        <v/>
      </c>
    </row>
    <row r="101" spans="1:19" ht="24" customHeight="1" x14ac:dyDescent="0.45">
      <c r="A101" s="237" t="str">
        <f>IFERROR(IF(Base_de_donnée_clients!A101="","",Base_de_donnée_clients!A101),"")</f>
        <v/>
      </c>
      <c r="B101" s="226" t="str">
        <f>IFERROR(IF(Base_de_donnée_clients!B101="","",Base_de_donnée_clients!B101),"")</f>
        <v/>
      </c>
      <c r="C101" s="226" t="str">
        <f>IFERROR(IF(Base_de_donnée_clients!C101="","",Base_de_donnée_clients!C101),"")</f>
        <v/>
      </c>
      <c r="D101" s="238" t="str">
        <f>IFERROR(IF(OR(Synthese_Programme!M101="Réservé",Synthese_Programme!M101="Acté",Synthese_Programme!M101="réservé",Synthese_Programme!M101="acté"),Synthese_Programme!K101,""),"")</f>
        <v/>
      </c>
      <c r="E101" s="239" t="str">
        <f>IFERROR(IF(OR(Synthese_Programme!M101="Réservé",Synthese_Programme!M101="Acté",Synthese_Programme!M101="réservé",Synthese_Programme!M101="acté"),$D101*Parametres!E2,""),"")</f>
        <v/>
      </c>
      <c r="F101" s="240" t="str">
        <f>IFERROR(IF(Base_de_donnée_clients!J101="","",Base_de_donnée_clients!J101),"")</f>
        <v/>
      </c>
      <c r="G101" s="239" t="str">
        <f>IF($C101="","",IF(AND(Parametres!F3&lt;&gt;"",Synthese_Programme!M101="Acté"),$D101*Parametres!E3,""))</f>
        <v/>
      </c>
      <c r="H101" s="240"/>
      <c r="I101" s="239" t="str">
        <f>IF($C101="","",IF(AND(Parametres!F4&lt;&gt;"",Synthese_Programme!M101="Acté"),$D101*Parametres!E4,""))</f>
        <v/>
      </c>
      <c r="J101" s="240"/>
      <c r="K101" s="239" t="str">
        <f>IF($C101="","",IF(AND(Parametres!F5&lt;&gt;"",Synthese_Programme!M101="Acté"),$D101*Parametres!E5,""))</f>
        <v/>
      </c>
      <c r="L101" s="240"/>
      <c r="M101" s="239" t="str">
        <f>IF($C101="","",IF(AND(Parametres!F6&lt;&gt;"",Synthese_Programme!M101="Acté"),$D101*Parametres!E6,""))</f>
        <v/>
      </c>
      <c r="N101" s="240"/>
      <c r="O101" s="239" t="str">
        <f>IF($C101="","",IF(AND(Parametres!F7&lt;&gt;"",Synthese_Programme!M101="Acté"),$D101*Parametres!E7,""))</f>
        <v/>
      </c>
      <c r="P101" s="240"/>
      <c r="Q101" s="238" t="str">
        <f t="shared" si="3"/>
        <v/>
      </c>
      <c r="R101" s="238" t="str">
        <f t="shared" si="4"/>
        <v/>
      </c>
      <c r="S101" s="238" t="str">
        <f t="shared" si="5"/>
        <v/>
      </c>
    </row>
    <row r="102" spans="1:19" ht="24" customHeight="1" x14ac:dyDescent="0.45">
      <c r="A102" s="237" t="str">
        <f>IFERROR(IF(Base_de_donnée_clients!A102="","",Base_de_donnée_clients!A102),"")</f>
        <v/>
      </c>
      <c r="B102" s="226" t="str">
        <f>IFERROR(IF(Base_de_donnée_clients!B102="","",Base_de_donnée_clients!B102),"")</f>
        <v/>
      </c>
      <c r="C102" s="226" t="str">
        <f>IFERROR(IF(Base_de_donnée_clients!C102="","",Base_de_donnée_clients!C102),"")</f>
        <v/>
      </c>
      <c r="D102" s="238" t="str">
        <f>IFERROR(IF(OR(Synthese_Programme!M102="Réservé",Synthese_Programme!M102="Acté",Synthese_Programme!M102="réservé",Synthese_Programme!M102="acté"),Synthese_Programme!K102,""),"")</f>
        <v/>
      </c>
      <c r="E102" s="239" t="str">
        <f>IFERROR(IF(OR(Synthese_Programme!M102="Réservé",Synthese_Programme!M102="Acté",Synthese_Programme!M102="réservé",Synthese_Programme!M102="acté"),$D102*Parametres!E2,""),"")</f>
        <v/>
      </c>
      <c r="F102" s="240" t="str">
        <f>IFERROR(IF(Base_de_donnée_clients!J102="","",Base_de_donnée_clients!J102),"")</f>
        <v/>
      </c>
      <c r="G102" s="239" t="str">
        <f>IF($C102="","",IF(AND(Parametres!F3&lt;&gt;"",Synthese_Programme!M102="Acté"),$D102*Parametres!E3,""))</f>
        <v/>
      </c>
      <c r="H102" s="240"/>
      <c r="I102" s="239" t="str">
        <f>IF($C102="","",IF(AND(Parametres!F4&lt;&gt;"",Synthese_Programme!M102="Acté"),$D102*Parametres!E4,""))</f>
        <v/>
      </c>
      <c r="J102" s="240"/>
      <c r="K102" s="239" t="str">
        <f>IF($C102="","",IF(AND(Parametres!F5&lt;&gt;"",Synthese_Programme!M102="Acté"),$D102*Parametres!E5,""))</f>
        <v/>
      </c>
      <c r="L102" s="240"/>
      <c r="M102" s="239" t="str">
        <f>IF($C102="","",IF(AND(Parametres!F6&lt;&gt;"",Synthese_Programme!M102="Acté"),$D102*Parametres!E6,""))</f>
        <v/>
      </c>
      <c r="N102" s="240"/>
      <c r="O102" s="239" t="str">
        <f>IF($C102="","",IF(AND(Parametres!F7&lt;&gt;"",Synthese_Programme!M102="Acté"),$D102*Parametres!E7,""))</f>
        <v/>
      </c>
      <c r="P102" s="240"/>
      <c r="Q102" s="238" t="str">
        <f t="shared" si="3"/>
        <v/>
      </c>
      <c r="R102" s="238" t="str">
        <f t="shared" si="4"/>
        <v/>
      </c>
      <c r="S102" s="238" t="str">
        <f t="shared" si="5"/>
        <v/>
      </c>
    </row>
    <row r="103" spans="1:19" ht="24" customHeight="1" x14ac:dyDescent="0.45">
      <c r="A103" s="237" t="str">
        <f>IFERROR(IF(Base_de_donnée_clients!A103="","",Base_de_donnée_clients!A103),"")</f>
        <v/>
      </c>
      <c r="B103" s="226" t="str">
        <f>IFERROR(IF(Base_de_donnée_clients!B103="","",Base_de_donnée_clients!B103),"")</f>
        <v/>
      </c>
      <c r="C103" s="226" t="str">
        <f>IFERROR(IF(Base_de_donnée_clients!C103="","",Base_de_donnée_clients!C103),"")</f>
        <v/>
      </c>
      <c r="D103" s="238" t="str">
        <f>IFERROR(IF(OR(Synthese_Programme!M103="Réservé",Synthese_Programme!M103="Acté",Synthese_Programme!M103="réservé",Synthese_Programme!M103="acté"),Synthese_Programme!K103,""),"")</f>
        <v/>
      </c>
      <c r="E103" s="239" t="str">
        <f>IFERROR(IF(OR(Synthese_Programme!M103="Réservé",Synthese_Programme!M103="Acté",Synthese_Programme!M103="réservé",Synthese_Programme!M103="acté"),$D103*Parametres!E2,""),"")</f>
        <v/>
      </c>
      <c r="F103" s="240" t="str">
        <f>IFERROR(IF(Base_de_donnée_clients!J103="","",Base_de_donnée_clients!J103),"")</f>
        <v/>
      </c>
      <c r="G103" s="239" t="str">
        <f>IF($C103="","",IF(AND(Parametres!F3&lt;&gt;"",Synthese_Programme!M103="Acté"),$D103*Parametres!E3,""))</f>
        <v/>
      </c>
      <c r="H103" s="240"/>
      <c r="I103" s="239" t="str">
        <f>IF($C103="","",IF(AND(Parametres!F4&lt;&gt;"",Synthese_Programme!M103="Acté"),$D103*Parametres!E4,""))</f>
        <v/>
      </c>
      <c r="J103" s="240"/>
      <c r="K103" s="239" t="str">
        <f>IF($C103="","",IF(AND(Parametres!F5&lt;&gt;"",Synthese_Programme!M103="Acté"),$D103*Parametres!E5,""))</f>
        <v/>
      </c>
      <c r="L103" s="240"/>
      <c r="M103" s="239" t="str">
        <f>IF($C103="","",IF(AND(Parametres!F6&lt;&gt;"",Synthese_Programme!M103="Acté"),$D103*Parametres!E6,""))</f>
        <v/>
      </c>
      <c r="N103" s="240"/>
      <c r="O103" s="239" t="str">
        <f>IF($C103="","",IF(AND(Parametres!F7&lt;&gt;"",Synthese_Programme!M103="Acté"),$D103*Parametres!E7,""))</f>
        <v/>
      </c>
      <c r="P103" s="240"/>
      <c r="Q103" s="238" t="str">
        <f t="shared" si="3"/>
        <v/>
      </c>
      <c r="R103" s="238" t="str">
        <f t="shared" si="4"/>
        <v/>
      </c>
      <c r="S103" s="238" t="str">
        <f t="shared" si="5"/>
        <v/>
      </c>
    </row>
    <row r="104" spans="1:19" ht="24" customHeight="1" x14ac:dyDescent="0.45">
      <c r="A104" s="237" t="str">
        <f>IFERROR(IF(Base_de_donnée_clients!A104="","",Base_de_donnée_clients!A104),"")</f>
        <v/>
      </c>
      <c r="B104" s="226" t="str">
        <f>IFERROR(IF(Base_de_donnée_clients!B104="","",Base_de_donnée_clients!B104),"")</f>
        <v/>
      </c>
      <c r="C104" s="226" t="str">
        <f>IFERROR(IF(Base_de_donnée_clients!C104="","",Base_de_donnée_clients!C104),"")</f>
        <v/>
      </c>
      <c r="D104" s="238" t="str">
        <f>IFERROR(IF(OR(Synthese_Programme!M104="Réservé",Synthese_Programme!M104="Acté",Synthese_Programme!M104="réservé",Synthese_Programme!M104="acté"),Synthese_Programme!K104,""),"")</f>
        <v/>
      </c>
      <c r="E104" s="239" t="str">
        <f>IFERROR(IF(OR(Synthese_Programme!M104="Réservé",Synthese_Programme!M104="Acté",Synthese_Programme!M104="réservé",Synthese_Programme!M104="acté"),$D104*Parametres!E2,""),"")</f>
        <v/>
      </c>
      <c r="F104" s="240" t="str">
        <f>IFERROR(IF(Base_de_donnée_clients!J104="","",Base_de_donnée_clients!J104),"")</f>
        <v/>
      </c>
      <c r="G104" s="239" t="str">
        <f>IF($C104="","",IF(AND(Parametres!F3&lt;&gt;"",Synthese_Programme!M104="Acté"),$D104*Parametres!E3,""))</f>
        <v/>
      </c>
      <c r="H104" s="240"/>
      <c r="I104" s="239" t="str">
        <f>IF($C104="","",IF(AND(Parametres!F4&lt;&gt;"",Synthese_Programme!M104="Acté"),$D104*Parametres!E4,""))</f>
        <v/>
      </c>
      <c r="J104" s="240"/>
      <c r="K104" s="239" t="str">
        <f>IF($C104="","",IF(AND(Parametres!F5&lt;&gt;"",Synthese_Programme!M104="Acté"),$D104*Parametres!E5,""))</f>
        <v/>
      </c>
      <c r="L104" s="240"/>
      <c r="M104" s="239" t="str">
        <f>IF($C104="","",IF(AND(Parametres!F6&lt;&gt;"",Synthese_Programme!M104="Acté"),$D104*Parametres!E6,""))</f>
        <v/>
      </c>
      <c r="N104" s="240"/>
      <c r="O104" s="239" t="str">
        <f>IF($C104="","",IF(AND(Parametres!F7&lt;&gt;"",Synthese_Programme!M104="Acté"),$D104*Parametres!E7,""))</f>
        <v/>
      </c>
      <c r="P104" s="240"/>
      <c r="Q104" s="238" t="str">
        <f t="shared" si="3"/>
        <v/>
      </c>
      <c r="R104" s="238" t="str">
        <f t="shared" si="4"/>
        <v/>
      </c>
      <c r="S104" s="238" t="str">
        <f t="shared" si="5"/>
        <v/>
      </c>
    </row>
    <row r="105" spans="1:19" ht="24" customHeight="1" x14ac:dyDescent="0.45">
      <c r="A105" s="237" t="str">
        <f>IFERROR(IF(Base_de_donnée_clients!A105="","",Base_de_donnée_clients!A105),"")</f>
        <v/>
      </c>
      <c r="B105" s="226" t="str">
        <f>IFERROR(IF(Base_de_donnée_clients!B105="","",Base_de_donnée_clients!B105),"")</f>
        <v/>
      </c>
      <c r="C105" s="226" t="str">
        <f>IFERROR(IF(Base_de_donnée_clients!C105="","",Base_de_donnée_clients!C105),"")</f>
        <v/>
      </c>
      <c r="D105" s="238" t="str">
        <f>IFERROR(IF(OR(Synthese_Programme!M105="Réservé",Synthese_Programme!M105="Acté",Synthese_Programme!M105="réservé",Synthese_Programme!M105="acté"),Synthese_Programme!K105,""),"")</f>
        <v/>
      </c>
      <c r="E105" s="239" t="str">
        <f>IFERROR(IF(OR(Synthese_Programme!M105="Réservé",Synthese_Programme!M105="Acté",Synthese_Programme!M105="réservé",Synthese_Programme!M105="acté"),$D105*Parametres!E2,""),"")</f>
        <v/>
      </c>
      <c r="F105" s="240" t="str">
        <f>IFERROR(IF(Base_de_donnée_clients!J105="","",Base_de_donnée_clients!J105),"")</f>
        <v/>
      </c>
      <c r="G105" s="239" t="str">
        <f>IF($C105="","",IF(AND(Parametres!F3&lt;&gt;"",Synthese_Programme!M105="Acté"),$D105*Parametres!E3,""))</f>
        <v/>
      </c>
      <c r="H105" s="240"/>
      <c r="I105" s="239" t="str">
        <f>IF($C105="","",IF(AND(Parametres!F4&lt;&gt;"",Synthese_Programme!M105="Acté"),$D105*Parametres!E4,""))</f>
        <v/>
      </c>
      <c r="J105" s="240"/>
      <c r="K105" s="239" t="str">
        <f>IF($C105="","",IF(AND(Parametres!F5&lt;&gt;"",Synthese_Programme!M105="Acté"),$D105*Parametres!E5,""))</f>
        <v/>
      </c>
      <c r="L105" s="240"/>
      <c r="M105" s="239" t="str">
        <f>IF($C105="","",IF(AND(Parametres!F6&lt;&gt;"",Synthese_Programme!M105="Acté"),$D105*Parametres!E6,""))</f>
        <v/>
      </c>
      <c r="N105" s="240"/>
      <c r="O105" s="239" t="str">
        <f>IF($C105="","",IF(AND(Parametres!F7&lt;&gt;"",Synthese_Programme!M105="Acté"),$D105*Parametres!E7,""))</f>
        <v/>
      </c>
      <c r="P105" s="240"/>
      <c r="Q105" s="238" t="str">
        <f t="shared" si="3"/>
        <v/>
      </c>
      <c r="R105" s="238" t="str">
        <f t="shared" si="4"/>
        <v/>
      </c>
      <c r="S105" s="238" t="str">
        <f t="shared" si="5"/>
        <v/>
      </c>
    </row>
    <row r="106" spans="1:19" ht="24" customHeight="1" x14ac:dyDescent="0.45">
      <c r="A106" s="237" t="str">
        <f>IFERROR(IF(Base_de_donnée_clients!A106="","",Base_de_donnée_clients!A106),"")</f>
        <v/>
      </c>
      <c r="B106" s="226" t="str">
        <f>IFERROR(IF(Base_de_donnée_clients!B106="","",Base_de_donnée_clients!B106),"")</f>
        <v/>
      </c>
      <c r="C106" s="226" t="str">
        <f>IFERROR(IF(Base_de_donnée_clients!C106="","",Base_de_donnée_clients!C106),"")</f>
        <v/>
      </c>
      <c r="D106" s="238" t="str">
        <f>IFERROR(IF(OR(Synthese_Programme!M106="Réservé",Synthese_Programme!M106="Acté",Synthese_Programme!M106="réservé",Synthese_Programme!M106="acté"),Synthese_Programme!K106,""),"")</f>
        <v/>
      </c>
      <c r="E106" s="239" t="str">
        <f>IFERROR(IF(OR(Synthese_Programme!M106="Réservé",Synthese_Programme!M106="Acté",Synthese_Programme!M106="réservé",Synthese_Programme!M106="acté"),$D106*Parametres!E2,""),"")</f>
        <v/>
      </c>
      <c r="F106" s="240" t="str">
        <f>IFERROR(IF(Base_de_donnée_clients!J106="","",Base_de_donnée_clients!J106),"")</f>
        <v/>
      </c>
      <c r="G106" s="239" t="str">
        <f>IF($C106="","",IF(AND(Parametres!F3&lt;&gt;"",Synthese_Programme!M106="Acté"),$D106*Parametres!E3,""))</f>
        <v/>
      </c>
      <c r="H106" s="240"/>
      <c r="I106" s="239" t="str">
        <f>IF($C106="","",IF(AND(Parametres!F4&lt;&gt;"",Synthese_Programme!M106="Acté"),$D106*Parametres!E4,""))</f>
        <v/>
      </c>
      <c r="J106" s="240"/>
      <c r="K106" s="239" t="str">
        <f>IF($C106="","",IF(AND(Parametres!F5&lt;&gt;"",Synthese_Programme!M106="Acté"),$D106*Parametres!E5,""))</f>
        <v/>
      </c>
      <c r="L106" s="240"/>
      <c r="M106" s="239" t="str">
        <f>IF($C106="","",IF(AND(Parametres!F6&lt;&gt;"",Synthese_Programme!M106="Acté"),$D106*Parametres!E6,""))</f>
        <v/>
      </c>
      <c r="N106" s="240"/>
      <c r="O106" s="239" t="str">
        <f>IF($C106="","",IF(AND(Parametres!F7&lt;&gt;"",Synthese_Programme!M106="Acté"),$D106*Parametres!E7,""))</f>
        <v/>
      </c>
      <c r="P106" s="240"/>
      <c r="Q106" s="238" t="str">
        <f t="shared" si="3"/>
        <v/>
      </c>
      <c r="R106" s="238" t="str">
        <f t="shared" si="4"/>
        <v/>
      </c>
      <c r="S106" s="238" t="str">
        <f t="shared" si="5"/>
        <v/>
      </c>
    </row>
    <row r="107" spans="1:19" ht="24" customHeight="1" x14ac:dyDescent="0.45">
      <c r="A107" s="237" t="str">
        <f>IFERROR(IF(Base_de_donnée_clients!A107="","",Base_de_donnée_clients!A107),"")</f>
        <v/>
      </c>
      <c r="B107" s="226" t="str">
        <f>IFERROR(IF(Base_de_donnée_clients!B107="","",Base_de_donnée_clients!B107),"")</f>
        <v/>
      </c>
      <c r="C107" s="226" t="str">
        <f>IFERROR(IF(Base_de_donnée_clients!C107="","",Base_de_donnée_clients!C107),"")</f>
        <v/>
      </c>
      <c r="D107" s="238" t="str">
        <f>IFERROR(IF(OR(Synthese_Programme!M107="Réservé",Synthese_Programme!M107="Acté",Synthese_Programme!M107="réservé",Synthese_Programme!M107="acté"),Synthese_Programme!K107,""),"")</f>
        <v/>
      </c>
      <c r="E107" s="239" t="str">
        <f>IFERROR(IF(OR(Synthese_Programme!M107="Réservé",Synthese_Programme!M107="Acté",Synthese_Programme!M107="réservé",Synthese_Programme!M107="acté"),$D107*Parametres!E2,""),"")</f>
        <v/>
      </c>
      <c r="F107" s="240" t="str">
        <f>IFERROR(IF(Base_de_donnée_clients!J107="","",Base_de_donnée_clients!J107),"")</f>
        <v/>
      </c>
      <c r="G107" s="239" t="str">
        <f>IF($C107="","",IF(AND(Parametres!F3&lt;&gt;"",Synthese_Programme!M107="Acté"),$D107*Parametres!E3,""))</f>
        <v/>
      </c>
      <c r="H107" s="240"/>
      <c r="I107" s="239" t="str">
        <f>IF($C107="","",IF(AND(Parametres!F4&lt;&gt;"",Synthese_Programme!M107="Acté"),$D107*Parametres!E4,""))</f>
        <v/>
      </c>
      <c r="J107" s="240"/>
      <c r="K107" s="239" t="str">
        <f>IF($C107="","",IF(AND(Parametres!F5&lt;&gt;"",Synthese_Programme!M107="Acté"),$D107*Parametres!E5,""))</f>
        <v/>
      </c>
      <c r="L107" s="240"/>
      <c r="M107" s="239" t="str">
        <f>IF($C107="","",IF(AND(Parametres!F6&lt;&gt;"",Synthese_Programme!M107="Acté"),$D107*Parametres!E6,""))</f>
        <v/>
      </c>
      <c r="N107" s="240"/>
      <c r="O107" s="239" t="str">
        <f>IF($C107="","",IF(AND(Parametres!F7&lt;&gt;"",Synthese_Programme!M107="Acté"),$D107*Parametres!E7,""))</f>
        <v/>
      </c>
      <c r="P107" s="240"/>
      <c r="Q107" s="238" t="str">
        <f t="shared" si="3"/>
        <v/>
      </c>
      <c r="R107" s="238" t="str">
        <f t="shared" si="4"/>
        <v/>
      </c>
      <c r="S107" s="238" t="str">
        <f t="shared" si="5"/>
        <v/>
      </c>
    </row>
    <row r="108" spans="1:19" ht="24" customHeight="1" x14ac:dyDescent="0.45">
      <c r="A108" s="237" t="str">
        <f>IFERROR(IF(Base_de_donnée_clients!A108="","",Base_de_donnée_clients!A108),"")</f>
        <v/>
      </c>
      <c r="B108" s="226" t="str">
        <f>IFERROR(IF(Base_de_donnée_clients!B108="","",Base_de_donnée_clients!B108),"")</f>
        <v/>
      </c>
      <c r="C108" s="226" t="str">
        <f>IFERROR(IF(Base_de_donnée_clients!C108="","",Base_de_donnée_clients!C108),"")</f>
        <v/>
      </c>
      <c r="D108" s="238" t="str">
        <f>IFERROR(IF(OR(Synthese_Programme!M108="Réservé",Synthese_Programme!M108="Acté",Synthese_Programme!M108="réservé",Synthese_Programme!M108="acté"),Synthese_Programme!K108,""),"")</f>
        <v/>
      </c>
      <c r="E108" s="239" t="str">
        <f>IFERROR(IF(OR(Synthese_Programme!M108="Réservé",Synthese_Programme!M108="Acté",Synthese_Programme!M108="réservé",Synthese_Programme!M108="acté"),$D108*Parametres!E2,""),"")</f>
        <v/>
      </c>
      <c r="F108" s="240" t="str">
        <f>IFERROR(IF(Base_de_donnée_clients!J108="","",Base_de_donnée_clients!J108),"")</f>
        <v/>
      </c>
      <c r="G108" s="239" t="str">
        <f>IF($C108="","",IF(AND(Parametres!F3&lt;&gt;"",Synthese_Programme!M108="Acté"),$D108*Parametres!E3,""))</f>
        <v/>
      </c>
      <c r="H108" s="240"/>
      <c r="I108" s="239" t="str">
        <f>IF($C108="","",IF(AND(Parametres!F4&lt;&gt;"",Synthese_Programme!M108="Acté"),$D108*Parametres!E4,""))</f>
        <v/>
      </c>
      <c r="J108" s="240"/>
      <c r="K108" s="239" t="str">
        <f>IF($C108="","",IF(AND(Parametres!F5&lt;&gt;"",Synthese_Programme!M108="Acté"),$D108*Parametres!E5,""))</f>
        <v/>
      </c>
      <c r="L108" s="240"/>
      <c r="M108" s="239" t="str">
        <f>IF($C108="","",IF(AND(Parametres!F6&lt;&gt;"",Synthese_Programme!M108="Acté"),$D108*Parametres!E6,""))</f>
        <v/>
      </c>
      <c r="N108" s="240"/>
      <c r="O108" s="239" t="str">
        <f>IF($C108="","",IF(AND(Parametres!F7&lt;&gt;"",Synthese_Programme!M108="Acté"),$D108*Parametres!E7,""))</f>
        <v/>
      </c>
      <c r="P108" s="240"/>
      <c r="Q108" s="238" t="str">
        <f t="shared" si="3"/>
        <v/>
      </c>
      <c r="R108" s="238" t="str">
        <f t="shared" si="4"/>
        <v/>
      </c>
      <c r="S108" s="238" t="str">
        <f t="shared" si="5"/>
        <v/>
      </c>
    </row>
    <row r="109" spans="1:19" ht="24" customHeight="1" x14ac:dyDescent="0.45">
      <c r="A109" s="237" t="str">
        <f>IFERROR(IF(Base_de_donnée_clients!A109="","",Base_de_donnée_clients!A109),"")</f>
        <v/>
      </c>
      <c r="B109" s="226" t="str">
        <f>IFERROR(IF(Base_de_donnée_clients!B109="","",Base_de_donnée_clients!B109),"")</f>
        <v/>
      </c>
      <c r="C109" s="226" t="str">
        <f>IFERROR(IF(Base_de_donnée_clients!C109="","",Base_de_donnée_clients!C109),"")</f>
        <v/>
      </c>
      <c r="D109" s="238" t="str">
        <f>IFERROR(IF(OR(Synthese_Programme!M109="Réservé",Synthese_Programme!M109="Acté",Synthese_Programme!M109="réservé",Synthese_Programme!M109="acté"),Synthese_Programme!K109,""),"")</f>
        <v/>
      </c>
      <c r="E109" s="239" t="str">
        <f>IFERROR(IF(OR(Synthese_Programme!M109="Réservé",Synthese_Programme!M109="Acté",Synthese_Programme!M109="réservé",Synthese_Programme!M109="acté"),$D109*Parametres!E2,""),"")</f>
        <v/>
      </c>
      <c r="F109" s="240" t="str">
        <f>IFERROR(IF(Base_de_donnée_clients!J109="","",Base_de_donnée_clients!J109),"")</f>
        <v/>
      </c>
      <c r="G109" s="239" t="str">
        <f>IF($C109="","",IF(AND(Parametres!F3&lt;&gt;"",Synthese_Programme!M109="Acté"),$D109*Parametres!E3,""))</f>
        <v/>
      </c>
      <c r="H109" s="240"/>
      <c r="I109" s="239" t="str">
        <f>IF($C109="","",IF(AND(Parametres!F4&lt;&gt;"",Synthese_Programme!M109="Acté"),$D109*Parametres!E4,""))</f>
        <v/>
      </c>
      <c r="J109" s="240"/>
      <c r="K109" s="239" t="str">
        <f>IF($C109="","",IF(AND(Parametres!F5&lt;&gt;"",Synthese_Programme!M109="Acté"),$D109*Parametres!E5,""))</f>
        <v/>
      </c>
      <c r="L109" s="240"/>
      <c r="M109" s="239" t="str">
        <f>IF($C109="","",IF(AND(Parametres!F6&lt;&gt;"",Synthese_Programme!M109="Acté"),$D109*Parametres!E6,""))</f>
        <v/>
      </c>
      <c r="N109" s="240"/>
      <c r="O109" s="239" t="str">
        <f>IF($C109="","",IF(AND(Parametres!F7&lt;&gt;"",Synthese_Programme!M109="Acté"),$D109*Parametres!E7,""))</f>
        <v/>
      </c>
      <c r="P109" s="240"/>
      <c r="Q109" s="238" t="str">
        <f t="shared" si="3"/>
        <v/>
      </c>
      <c r="R109" s="238" t="str">
        <f t="shared" si="4"/>
        <v/>
      </c>
      <c r="S109" s="238" t="str">
        <f t="shared" si="5"/>
        <v/>
      </c>
    </row>
    <row r="110" spans="1:19" ht="24" customHeight="1" x14ac:dyDescent="0.45">
      <c r="A110" s="237" t="str">
        <f>IFERROR(IF(Base_de_donnée_clients!A110="","",Base_de_donnée_clients!A110),"")</f>
        <v/>
      </c>
      <c r="B110" s="226" t="str">
        <f>IFERROR(IF(Base_de_donnée_clients!B110="","",Base_de_donnée_clients!B110),"")</f>
        <v/>
      </c>
      <c r="C110" s="226" t="str">
        <f>IFERROR(IF(Base_de_donnée_clients!C110="","",Base_de_donnée_clients!C110),"")</f>
        <v/>
      </c>
      <c r="D110" s="238" t="str">
        <f>IFERROR(IF(OR(Synthese_Programme!M110="Réservé",Synthese_Programme!M110="Acté",Synthese_Programme!M110="réservé",Synthese_Programme!M110="acté"),Synthese_Programme!K110,""),"")</f>
        <v/>
      </c>
      <c r="E110" s="239" t="str">
        <f>IFERROR(IF(OR(Synthese_Programme!M110="Réservé",Synthese_Programme!M110="Acté",Synthese_Programme!M110="réservé",Synthese_Programme!M110="acté"),$D110*Parametres!E2,""),"")</f>
        <v/>
      </c>
      <c r="F110" s="240" t="str">
        <f>IFERROR(IF(Base_de_donnée_clients!J110="","",Base_de_donnée_clients!J110),"")</f>
        <v/>
      </c>
      <c r="G110" s="239" t="str">
        <f>IF($C110="","",IF(AND(Parametres!F3&lt;&gt;"",Synthese_Programme!M110="Acté"),$D110*Parametres!E3,""))</f>
        <v/>
      </c>
      <c r="H110" s="240"/>
      <c r="I110" s="239" t="str">
        <f>IF($C110="","",IF(AND(Parametres!F4&lt;&gt;"",Synthese_Programme!M110="Acté"),$D110*Parametres!E4,""))</f>
        <v/>
      </c>
      <c r="J110" s="240"/>
      <c r="K110" s="239" t="str">
        <f>IF($C110="","",IF(AND(Parametres!F5&lt;&gt;"",Synthese_Programme!M110="Acté"),$D110*Parametres!E5,""))</f>
        <v/>
      </c>
      <c r="L110" s="240"/>
      <c r="M110" s="239" t="str">
        <f>IF($C110="","",IF(AND(Parametres!F6&lt;&gt;"",Synthese_Programme!M110="Acté"),$D110*Parametres!E6,""))</f>
        <v/>
      </c>
      <c r="N110" s="240"/>
      <c r="O110" s="239" t="str">
        <f>IF($C110="","",IF(AND(Parametres!F7&lt;&gt;"",Synthese_Programme!M110="Acté"),$D110*Parametres!E7,""))</f>
        <v/>
      </c>
      <c r="P110" s="240"/>
      <c r="Q110" s="238" t="str">
        <f t="shared" si="3"/>
        <v/>
      </c>
      <c r="R110" s="238" t="str">
        <f t="shared" si="4"/>
        <v/>
      </c>
      <c r="S110" s="238" t="str">
        <f t="shared" si="5"/>
        <v/>
      </c>
    </row>
    <row r="111" spans="1:19" ht="24" customHeight="1" x14ac:dyDescent="0.45">
      <c r="A111" s="237" t="str">
        <f>IFERROR(IF(Base_de_donnée_clients!A111="","",Base_de_donnée_clients!A111),"")</f>
        <v/>
      </c>
      <c r="B111" s="226" t="str">
        <f>IFERROR(IF(Base_de_donnée_clients!B111="","",Base_de_donnée_clients!B111),"")</f>
        <v/>
      </c>
      <c r="C111" s="226" t="str">
        <f>IFERROR(IF(Base_de_donnée_clients!C111="","",Base_de_donnée_clients!C111),"")</f>
        <v/>
      </c>
      <c r="D111" s="238" t="str">
        <f>IFERROR(IF(OR(Synthese_Programme!M111="Réservé",Synthese_Programme!M111="Acté",Synthese_Programme!M111="réservé",Synthese_Programme!M111="acté"),Synthese_Programme!K111,""),"")</f>
        <v/>
      </c>
      <c r="E111" s="239" t="str">
        <f>IFERROR(IF(OR(Synthese_Programme!M111="Réservé",Synthese_Programme!M111="Acté",Synthese_Programme!M111="réservé",Synthese_Programme!M111="acté"),$D111*Parametres!E2,""),"")</f>
        <v/>
      </c>
      <c r="F111" s="240" t="str">
        <f>IFERROR(IF(Base_de_donnée_clients!J111="","",Base_de_donnée_clients!J111),"")</f>
        <v/>
      </c>
      <c r="G111" s="239" t="str">
        <f>IF($C111="","",IF(AND(Parametres!F3&lt;&gt;"",Synthese_Programme!M111="Acté"),$D111*Parametres!E3,""))</f>
        <v/>
      </c>
      <c r="H111" s="240"/>
      <c r="I111" s="239" t="str">
        <f>IF($C111="","",IF(AND(Parametres!F4&lt;&gt;"",Synthese_Programme!M111="Acté"),$D111*Parametres!E4,""))</f>
        <v/>
      </c>
      <c r="J111" s="240"/>
      <c r="K111" s="239" t="str">
        <f>IF($C111="","",IF(AND(Parametres!F5&lt;&gt;"",Synthese_Programme!M111="Acté"),$D111*Parametres!E5,""))</f>
        <v/>
      </c>
      <c r="L111" s="240"/>
      <c r="M111" s="239" t="str">
        <f>IF($C111="","",IF(AND(Parametres!F6&lt;&gt;"",Synthese_Programme!M111="Acté"),$D111*Parametres!E6,""))</f>
        <v/>
      </c>
      <c r="N111" s="240"/>
      <c r="O111" s="239" t="str">
        <f>IF($C111="","",IF(AND(Parametres!F7&lt;&gt;"",Synthese_Programme!M111="Acté"),$D111*Parametres!E7,""))</f>
        <v/>
      </c>
      <c r="P111" s="240"/>
      <c r="Q111" s="238" t="str">
        <f t="shared" si="3"/>
        <v/>
      </c>
      <c r="R111" s="238" t="str">
        <f t="shared" si="4"/>
        <v/>
      </c>
      <c r="S111" s="238" t="str">
        <f t="shared" si="5"/>
        <v/>
      </c>
    </row>
    <row r="112" spans="1:19" ht="24" customHeight="1" x14ac:dyDescent="0.45">
      <c r="A112" s="237" t="str">
        <f>IFERROR(IF(Base_de_donnée_clients!A112="","",Base_de_donnée_clients!A112),"")</f>
        <v/>
      </c>
      <c r="B112" s="226" t="str">
        <f>IFERROR(IF(Base_de_donnée_clients!B112="","",Base_de_donnée_clients!B112),"")</f>
        <v/>
      </c>
      <c r="C112" s="226" t="str">
        <f>IFERROR(IF(Base_de_donnée_clients!C112="","",Base_de_donnée_clients!C112),"")</f>
        <v/>
      </c>
      <c r="D112" s="238" t="str">
        <f>IFERROR(IF(OR(Synthese_Programme!M112="Réservé",Synthese_Programme!M112="Acté",Synthese_Programme!M112="réservé",Synthese_Programme!M112="acté"),Synthese_Programme!K112,""),"")</f>
        <v/>
      </c>
      <c r="E112" s="239" t="str">
        <f>IFERROR(IF(OR(Synthese_Programme!M112="Réservé",Synthese_Programme!M112="Acté",Synthese_Programme!M112="réservé",Synthese_Programme!M112="acté"),$D112*Parametres!E2,""),"")</f>
        <v/>
      </c>
      <c r="F112" s="240" t="str">
        <f>IFERROR(IF(Base_de_donnée_clients!J112="","",Base_de_donnée_clients!J112),"")</f>
        <v/>
      </c>
      <c r="G112" s="239" t="str">
        <f>IF($C112="","",IF(AND(Parametres!F3&lt;&gt;"",Synthese_Programme!M112="Acté"),$D112*Parametres!E3,""))</f>
        <v/>
      </c>
      <c r="H112" s="240"/>
      <c r="I112" s="239" t="str">
        <f>IF($C112="","",IF(AND(Parametres!F4&lt;&gt;"",Synthese_Programme!M112="Acté"),$D112*Parametres!E4,""))</f>
        <v/>
      </c>
      <c r="J112" s="240"/>
      <c r="K112" s="239" t="str">
        <f>IF($C112="","",IF(AND(Parametres!F5&lt;&gt;"",Synthese_Programme!M112="Acté"),$D112*Parametres!E5,""))</f>
        <v/>
      </c>
      <c r="L112" s="240"/>
      <c r="M112" s="239" t="str">
        <f>IF($C112="","",IF(AND(Parametres!F6&lt;&gt;"",Synthese_Programme!M112="Acté"),$D112*Parametres!E6,""))</f>
        <v/>
      </c>
      <c r="N112" s="240"/>
      <c r="O112" s="239" t="str">
        <f>IF($C112="","",IF(AND(Parametres!F7&lt;&gt;"",Synthese_Programme!M112="Acté"),$D112*Parametres!E7,""))</f>
        <v/>
      </c>
      <c r="P112" s="240"/>
      <c r="Q112" s="238" t="str">
        <f t="shared" si="3"/>
        <v/>
      </c>
      <c r="R112" s="238" t="str">
        <f t="shared" si="4"/>
        <v/>
      </c>
      <c r="S112" s="238" t="str">
        <f t="shared" si="5"/>
        <v/>
      </c>
    </row>
    <row r="113" spans="1:19" ht="24" customHeight="1" x14ac:dyDescent="0.45">
      <c r="A113" s="237" t="str">
        <f>IFERROR(IF(Base_de_donnée_clients!A113="","",Base_de_donnée_clients!A113),"")</f>
        <v/>
      </c>
      <c r="B113" s="226" t="str">
        <f>IFERROR(IF(Base_de_donnée_clients!B113="","",Base_de_donnée_clients!B113),"")</f>
        <v/>
      </c>
      <c r="C113" s="226" t="str">
        <f>IFERROR(IF(Base_de_donnée_clients!C113="","",Base_de_donnée_clients!C113),"")</f>
        <v/>
      </c>
      <c r="D113" s="238" t="str">
        <f>IFERROR(IF(OR(Synthese_Programme!M113="Réservé",Synthese_Programme!M113="Acté",Synthese_Programme!M113="réservé",Synthese_Programme!M113="acté"),Synthese_Programme!K113,""),"")</f>
        <v/>
      </c>
      <c r="E113" s="239" t="str">
        <f>IFERROR(IF(OR(Synthese_Programme!M113="Réservé",Synthese_Programme!M113="Acté",Synthese_Programme!M113="réservé",Synthese_Programme!M113="acté"),$D113*Parametres!E2,""),"")</f>
        <v/>
      </c>
      <c r="F113" s="240" t="str">
        <f>IFERROR(IF(Base_de_donnée_clients!J113="","",Base_de_donnée_clients!J113),"")</f>
        <v/>
      </c>
      <c r="G113" s="239" t="str">
        <f>IF($C113="","",IF(AND(Parametres!F3&lt;&gt;"",Synthese_Programme!M113="Acté"),$D113*Parametres!E3,""))</f>
        <v/>
      </c>
      <c r="H113" s="240"/>
      <c r="I113" s="239" t="str">
        <f>IF($C113="","",IF(AND(Parametres!F4&lt;&gt;"",Synthese_Programme!M113="Acté"),$D113*Parametres!E4,""))</f>
        <v/>
      </c>
      <c r="J113" s="240"/>
      <c r="K113" s="239" t="str">
        <f>IF($C113="","",IF(AND(Parametres!F5&lt;&gt;"",Synthese_Programme!M113="Acté"),$D113*Parametres!E5,""))</f>
        <v/>
      </c>
      <c r="L113" s="240"/>
      <c r="M113" s="239" t="str">
        <f>IF($C113="","",IF(AND(Parametres!F6&lt;&gt;"",Synthese_Programme!M113="Acté"),$D113*Parametres!E6,""))</f>
        <v/>
      </c>
      <c r="N113" s="240"/>
      <c r="O113" s="239" t="str">
        <f>IF($C113="","",IF(AND(Parametres!F7&lt;&gt;"",Synthese_Programme!M113="Acté"),$D113*Parametres!E7,""))</f>
        <v/>
      </c>
      <c r="P113" s="240"/>
      <c r="Q113" s="238" t="str">
        <f t="shared" si="3"/>
        <v/>
      </c>
      <c r="R113" s="238" t="str">
        <f t="shared" si="4"/>
        <v/>
      </c>
      <c r="S113" s="238" t="str">
        <f t="shared" si="5"/>
        <v/>
      </c>
    </row>
    <row r="114" spans="1:19" ht="24" customHeight="1" x14ac:dyDescent="0.45">
      <c r="A114" s="237" t="str">
        <f>IFERROR(IF(Base_de_donnée_clients!A114="","",Base_de_donnée_clients!A114),"")</f>
        <v/>
      </c>
      <c r="B114" s="226" t="str">
        <f>IFERROR(IF(Base_de_donnée_clients!B114="","",Base_de_donnée_clients!B114),"")</f>
        <v/>
      </c>
      <c r="C114" s="226" t="str">
        <f>IFERROR(IF(Base_de_donnée_clients!C114="","",Base_de_donnée_clients!C114),"")</f>
        <v/>
      </c>
      <c r="D114" s="238" t="str">
        <f>IFERROR(IF(OR(Synthese_Programme!M114="Réservé",Synthese_Programme!M114="Acté",Synthese_Programme!M114="réservé",Synthese_Programme!M114="acté"),Synthese_Programme!K114,""),"")</f>
        <v/>
      </c>
      <c r="E114" s="239" t="str">
        <f>IFERROR(IF(OR(Synthese_Programme!M114="Réservé",Synthese_Programme!M114="Acté",Synthese_Programme!M114="réservé",Synthese_Programme!M114="acté"),$D114*Parametres!E2,""),"")</f>
        <v/>
      </c>
      <c r="F114" s="240" t="str">
        <f>IFERROR(IF(Base_de_donnée_clients!J114="","",Base_de_donnée_clients!J114),"")</f>
        <v/>
      </c>
      <c r="G114" s="239" t="str">
        <f>IF($C114="","",IF(AND(Parametres!F3&lt;&gt;"",Synthese_Programme!M114="Acté"),$D114*Parametres!E3,""))</f>
        <v/>
      </c>
      <c r="H114" s="240"/>
      <c r="I114" s="239" t="str">
        <f>IF($C114="","",IF(AND(Parametres!F4&lt;&gt;"",Synthese_Programme!M114="Acté"),$D114*Parametres!E4,""))</f>
        <v/>
      </c>
      <c r="J114" s="240"/>
      <c r="K114" s="239" t="str">
        <f>IF($C114="","",IF(AND(Parametres!F5&lt;&gt;"",Synthese_Programme!M114="Acté"),$D114*Parametres!E5,""))</f>
        <v/>
      </c>
      <c r="L114" s="240"/>
      <c r="M114" s="239" t="str">
        <f>IF($C114="","",IF(AND(Parametres!F6&lt;&gt;"",Synthese_Programme!M114="Acté"),$D114*Parametres!E6,""))</f>
        <v/>
      </c>
      <c r="N114" s="240"/>
      <c r="O114" s="239" t="str">
        <f>IF($C114="","",IF(AND(Parametres!F7&lt;&gt;"",Synthese_Programme!M114="Acté"),$D114*Parametres!E7,""))</f>
        <v/>
      </c>
      <c r="P114" s="240"/>
      <c r="Q114" s="238" t="str">
        <f t="shared" si="3"/>
        <v/>
      </c>
      <c r="R114" s="238" t="str">
        <f t="shared" si="4"/>
        <v/>
      </c>
      <c r="S114" s="238" t="str">
        <f t="shared" si="5"/>
        <v/>
      </c>
    </row>
    <row r="115" spans="1:19" ht="24" customHeight="1" x14ac:dyDescent="0.45">
      <c r="A115" s="237" t="str">
        <f>IFERROR(IF(Base_de_donnée_clients!A115="","",Base_de_donnée_clients!A115),"")</f>
        <v/>
      </c>
      <c r="B115" s="226" t="str">
        <f>IFERROR(IF(Base_de_donnée_clients!B115="","",Base_de_donnée_clients!B115),"")</f>
        <v/>
      </c>
      <c r="C115" s="226" t="str">
        <f>IFERROR(IF(Base_de_donnée_clients!C115="","",Base_de_donnée_clients!C115),"")</f>
        <v/>
      </c>
      <c r="D115" s="238" t="str">
        <f>IFERROR(IF(OR(Synthese_Programme!M115="Réservé",Synthese_Programme!M115="Acté",Synthese_Programme!M115="réservé",Synthese_Programme!M115="acté"),Synthese_Programme!K115,""),"")</f>
        <v/>
      </c>
      <c r="E115" s="239" t="str">
        <f>IFERROR(IF(OR(Synthese_Programme!M115="Réservé",Synthese_Programme!M115="Acté",Synthese_Programme!M115="réservé",Synthese_Programme!M115="acté"),$D115*Parametres!E2,""),"")</f>
        <v/>
      </c>
      <c r="F115" s="240" t="str">
        <f>IFERROR(IF(Base_de_donnée_clients!J115="","",Base_de_donnée_clients!J115),"")</f>
        <v/>
      </c>
      <c r="G115" s="239" t="str">
        <f>IF($C115="","",IF(AND(Parametres!F3&lt;&gt;"",Synthese_Programme!M115="Acté"),$D115*Parametres!E3,""))</f>
        <v/>
      </c>
      <c r="H115" s="240"/>
      <c r="I115" s="239" t="str">
        <f>IF($C115="","",IF(AND(Parametres!F4&lt;&gt;"",Synthese_Programme!M115="Acté"),$D115*Parametres!E4,""))</f>
        <v/>
      </c>
      <c r="J115" s="240"/>
      <c r="K115" s="239" t="str">
        <f>IF($C115="","",IF(AND(Parametres!F5&lt;&gt;"",Synthese_Programme!M115="Acté"),$D115*Parametres!E5,""))</f>
        <v/>
      </c>
      <c r="L115" s="240"/>
      <c r="M115" s="239" t="str">
        <f>IF($C115="","",IF(AND(Parametres!F6&lt;&gt;"",Synthese_Programme!M115="Acté"),$D115*Parametres!E6,""))</f>
        <v/>
      </c>
      <c r="N115" s="240"/>
      <c r="O115" s="239" t="str">
        <f>IF($C115="","",IF(AND(Parametres!F7&lt;&gt;"",Synthese_Programme!M115="Acté"),$D115*Parametres!E7,""))</f>
        <v/>
      </c>
      <c r="P115" s="240"/>
      <c r="Q115" s="238" t="str">
        <f t="shared" si="3"/>
        <v/>
      </c>
      <c r="R115" s="238" t="str">
        <f t="shared" si="4"/>
        <v/>
      </c>
      <c r="S115" s="238" t="str">
        <f t="shared" si="5"/>
        <v/>
      </c>
    </row>
    <row r="116" spans="1:19" ht="24" customHeight="1" x14ac:dyDescent="0.45">
      <c r="A116" s="237" t="str">
        <f>IFERROR(IF(Base_de_donnée_clients!A116="","",Base_de_donnée_clients!A116),"")</f>
        <v/>
      </c>
      <c r="B116" s="226" t="str">
        <f>IFERROR(IF(Base_de_donnée_clients!B116="","",Base_de_donnée_clients!B116),"")</f>
        <v/>
      </c>
      <c r="C116" s="226" t="str">
        <f>IFERROR(IF(Base_de_donnée_clients!C116="","",Base_de_donnée_clients!C116),"")</f>
        <v/>
      </c>
      <c r="D116" s="238" t="str">
        <f>IFERROR(IF(OR(Synthese_Programme!M116="Réservé",Synthese_Programme!M116="Acté",Synthese_Programme!M116="réservé",Synthese_Programme!M116="acté"),Synthese_Programme!K116,""),"")</f>
        <v/>
      </c>
      <c r="E116" s="239" t="str">
        <f>IFERROR(IF(OR(Synthese_Programme!M116="Réservé",Synthese_Programme!M116="Acté",Synthese_Programme!M116="réservé",Synthese_Programme!M116="acté"),$D116*Parametres!E2,""),"")</f>
        <v/>
      </c>
      <c r="F116" s="240" t="str">
        <f>IFERROR(IF(Base_de_donnée_clients!J116="","",Base_de_donnée_clients!J116),"")</f>
        <v/>
      </c>
      <c r="G116" s="239" t="str">
        <f>IF($C116="","",IF(AND(Parametres!F3&lt;&gt;"",Synthese_Programme!M116="Acté"),$D116*Parametres!E3,""))</f>
        <v/>
      </c>
      <c r="H116" s="240"/>
      <c r="I116" s="239" t="str">
        <f>IF($C116="","",IF(AND(Parametres!F4&lt;&gt;"",Synthese_Programme!M116="Acté"),$D116*Parametres!E4,""))</f>
        <v/>
      </c>
      <c r="J116" s="240"/>
      <c r="K116" s="239" t="str">
        <f>IF($C116="","",IF(AND(Parametres!F5&lt;&gt;"",Synthese_Programme!M116="Acté"),$D116*Parametres!E5,""))</f>
        <v/>
      </c>
      <c r="L116" s="240"/>
      <c r="M116" s="239" t="str">
        <f>IF($C116="","",IF(AND(Parametres!F6&lt;&gt;"",Synthese_Programme!M116="Acté"),$D116*Parametres!E6,""))</f>
        <v/>
      </c>
      <c r="N116" s="240"/>
      <c r="O116" s="239" t="str">
        <f>IF($C116="","",IF(AND(Parametres!F7&lt;&gt;"",Synthese_Programme!M116="Acté"),$D116*Parametres!E7,""))</f>
        <v/>
      </c>
      <c r="P116" s="240"/>
      <c r="Q116" s="238" t="str">
        <f t="shared" si="3"/>
        <v/>
      </c>
      <c r="R116" s="238" t="str">
        <f t="shared" si="4"/>
        <v/>
      </c>
      <c r="S116" s="238" t="str">
        <f t="shared" si="5"/>
        <v/>
      </c>
    </row>
    <row r="117" spans="1:19" ht="24" customHeight="1" x14ac:dyDescent="0.45">
      <c r="A117" s="237" t="str">
        <f>IFERROR(IF(Base_de_donnée_clients!A117="","",Base_de_donnée_clients!A117),"")</f>
        <v/>
      </c>
      <c r="B117" s="226" t="str">
        <f>IFERROR(IF(Base_de_donnée_clients!B117="","",Base_de_donnée_clients!B117),"")</f>
        <v/>
      </c>
      <c r="C117" s="226" t="str">
        <f>IFERROR(IF(Base_de_donnée_clients!C117="","",Base_de_donnée_clients!C117),"")</f>
        <v/>
      </c>
      <c r="D117" s="238" t="str">
        <f>IFERROR(IF(OR(Synthese_Programme!M117="Réservé",Synthese_Programme!M117="Acté",Synthese_Programme!M117="réservé",Synthese_Programme!M117="acté"),Synthese_Programme!K117,""),"")</f>
        <v/>
      </c>
      <c r="E117" s="239" t="str">
        <f>IFERROR(IF(OR(Synthese_Programme!M117="Réservé",Synthese_Programme!M117="Acté",Synthese_Programme!M117="réservé",Synthese_Programme!M117="acté"),$D117*Parametres!E2,""),"")</f>
        <v/>
      </c>
      <c r="F117" s="240" t="str">
        <f>IFERROR(IF(Base_de_donnée_clients!J117="","",Base_de_donnée_clients!J117),"")</f>
        <v/>
      </c>
      <c r="G117" s="239" t="str">
        <f>IF($C117="","",IF(AND(Parametres!F3&lt;&gt;"",Synthese_Programme!M117="Acté"),$D117*Parametres!E3,""))</f>
        <v/>
      </c>
      <c r="H117" s="240"/>
      <c r="I117" s="239" t="str">
        <f>IF($C117="","",IF(AND(Parametres!F4&lt;&gt;"",Synthese_Programme!M117="Acté"),$D117*Parametres!E4,""))</f>
        <v/>
      </c>
      <c r="J117" s="240"/>
      <c r="K117" s="239" t="str">
        <f>IF($C117="","",IF(AND(Parametres!F5&lt;&gt;"",Synthese_Programme!M117="Acté"),$D117*Parametres!E5,""))</f>
        <v/>
      </c>
      <c r="L117" s="240"/>
      <c r="M117" s="239" t="str">
        <f>IF($C117="","",IF(AND(Parametres!F6&lt;&gt;"",Synthese_Programme!M117="Acté"),$D117*Parametres!E6,""))</f>
        <v/>
      </c>
      <c r="N117" s="240"/>
      <c r="O117" s="239" t="str">
        <f>IF($C117="","",IF(AND(Parametres!F7&lt;&gt;"",Synthese_Programme!M117="Acté"),$D117*Parametres!E7,""))</f>
        <v/>
      </c>
      <c r="P117" s="240"/>
      <c r="Q117" s="238" t="str">
        <f t="shared" si="3"/>
        <v/>
      </c>
      <c r="R117" s="238" t="str">
        <f t="shared" si="4"/>
        <v/>
      </c>
      <c r="S117" s="238" t="str">
        <f t="shared" si="5"/>
        <v/>
      </c>
    </row>
    <row r="118" spans="1:19" ht="24" customHeight="1" x14ac:dyDescent="0.45">
      <c r="A118" s="237" t="str">
        <f>IFERROR(IF(Base_de_donnée_clients!A118="","",Base_de_donnée_clients!A118),"")</f>
        <v/>
      </c>
      <c r="B118" s="226" t="str">
        <f>IFERROR(IF(Base_de_donnée_clients!B118="","",Base_de_donnée_clients!B118),"")</f>
        <v/>
      </c>
      <c r="C118" s="226" t="str">
        <f>IFERROR(IF(Base_de_donnée_clients!C118="","",Base_de_donnée_clients!C118),"")</f>
        <v/>
      </c>
      <c r="D118" s="238" t="str">
        <f>IFERROR(IF(OR(Synthese_Programme!M118="Réservé",Synthese_Programme!M118="Acté",Synthese_Programme!M118="réservé",Synthese_Programme!M118="acté"),Synthese_Programme!K118,""),"")</f>
        <v/>
      </c>
      <c r="E118" s="239" t="str">
        <f>IFERROR(IF(OR(Synthese_Programme!M118="Réservé",Synthese_Programme!M118="Acté",Synthese_Programme!M118="réservé",Synthese_Programme!M118="acté"),$D118*Parametres!E2,""),"")</f>
        <v/>
      </c>
      <c r="F118" s="240" t="str">
        <f>IFERROR(IF(Base_de_donnée_clients!J118="","",Base_de_donnée_clients!J118),"")</f>
        <v/>
      </c>
      <c r="G118" s="239" t="str">
        <f>IF($C118="","",IF(AND(Parametres!F3&lt;&gt;"",Synthese_Programme!M118="Acté"),$D118*Parametres!E3,""))</f>
        <v/>
      </c>
      <c r="H118" s="240"/>
      <c r="I118" s="239" t="str">
        <f>IF($C118="","",IF(AND(Parametres!F4&lt;&gt;"",Synthese_Programme!M118="Acté"),$D118*Parametres!E4,""))</f>
        <v/>
      </c>
      <c r="J118" s="240"/>
      <c r="K118" s="239" t="str">
        <f>IF($C118="","",IF(AND(Parametres!F5&lt;&gt;"",Synthese_Programme!M118="Acté"),$D118*Parametres!E5,""))</f>
        <v/>
      </c>
      <c r="L118" s="240"/>
      <c r="M118" s="239" t="str">
        <f>IF($C118="","",IF(AND(Parametres!F6&lt;&gt;"",Synthese_Programme!M118="Acté"),$D118*Parametres!E6,""))</f>
        <v/>
      </c>
      <c r="N118" s="240"/>
      <c r="O118" s="239" t="str">
        <f>IF($C118="","",IF(AND(Parametres!F7&lt;&gt;"",Synthese_Programme!M118="Acté"),$D118*Parametres!E7,""))</f>
        <v/>
      </c>
      <c r="P118" s="240"/>
      <c r="Q118" s="238" t="str">
        <f t="shared" si="3"/>
        <v/>
      </c>
      <c r="R118" s="238" t="str">
        <f t="shared" si="4"/>
        <v/>
      </c>
      <c r="S118" s="238" t="str">
        <f t="shared" si="5"/>
        <v/>
      </c>
    </row>
    <row r="119" spans="1:19" ht="24" customHeight="1" x14ac:dyDescent="0.45">
      <c r="A119" s="237" t="str">
        <f>IFERROR(IF(Base_de_donnée_clients!A119="","",Base_de_donnée_clients!A119),"")</f>
        <v/>
      </c>
      <c r="B119" s="226" t="str">
        <f>IFERROR(IF(Base_de_donnée_clients!B119="","",Base_de_donnée_clients!B119),"")</f>
        <v/>
      </c>
      <c r="C119" s="226" t="str">
        <f>IFERROR(IF(Base_de_donnée_clients!C119="","",Base_de_donnée_clients!C119),"")</f>
        <v/>
      </c>
      <c r="D119" s="238" t="str">
        <f>IFERROR(IF(OR(Synthese_Programme!M119="Réservé",Synthese_Programme!M119="Acté",Synthese_Programme!M119="réservé",Synthese_Programme!M119="acté"),Synthese_Programme!K119,""),"")</f>
        <v/>
      </c>
      <c r="E119" s="239" t="str">
        <f>IFERROR(IF(OR(Synthese_Programme!M119="Réservé",Synthese_Programme!M119="Acté",Synthese_Programme!M119="réservé",Synthese_Programme!M119="acté"),$D119*Parametres!E2,""),"")</f>
        <v/>
      </c>
      <c r="F119" s="240" t="str">
        <f>IFERROR(IF(Base_de_donnée_clients!J119="","",Base_de_donnée_clients!J119),"")</f>
        <v/>
      </c>
      <c r="G119" s="239" t="str">
        <f>IF($C119="","",IF(AND(Parametres!F3&lt;&gt;"",Synthese_Programme!M119="Acté"),$D119*Parametres!E3,""))</f>
        <v/>
      </c>
      <c r="H119" s="240"/>
      <c r="I119" s="239" t="str">
        <f>IF($C119="","",IF(AND(Parametres!F4&lt;&gt;"",Synthese_Programme!M119="Acté"),$D119*Parametres!E4,""))</f>
        <v/>
      </c>
      <c r="J119" s="240"/>
      <c r="K119" s="239" t="str">
        <f>IF($C119="","",IF(AND(Parametres!F5&lt;&gt;"",Synthese_Programme!M119="Acté"),$D119*Parametres!E5,""))</f>
        <v/>
      </c>
      <c r="L119" s="240"/>
      <c r="M119" s="239" t="str">
        <f>IF($C119="","",IF(AND(Parametres!F6&lt;&gt;"",Synthese_Programme!M119="Acté"),$D119*Parametres!E6,""))</f>
        <v/>
      </c>
      <c r="N119" s="240"/>
      <c r="O119" s="239" t="str">
        <f>IF($C119="","",IF(AND(Parametres!F7&lt;&gt;"",Synthese_Programme!M119="Acté"),$D119*Parametres!E7,""))</f>
        <v/>
      </c>
      <c r="P119" s="240"/>
      <c r="Q119" s="238" t="str">
        <f t="shared" si="3"/>
        <v/>
      </c>
      <c r="R119" s="238" t="str">
        <f t="shared" si="4"/>
        <v/>
      </c>
      <c r="S119" s="238" t="str">
        <f t="shared" si="5"/>
        <v/>
      </c>
    </row>
    <row r="120" spans="1:19" ht="24" customHeight="1" x14ac:dyDescent="0.45">
      <c r="A120" s="237" t="str">
        <f>IFERROR(IF(Base_de_donnée_clients!A120="","",Base_de_donnée_clients!A120),"")</f>
        <v/>
      </c>
      <c r="B120" s="226" t="str">
        <f>IFERROR(IF(Base_de_donnée_clients!B120="","",Base_de_donnée_clients!B120),"")</f>
        <v/>
      </c>
      <c r="C120" s="226" t="str">
        <f>IFERROR(IF(Base_de_donnée_clients!C120="","",Base_de_donnée_clients!C120),"")</f>
        <v/>
      </c>
      <c r="D120" s="238" t="str">
        <f>IFERROR(IF(OR(Synthese_Programme!M120="Réservé",Synthese_Programme!M120="Acté",Synthese_Programme!M120="réservé",Synthese_Programme!M120="acté"),Synthese_Programme!K120,""),"")</f>
        <v/>
      </c>
      <c r="E120" s="239" t="str">
        <f>IFERROR(IF(OR(Synthese_Programme!M120="Réservé",Synthese_Programme!M120="Acté",Synthese_Programme!M120="réservé",Synthese_Programme!M120="acté"),$D120*Parametres!E2,""),"")</f>
        <v/>
      </c>
      <c r="F120" s="240" t="str">
        <f>IFERROR(IF(Base_de_donnée_clients!J120="","",Base_de_donnée_clients!J120),"")</f>
        <v/>
      </c>
      <c r="G120" s="239" t="str">
        <f>IF($C120="","",IF(AND(Parametres!F3&lt;&gt;"",Synthese_Programme!M120="Acté"),$D120*Parametres!E3,""))</f>
        <v/>
      </c>
      <c r="H120" s="240"/>
      <c r="I120" s="239" t="str">
        <f>IF($C120="","",IF(AND(Parametres!F4&lt;&gt;"",Synthese_Programme!M120="Acté"),$D120*Parametres!E4,""))</f>
        <v/>
      </c>
      <c r="J120" s="240"/>
      <c r="K120" s="239" t="str">
        <f>IF($C120="","",IF(AND(Parametres!F5&lt;&gt;"",Synthese_Programme!M120="Acté"),$D120*Parametres!E5,""))</f>
        <v/>
      </c>
      <c r="L120" s="240"/>
      <c r="M120" s="239" t="str">
        <f>IF($C120="","",IF(AND(Parametres!F6&lt;&gt;"",Synthese_Programme!M120="Acté"),$D120*Parametres!E6,""))</f>
        <v/>
      </c>
      <c r="N120" s="240"/>
      <c r="O120" s="239" t="str">
        <f>IF($C120="","",IF(AND(Parametres!F7&lt;&gt;"",Synthese_Programme!M120="Acté"),$D120*Parametres!E7,""))</f>
        <v/>
      </c>
      <c r="P120" s="240"/>
      <c r="Q120" s="238" t="str">
        <f t="shared" si="3"/>
        <v/>
      </c>
      <c r="R120" s="238" t="str">
        <f t="shared" si="4"/>
        <v/>
      </c>
      <c r="S120" s="238" t="str">
        <f t="shared" si="5"/>
        <v/>
      </c>
    </row>
    <row r="121" spans="1:19" ht="24" customHeight="1" x14ac:dyDescent="0.45">
      <c r="A121" s="237" t="str">
        <f>IFERROR(IF(Base_de_donnée_clients!A121="","",Base_de_donnée_clients!A121),"")</f>
        <v/>
      </c>
      <c r="B121" s="226" t="str">
        <f>IFERROR(IF(Base_de_donnée_clients!B121="","",Base_de_donnée_clients!B121),"")</f>
        <v/>
      </c>
      <c r="C121" s="226" t="str">
        <f>IFERROR(IF(Base_de_donnée_clients!C121="","",Base_de_donnée_clients!C121),"")</f>
        <v/>
      </c>
      <c r="D121" s="238" t="str">
        <f>IFERROR(IF(OR(Synthese_Programme!M121="Réservé",Synthese_Programme!M121="Acté",Synthese_Programme!M121="réservé",Synthese_Programme!M121="acté"),Synthese_Programme!K121,""),"")</f>
        <v/>
      </c>
      <c r="E121" s="239" t="str">
        <f>IFERROR(IF(OR(Synthese_Programme!M121="Réservé",Synthese_Programme!M121="Acté",Synthese_Programme!M121="réservé",Synthese_Programme!M121="acté"),$D121*Parametres!E2,""),"")</f>
        <v/>
      </c>
      <c r="F121" s="240" t="str">
        <f>IFERROR(IF(Base_de_donnée_clients!J121="","",Base_de_donnée_clients!J121),"")</f>
        <v/>
      </c>
      <c r="G121" s="239" t="str">
        <f>IF($C121="","",IF(AND(Parametres!F3&lt;&gt;"",Synthese_Programme!M121="Acté"),$D121*Parametres!E3,""))</f>
        <v/>
      </c>
      <c r="H121" s="240"/>
      <c r="I121" s="239" t="str">
        <f>IF($C121="","",IF(AND(Parametres!F4&lt;&gt;"",Synthese_Programme!M121="Acté"),$D121*Parametres!E4,""))</f>
        <v/>
      </c>
      <c r="J121" s="240"/>
      <c r="K121" s="239" t="str">
        <f>IF($C121="","",IF(AND(Parametres!F5&lt;&gt;"",Synthese_Programme!M121="Acté"),$D121*Parametres!E5,""))</f>
        <v/>
      </c>
      <c r="L121" s="240"/>
      <c r="M121" s="239" t="str">
        <f>IF($C121="","",IF(AND(Parametres!F6&lt;&gt;"",Synthese_Programme!M121="Acté"),$D121*Parametres!E6,""))</f>
        <v/>
      </c>
      <c r="N121" s="240"/>
      <c r="O121" s="239" t="str">
        <f>IF($C121="","",IF(AND(Parametres!F7&lt;&gt;"",Synthese_Programme!M121="Acté"),$D121*Parametres!E7,""))</f>
        <v/>
      </c>
      <c r="P121" s="240"/>
      <c r="Q121" s="238" t="str">
        <f t="shared" si="3"/>
        <v/>
      </c>
      <c r="R121" s="238" t="str">
        <f t="shared" si="4"/>
        <v/>
      </c>
      <c r="S121" s="238" t="str">
        <f t="shared" si="5"/>
        <v/>
      </c>
    </row>
    <row r="122" spans="1:19" ht="24" customHeight="1" x14ac:dyDescent="0.45">
      <c r="A122" s="237" t="str">
        <f>IFERROR(IF(Base_de_donnée_clients!A122="","",Base_de_donnée_clients!A122),"")</f>
        <v/>
      </c>
      <c r="B122" s="226" t="str">
        <f>IFERROR(IF(Base_de_donnée_clients!B122="","",Base_de_donnée_clients!B122),"")</f>
        <v/>
      </c>
      <c r="C122" s="226" t="str">
        <f>IFERROR(IF(Base_de_donnée_clients!C122="","",Base_de_donnée_clients!C122),"")</f>
        <v/>
      </c>
      <c r="D122" s="238" t="str">
        <f>IFERROR(IF(OR(Synthese_Programme!M122="Réservé",Synthese_Programme!M122="Acté",Synthese_Programme!M122="réservé",Synthese_Programme!M122="acté"),Synthese_Programme!K122,""),"")</f>
        <v/>
      </c>
      <c r="E122" s="239" t="str">
        <f>IFERROR(IF(OR(Synthese_Programme!M122="Réservé",Synthese_Programme!M122="Acté",Synthese_Programme!M122="réservé",Synthese_Programme!M122="acté"),$D122*Parametres!E2,""),"")</f>
        <v/>
      </c>
      <c r="F122" s="240" t="str">
        <f>IFERROR(IF(Base_de_donnée_clients!J122="","",Base_de_donnée_clients!J122),"")</f>
        <v/>
      </c>
      <c r="G122" s="239" t="str">
        <f>IF($C122="","",IF(AND(Parametres!F3&lt;&gt;"",Synthese_Programme!M122="Acté"),$D122*Parametres!E3,""))</f>
        <v/>
      </c>
      <c r="H122" s="240"/>
      <c r="I122" s="239" t="str">
        <f>IF($C122="","",IF(AND(Parametres!F4&lt;&gt;"",Synthese_Programme!M122="Acté"),$D122*Parametres!E4,""))</f>
        <v/>
      </c>
      <c r="J122" s="240"/>
      <c r="K122" s="239" t="str">
        <f>IF($C122="","",IF(AND(Parametres!F5&lt;&gt;"",Synthese_Programme!M122="Acté"),$D122*Parametres!E5,""))</f>
        <v/>
      </c>
      <c r="L122" s="240"/>
      <c r="M122" s="239" t="str">
        <f>IF($C122="","",IF(AND(Parametres!F6&lt;&gt;"",Synthese_Programme!M122="Acté"),$D122*Parametres!E6,""))</f>
        <v/>
      </c>
      <c r="N122" s="240"/>
      <c r="O122" s="239" t="str">
        <f>IF($C122="","",IF(AND(Parametres!F7&lt;&gt;"",Synthese_Programme!M122="Acté"),$D122*Parametres!E7,""))</f>
        <v/>
      </c>
      <c r="P122" s="240"/>
      <c r="Q122" s="238" t="str">
        <f t="shared" si="3"/>
        <v/>
      </c>
      <c r="R122" s="238" t="str">
        <f t="shared" si="4"/>
        <v/>
      </c>
      <c r="S122" s="238" t="str">
        <f t="shared" si="5"/>
        <v/>
      </c>
    </row>
    <row r="123" spans="1:19" ht="24" customHeight="1" x14ac:dyDescent="0.45">
      <c r="A123" s="237" t="str">
        <f>IFERROR(IF(Base_de_donnée_clients!A123="","",Base_de_donnée_clients!A123),"")</f>
        <v/>
      </c>
      <c r="B123" s="226" t="str">
        <f>IFERROR(IF(Base_de_donnée_clients!B123="","",Base_de_donnée_clients!B123),"")</f>
        <v/>
      </c>
      <c r="C123" s="226" t="str">
        <f>IFERROR(IF(Base_de_donnée_clients!C123="","",Base_de_donnée_clients!C123),"")</f>
        <v/>
      </c>
      <c r="D123" s="238" t="str">
        <f>IFERROR(IF(OR(Synthese_Programme!M123="Réservé",Synthese_Programme!M123="Acté",Synthese_Programme!M123="réservé",Synthese_Programme!M123="acté"),Synthese_Programme!K123,""),"")</f>
        <v/>
      </c>
      <c r="E123" s="239" t="str">
        <f>IFERROR(IF(OR(Synthese_Programme!M123="Réservé",Synthese_Programme!M123="Acté",Synthese_Programme!M123="réservé",Synthese_Programme!M123="acté"),$D123*Parametres!E2,""),"")</f>
        <v/>
      </c>
      <c r="F123" s="240" t="str">
        <f>IFERROR(IF(Base_de_donnée_clients!J123="","",Base_de_donnée_clients!J123),"")</f>
        <v/>
      </c>
      <c r="G123" s="239" t="str">
        <f>IF($C123="","",IF(AND(Parametres!F3&lt;&gt;"",Synthese_Programme!M123="Acté"),$D123*Parametres!E3,""))</f>
        <v/>
      </c>
      <c r="H123" s="240"/>
      <c r="I123" s="239" t="str">
        <f>IF($C123="","",IF(AND(Parametres!F4&lt;&gt;"",Synthese_Programme!M123="Acté"),$D123*Parametres!E4,""))</f>
        <v/>
      </c>
      <c r="J123" s="240"/>
      <c r="K123" s="239" t="str">
        <f>IF($C123="","",IF(AND(Parametres!F5&lt;&gt;"",Synthese_Programme!M123="Acté"),$D123*Parametres!E5,""))</f>
        <v/>
      </c>
      <c r="L123" s="240"/>
      <c r="M123" s="239" t="str">
        <f>IF($C123="","",IF(AND(Parametres!F6&lt;&gt;"",Synthese_Programme!M123="Acté"),$D123*Parametres!E6,""))</f>
        <v/>
      </c>
      <c r="N123" s="240"/>
      <c r="O123" s="239" t="str">
        <f>IF($C123="","",IF(AND(Parametres!F7&lt;&gt;"",Synthese_Programme!M123="Acté"),$D123*Parametres!E7,""))</f>
        <v/>
      </c>
      <c r="P123" s="240"/>
      <c r="Q123" s="238" t="str">
        <f t="shared" si="3"/>
        <v/>
      </c>
      <c r="R123" s="238" t="str">
        <f t="shared" si="4"/>
        <v/>
      </c>
      <c r="S123" s="238" t="str">
        <f t="shared" si="5"/>
        <v/>
      </c>
    </row>
    <row r="124" spans="1:19" ht="24" customHeight="1" x14ac:dyDescent="0.45">
      <c r="A124" s="237" t="str">
        <f>IFERROR(IF(Base_de_donnée_clients!A124="","",Base_de_donnée_clients!A124),"")</f>
        <v/>
      </c>
      <c r="B124" s="226" t="str">
        <f>IFERROR(IF(Base_de_donnée_clients!B124="","",Base_de_donnée_clients!B124),"")</f>
        <v/>
      </c>
      <c r="C124" s="226" t="str">
        <f>IFERROR(IF(Base_de_donnée_clients!C124="","",Base_de_donnée_clients!C124),"")</f>
        <v/>
      </c>
      <c r="D124" s="238" t="str">
        <f>IFERROR(IF(OR(Synthese_Programme!M124="Réservé",Synthese_Programme!M124="Acté",Synthese_Programme!M124="réservé",Synthese_Programme!M124="acté"),Synthese_Programme!K124,""),"")</f>
        <v/>
      </c>
      <c r="E124" s="239" t="str">
        <f>IFERROR(IF(OR(Synthese_Programme!M124="Réservé",Synthese_Programme!M124="Acté",Synthese_Programme!M124="réservé",Synthese_Programme!M124="acté"),$D124*Parametres!E2,""),"")</f>
        <v/>
      </c>
      <c r="F124" s="240" t="str">
        <f>IFERROR(IF(Base_de_donnée_clients!J124="","",Base_de_donnée_clients!J124),"")</f>
        <v/>
      </c>
      <c r="G124" s="239" t="str">
        <f>IF($C124="","",IF(AND(Parametres!F3&lt;&gt;"",Synthese_Programme!M124="Acté"),$D124*Parametres!E3,""))</f>
        <v/>
      </c>
      <c r="H124" s="240"/>
      <c r="I124" s="239" t="str">
        <f>IF($C124="","",IF(AND(Parametres!F4&lt;&gt;"",Synthese_Programme!M124="Acté"),$D124*Parametres!E4,""))</f>
        <v/>
      </c>
      <c r="J124" s="240"/>
      <c r="K124" s="239" t="str">
        <f>IF($C124="","",IF(AND(Parametres!F5&lt;&gt;"",Synthese_Programme!M124="Acté"),$D124*Parametres!E5,""))</f>
        <v/>
      </c>
      <c r="L124" s="240"/>
      <c r="M124" s="239" t="str">
        <f>IF($C124="","",IF(AND(Parametres!F6&lt;&gt;"",Synthese_Programme!M124="Acté"),$D124*Parametres!E6,""))</f>
        <v/>
      </c>
      <c r="N124" s="240"/>
      <c r="O124" s="239" t="str">
        <f>IF($C124="","",IF(AND(Parametres!F7&lt;&gt;"",Synthese_Programme!M124="Acté"),$D124*Parametres!E7,""))</f>
        <v/>
      </c>
      <c r="P124" s="240"/>
      <c r="Q124" s="238" t="str">
        <f t="shared" si="3"/>
        <v/>
      </c>
      <c r="R124" s="238" t="str">
        <f t="shared" si="4"/>
        <v/>
      </c>
      <c r="S124" s="238" t="str">
        <f t="shared" si="5"/>
        <v/>
      </c>
    </row>
    <row r="125" spans="1:19" ht="24" customHeight="1" x14ac:dyDescent="0.45">
      <c r="A125" s="237" t="str">
        <f>IFERROR(IF(Base_de_donnée_clients!A125="","",Base_de_donnée_clients!A125),"")</f>
        <v/>
      </c>
      <c r="B125" s="226" t="str">
        <f>IFERROR(IF(Base_de_donnée_clients!B125="","",Base_de_donnée_clients!B125),"")</f>
        <v/>
      </c>
      <c r="C125" s="226" t="str">
        <f>IFERROR(IF(Base_de_donnée_clients!C125="","",Base_de_donnée_clients!C125),"")</f>
        <v/>
      </c>
      <c r="D125" s="238" t="str">
        <f>IFERROR(IF(OR(Synthese_Programme!M125="Réservé",Synthese_Programme!M125="Acté",Synthese_Programme!M125="réservé",Synthese_Programme!M125="acté"),Synthese_Programme!K125,""),"")</f>
        <v/>
      </c>
      <c r="E125" s="239" t="str">
        <f>IFERROR(IF(OR(Synthese_Programme!M125="Réservé",Synthese_Programme!M125="Acté",Synthese_Programme!M125="réservé",Synthese_Programme!M125="acté"),$D125*Parametres!E2,""),"")</f>
        <v/>
      </c>
      <c r="F125" s="240" t="str">
        <f>IFERROR(IF(Base_de_donnée_clients!J125="","",Base_de_donnée_clients!J125),"")</f>
        <v/>
      </c>
      <c r="G125" s="239" t="str">
        <f>IF($C125="","",IF(AND(Parametres!F3&lt;&gt;"",Synthese_Programme!M125="Acté"),$D125*Parametres!E3,""))</f>
        <v/>
      </c>
      <c r="H125" s="240"/>
      <c r="I125" s="239" t="str">
        <f>IF($C125="","",IF(AND(Parametres!F4&lt;&gt;"",Synthese_Programme!M125="Acté"),$D125*Parametres!E4,""))</f>
        <v/>
      </c>
      <c r="J125" s="240"/>
      <c r="K125" s="239" t="str">
        <f>IF($C125="","",IF(AND(Parametres!F5&lt;&gt;"",Synthese_Programme!M125="Acté"),$D125*Parametres!E5,""))</f>
        <v/>
      </c>
      <c r="L125" s="240"/>
      <c r="M125" s="239" t="str">
        <f>IF($C125="","",IF(AND(Parametres!F6&lt;&gt;"",Synthese_Programme!M125="Acté"),$D125*Parametres!E6,""))</f>
        <v/>
      </c>
      <c r="N125" s="240"/>
      <c r="O125" s="239" t="str">
        <f>IF($C125="","",IF(AND(Parametres!F7&lt;&gt;"",Synthese_Programme!M125="Acté"),$D125*Parametres!E7,""))</f>
        <v/>
      </c>
      <c r="P125" s="240"/>
      <c r="Q125" s="238" t="str">
        <f t="shared" si="3"/>
        <v/>
      </c>
      <c r="R125" s="238" t="str">
        <f t="shared" si="4"/>
        <v/>
      </c>
      <c r="S125" s="238" t="str">
        <f t="shared" si="5"/>
        <v/>
      </c>
    </row>
    <row r="126" spans="1:19" ht="24" customHeight="1" x14ac:dyDescent="0.45">
      <c r="A126" s="237" t="str">
        <f>IFERROR(IF(Base_de_donnée_clients!A126="","",Base_de_donnée_clients!A126),"")</f>
        <v/>
      </c>
      <c r="B126" s="226" t="str">
        <f>IFERROR(IF(Base_de_donnée_clients!B126="","",Base_de_donnée_clients!B126),"")</f>
        <v/>
      </c>
      <c r="C126" s="226" t="str">
        <f>IFERROR(IF(Base_de_donnée_clients!C126="","",Base_de_donnée_clients!C126),"")</f>
        <v/>
      </c>
      <c r="D126" s="238" t="str">
        <f>IFERROR(IF(OR(Synthese_Programme!M126="Réservé",Synthese_Programme!M126="Acté",Synthese_Programme!M126="réservé",Synthese_Programme!M126="acté"),Synthese_Programme!K126,""),"")</f>
        <v/>
      </c>
      <c r="E126" s="239" t="str">
        <f>IFERROR(IF(OR(Synthese_Programme!M126="Réservé",Synthese_Programme!M126="Acté",Synthese_Programme!M126="réservé",Synthese_Programme!M126="acté"),$D126*Parametres!E2,""),"")</f>
        <v/>
      </c>
      <c r="F126" s="240" t="str">
        <f>IFERROR(IF(Base_de_donnée_clients!J126="","",Base_de_donnée_clients!J126),"")</f>
        <v/>
      </c>
      <c r="G126" s="239" t="str">
        <f>IF($C126="","",IF(AND(Parametres!F3&lt;&gt;"",Synthese_Programme!M126="Acté"),$D126*Parametres!E3,""))</f>
        <v/>
      </c>
      <c r="H126" s="240"/>
      <c r="I126" s="239" t="str">
        <f>IF($C126="","",IF(AND(Parametres!F4&lt;&gt;"",Synthese_Programme!M126="Acté"),$D126*Parametres!E4,""))</f>
        <v/>
      </c>
      <c r="J126" s="240"/>
      <c r="K126" s="239" t="str">
        <f>IF($C126="","",IF(AND(Parametres!F5&lt;&gt;"",Synthese_Programme!M126="Acté"),$D126*Parametres!E5,""))</f>
        <v/>
      </c>
      <c r="L126" s="240"/>
      <c r="M126" s="239" t="str">
        <f>IF($C126="","",IF(AND(Parametres!F6&lt;&gt;"",Synthese_Programme!M126="Acté"),$D126*Parametres!E6,""))</f>
        <v/>
      </c>
      <c r="N126" s="240"/>
      <c r="O126" s="239" t="str">
        <f>IF($C126="","",IF(AND(Parametres!F7&lt;&gt;"",Synthese_Programme!M126="Acté"),$D126*Parametres!E7,""))</f>
        <v/>
      </c>
      <c r="P126" s="240"/>
      <c r="Q126" s="238" t="str">
        <f t="shared" si="3"/>
        <v/>
      </c>
      <c r="R126" s="238" t="str">
        <f t="shared" si="4"/>
        <v/>
      </c>
      <c r="S126" s="238" t="str">
        <f t="shared" si="5"/>
        <v/>
      </c>
    </row>
    <row r="127" spans="1:19" ht="24" customHeight="1" x14ac:dyDescent="0.45">
      <c r="A127" s="237" t="str">
        <f>IFERROR(IF(Base_de_donnée_clients!A127="","",Base_de_donnée_clients!A127),"")</f>
        <v/>
      </c>
      <c r="B127" s="226" t="str">
        <f>IFERROR(IF(Base_de_donnée_clients!B127="","",Base_de_donnée_clients!B127),"")</f>
        <v/>
      </c>
      <c r="C127" s="226" t="str">
        <f>IFERROR(IF(Base_de_donnée_clients!C127="","",Base_de_donnée_clients!C127),"")</f>
        <v/>
      </c>
      <c r="D127" s="238" t="str">
        <f>IFERROR(IF(OR(Synthese_Programme!M127="Réservé",Synthese_Programme!M127="Acté",Synthese_Programme!M127="réservé",Synthese_Programme!M127="acté"),Synthese_Programme!K127,""),"")</f>
        <v/>
      </c>
      <c r="E127" s="239" t="str">
        <f>IFERROR(IF(OR(Synthese_Programme!M127="Réservé",Synthese_Programme!M127="Acté",Synthese_Programme!M127="réservé",Synthese_Programme!M127="acté"),$D127*Parametres!E2,""),"")</f>
        <v/>
      </c>
      <c r="F127" s="240" t="str">
        <f>IFERROR(IF(Base_de_donnée_clients!J127="","",Base_de_donnée_clients!J127),"")</f>
        <v/>
      </c>
      <c r="G127" s="239" t="str">
        <f>IF($C127="","",IF(AND(Parametres!F3&lt;&gt;"",Synthese_Programme!M127="Acté"),$D127*Parametres!E3,""))</f>
        <v/>
      </c>
      <c r="H127" s="240"/>
      <c r="I127" s="239" t="str">
        <f>IF($C127="","",IF(AND(Parametres!F4&lt;&gt;"",Synthese_Programme!M127="Acté"),$D127*Parametres!E4,""))</f>
        <v/>
      </c>
      <c r="J127" s="240"/>
      <c r="K127" s="239" t="str">
        <f>IF($C127="","",IF(AND(Parametres!F5&lt;&gt;"",Synthese_Programme!M127="Acté"),$D127*Parametres!E5,""))</f>
        <v/>
      </c>
      <c r="L127" s="240"/>
      <c r="M127" s="239" t="str">
        <f>IF($C127="","",IF(AND(Parametres!F6&lt;&gt;"",Synthese_Programme!M127="Acté"),$D127*Parametres!E6,""))</f>
        <v/>
      </c>
      <c r="N127" s="240"/>
      <c r="O127" s="239" t="str">
        <f>IF($C127="","",IF(AND(Parametres!F7&lt;&gt;"",Synthese_Programme!M127="Acté"),$D127*Parametres!E7,""))</f>
        <v/>
      </c>
      <c r="P127" s="240"/>
      <c r="Q127" s="238" t="str">
        <f t="shared" si="3"/>
        <v/>
      </c>
      <c r="R127" s="238" t="str">
        <f t="shared" si="4"/>
        <v/>
      </c>
      <c r="S127" s="238" t="str">
        <f t="shared" si="5"/>
        <v/>
      </c>
    </row>
    <row r="128" spans="1:19" ht="24" customHeight="1" x14ac:dyDescent="0.45">
      <c r="A128" s="237" t="str">
        <f>IFERROR(IF(Base_de_donnée_clients!A128="","",Base_de_donnée_clients!A128),"")</f>
        <v/>
      </c>
      <c r="B128" s="226" t="str">
        <f>IFERROR(IF(Base_de_donnée_clients!B128="","",Base_de_donnée_clients!B128),"")</f>
        <v/>
      </c>
      <c r="C128" s="226" t="str">
        <f>IFERROR(IF(Base_de_donnée_clients!C128="","",Base_de_donnée_clients!C128),"")</f>
        <v/>
      </c>
      <c r="D128" s="238" t="str">
        <f>IFERROR(IF(OR(Synthese_Programme!M128="Réservé",Synthese_Programme!M128="Acté",Synthese_Programme!M128="réservé",Synthese_Programme!M128="acté"),Synthese_Programme!K128,""),"")</f>
        <v/>
      </c>
      <c r="E128" s="239" t="str">
        <f>IFERROR(IF(OR(Synthese_Programme!M128="Réservé",Synthese_Programme!M128="Acté",Synthese_Programme!M128="réservé",Synthese_Programme!M128="acté"),$D128*Parametres!E2,""),"")</f>
        <v/>
      </c>
      <c r="F128" s="240" t="str">
        <f>IFERROR(IF(Base_de_donnée_clients!J128="","",Base_de_donnée_clients!J128),"")</f>
        <v/>
      </c>
      <c r="G128" s="239" t="str">
        <f>IF($C128="","",IF(AND(Parametres!F3&lt;&gt;"",Synthese_Programme!M128="Acté"),$D128*Parametres!E3,""))</f>
        <v/>
      </c>
      <c r="H128" s="240"/>
      <c r="I128" s="239" t="str">
        <f>IF($C128="","",IF(AND(Parametres!F4&lt;&gt;"",Synthese_Programme!M128="Acté"),$D128*Parametres!E4,""))</f>
        <v/>
      </c>
      <c r="J128" s="240"/>
      <c r="K128" s="239" t="str">
        <f>IF($C128="","",IF(AND(Parametres!F5&lt;&gt;"",Synthese_Programme!M128="Acté"),$D128*Parametres!E5,""))</f>
        <v/>
      </c>
      <c r="L128" s="240"/>
      <c r="M128" s="239" t="str">
        <f>IF($C128="","",IF(AND(Parametres!F6&lt;&gt;"",Synthese_Programme!M128="Acté"),$D128*Parametres!E6,""))</f>
        <v/>
      </c>
      <c r="N128" s="240"/>
      <c r="O128" s="239" t="str">
        <f>IF($C128="","",IF(AND(Parametres!F7&lt;&gt;"",Synthese_Programme!M128="Acté"),$D128*Parametres!E7,""))</f>
        <v/>
      </c>
      <c r="P128" s="240"/>
      <c r="Q128" s="238" t="str">
        <f t="shared" si="3"/>
        <v/>
      </c>
      <c r="R128" s="238" t="str">
        <f t="shared" si="4"/>
        <v/>
      </c>
      <c r="S128" s="238" t="str">
        <f t="shared" si="5"/>
        <v/>
      </c>
    </row>
    <row r="129" spans="1:19" ht="24" customHeight="1" x14ac:dyDescent="0.45">
      <c r="A129" s="237" t="str">
        <f>IFERROR(IF(Base_de_donnée_clients!A129="","",Base_de_donnée_clients!A129),"")</f>
        <v/>
      </c>
      <c r="B129" s="226" t="str">
        <f>IFERROR(IF(Base_de_donnée_clients!B129="","",Base_de_donnée_clients!B129),"")</f>
        <v/>
      </c>
      <c r="C129" s="226" t="str">
        <f>IFERROR(IF(Base_de_donnée_clients!C129="","",Base_de_donnée_clients!C129),"")</f>
        <v/>
      </c>
      <c r="D129" s="238" t="str">
        <f>IFERROR(IF(OR(Synthese_Programme!M129="Réservé",Synthese_Programme!M129="Acté",Synthese_Programme!M129="réservé",Synthese_Programme!M129="acté"),Synthese_Programme!K129,""),"")</f>
        <v/>
      </c>
      <c r="E129" s="239" t="str">
        <f>IFERROR(IF(OR(Synthese_Programme!M129="Réservé",Synthese_Programme!M129="Acté",Synthese_Programme!M129="réservé",Synthese_Programme!M129="acté"),$D129*Parametres!E2,""),"")</f>
        <v/>
      </c>
      <c r="F129" s="240" t="str">
        <f>IFERROR(IF(Base_de_donnée_clients!J129="","",Base_de_donnée_clients!J129),"")</f>
        <v/>
      </c>
      <c r="G129" s="239" t="str">
        <f>IF($C129="","",IF(AND(Parametres!F3&lt;&gt;"",Synthese_Programme!M129="Acté"),$D129*Parametres!E3,""))</f>
        <v/>
      </c>
      <c r="H129" s="240"/>
      <c r="I129" s="239" t="str">
        <f>IF($C129="","",IF(AND(Parametres!F4&lt;&gt;"",Synthese_Programme!M129="Acté"),$D129*Parametres!E4,""))</f>
        <v/>
      </c>
      <c r="J129" s="240"/>
      <c r="K129" s="239" t="str">
        <f>IF($C129="","",IF(AND(Parametres!F5&lt;&gt;"",Synthese_Programme!M129="Acté"),$D129*Parametres!E5,""))</f>
        <v/>
      </c>
      <c r="L129" s="240"/>
      <c r="M129" s="239" t="str">
        <f>IF($C129="","",IF(AND(Parametres!F6&lt;&gt;"",Synthese_Programme!M129="Acté"),$D129*Parametres!E6,""))</f>
        <v/>
      </c>
      <c r="N129" s="240"/>
      <c r="O129" s="239" t="str">
        <f>IF($C129="","",IF(AND(Parametres!F7&lt;&gt;"",Synthese_Programme!M129="Acté"),$D129*Parametres!E7,""))</f>
        <v/>
      </c>
      <c r="P129" s="240"/>
      <c r="Q129" s="238" t="str">
        <f t="shared" si="3"/>
        <v/>
      </c>
      <c r="R129" s="238" t="str">
        <f t="shared" si="4"/>
        <v/>
      </c>
      <c r="S129" s="238" t="str">
        <f t="shared" si="5"/>
        <v/>
      </c>
    </row>
    <row r="130" spans="1:19" ht="24" customHeight="1" x14ac:dyDescent="0.45">
      <c r="A130" s="237" t="str">
        <f>IFERROR(IF(Base_de_donnée_clients!A130="","",Base_de_donnée_clients!A130),"")</f>
        <v/>
      </c>
      <c r="B130" s="226" t="str">
        <f>IFERROR(IF(Base_de_donnée_clients!B130="","",Base_de_donnée_clients!B130),"")</f>
        <v/>
      </c>
      <c r="C130" s="226" t="str">
        <f>IFERROR(IF(Base_de_donnée_clients!C130="","",Base_de_donnée_clients!C130),"")</f>
        <v/>
      </c>
      <c r="D130" s="238" t="str">
        <f>IFERROR(IF(OR(Synthese_Programme!M130="Réservé",Synthese_Programme!M130="Acté",Synthese_Programme!M130="réservé",Synthese_Programme!M130="acté"),Synthese_Programme!K130,""),"")</f>
        <v/>
      </c>
      <c r="E130" s="239" t="str">
        <f>IFERROR(IF(OR(Synthese_Programme!M130="Réservé",Synthese_Programme!M130="Acté",Synthese_Programme!M130="réservé",Synthese_Programme!M130="acté"),$D130*Parametres!E2,""),"")</f>
        <v/>
      </c>
      <c r="F130" s="240" t="str">
        <f>IFERROR(IF(Base_de_donnée_clients!J130="","",Base_de_donnée_clients!J130),"")</f>
        <v/>
      </c>
      <c r="G130" s="239" t="str">
        <f>IF($C130="","",IF(AND(Parametres!F3&lt;&gt;"",Synthese_Programme!M130="Acté"),$D130*Parametres!E3,""))</f>
        <v/>
      </c>
      <c r="H130" s="240"/>
      <c r="I130" s="239" t="str">
        <f>IF($C130="","",IF(AND(Parametres!F4&lt;&gt;"",Synthese_Programme!M130="Acté"),$D130*Parametres!E4,""))</f>
        <v/>
      </c>
      <c r="J130" s="240"/>
      <c r="K130" s="239" t="str">
        <f>IF($C130="","",IF(AND(Parametres!F5&lt;&gt;"",Synthese_Programme!M130="Acté"),$D130*Parametres!E5,""))</f>
        <v/>
      </c>
      <c r="L130" s="240"/>
      <c r="M130" s="239" t="str">
        <f>IF($C130="","",IF(AND(Parametres!F6&lt;&gt;"",Synthese_Programme!M130="Acté"),$D130*Parametres!E6,""))</f>
        <v/>
      </c>
      <c r="N130" s="240"/>
      <c r="O130" s="239" t="str">
        <f>IF($C130="","",IF(AND(Parametres!F7&lt;&gt;"",Synthese_Programme!M130="Acté"),$D130*Parametres!E7,""))</f>
        <v/>
      </c>
      <c r="P130" s="240"/>
      <c r="Q130" s="238" t="str">
        <f t="shared" si="3"/>
        <v/>
      </c>
      <c r="R130" s="238" t="str">
        <f t="shared" si="4"/>
        <v/>
      </c>
      <c r="S130" s="238" t="str">
        <f t="shared" si="5"/>
        <v/>
      </c>
    </row>
    <row r="131" spans="1:19" ht="24" customHeight="1" x14ac:dyDescent="0.45">
      <c r="A131" s="237" t="str">
        <f>IFERROR(IF(Base_de_donnée_clients!A131="","",Base_de_donnée_clients!A131),"")</f>
        <v/>
      </c>
      <c r="B131" s="226" t="str">
        <f>IFERROR(IF(Base_de_donnée_clients!B131="","",Base_de_donnée_clients!B131),"")</f>
        <v/>
      </c>
      <c r="C131" s="226" t="str">
        <f>IFERROR(IF(Base_de_donnée_clients!C131="","",Base_de_donnée_clients!C131),"")</f>
        <v/>
      </c>
      <c r="D131" s="238" t="str">
        <f>IFERROR(IF(OR(Synthese_Programme!M131="Réservé",Synthese_Programme!M131="Acté",Synthese_Programme!M131="réservé",Synthese_Programme!M131="acté"),Synthese_Programme!K131,""),"")</f>
        <v/>
      </c>
      <c r="E131" s="239" t="str">
        <f>IFERROR(IF(OR(Synthese_Programme!M131="Réservé",Synthese_Programme!M131="Acté",Synthese_Programme!M131="réservé",Synthese_Programme!M131="acté"),$D131*Parametres!E2,""),"")</f>
        <v/>
      </c>
      <c r="F131" s="240" t="str">
        <f>IFERROR(IF(Base_de_donnée_clients!J131="","",Base_de_donnée_clients!J131),"")</f>
        <v/>
      </c>
      <c r="G131" s="239" t="str">
        <f>IF($C131="","",IF(AND(Parametres!F3&lt;&gt;"",Synthese_Programme!M131="Acté"),$D131*Parametres!E3,""))</f>
        <v/>
      </c>
      <c r="H131" s="240"/>
      <c r="I131" s="239" t="str">
        <f>IF($C131="","",IF(AND(Parametres!F4&lt;&gt;"",Synthese_Programme!M131="Acté"),$D131*Parametres!E4,""))</f>
        <v/>
      </c>
      <c r="J131" s="240"/>
      <c r="K131" s="239" t="str">
        <f>IF($C131="","",IF(AND(Parametres!F5&lt;&gt;"",Synthese_Programme!M131="Acté"),$D131*Parametres!E5,""))</f>
        <v/>
      </c>
      <c r="L131" s="240"/>
      <c r="M131" s="239" t="str">
        <f>IF($C131="","",IF(AND(Parametres!F6&lt;&gt;"",Synthese_Programme!M131="Acté"),$D131*Parametres!E6,""))</f>
        <v/>
      </c>
      <c r="N131" s="240"/>
      <c r="O131" s="239" t="str">
        <f>IF($C131="","",IF(AND(Parametres!F7&lt;&gt;"",Synthese_Programme!M131="Acté"),$D131*Parametres!E7,""))</f>
        <v/>
      </c>
      <c r="P131" s="240"/>
      <c r="Q131" s="238" t="str">
        <f t="shared" si="3"/>
        <v/>
      </c>
      <c r="R131" s="238" t="str">
        <f t="shared" si="4"/>
        <v/>
      </c>
      <c r="S131" s="238" t="str">
        <f t="shared" si="5"/>
        <v/>
      </c>
    </row>
    <row r="132" spans="1:19" ht="24" customHeight="1" x14ac:dyDescent="0.45">
      <c r="A132" s="237" t="str">
        <f>IFERROR(IF(Base_de_donnée_clients!A132="","",Base_de_donnée_clients!A132),"")</f>
        <v/>
      </c>
      <c r="B132" s="226" t="str">
        <f>IFERROR(IF(Base_de_donnée_clients!B132="","",Base_de_donnée_clients!B132),"")</f>
        <v/>
      </c>
      <c r="C132" s="226" t="str">
        <f>IFERROR(IF(Base_de_donnée_clients!C132="","",Base_de_donnée_clients!C132),"")</f>
        <v/>
      </c>
      <c r="D132" s="238" t="str">
        <f>IFERROR(IF(OR(Synthese_Programme!M132="Réservé",Synthese_Programme!M132="Acté",Synthese_Programme!M132="réservé",Synthese_Programme!M132="acté"),Synthese_Programme!K132,""),"")</f>
        <v/>
      </c>
      <c r="E132" s="239" t="str">
        <f>IFERROR(IF(OR(Synthese_Programme!M132="Réservé",Synthese_Programme!M132="Acté",Synthese_Programme!M132="réservé",Synthese_Programme!M132="acté"),$D132*Parametres!E2,""),"")</f>
        <v/>
      </c>
      <c r="F132" s="240" t="str">
        <f>IFERROR(IF(Base_de_donnée_clients!J132="","",Base_de_donnée_clients!J132),"")</f>
        <v/>
      </c>
      <c r="G132" s="239" t="str">
        <f>IF($C132="","",IF(AND(Parametres!F3&lt;&gt;"",Synthese_Programme!M132="Acté"),$D132*Parametres!E3,""))</f>
        <v/>
      </c>
      <c r="H132" s="240"/>
      <c r="I132" s="239" t="str">
        <f>IF($C132="","",IF(AND(Parametres!F4&lt;&gt;"",Synthese_Programme!M132="Acté"),$D132*Parametres!E4,""))</f>
        <v/>
      </c>
      <c r="J132" s="240"/>
      <c r="K132" s="239" t="str">
        <f>IF($C132="","",IF(AND(Parametres!F5&lt;&gt;"",Synthese_Programme!M132="Acté"),$D132*Parametres!E5,""))</f>
        <v/>
      </c>
      <c r="L132" s="240"/>
      <c r="M132" s="239" t="str">
        <f>IF($C132="","",IF(AND(Parametres!F6&lt;&gt;"",Synthese_Programme!M132="Acté"),$D132*Parametres!E6,""))</f>
        <v/>
      </c>
      <c r="N132" s="240"/>
      <c r="O132" s="239" t="str">
        <f>IF($C132="","",IF(AND(Parametres!F7&lt;&gt;"",Synthese_Programme!M132="Acté"),$D132*Parametres!E7,""))</f>
        <v/>
      </c>
      <c r="P132" s="240"/>
      <c r="Q132" s="238" t="str">
        <f t="shared" si="3"/>
        <v/>
      </c>
      <c r="R132" s="238" t="str">
        <f t="shared" si="4"/>
        <v/>
      </c>
      <c r="S132" s="238" t="str">
        <f t="shared" si="5"/>
        <v/>
      </c>
    </row>
    <row r="133" spans="1:19" ht="24" customHeight="1" x14ac:dyDescent="0.45">
      <c r="A133" s="237" t="str">
        <f>IFERROR(IF(Base_de_donnée_clients!A133="","",Base_de_donnée_clients!A133),"")</f>
        <v/>
      </c>
      <c r="B133" s="226" t="str">
        <f>IFERROR(IF(Base_de_donnée_clients!B133="","",Base_de_donnée_clients!B133),"")</f>
        <v/>
      </c>
      <c r="C133" s="226" t="str">
        <f>IFERROR(IF(Base_de_donnée_clients!C133="","",Base_de_donnée_clients!C133),"")</f>
        <v/>
      </c>
      <c r="D133" s="238" t="str">
        <f>IFERROR(IF(OR(Synthese_Programme!M133="Réservé",Synthese_Programme!M133="Acté",Synthese_Programme!M133="réservé",Synthese_Programme!M133="acté"),Synthese_Programme!K133,""),"")</f>
        <v/>
      </c>
      <c r="E133" s="239" t="str">
        <f>IFERROR(IF(OR(Synthese_Programme!M133="Réservé",Synthese_Programme!M133="Acté",Synthese_Programme!M133="réservé",Synthese_Programme!M133="acté"),$D133*Parametres!E2,""),"")</f>
        <v/>
      </c>
      <c r="F133" s="240" t="str">
        <f>IFERROR(IF(Base_de_donnée_clients!J133="","",Base_de_donnée_clients!J133),"")</f>
        <v/>
      </c>
      <c r="G133" s="239" t="str">
        <f>IF($C133="","",IF(AND(Parametres!F3&lt;&gt;"",Synthese_Programme!M133="Acté"),$D133*Parametres!E3,""))</f>
        <v/>
      </c>
      <c r="H133" s="240"/>
      <c r="I133" s="239" t="str">
        <f>IF($C133="","",IF(AND(Parametres!F4&lt;&gt;"",Synthese_Programme!M133="Acté"),$D133*Parametres!E4,""))</f>
        <v/>
      </c>
      <c r="J133" s="240"/>
      <c r="K133" s="239" t="str">
        <f>IF($C133="","",IF(AND(Parametres!F5&lt;&gt;"",Synthese_Programme!M133="Acté"),$D133*Parametres!E5,""))</f>
        <v/>
      </c>
      <c r="L133" s="240"/>
      <c r="M133" s="239" t="str">
        <f>IF($C133="","",IF(AND(Parametres!F6&lt;&gt;"",Synthese_Programme!M133="Acté"),$D133*Parametres!E6,""))</f>
        <v/>
      </c>
      <c r="N133" s="240"/>
      <c r="O133" s="239" t="str">
        <f>IF($C133="","",IF(AND(Parametres!F7&lt;&gt;"",Synthese_Programme!M133="Acté"),$D133*Parametres!E7,""))</f>
        <v/>
      </c>
      <c r="P133" s="240"/>
      <c r="Q133" s="238" t="str">
        <f t="shared" ref="Q133:Q196" si="6">IFERROR(D133-(IF(F133="",0,E133)+IF(H133="",0,G133)+IF(J133="",0,I133)+IF(L133="",0,K133)+IF(N133="",0,M133)+IF(P133="",0,O133)),"")</f>
        <v/>
      </c>
      <c r="R133" s="238" t="str">
        <f t="shared" ref="R133:R196" si="7">IF(C133="","",IFERROR(IF(F133="",0,E133)+IF(H133="",0,G133)+IF(J133="",0,I133)+IF(L133="",0,K133)+IF(N133="",0,M133)+IF(P133="",0,O133),""))</f>
        <v/>
      </c>
      <c r="S133" s="238" t="str">
        <f t="shared" ref="S133:S196" si="8">Q133</f>
        <v/>
      </c>
    </row>
    <row r="134" spans="1:19" ht="24" customHeight="1" x14ac:dyDescent="0.45">
      <c r="A134" s="237" t="str">
        <f>IFERROR(IF(Base_de_donnée_clients!A134="","",Base_de_donnée_clients!A134),"")</f>
        <v/>
      </c>
      <c r="B134" s="226" t="str">
        <f>IFERROR(IF(Base_de_donnée_clients!B134="","",Base_de_donnée_clients!B134),"")</f>
        <v/>
      </c>
      <c r="C134" s="226" t="str">
        <f>IFERROR(IF(Base_de_donnée_clients!C134="","",Base_de_donnée_clients!C134),"")</f>
        <v/>
      </c>
      <c r="D134" s="238" t="str">
        <f>IFERROR(IF(OR(Synthese_Programme!M134="Réservé",Synthese_Programme!M134="Acté",Synthese_Programme!M134="réservé",Synthese_Programme!M134="acté"),Synthese_Programme!K134,""),"")</f>
        <v/>
      </c>
      <c r="E134" s="239" t="str">
        <f>IFERROR(IF(OR(Synthese_Programme!M134="Réservé",Synthese_Programme!M134="Acté",Synthese_Programme!M134="réservé",Synthese_Programme!M134="acté"),$D134*Parametres!E2,""),"")</f>
        <v/>
      </c>
      <c r="F134" s="240" t="str">
        <f>IFERROR(IF(Base_de_donnée_clients!J134="","",Base_de_donnée_clients!J134),"")</f>
        <v/>
      </c>
      <c r="G134" s="239" t="str">
        <f>IF($C134="","",IF(AND(Parametres!F3&lt;&gt;"",Synthese_Programme!M134="Acté"),$D134*Parametres!E3,""))</f>
        <v/>
      </c>
      <c r="H134" s="240"/>
      <c r="I134" s="239" t="str">
        <f>IF($C134="","",IF(AND(Parametres!F4&lt;&gt;"",Synthese_Programme!M134="Acté"),$D134*Parametres!E4,""))</f>
        <v/>
      </c>
      <c r="J134" s="240"/>
      <c r="K134" s="239" t="str">
        <f>IF($C134="","",IF(AND(Parametres!F5&lt;&gt;"",Synthese_Programme!M134="Acté"),$D134*Parametres!E5,""))</f>
        <v/>
      </c>
      <c r="L134" s="240"/>
      <c r="M134" s="239" t="str">
        <f>IF($C134="","",IF(AND(Parametres!F6&lt;&gt;"",Synthese_Programme!M134="Acté"),$D134*Parametres!E6,""))</f>
        <v/>
      </c>
      <c r="N134" s="240"/>
      <c r="O134" s="239" t="str">
        <f>IF($C134="","",IF(AND(Parametres!F7&lt;&gt;"",Synthese_Programme!M134="Acté"),$D134*Parametres!E7,""))</f>
        <v/>
      </c>
      <c r="P134" s="240"/>
      <c r="Q134" s="238" t="str">
        <f t="shared" si="6"/>
        <v/>
      </c>
      <c r="R134" s="238" t="str">
        <f t="shared" si="7"/>
        <v/>
      </c>
      <c r="S134" s="238" t="str">
        <f t="shared" si="8"/>
        <v/>
      </c>
    </row>
    <row r="135" spans="1:19" ht="24" customHeight="1" x14ac:dyDescent="0.45">
      <c r="A135" s="237" t="str">
        <f>IFERROR(IF(Base_de_donnée_clients!A135="","",Base_de_donnée_clients!A135),"")</f>
        <v/>
      </c>
      <c r="B135" s="226" t="str">
        <f>IFERROR(IF(Base_de_donnée_clients!B135="","",Base_de_donnée_clients!B135),"")</f>
        <v/>
      </c>
      <c r="C135" s="226" t="str">
        <f>IFERROR(IF(Base_de_donnée_clients!C135="","",Base_de_donnée_clients!C135),"")</f>
        <v/>
      </c>
      <c r="D135" s="238" t="str">
        <f>IFERROR(IF(OR(Synthese_Programme!M135="Réservé",Synthese_Programme!M135="Acté",Synthese_Programme!M135="réservé",Synthese_Programme!M135="acté"),Synthese_Programme!K135,""),"")</f>
        <v/>
      </c>
      <c r="E135" s="239" t="str">
        <f>IFERROR(IF(OR(Synthese_Programme!M135="Réservé",Synthese_Programme!M135="Acté",Synthese_Programme!M135="réservé",Synthese_Programme!M135="acté"),$D135*Parametres!E2,""),"")</f>
        <v/>
      </c>
      <c r="F135" s="240" t="str">
        <f>IFERROR(IF(Base_de_donnée_clients!J135="","",Base_de_donnée_clients!J135),"")</f>
        <v/>
      </c>
      <c r="G135" s="239" t="str">
        <f>IF($C135="","",IF(AND(Parametres!F3&lt;&gt;"",Synthese_Programme!M135="Acté"),$D135*Parametres!E3,""))</f>
        <v/>
      </c>
      <c r="H135" s="240"/>
      <c r="I135" s="239" t="str">
        <f>IF($C135="","",IF(AND(Parametres!F4&lt;&gt;"",Synthese_Programme!M135="Acté"),$D135*Parametres!E4,""))</f>
        <v/>
      </c>
      <c r="J135" s="240"/>
      <c r="K135" s="239" t="str">
        <f>IF($C135="","",IF(AND(Parametres!F5&lt;&gt;"",Synthese_Programme!M135="Acté"),$D135*Parametres!E5,""))</f>
        <v/>
      </c>
      <c r="L135" s="240"/>
      <c r="M135" s="239" t="str">
        <f>IF($C135="","",IF(AND(Parametres!F6&lt;&gt;"",Synthese_Programme!M135="Acté"),$D135*Parametres!E6,""))</f>
        <v/>
      </c>
      <c r="N135" s="240"/>
      <c r="O135" s="239" t="str">
        <f>IF($C135="","",IF(AND(Parametres!F7&lt;&gt;"",Synthese_Programme!M135="Acté"),$D135*Parametres!E7,""))</f>
        <v/>
      </c>
      <c r="P135" s="240"/>
      <c r="Q135" s="238" t="str">
        <f t="shared" si="6"/>
        <v/>
      </c>
      <c r="R135" s="238" t="str">
        <f t="shared" si="7"/>
        <v/>
      </c>
      <c r="S135" s="238" t="str">
        <f t="shared" si="8"/>
        <v/>
      </c>
    </row>
    <row r="136" spans="1:19" ht="24" customHeight="1" x14ac:dyDescent="0.45">
      <c r="A136" s="237" t="str">
        <f>IFERROR(IF(Base_de_donnée_clients!A136="","",Base_de_donnée_clients!A136),"")</f>
        <v/>
      </c>
      <c r="B136" s="226" t="str">
        <f>IFERROR(IF(Base_de_donnée_clients!B136="","",Base_de_donnée_clients!B136),"")</f>
        <v/>
      </c>
      <c r="C136" s="226" t="str">
        <f>IFERROR(IF(Base_de_donnée_clients!C136="","",Base_de_donnée_clients!C136),"")</f>
        <v/>
      </c>
      <c r="D136" s="238" t="str">
        <f>IFERROR(IF(OR(Synthese_Programme!M136="Réservé",Synthese_Programme!M136="Acté",Synthese_Programme!M136="réservé",Synthese_Programme!M136="acté"),Synthese_Programme!K136,""),"")</f>
        <v/>
      </c>
      <c r="E136" s="239" t="str">
        <f>IFERROR(IF(OR(Synthese_Programme!M136="Réservé",Synthese_Programme!M136="Acté",Synthese_Programme!M136="réservé",Synthese_Programme!M136="acté"),$D136*Parametres!E2,""),"")</f>
        <v/>
      </c>
      <c r="F136" s="240" t="str">
        <f>IFERROR(IF(Base_de_donnée_clients!J136="","",Base_de_donnée_clients!J136),"")</f>
        <v/>
      </c>
      <c r="G136" s="239" t="str">
        <f>IF($C136="","",IF(AND(Parametres!F3&lt;&gt;"",Synthese_Programme!M136="Acté"),$D136*Parametres!E3,""))</f>
        <v/>
      </c>
      <c r="H136" s="240"/>
      <c r="I136" s="239" t="str">
        <f>IF($C136="","",IF(AND(Parametres!F4&lt;&gt;"",Synthese_Programme!M136="Acté"),$D136*Parametres!E4,""))</f>
        <v/>
      </c>
      <c r="J136" s="240"/>
      <c r="K136" s="239" t="str">
        <f>IF($C136="","",IF(AND(Parametres!F5&lt;&gt;"",Synthese_Programme!M136="Acté"),$D136*Parametres!E5,""))</f>
        <v/>
      </c>
      <c r="L136" s="240"/>
      <c r="M136" s="239" t="str">
        <f>IF($C136="","",IF(AND(Parametres!F6&lt;&gt;"",Synthese_Programme!M136="Acté"),$D136*Parametres!E6,""))</f>
        <v/>
      </c>
      <c r="N136" s="240"/>
      <c r="O136" s="239" t="str">
        <f>IF($C136="","",IF(AND(Parametres!F7&lt;&gt;"",Synthese_Programme!M136="Acté"),$D136*Parametres!E7,""))</f>
        <v/>
      </c>
      <c r="P136" s="240"/>
      <c r="Q136" s="238" t="str">
        <f t="shared" si="6"/>
        <v/>
      </c>
      <c r="R136" s="238" t="str">
        <f t="shared" si="7"/>
        <v/>
      </c>
      <c r="S136" s="238" t="str">
        <f t="shared" si="8"/>
        <v/>
      </c>
    </row>
    <row r="137" spans="1:19" ht="24" customHeight="1" x14ac:dyDescent="0.45">
      <c r="A137" s="237" t="str">
        <f>IFERROR(IF(Base_de_donnée_clients!A137="","",Base_de_donnée_clients!A137),"")</f>
        <v/>
      </c>
      <c r="B137" s="226" t="str">
        <f>IFERROR(IF(Base_de_donnée_clients!B137="","",Base_de_donnée_clients!B137),"")</f>
        <v/>
      </c>
      <c r="C137" s="226" t="str">
        <f>IFERROR(IF(Base_de_donnée_clients!C137="","",Base_de_donnée_clients!C137),"")</f>
        <v/>
      </c>
      <c r="D137" s="238" t="str">
        <f>IFERROR(IF(OR(Synthese_Programme!M137="Réservé",Synthese_Programme!M137="Acté",Synthese_Programme!M137="réservé",Synthese_Programme!M137="acté"),Synthese_Programme!K137,""),"")</f>
        <v/>
      </c>
      <c r="E137" s="239" t="str">
        <f>IFERROR(IF(OR(Synthese_Programme!M137="Réservé",Synthese_Programme!M137="Acté",Synthese_Programme!M137="réservé",Synthese_Programme!M137="acté"),$D137*Parametres!E2,""),"")</f>
        <v/>
      </c>
      <c r="F137" s="240" t="str">
        <f>IFERROR(IF(Base_de_donnée_clients!J137="","",Base_de_donnée_clients!J137),"")</f>
        <v/>
      </c>
      <c r="G137" s="239" t="str">
        <f>IF($C137="","",IF(AND(Parametres!F3&lt;&gt;"",Synthese_Programme!M137="Acté"),$D137*Parametres!E3,""))</f>
        <v/>
      </c>
      <c r="H137" s="240"/>
      <c r="I137" s="239" t="str">
        <f>IF($C137="","",IF(AND(Parametres!F4&lt;&gt;"",Synthese_Programme!M137="Acté"),$D137*Parametres!E4,""))</f>
        <v/>
      </c>
      <c r="J137" s="240"/>
      <c r="K137" s="239" t="str">
        <f>IF($C137="","",IF(AND(Parametres!F5&lt;&gt;"",Synthese_Programme!M137="Acté"),$D137*Parametres!E5,""))</f>
        <v/>
      </c>
      <c r="L137" s="240"/>
      <c r="M137" s="239" t="str">
        <f>IF($C137="","",IF(AND(Parametres!F6&lt;&gt;"",Synthese_Programme!M137="Acté"),$D137*Parametres!E6,""))</f>
        <v/>
      </c>
      <c r="N137" s="240"/>
      <c r="O137" s="239" t="str">
        <f>IF($C137="","",IF(AND(Parametres!F7&lt;&gt;"",Synthese_Programme!M137="Acté"),$D137*Parametres!E7,""))</f>
        <v/>
      </c>
      <c r="P137" s="240"/>
      <c r="Q137" s="238" t="str">
        <f t="shared" si="6"/>
        <v/>
      </c>
      <c r="R137" s="238" t="str">
        <f t="shared" si="7"/>
        <v/>
      </c>
      <c r="S137" s="238" t="str">
        <f t="shared" si="8"/>
        <v/>
      </c>
    </row>
    <row r="138" spans="1:19" ht="24" customHeight="1" x14ac:dyDescent="0.45">
      <c r="A138" s="237" t="str">
        <f>IFERROR(IF(Base_de_donnée_clients!A138="","",Base_de_donnée_clients!A138),"")</f>
        <v/>
      </c>
      <c r="B138" s="226" t="str">
        <f>IFERROR(IF(Base_de_donnée_clients!B138="","",Base_de_donnée_clients!B138),"")</f>
        <v/>
      </c>
      <c r="C138" s="226" t="str">
        <f>IFERROR(IF(Base_de_donnée_clients!C138="","",Base_de_donnée_clients!C138),"")</f>
        <v/>
      </c>
      <c r="D138" s="238" t="str">
        <f>IFERROR(IF(OR(Synthese_Programme!M138="Réservé",Synthese_Programme!M138="Acté",Synthese_Programme!M138="réservé",Synthese_Programme!M138="acté"),Synthese_Programme!K138,""),"")</f>
        <v/>
      </c>
      <c r="E138" s="239" t="str">
        <f>IFERROR(IF(OR(Synthese_Programme!M138="Réservé",Synthese_Programme!M138="Acté",Synthese_Programme!M138="réservé",Synthese_Programme!M138="acté"),$D138*Parametres!E2,""),"")</f>
        <v/>
      </c>
      <c r="F138" s="240" t="str">
        <f>IFERROR(IF(Base_de_donnée_clients!J138="","",Base_de_donnée_clients!J138),"")</f>
        <v/>
      </c>
      <c r="G138" s="239" t="str">
        <f>IF($C138="","",IF(AND(Parametres!F3&lt;&gt;"",Synthese_Programme!M138="Acté"),$D138*Parametres!E3,""))</f>
        <v/>
      </c>
      <c r="H138" s="240"/>
      <c r="I138" s="239" t="str">
        <f>IF($C138="","",IF(AND(Parametres!F4&lt;&gt;"",Synthese_Programme!M138="Acté"),$D138*Parametres!E4,""))</f>
        <v/>
      </c>
      <c r="J138" s="240"/>
      <c r="K138" s="239" t="str">
        <f>IF($C138="","",IF(AND(Parametres!F5&lt;&gt;"",Synthese_Programme!M138="Acté"),$D138*Parametres!E5,""))</f>
        <v/>
      </c>
      <c r="L138" s="240"/>
      <c r="M138" s="239" t="str">
        <f>IF($C138="","",IF(AND(Parametres!F6&lt;&gt;"",Synthese_Programme!M138="Acté"),$D138*Parametres!E6,""))</f>
        <v/>
      </c>
      <c r="N138" s="240"/>
      <c r="O138" s="239" t="str">
        <f>IF($C138="","",IF(AND(Parametres!F7&lt;&gt;"",Synthese_Programme!M138="Acté"),$D138*Parametres!E7,""))</f>
        <v/>
      </c>
      <c r="P138" s="240"/>
      <c r="Q138" s="238" t="str">
        <f t="shared" si="6"/>
        <v/>
      </c>
      <c r="R138" s="238" t="str">
        <f t="shared" si="7"/>
        <v/>
      </c>
      <c r="S138" s="238" t="str">
        <f t="shared" si="8"/>
        <v/>
      </c>
    </row>
    <row r="139" spans="1:19" ht="24" customHeight="1" x14ac:dyDescent="0.45">
      <c r="A139" s="237" t="str">
        <f>IFERROR(IF(Base_de_donnée_clients!A139="","",Base_de_donnée_clients!A139),"")</f>
        <v/>
      </c>
      <c r="B139" s="226" t="str">
        <f>IFERROR(IF(Base_de_donnée_clients!B139="","",Base_de_donnée_clients!B139),"")</f>
        <v/>
      </c>
      <c r="C139" s="226" t="str">
        <f>IFERROR(IF(Base_de_donnée_clients!C139="","",Base_de_donnée_clients!C139),"")</f>
        <v/>
      </c>
      <c r="D139" s="238" t="str">
        <f>IFERROR(IF(OR(Synthese_Programme!M139="Réservé",Synthese_Programme!M139="Acté",Synthese_Programme!M139="réservé",Synthese_Programme!M139="acté"),Synthese_Programme!K139,""),"")</f>
        <v/>
      </c>
      <c r="E139" s="239" t="str">
        <f>IFERROR(IF(OR(Synthese_Programme!M139="Réservé",Synthese_Programme!M139="Acté",Synthese_Programme!M139="réservé",Synthese_Programme!M139="acté"),$D139*Parametres!E2,""),"")</f>
        <v/>
      </c>
      <c r="F139" s="240" t="str">
        <f>IFERROR(IF(Base_de_donnée_clients!J139="","",Base_de_donnée_clients!J139),"")</f>
        <v/>
      </c>
      <c r="G139" s="239" t="str">
        <f>IF($C139="","",IF(AND(Parametres!F3&lt;&gt;"",Synthese_Programme!M139="Acté"),$D139*Parametres!E3,""))</f>
        <v/>
      </c>
      <c r="H139" s="240"/>
      <c r="I139" s="239" t="str">
        <f>IF($C139="","",IF(AND(Parametres!F4&lt;&gt;"",Synthese_Programme!M139="Acté"),$D139*Parametres!E4,""))</f>
        <v/>
      </c>
      <c r="J139" s="240"/>
      <c r="K139" s="239" t="str">
        <f>IF($C139="","",IF(AND(Parametres!F5&lt;&gt;"",Synthese_Programme!M139="Acté"),$D139*Parametres!E5,""))</f>
        <v/>
      </c>
      <c r="L139" s="240"/>
      <c r="M139" s="239" t="str">
        <f>IF($C139="","",IF(AND(Parametres!F6&lt;&gt;"",Synthese_Programme!M139="Acté"),$D139*Parametres!E6,""))</f>
        <v/>
      </c>
      <c r="N139" s="240"/>
      <c r="O139" s="239" t="str">
        <f>IF($C139="","",IF(AND(Parametres!F7&lt;&gt;"",Synthese_Programme!M139="Acté"),$D139*Parametres!E7,""))</f>
        <v/>
      </c>
      <c r="P139" s="240"/>
      <c r="Q139" s="238" t="str">
        <f t="shared" si="6"/>
        <v/>
      </c>
      <c r="R139" s="238" t="str">
        <f t="shared" si="7"/>
        <v/>
      </c>
      <c r="S139" s="238" t="str">
        <f t="shared" si="8"/>
        <v/>
      </c>
    </row>
    <row r="140" spans="1:19" ht="24" customHeight="1" x14ac:dyDescent="0.45">
      <c r="A140" s="237" t="str">
        <f>IFERROR(IF(Base_de_donnée_clients!A140="","",Base_de_donnée_clients!A140),"")</f>
        <v/>
      </c>
      <c r="B140" s="226" t="str">
        <f>IFERROR(IF(Base_de_donnée_clients!B140="","",Base_de_donnée_clients!B140),"")</f>
        <v/>
      </c>
      <c r="C140" s="226" t="str">
        <f>IFERROR(IF(Base_de_donnée_clients!C140="","",Base_de_donnée_clients!C140),"")</f>
        <v/>
      </c>
      <c r="D140" s="238" t="str">
        <f>IFERROR(IF(OR(Synthese_Programme!M140="Réservé",Synthese_Programme!M140="Acté",Synthese_Programme!M140="réservé",Synthese_Programme!M140="acté"),Synthese_Programme!K140,""),"")</f>
        <v/>
      </c>
      <c r="E140" s="239" t="str">
        <f>IFERROR(IF(OR(Synthese_Programme!M140="Réservé",Synthese_Programme!M140="Acté",Synthese_Programme!M140="réservé",Synthese_Programme!M140="acté"),$D140*Parametres!E2,""),"")</f>
        <v/>
      </c>
      <c r="F140" s="240" t="str">
        <f>IFERROR(IF(Base_de_donnée_clients!J140="","",Base_de_donnée_clients!J140),"")</f>
        <v/>
      </c>
      <c r="G140" s="239" t="str">
        <f>IF($C140="","",IF(AND(Parametres!F3&lt;&gt;"",Synthese_Programme!M140="Acté"),$D140*Parametres!E3,""))</f>
        <v/>
      </c>
      <c r="H140" s="240"/>
      <c r="I140" s="239" t="str">
        <f>IF($C140="","",IF(AND(Parametres!F4&lt;&gt;"",Synthese_Programme!M140="Acté"),$D140*Parametres!E4,""))</f>
        <v/>
      </c>
      <c r="J140" s="240"/>
      <c r="K140" s="239" t="str">
        <f>IF($C140="","",IF(AND(Parametres!F5&lt;&gt;"",Synthese_Programme!M140="Acté"),$D140*Parametres!E5,""))</f>
        <v/>
      </c>
      <c r="L140" s="240"/>
      <c r="M140" s="239" t="str">
        <f>IF($C140="","",IF(AND(Parametres!F6&lt;&gt;"",Synthese_Programme!M140="Acté"),$D140*Parametres!E6,""))</f>
        <v/>
      </c>
      <c r="N140" s="240"/>
      <c r="O140" s="239" t="str">
        <f>IF($C140="","",IF(AND(Parametres!F7&lt;&gt;"",Synthese_Programme!M140="Acté"),$D140*Parametres!E7,""))</f>
        <v/>
      </c>
      <c r="P140" s="240"/>
      <c r="Q140" s="238" t="str">
        <f t="shared" si="6"/>
        <v/>
      </c>
      <c r="R140" s="238" t="str">
        <f t="shared" si="7"/>
        <v/>
      </c>
      <c r="S140" s="238" t="str">
        <f t="shared" si="8"/>
        <v/>
      </c>
    </row>
    <row r="141" spans="1:19" ht="24" customHeight="1" x14ac:dyDescent="0.45">
      <c r="A141" s="237" t="str">
        <f>IFERROR(IF(Base_de_donnée_clients!A141="","",Base_de_donnée_clients!A141),"")</f>
        <v/>
      </c>
      <c r="B141" s="226" t="str">
        <f>IFERROR(IF(Base_de_donnée_clients!B141="","",Base_de_donnée_clients!B141),"")</f>
        <v/>
      </c>
      <c r="C141" s="226" t="str">
        <f>IFERROR(IF(Base_de_donnée_clients!C141="","",Base_de_donnée_clients!C141),"")</f>
        <v/>
      </c>
      <c r="D141" s="238" t="str">
        <f>IFERROR(IF(OR(Synthese_Programme!M141="Réservé",Synthese_Programme!M141="Acté",Synthese_Programme!M141="réservé",Synthese_Programme!M141="acté"),Synthese_Programme!K141,""),"")</f>
        <v/>
      </c>
      <c r="E141" s="239" t="str">
        <f>IFERROR(IF(OR(Synthese_Programme!M141="Réservé",Synthese_Programme!M141="Acté",Synthese_Programme!M141="réservé",Synthese_Programme!M141="acté"),$D141*Parametres!E2,""),"")</f>
        <v/>
      </c>
      <c r="F141" s="240" t="str">
        <f>IFERROR(IF(Base_de_donnée_clients!J141="","",Base_de_donnée_clients!J141),"")</f>
        <v/>
      </c>
      <c r="G141" s="239" t="str">
        <f>IF($C141="","",IF(AND(Parametres!F3&lt;&gt;"",Synthese_Programme!M141="Acté"),$D141*Parametres!E3,""))</f>
        <v/>
      </c>
      <c r="H141" s="240"/>
      <c r="I141" s="239" t="str">
        <f>IF($C141="","",IF(AND(Parametres!F4&lt;&gt;"",Synthese_Programme!M141="Acté"),$D141*Parametres!E4,""))</f>
        <v/>
      </c>
      <c r="J141" s="240"/>
      <c r="K141" s="239" t="str">
        <f>IF($C141="","",IF(AND(Parametres!F5&lt;&gt;"",Synthese_Programme!M141="Acté"),$D141*Parametres!E5,""))</f>
        <v/>
      </c>
      <c r="L141" s="240"/>
      <c r="M141" s="239" t="str">
        <f>IF($C141="","",IF(AND(Parametres!F6&lt;&gt;"",Synthese_Programme!M141="Acté"),$D141*Parametres!E6,""))</f>
        <v/>
      </c>
      <c r="N141" s="240"/>
      <c r="O141" s="239" t="str">
        <f>IF($C141="","",IF(AND(Parametres!F7&lt;&gt;"",Synthese_Programme!M141="Acté"),$D141*Parametres!E7,""))</f>
        <v/>
      </c>
      <c r="P141" s="240"/>
      <c r="Q141" s="238" t="str">
        <f t="shared" si="6"/>
        <v/>
      </c>
      <c r="R141" s="238" t="str">
        <f t="shared" si="7"/>
        <v/>
      </c>
      <c r="S141" s="238" t="str">
        <f t="shared" si="8"/>
        <v/>
      </c>
    </row>
    <row r="142" spans="1:19" ht="24" customHeight="1" x14ac:dyDescent="0.45">
      <c r="A142" s="237" t="str">
        <f>IFERROR(IF(Base_de_donnée_clients!A142="","",Base_de_donnée_clients!A142),"")</f>
        <v/>
      </c>
      <c r="B142" s="226" t="str">
        <f>IFERROR(IF(Base_de_donnée_clients!B142="","",Base_de_donnée_clients!B142),"")</f>
        <v/>
      </c>
      <c r="C142" s="226" t="str">
        <f>IFERROR(IF(Base_de_donnée_clients!C142="","",Base_de_donnée_clients!C142),"")</f>
        <v/>
      </c>
      <c r="D142" s="238" t="str">
        <f>IFERROR(IF(OR(Synthese_Programme!M142="Réservé",Synthese_Programme!M142="Acté",Synthese_Programme!M142="réservé",Synthese_Programme!M142="acté"),Synthese_Programme!K142,""),"")</f>
        <v/>
      </c>
      <c r="E142" s="239" t="str">
        <f>IFERROR(IF(OR(Synthese_Programme!M142="Réservé",Synthese_Programme!M142="Acté",Synthese_Programme!M142="réservé",Synthese_Programme!M142="acté"),$D142*Parametres!E2,""),"")</f>
        <v/>
      </c>
      <c r="F142" s="240" t="str">
        <f>IFERROR(IF(Base_de_donnée_clients!J142="","",Base_de_donnée_clients!J142),"")</f>
        <v/>
      </c>
      <c r="G142" s="239" t="str">
        <f>IF($C142="","",IF(AND(Parametres!F3&lt;&gt;"",Synthese_Programme!M142="Acté"),$D142*Parametres!E3,""))</f>
        <v/>
      </c>
      <c r="H142" s="240"/>
      <c r="I142" s="239" t="str">
        <f>IF($C142="","",IF(AND(Parametres!F4&lt;&gt;"",Synthese_Programme!M142="Acté"),$D142*Parametres!E4,""))</f>
        <v/>
      </c>
      <c r="J142" s="240"/>
      <c r="K142" s="239" t="str">
        <f>IF($C142="","",IF(AND(Parametres!F5&lt;&gt;"",Synthese_Programme!M142="Acté"),$D142*Parametres!E5,""))</f>
        <v/>
      </c>
      <c r="L142" s="240"/>
      <c r="M142" s="239" t="str">
        <f>IF($C142="","",IF(AND(Parametres!F6&lt;&gt;"",Synthese_Programme!M142="Acté"),$D142*Parametres!E6,""))</f>
        <v/>
      </c>
      <c r="N142" s="240"/>
      <c r="O142" s="239" t="str">
        <f>IF($C142="","",IF(AND(Parametres!F7&lt;&gt;"",Synthese_Programme!M142="Acté"),$D142*Parametres!E7,""))</f>
        <v/>
      </c>
      <c r="P142" s="240"/>
      <c r="Q142" s="238" t="str">
        <f t="shared" si="6"/>
        <v/>
      </c>
      <c r="R142" s="238" t="str">
        <f t="shared" si="7"/>
        <v/>
      </c>
      <c r="S142" s="238" t="str">
        <f t="shared" si="8"/>
        <v/>
      </c>
    </row>
    <row r="143" spans="1:19" ht="24" customHeight="1" x14ac:dyDescent="0.45">
      <c r="A143" s="237" t="str">
        <f>IFERROR(IF(Base_de_donnée_clients!A143="","",Base_de_donnée_clients!A143),"")</f>
        <v/>
      </c>
      <c r="B143" s="226" t="str">
        <f>IFERROR(IF(Base_de_donnée_clients!B143="","",Base_de_donnée_clients!B143),"")</f>
        <v/>
      </c>
      <c r="C143" s="226" t="str">
        <f>IFERROR(IF(Base_de_donnée_clients!C143="","",Base_de_donnée_clients!C143),"")</f>
        <v/>
      </c>
      <c r="D143" s="238" t="str">
        <f>IFERROR(IF(OR(Synthese_Programme!M143="Réservé",Synthese_Programme!M143="Acté",Synthese_Programme!M143="réservé",Synthese_Programme!M143="acté"),Synthese_Programme!K143,""),"")</f>
        <v/>
      </c>
      <c r="E143" s="239" t="str">
        <f>IFERROR(IF(OR(Synthese_Programme!M143="Réservé",Synthese_Programme!M143="Acté",Synthese_Programme!M143="réservé",Synthese_Programme!M143="acté"),$D143*Parametres!E2,""),"")</f>
        <v/>
      </c>
      <c r="F143" s="240" t="str">
        <f>IFERROR(IF(Base_de_donnée_clients!J143="","",Base_de_donnée_clients!J143),"")</f>
        <v/>
      </c>
      <c r="G143" s="239" t="str">
        <f>IF($C143="","",IF(AND(Parametres!F3&lt;&gt;"",Synthese_Programme!M143="Acté"),$D143*Parametres!E3,""))</f>
        <v/>
      </c>
      <c r="H143" s="240"/>
      <c r="I143" s="239" t="str">
        <f>IF($C143="","",IF(AND(Parametres!F4&lt;&gt;"",Synthese_Programme!M143="Acté"),$D143*Parametres!E4,""))</f>
        <v/>
      </c>
      <c r="J143" s="240"/>
      <c r="K143" s="239" t="str">
        <f>IF($C143="","",IF(AND(Parametres!F5&lt;&gt;"",Synthese_Programme!M143="Acté"),$D143*Parametres!E5,""))</f>
        <v/>
      </c>
      <c r="L143" s="240"/>
      <c r="M143" s="239" t="str">
        <f>IF($C143="","",IF(AND(Parametres!F6&lt;&gt;"",Synthese_Programme!M143="Acté"),$D143*Parametres!E6,""))</f>
        <v/>
      </c>
      <c r="N143" s="240"/>
      <c r="O143" s="239" t="str">
        <f>IF($C143="","",IF(AND(Parametres!F7&lt;&gt;"",Synthese_Programme!M143="Acté"),$D143*Parametres!E7,""))</f>
        <v/>
      </c>
      <c r="P143" s="240"/>
      <c r="Q143" s="238" t="str">
        <f t="shared" si="6"/>
        <v/>
      </c>
      <c r="R143" s="238" t="str">
        <f t="shared" si="7"/>
        <v/>
      </c>
      <c r="S143" s="238" t="str">
        <f t="shared" si="8"/>
        <v/>
      </c>
    </row>
    <row r="144" spans="1:19" ht="24" customHeight="1" x14ac:dyDescent="0.45">
      <c r="A144" s="237" t="str">
        <f>IFERROR(IF(Base_de_donnée_clients!A144="","",Base_de_donnée_clients!A144),"")</f>
        <v/>
      </c>
      <c r="B144" s="226" t="str">
        <f>IFERROR(IF(Base_de_donnée_clients!B144="","",Base_de_donnée_clients!B144),"")</f>
        <v/>
      </c>
      <c r="C144" s="226" t="str">
        <f>IFERROR(IF(Base_de_donnée_clients!C144="","",Base_de_donnée_clients!C144),"")</f>
        <v/>
      </c>
      <c r="D144" s="238" t="str">
        <f>IFERROR(IF(OR(Synthese_Programme!M144="Réservé",Synthese_Programme!M144="Acté",Synthese_Programme!M144="réservé",Synthese_Programme!M144="acté"),Synthese_Programme!K144,""),"")</f>
        <v/>
      </c>
      <c r="E144" s="239" t="str">
        <f>IFERROR(IF(OR(Synthese_Programme!M144="Réservé",Synthese_Programme!M144="Acté",Synthese_Programme!M144="réservé",Synthese_Programme!M144="acté"),$D144*Parametres!E2,""),"")</f>
        <v/>
      </c>
      <c r="F144" s="240" t="str">
        <f>IFERROR(IF(Base_de_donnée_clients!J144="","",Base_de_donnée_clients!J144),"")</f>
        <v/>
      </c>
      <c r="G144" s="239" t="str">
        <f>IF($C144="","",IF(AND(Parametres!F3&lt;&gt;"",Synthese_Programme!M144="Acté"),$D144*Parametres!E3,""))</f>
        <v/>
      </c>
      <c r="H144" s="240"/>
      <c r="I144" s="239" t="str">
        <f>IF($C144="","",IF(AND(Parametres!F4&lt;&gt;"",Synthese_Programme!M144="Acté"),$D144*Parametres!E4,""))</f>
        <v/>
      </c>
      <c r="J144" s="240"/>
      <c r="K144" s="239" t="str">
        <f>IF($C144="","",IF(AND(Parametres!F5&lt;&gt;"",Synthese_Programme!M144="Acté"),$D144*Parametres!E5,""))</f>
        <v/>
      </c>
      <c r="L144" s="240"/>
      <c r="M144" s="239" t="str">
        <f>IF($C144="","",IF(AND(Parametres!F6&lt;&gt;"",Synthese_Programme!M144="Acté"),$D144*Parametres!E6,""))</f>
        <v/>
      </c>
      <c r="N144" s="240"/>
      <c r="O144" s="239" t="str">
        <f>IF($C144="","",IF(AND(Parametres!F7&lt;&gt;"",Synthese_Programme!M144="Acté"),$D144*Parametres!E7,""))</f>
        <v/>
      </c>
      <c r="P144" s="240"/>
      <c r="Q144" s="238" t="str">
        <f t="shared" si="6"/>
        <v/>
      </c>
      <c r="R144" s="238" t="str">
        <f t="shared" si="7"/>
        <v/>
      </c>
      <c r="S144" s="238" t="str">
        <f t="shared" si="8"/>
        <v/>
      </c>
    </row>
    <row r="145" spans="1:19" ht="24" customHeight="1" x14ac:dyDescent="0.45">
      <c r="A145" s="237" t="str">
        <f>IFERROR(IF(Base_de_donnée_clients!A145="","",Base_de_donnée_clients!A145),"")</f>
        <v/>
      </c>
      <c r="B145" s="226" t="str">
        <f>IFERROR(IF(Base_de_donnée_clients!B145="","",Base_de_donnée_clients!B145),"")</f>
        <v/>
      </c>
      <c r="C145" s="226" t="str">
        <f>IFERROR(IF(Base_de_donnée_clients!C145="","",Base_de_donnée_clients!C145),"")</f>
        <v/>
      </c>
      <c r="D145" s="238" t="str">
        <f>IFERROR(IF(OR(Synthese_Programme!M145="Réservé",Synthese_Programme!M145="Acté",Synthese_Programme!M145="réservé",Synthese_Programme!M145="acté"),Synthese_Programme!K145,""),"")</f>
        <v/>
      </c>
      <c r="E145" s="239" t="str">
        <f>IFERROR(IF(OR(Synthese_Programme!M145="Réservé",Synthese_Programme!M145="Acté",Synthese_Programme!M145="réservé",Synthese_Programme!M145="acté"),$D145*Parametres!E2,""),"")</f>
        <v/>
      </c>
      <c r="F145" s="240" t="str">
        <f>IFERROR(IF(Base_de_donnée_clients!J145="","",Base_de_donnée_clients!J145),"")</f>
        <v/>
      </c>
      <c r="G145" s="239" t="str">
        <f>IF($C145="","",IF(AND(Parametres!F3&lt;&gt;"",Synthese_Programme!M145="Acté"),$D145*Parametres!E3,""))</f>
        <v/>
      </c>
      <c r="H145" s="240"/>
      <c r="I145" s="239" t="str">
        <f>IF($C145="","",IF(AND(Parametres!F4&lt;&gt;"",Synthese_Programme!M145="Acté"),$D145*Parametres!E4,""))</f>
        <v/>
      </c>
      <c r="J145" s="240"/>
      <c r="K145" s="239" t="str">
        <f>IF($C145="","",IF(AND(Parametres!F5&lt;&gt;"",Synthese_Programme!M145="Acté"),$D145*Parametres!E5,""))</f>
        <v/>
      </c>
      <c r="L145" s="240"/>
      <c r="M145" s="239" t="str">
        <f>IF($C145="","",IF(AND(Parametres!F6&lt;&gt;"",Synthese_Programme!M145="Acté"),$D145*Parametres!E6,""))</f>
        <v/>
      </c>
      <c r="N145" s="240"/>
      <c r="O145" s="239" t="str">
        <f>IF($C145="","",IF(AND(Parametres!F7&lt;&gt;"",Synthese_Programme!M145="Acté"),$D145*Parametres!E7,""))</f>
        <v/>
      </c>
      <c r="P145" s="240"/>
      <c r="Q145" s="238" t="str">
        <f t="shared" si="6"/>
        <v/>
      </c>
      <c r="R145" s="238" t="str">
        <f t="shared" si="7"/>
        <v/>
      </c>
      <c r="S145" s="238" t="str">
        <f t="shared" si="8"/>
        <v/>
      </c>
    </row>
    <row r="146" spans="1:19" ht="24" customHeight="1" x14ac:dyDescent="0.45">
      <c r="A146" s="237" t="str">
        <f>IFERROR(IF(Base_de_donnée_clients!A146="","",Base_de_donnée_clients!A146),"")</f>
        <v/>
      </c>
      <c r="B146" s="226" t="str">
        <f>IFERROR(IF(Base_de_donnée_clients!B146="","",Base_de_donnée_clients!B146),"")</f>
        <v/>
      </c>
      <c r="C146" s="226" t="str">
        <f>IFERROR(IF(Base_de_donnée_clients!C146="","",Base_de_donnée_clients!C146),"")</f>
        <v/>
      </c>
      <c r="D146" s="238" t="str">
        <f>IFERROR(IF(OR(Synthese_Programme!M146="Réservé",Synthese_Programme!M146="Acté",Synthese_Programme!M146="réservé",Synthese_Programme!M146="acté"),Synthese_Programme!K146,""),"")</f>
        <v/>
      </c>
      <c r="E146" s="239" t="str">
        <f>IFERROR(IF(OR(Synthese_Programme!M146="Réservé",Synthese_Programme!M146="Acté",Synthese_Programme!M146="réservé",Synthese_Programme!M146="acté"),$D146*Parametres!E2,""),"")</f>
        <v/>
      </c>
      <c r="F146" s="240" t="str">
        <f>IFERROR(IF(Base_de_donnée_clients!J146="","",Base_de_donnée_clients!J146),"")</f>
        <v/>
      </c>
      <c r="G146" s="239" t="str">
        <f>IF($C146="","",IF(AND(Parametres!F3&lt;&gt;"",Synthese_Programme!M146="Acté"),$D146*Parametres!E3,""))</f>
        <v/>
      </c>
      <c r="H146" s="240"/>
      <c r="I146" s="239" t="str">
        <f>IF($C146="","",IF(AND(Parametres!F4&lt;&gt;"",Synthese_Programme!M146="Acté"),$D146*Parametres!E4,""))</f>
        <v/>
      </c>
      <c r="J146" s="240"/>
      <c r="K146" s="239" t="str">
        <f>IF($C146="","",IF(AND(Parametres!F5&lt;&gt;"",Synthese_Programme!M146="Acté"),$D146*Parametres!E5,""))</f>
        <v/>
      </c>
      <c r="L146" s="240"/>
      <c r="M146" s="239" t="str">
        <f>IF($C146="","",IF(AND(Parametres!F6&lt;&gt;"",Synthese_Programme!M146="Acté"),$D146*Parametres!E6,""))</f>
        <v/>
      </c>
      <c r="N146" s="240"/>
      <c r="O146" s="239" t="str">
        <f>IF($C146="","",IF(AND(Parametres!F7&lt;&gt;"",Synthese_Programme!M146="Acté"),$D146*Parametres!E7,""))</f>
        <v/>
      </c>
      <c r="P146" s="240"/>
      <c r="Q146" s="238" t="str">
        <f t="shared" si="6"/>
        <v/>
      </c>
      <c r="R146" s="238" t="str">
        <f t="shared" si="7"/>
        <v/>
      </c>
      <c r="S146" s="238" t="str">
        <f t="shared" si="8"/>
        <v/>
      </c>
    </row>
    <row r="147" spans="1:19" ht="24" customHeight="1" x14ac:dyDescent="0.45">
      <c r="A147" s="237" t="str">
        <f>IFERROR(IF(Base_de_donnée_clients!A147="","",Base_de_donnée_clients!A147),"")</f>
        <v/>
      </c>
      <c r="B147" s="226" t="str">
        <f>IFERROR(IF(Base_de_donnée_clients!B147="","",Base_de_donnée_clients!B147),"")</f>
        <v/>
      </c>
      <c r="C147" s="226" t="str">
        <f>IFERROR(IF(Base_de_donnée_clients!C147="","",Base_de_donnée_clients!C147),"")</f>
        <v/>
      </c>
      <c r="D147" s="238" t="str">
        <f>IFERROR(IF(OR(Synthese_Programme!M147="Réservé",Synthese_Programme!M147="Acté",Synthese_Programme!M147="réservé",Synthese_Programme!M147="acté"),Synthese_Programme!K147,""),"")</f>
        <v/>
      </c>
      <c r="E147" s="239" t="str">
        <f>IFERROR(IF(OR(Synthese_Programme!M147="Réservé",Synthese_Programme!M147="Acté",Synthese_Programme!M147="réservé",Synthese_Programme!M147="acté"),$D147*Parametres!E2,""),"")</f>
        <v/>
      </c>
      <c r="F147" s="240" t="str">
        <f>IFERROR(IF(Base_de_donnée_clients!J147="","",Base_de_donnée_clients!J147),"")</f>
        <v/>
      </c>
      <c r="G147" s="239" t="str">
        <f>IF($C147="","",IF(AND(Parametres!F3&lt;&gt;"",Synthese_Programme!M147="Acté"),$D147*Parametres!E3,""))</f>
        <v/>
      </c>
      <c r="H147" s="240"/>
      <c r="I147" s="239" t="str">
        <f>IF($C147="","",IF(AND(Parametres!F4&lt;&gt;"",Synthese_Programme!M147="Acté"),$D147*Parametres!E4,""))</f>
        <v/>
      </c>
      <c r="J147" s="240"/>
      <c r="K147" s="239" t="str">
        <f>IF($C147="","",IF(AND(Parametres!F5&lt;&gt;"",Synthese_Programme!M147="Acté"),$D147*Parametres!E5,""))</f>
        <v/>
      </c>
      <c r="L147" s="240"/>
      <c r="M147" s="239" t="str">
        <f>IF($C147="","",IF(AND(Parametres!F6&lt;&gt;"",Synthese_Programme!M147="Acté"),$D147*Parametres!E6,""))</f>
        <v/>
      </c>
      <c r="N147" s="240"/>
      <c r="O147" s="239" t="str">
        <f>IF($C147="","",IF(AND(Parametres!F7&lt;&gt;"",Synthese_Programme!M147="Acté"),$D147*Parametres!E7,""))</f>
        <v/>
      </c>
      <c r="P147" s="240"/>
      <c r="Q147" s="238" t="str">
        <f t="shared" si="6"/>
        <v/>
      </c>
      <c r="R147" s="238" t="str">
        <f t="shared" si="7"/>
        <v/>
      </c>
      <c r="S147" s="238" t="str">
        <f t="shared" si="8"/>
        <v/>
      </c>
    </row>
    <row r="148" spans="1:19" ht="24" customHeight="1" x14ac:dyDescent="0.45">
      <c r="A148" s="237" t="str">
        <f>IFERROR(IF(Base_de_donnée_clients!A148="","",Base_de_donnée_clients!A148),"")</f>
        <v/>
      </c>
      <c r="B148" s="226" t="str">
        <f>IFERROR(IF(Base_de_donnée_clients!B148="","",Base_de_donnée_clients!B148),"")</f>
        <v/>
      </c>
      <c r="C148" s="226" t="str">
        <f>IFERROR(IF(Base_de_donnée_clients!C148="","",Base_de_donnée_clients!C148),"")</f>
        <v/>
      </c>
      <c r="D148" s="238" t="str">
        <f>IFERROR(IF(OR(Synthese_Programme!M148="Réservé",Synthese_Programme!M148="Acté",Synthese_Programme!M148="réservé",Synthese_Programme!M148="acté"),Synthese_Programme!K148,""),"")</f>
        <v/>
      </c>
      <c r="E148" s="239" t="str">
        <f>IFERROR(IF(OR(Synthese_Programme!M148="Réservé",Synthese_Programme!M148="Acté",Synthese_Programme!M148="réservé",Synthese_Programme!M148="acté"),$D148*Parametres!E2,""),"")</f>
        <v/>
      </c>
      <c r="F148" s="240" t="str">
        <f>IFERROR(IF(Base_de_donnée_clients!J148="","",Base_de_donnée_clients!J148),"")</f>
        <v/>
      </c>
      <c r="G148" s="239" t="str">
        <f>IF($C148="","",IF(AND(Parametres!F3&lt;&gt;"",Synthese_Programme!M148="Acté"),$D148*Parametres!E3,""))</f>
        <v/>
      </c>
      <c r="H148" s="240"/>
      <c r="I148" s="239" t="str">
        <f>IF($C148="","",IF(AND(Parametres!F4&lt;&gt;"",Synthese_Programme!M148="Acté"),$D148*Parametres!E4,""))</f>
        <v/>
      </c>
      <c r="J148" s="240"/>
      <c r="K148" s="239" t="str">
        <f>IF($C148="","",IF(AND(Parametres!F5&lt;&gt;"",Synthese_Programme!M148="Acté"),$D148*Parametres!E5,""))</f>
        <v/>
      </c>
      <c r="L148" s="240"/>
      <c r="M148" s="239" t="str">
        <f>IF($C148="","",IF(AND(Parametres!F6&lt;&gt;"",Synthese_Programme!M148="Acté"),$D148*Parametres!E6,""))</f>
        <v/>
      </c>
      <c r="N148" s="240"/>
      <c r="O148" s="239" t="str">
        <f>IF($C148="","",IF(AND(Parametres!F7&lt;&gt;"",Synthese_Programme!M148="Acté"),$D148*Parametres!E7,""))</f>
        <v/>
      </c>
      <c r="P148" s="240"/>
      <c r="Q148" s="238" t="str">
        <f t="shared" si="6"/>
        <v/>
      </c>
      <c r="R148" s="238" t="str">
        <f t="shared" si="7"/>
        <v/>
      </c>
      <c r="S148" s="238" t="str">
        <f t="shared" si="8"/>
        <v/>
      </c>
    </row>
    <row r="149" spans="1:19" ht="24" customHeight="1" x14ac:dyDescent="0.45">
      <c r="A149" s="237" t="str">
        <f>IFERROR(IF(Base_de_donnée_clients!A149="","",Base_de_donnée_clients!A149),"")</f>
        <v/>
      </c>
      <c r="B149" s="226" t="str">
        <f>IFERROR(IF(Base_de_donnée_clients!B149="","",Base_de_donnée_clients!B149),"")</f>
        <v/>
      </c>
      <c r="C149" s="226" t="str">
        <f>IFERROR(IF(Base_de_donnée_clients!C149="","",Base_de_donnée_clients!C149),"")</f>
        <v/>
      </c>
      <c r="D149" s="238" t="str">
        <f>IFERROR(IF(OR(Synthese_Programme!M149="Réservé",Synthese_Programme!M149="Acté",Synthese_Programme!M149="réservé",Synthese_Programme!M149="acté"),Synthese_Programme!K149,""),"")</f>
        <v/>
      </c>
      <c r="E149" s="239" t="str">
        <f>IFERROR(IF(OR(Synthese_Programme!M149="Réservé",Synthese_Programme!M149="Acté",Synthese_Programme!M149="réservé",Synthese_Programme!M149="acté"),$D149*Parametres!E2,""),"")</f>
        <v/>
      </c>
      <c r="F149" s="240" t="str">
        <f>IFERROR(IF(Base_de_donnée_clients!J149="","",Base_de_donnée_clients!J149),"")</f>
        <v/>
      </c>
      <c r="G149" s="239" t="str">
        <f>IF($C149="","",IF(AND(Parametres!F3&lt;&gt;"",Synthese_Programme!M149="Acté"),$D149*Parametres!E3,""))</f>
        <v/>
      </c>
      <c r="H149" s="240"/>
      <c r="I149" s="239" t="str">
        <f>IF($C149="","",IF(AND(Parametres!F4&lt;&gt;"",Synthese_Programme!M149="Acté"),$D149*Parametres!E4,""))</f>
        <v/>
      </c>
      <c r="J149" s="240"/>
      <c r="K149" s="239" t="str">
        <f>IF($C149="","",IF(AND(Parametres!F5&lt;&gt;"",Synthese_Programme!M149="Acté"),$D149*Parametres!E5,""))</f>
        <v/>
      </c>
      <c r="L149" s="240"/>
      <c r="M149" s="239" t="str">
        <f>IF($C149="","",IF(AND(Parametres!F6&lt;&gt;"",Synthese_Programme!M149="Acté"),$D149*Parametres!E6,""))</f>
        <v/>
      </c>
      <c r="N149" s="240"/>
      <c r="O149" s="239" t="str">
        <f>IF($C149="","",IF(AND(Parametres!F7&lt;&gt;"",Synthese_Programme!M149="Acté"),$D149*Parametres!E7,""))</f>
        <v/>
      </c>
      <c r="P149" s="240"/>
      <c r="Q149" s="238" t="str">
        <f t="shared" si="6"/>
        <v/>
      </c>
      <c r="R149" s="238" t="str">
        <f t="shared" si="7"/>
        <v/>
      </c>
      <c r="S149" s="238" t="str">
        <f t="shared" si="8"/>
        <v/>
      </c>
    </row>
    <row r="150" spans="1:19" ht="24" customHeight="1" x14ac:dyDescent="0.45">
      <c r="A150" s="237" t="str">
        <f>IFERROR(IF(Base_de_donnée_clients!A150="","",Base_de_donnée_clients!A150),"")</f>
        <v/>
      </c>
      <c r="B150" s="226" t="str">
        <f>IFERROR(IF(Base_de_donnée_clients!B150="","",Base_de_donnée_clients!B150),"")</f>
        <v/>
      </c>
      <c r="C150" s="226" t="str">
        <f>IFERROR(IF(Base_de_donnée_clients!C150="","",Base_de_donnée_clients!C150),"")</f>
        <v/>
      </c>
      <c r="D150" s="238" t="str">
        <f>IFERROR(IF(OR(Synthese_Programme!M150="Réservé",Synthese_Programme!M150="Acté",Synthese_Programme!M150="réservé",Synthese_Programme!M150="acté"),Synthese_Programme!K150,""),"")</f>
        <v/>
      </c>
      <c r="E150" s="239" t="str">
        <f>IFERROR(IF(OR(Synthese_Programme!M150="Réservé",Synthese_Programme!M150="Acté",Synthese_Programme!M150="réservé",Synthese_Programme!M150="acté"),$D150*Parametres!E2,""),"")</f>
        <v/>
      </c>
      <c r="F150" s="240" t="str">
        <f>IFERROR(IF(Base_de_donnée_clients!J150="","",Base_de_donnée_clients!J150),"")</f>
        <v/>
      </c>
      <c r="G150" s="239" t="str">
        <f>IF($C150="","",IF(AND(Parametres!F3&lt;&gt;"",Synthese_Programme!M150="Acté"),$D150*Parametres!E3,""))</f>
        <v/>
      </c>
      <c r="H150" s="240"/>
      <c r="I150" s="239" t="str">
        <f>IF($C150="","",IF(AND(Parametres!F4&lt;&gt;"",Synthese_Programme!M150="Acté"),$D150*Parametres!E4,""))</f>
        <v/>
      </c>
      <c r="J150" s="240"/>
      <c r="K150" s="239" t="str">
        <f>IF($C150="","",IF(AND(Parametres!F5&lt;&gt;"",Synthese_Programme!M150="Acté"),$D150*Parametres!E5,""))</f>
        <v/>
      </c>
      <c r="L150" s="240"/>
      <c r="M150" s="239" t="str">
        <f>IF($C150="","",IF(AND(Parametres!F6&lt;&gt;"",Synthese_Programme!M150="Acté"),$D150*Parametres!E6,""))</f>
        <v/>
      </c>
      <c r="N150" s="240"/>
      <c r="O150" s="239" t="str">
        <f>IF($C150="","",IF(AND(Parametres!F7&lt;&gt;"",Synthese_Programme!M150="Acté"),$D150*Parametres!E7,""))</f>
        <v/>
      </c>
      <c r="P150" s="240"/>
      <c r="Q150" s="238" t="str">
        <f t="shared" si="6"/>
        <v/>
      </c>
      <c r="R150" s="238" t="str">
        <f t="shared" si="7"/>
        <v/>
      </c>
      <c r="S150" s="238" t="str">
        <f t="shared" si="8"/>
        <v/>
      </c>
    </row>
    <row r="151" spans="1:19" ht="24" customHeight="1" x14ac:dyDescent="0.45">
      <c r="A151" s="237" t="str">
        <f>IFERROR(IF(Base_de_donnée_clients!A151="","",Base_de_donnée_clients!A151),"")</f>
        <v/>
      </c>
      <c r="B151" s="226" t="str">
        <f>IFERROR(IF(Base_de_donnée_clients!B151="","",Base_de_donnée_clients!B151),"")</f>
        <v/>
      </c>
      <c r="C151" s="226" t="str">
        <f>IFERROR(IF(Base_de_donnée_clients!C151="","",Base_de_donnée_clients!C151),"")</f>
        <v/>
      </c>
      <c r="D151" s="238" t="str">
        <f>IFERROR(IF(OR(Synthese_Programme!M151="Réservé",Synthese_Programme!M151="Acté",Synthese_Programme!M151="réservé",Synthese_Programme!M151="acté"),Synthese_Programme!K151,""),"")</f>
        <v/>
      </c>
      <c r="E151" s="239" t="str">
        <f>IFERROR(IF(OR(Synthese_Programme!M151="Réservé",Synthese_Programme!M151="Acté",Synthese_Programme!M151="réservé",Synthese_Programme!M151="acté"),$D151*Parametres!E2,""),"")</f>
        <v/>
      </c>
      <c r="F151" s="240" t="str">
        <f>IFERROR(IF(Base_de_donnée_clients!J151="","",Base_de_donnée_clients!J151),"")</f>
        <v/>
      </c>
      <c r="G151" s="239" t="str">
        <f>IF($C151="","",IF(AND(Parametres!F3&lt;&gt;"",Synthese_Programme!M151="Acté"),$D151*Parametres!E3,""))</f>
        <v/>
      </c>
      <c r="H151" s="240"/>
      <c r="I151" s="239" t="str">
        <f>IF($C151="","",IF(AND(Parametres!F4&lt;&gt;"",Synthese_Programme!M151="Acté"),$D151*Parametres!E4,""))</f>
        <v/>
      </c>
      <c r="J151" s="240"/>
      <c r="K151" s="239" t="str">
        <f>IF($C151="","",IF(AND(Parametres!F5&lt;&gt;"",Synthese_Programme!M151="Acté"),$D151*Parametres!E5,""))</f>
        <v/>
      </c>
      <c r="L151" s="240"/>
      <c r="M151" s="239" t="str">
        <f>IF($C151="","",IF(AND(Parametres!F6&lt;&gt;"",Synthese_Programme!M151="Acté"),$D151*Parametres!E6,""))</f>
        <v/>
      </c>
      <c r="N151" s="240"/>
      <c r="O151" s="239" t="str">
        <f>IF($C151="","",IF(AND(Parametres!F7&lt;&gt;"",Synthese_Programme!M151="Acté"),$D151*Parametres!E7,""))</f>
        <v/>
      </c>
      <c r="P151" s="240"/>
      <c r="Q151" s="238" t="str">
        <f t="shared" si="6"/>
        <v/>
      </c>
      <c r="R151" s="238" t="str">
        <f t="shared" si="7"/>
        <v/>
      </c>
      <c r="S151" s="238" t="str">
        <f t="shared" si="8"/>
        <v/>
      </c>
    </row>
    <row r="152" spans="1:19" ht="24" customHeight="1" x14ac:dyDescent="0.45">
      <c r="A152" s="237" t="str">
        <f>IFERROR(IF(Base_de_donnée_clients!A152="","",Base_de_donnée_clients!A152),"")</f>
        <v/>
      </c>
      <c r="B152" s="226" t="str">
        <f>IFERROR(IF(Base_de_donnée_clients!B152="","",Base_de_donnée_clients!B152),"")</f>
        <v/>
      </c>
      <c r="C152" s="226" t="str">
        <f>IFERROR(IF(Base_de_donnée_clients!C152="","",Base_de_donnée_clients!C152),"")</f>
        <v/>
      </c>
      <c r="D152" s="238" t="str">
        <f>IFERROR(IF(OR(Synthese_Programme!M152="Réservé",Synthese_Programme!M152="Acté",Synthese_Programme!M152="réservé",Synthese_Programme!M152="acté"),Synthese_Programme!K152,""),"")</f>
        <v/>
      </c>
      <c r="E152" s="239" t="str">
        <f>IFERROR(IF(OR(Synthese_Programme!M152="Réservé",Synthese_Programme!M152="Acté",Synthese_Programme!M152="réservé",Synthese_Programme!M152="acté"),$D152*Parametres!E2,""),"")</f>
        <v/>
      </c>
      <c r="F152" s="240" t="str">
        <f>IFERROR(IF(Base_de_donnée_clients!J152="","",Base_de_donnée_clients!J152),"")</f>
        <v/>
      </c>
      <c r="G152" s="239" t="str">
        <f>IF($C152="","",IF(AND(Parametres!F3&lt;&gt;"",Synthese_Programme!M152="Acté"),$D152*Parametres!E3,""))</f>
        <v/>
      </c>
      <c r="H152" s="240"/>
      <c r="I152" s="239" t="str">
        <f>IF($C152="","",IF(AND(Parametres!F4&lt;&gt;"",Synthese_Programme!M152="Acté"),$D152*Parametres!E4,""))</f>
        <v/>
      </c>
      <c r="J152" s="240"/>
      <c r="K152" s="239" t="str">
        <f>IF($C152="","",IF(AND(Parametres!F5&lt;&gt;"",Synthese_Programme!M152="Acté"),$D152*Parametres!E5,""))</f>
        <v/>
      </c>
      <c r="L152" s="240"/>
      <c r="M152" s="239" t="str">
        <f>IF($C152="","",IF(AND(Parametres!F6&lt;&gt;"",Synthese_Programme!M152="Acté"),$D152*Parametres!E6,""))</f>
        <v/>
      </c>
      <c r="N152" s="240"/>
      <c r="O152" s="239" t="str">
        <f>IF($C152="","",IF(AND(Parametres!F7&lt;&gt;"",Synthese_Programme!M152="Acté"),$D152*Parametres!E7,""))</f>
        <v/>
      </c>
      <c r="P152" s="240"/>
      <c r="Q152" s="238" t="str">
        <f t="shared" si="6"/>
        <v/>
      </c>
      <c r="R152" s="238" t="str">
        <f t="shared" si="7"/>
        <v/>
      </c>
      <c r="S152" s="238" t="str">
        <f t="shared" si="8"/>
        <v/>
      </c>
    </row>
    <row r="153" spans="1:19" ht="24" customHeight="1" x14ac:dyDescent="0.45">
      <c r="A153" s="237" t="str">
        <f>IFERROR(IF(Base_de_donnée_clients!A153="","",Base_de_donnée_clients!A153),"")</f>
        <v/>
      </c>
      <c r="B153" s="226" t="str">
        <f>IFERROR(IF(Base_de_donnée_clients!B153="","",Base_de_donnée_clients!B153),"")</f>
        <v/>
      </c>
      <c r="C153" s="226" t="str">
        <f>IFERROR(IF(Base_de_donnée_clients!C153="","",Base_de_donnée_clients!C153),"")</f>
        <v/>
      </c>
      <c r="D153" s="238" t="str">
        <f>IFERROR(IF(OR(Synthese_Programme!M153="Réservé",Synthese_Programme!M153="Acté",Synthese_Programme!M153="réservé",Synthese_Programme!M153="acté"),Synthese_Programme!K153,""),"")</f>
        <v/>
      </c>
      <c r="E153" s="239" t="str">
        <f>IFERROR(IF(OR(Synthese_Programme!M153="Réservé",Synthese_Programme!M153="Acté",Synthese_Programme!M153="réservé",Synthese_Programme!M153="acté"),$D153*Parametres!E2,""),"")</f>
        <v/>
      </c>
      <c r="F153" s="240" t="str">
        <f>IFERROR(IF(Base_de_donnée_clients!J153="","",Base_de_donnée_clients!J153),"")</f>
        <v/>
      </c>
      <c r="G153" s="239" t="str">
        <f>IF($C153="","",IF(AND(Parametres!F3&lt;&gt;"",Synthese_Programme!M153="Acté"),$D153*Parametres!E3,""))</f>
        <v/>
      </c>
      <c r="H153" s="240"/>
      <c r="I153" s="239" t="str">
        <f>IF($C153="","",IF(AND(Parametres!F4&lt;&gt;"",Synthese_Programme!M153="Acté"),$D153*Parametres!E4,""))</f>
        <v/>
      </c>
      <c r="J153" s="240"/>
      <c r="K153" s="239" t="str">
        <f>IF($C153="","",IF(AND(Parametres!F5&lt;&gt;"",Synthese_Programme!M153="Acté"),$D153*Parametres!E5,""))</f>
        <v/>
      </c>
      <c r="L153" s="240"/>
      <c r="M153" s="239" t="str">
        <f>IF($C153="","",IF(AND(Parametres!F6&lt;&gt;"",Synthese_Programme!M153="Acté"),$D153*Parametres!E6,""))</f>
        <v/>
      </c>
      <c r="N153" s="240"/>
      <c r="O153" s="239" t="str">
        <f>IF($C153="","",IF(AND(Parametres!F7&lt;&gt;"",Synthese_Programme!M153="Acté"),$D153*Parametres!E7,""))</f>
        <v/>
      </c>
      <c r="P153" s="240"/>
      <c r="Q153" s="238" t="str">
        <f t="shared" si="6"/>
        <v/>
      </c>
      <c r="R153" s="238" t="str">
        <f t="shared" si="7"/>
        <v/>
      </c>
      <c r="S153" s="238" t="str">
        <f t="shared" si="8"/>
        <v/>
      </c>
    </row>
    <row r="154" spans="1:19" ht="24" customHeight="1" x14ac:dyDescent="0.45">
      <c r="A154" s="237" t="str">
        <f>IFERROR(IF(Base_de_donnée_clients!A154="","",Base_de_donnée_clients!A154),"")</f>
        <v/>
      </c>
      <c r="B154" s="226" t="str">
        <f>IFERROR(IF(Base_de_donnée_clients!B154="","",Base_de_donnée_clients!B154),"")</f>
        <v/>
      </c>
      <c r="C154" s="226" t="str">
        <f>IFERROR(IF(Base_de_donnée_clients!C154="","",Base_de_donnée_clients!C154),"")</f>
        <v/>
      </c>
      <c r="D154" s="238" t="str">
        <f>IFERROR(IF(OR(Synthese_Programme!M154="Réservé",Synthese_Programme!M154="Acté",Synthese_Programme!M154="réservé",Synthese_Programme!M154="acté"),Synthese_Programme!K154,""),"")</f>
        <v/>
      </c>
      <c r="E154" s="239" t="str">
        <f>IFERROR(IF(OR(Synthese_Programme!M154="Réservé",Synthese_Programme!M154="Acté",Synthese_Programme!M154="réservé",Synthese_Programme!M154="acté"),$D154*Parametres!E2,""),"")</f>
        <v/>
      </c>
      <c r="F154" s="240" t="str">
        <f>IFERROR(IF(Base_de_donnée_clients!J154="","",Base_de_donnée_clients!J154),"")</f>
        <v/>
      </c>
      <c r="G154" s="239" t="str">
        <f>IF($C154="","",IF(AND(Parametres!F3&lt;&gt;"",Synthese_Programme!M154="Acté"),$D154*Parametres!E3,""))</f>
        <v/>
      </c>
      <c r="H154" s="240"/>
      <c r="I154" s="239" t="str">
        <f>IF($C154="","",IF(AND(Parametres!F4&lt;&gt;"",Synthese_Programme!M154="Acté"),$D154*Parametres!E4,""))</f>
        <v/>
      </c>
      <c r="J154" s="240"/>
      <c r="K154" s="239" t="str">
        <f>IF($C154="","",IF(AND(Parametres!F5&lt;&gt;"",Synthese_Programme!M154="Acté"),$D154*Parametres!E5,""))</f>
        <v/>
      </c>
      <c r="L154" s="240"/>
      <c r="M154" s="239" t="str">
        <f>IF($C154="","",IF(AND(Parametres!F6&lt;&gt;"",Synthese_Programme!M154="Acté"),$D154*Parametres!E6,""))</f>
        <v/>
      </c>
      <c r="N154" s="240"/>
      <c r="O154" s="239" t="str">
        <f>IF($C154="","",IF(AND(Parametres!F7&lt;&gt;"",Synthese_Programme!M154="Acté"),$D154*Parametres!E7,""))</f>
        <v/>
      </c>
      <c r="P154" s="240"/>
      <c r="Q154" s="238" t="str">
        <f t="shared" si="6"/>
        <v/>
      </c>
      <c r="R154" s="238" t="str">
        <f t="shared" si="7"/>
        <v/>
      </c>
      <c r="S154" s="238" t="str">
        <f t="shared" si="8"/>
        <v/>
      </c>
    </row>
    <row r="155" spans="1:19" ht="24" customHeight="1" x14ac:dyDescent="0.45">
      <c r="A155" s="237" t="str">
        <f>IFERROR(IF(Base_de_donnée_clients!A155="","",Base_de_donnée_clients!A155),"")</f>
        <v/>
      </c>
      <c r="B155" s="226" t="str">
        <f>IFERROR(IF(Base_de_donnée_clients!B155="","",Base_de_donnée_clients!B155),"")</f>
        <v/>
      </c>
      <c r="C155" s="226" t="str">
        <f>IFERROR(IF(Base_de_donnée_clients!C155="","",Base_de_donnée_clients!C155),"")</f>
        <v/>
      </c>
      <c r="D155" s="238" t="str">
        <f>IFERROR(IF(OR(Synthese_Programme!M155="Réservé",Synthese_Programme!M155="Acté",Synthese_Programme!M155="réservé",Synthese_Programme!M155="acté"),Synthese_Programme!K155,""),"")</f>
        <v/>
      </c>
      <c r="E155" s="239" t="str">
        <f>IFERROR(IF(OR(Synthese_Programme!M155="Réservé",Synthese_Programme!M155="Acté",Synthese_Programme!M155="réservé",Synthese_Programme!M155="acté"),$D155*Parametres!E2,""),"")</f>
        <v/>
      </c>
      <c r="F155" s="240" t="str">
        <f>IFERROR(IF(Base_de_donnée_clients!J155="","",Base_de_donnée_clients!J155),"")</f>
        <v/>
      </c>
      <c r="G155" s="239" t="str">
        <f>IF($C155="","",IF(AND(Parametres!F3&lt;&gt;"",Synthese_Programme!M155="Acté"),$D155*Parametres!E3,""))</f>
        <v/>
      </c>
      <c r="H155" s="240"/>
      <c r="I155" s="239" t="str">
        <f>IF($C155="","",IF(AND(Parametres!F4&lt;&gt;"",Synthese_Programme!M155="Acté"),$D155*Parametres!E4,""))</f>
        <v/>
      </c>
      <c r="J155" s="240"/>
      <c r="K155" s="239" t="str">
        <f>IF($C155="","",IF(AND(Parametres!F5&lt;&gt;"",Synthese_Programme!M155="Acté"),$D155*Parametres!E5,""))</f>
        <v/>
      </c>
      <c r="L155" s="240"/>
      <c r="M155" s="239" t="str">
        <f>IF($C155="","",IF(AND(Parametres!F6&lt;&gt;"",Synthese_Programme!M155="Acté"),$D155*Parametres!E6,""))</f>
        <v/>
      </c>
      <c r="N155" s="240"/>
      <c r="O155" s="239" t="str">
        <f>IF($C155="","",IF(AND(Parametres!F7&lt;&gt;"",Synthese_Programme!M155="Acté"),$D155*Parametres!E7,""))</f>
        <v/>
      </c>
      <c r="P155" s="240"/>
      <c r="Q155" s="238" t="str">
        <f t="shared" si="6"/>
        <v/>
      </c>
      <c r="R155" s="238" t="str">
        <f t="shared" si="7"/>
        <v/>
      </c>
      <c r="S155" s="238" t="str">
        <f t="shared" si="8"/>
        <v/>
      </c>
    </row>
    <row r="156" spans="1:19" ht="24" customHeight="1" x14ac:dyDescent="0.45">
      <c r="A156" s="237" t="str">
        <f>IFERROR(IF(Base_de_donnée_clients!A156="","",Base_de_donnée_clients!A156),"")</f>
        <v/>
      </c>
      <c r="B156" s="226" t="str">
        <f>IFERROR(IF(Base_de_donnée_clients!B156="","",Base_de_donnée_clients!B156),"")</f>
        <v/>
      </c>
      <c r="C156" s="226" t="str">
        <f>IFERROR(IF(Base_de_donnée_clients!C156="","",Base_de_donnée_clients!C156),"")</f>
        <v/>
      </c>
      <c r="D156" s="238" t="str">
        <f>IFERROR(IF(OR(Synthese_Programme!M156="Réservé",Synthese_Programme!M156="Acté",Synthese_Programme!M156="réservé",Synthese_Programme!M156="acté"),Synthese_Programme!K156,""),"")</f>
        <v/>
      </c>
      <c r="E156" s="239" t="str">
        <f>IFERROR(IF(OR(Synthese_Programme!M156="Réservé",Synthese_Programme!M156="Acté",Synthese_Programme!M156="réservé",Synthese_Programme!M156="acté"),$D156*Parametres!E2,""),"")</f>
        <v/>
      </c>
      <c r="F156" s="240" t="str">
        <f>IFERROR(IF(Base_de_donnée_clients!J156="","",Base_de_donnée_clients!J156),"")</f>
        <v/>
      </c>
      <c r="G156" s="239" t="str">
        <f>IF($C156="","",IF(AND(Parametres!F3&lt;&gt;"",Synthese_Programme!M156="Acté"),$D156*Parametres!E3,""))</f>
        <v/>
      </c>
      <c r="H156" s="240"/>
      <c r="I156" s="239" t="str">
        <f>IF($C156="","",IF(AND(Parametres!F4&lt;&gt;"",Synthese_Programme!M156="Acté"),$D156*Parametres!E4,""))</f>
        <v/>
      </c>
      <c r="J156" s="240"/>
      <c r="K156" s="239" t="str">
        <f>IF($C156="","",IF(AND(Parametres!F5&lt;&gt;"",Synthese_Programme!M156="Acté"),$D156*Parametres!E5,""))</f>
        <v/>
      </c>
      <c r="L156" s="240"/>
      <c r="M156" s="239" t="str">
        <f>IF($C156="","",IF(AND(Parametres!F6&lt;&gt;"",Synthese_Programme!M156="Acté"),$D156*Parametres!E6,""))</f>
        <v/>
      </c>
      <c r="N156" s="240"/>
      <c r="O156" s="239" t="str">
        <f>IF($C156="","",IF(AND(Parametres!F7&lt;&gt;"",Synthese_Programme!M156="Acté"),$D156*Parametres!E7,""))</f>
        <v/>
      </c>
      <c r="P156" s="240"/>
      <c r="Q156" s="238" t="str">
        <f t="shared" si="6"/>
        <v/>
      </c>
      <c r="R156" s="238" t="str">
        <f t="shared" si="7"/>
        <v/>
      </c>
      <c r="S156" s="238" t="str">
        <f t="shared" si="8"/>
        <v/>
      </c>
    </row>
    <row r="157" spans="1:19" ht="24" customHeight="1" x14ac:dyDescent="0.45">
      <c r="A157" s="237" t="str">
        <f>IFERROR(IF(Base_de_donnée_clients!A157="","",Base_de_donnée_clients!A157),"")</f>
        <v/>
      </c>
      <c r="B157" s="226" t="str">
        <f>IFERROR(IF(Base_de_donnée_clients!B157="","",Base_de_donnée_clients!B157),"")</f>
        <v/>
      </c>
      <c r="C157" s="226" t="str">
        <f>IFERROR(IF(Base_de_donnée_clients!C157="","",Base_de_donnée_clients!C157),"")</f>
        <v/>
      </c>
      <c r="D157" s="238" t="str">
        <f>IFERROR(IF(OR(Synthese_Programme!M157="Réservé",Synthese_Programme!M157="Acté",Synthese_Programme!M157="réservé",Synthese_Programme!M157="acté"),Synthese_Programme!K157,""),"")</f>
        <v/>
      </c>
      <c r="E157" s="239" t="str">
        <f>IFERROR(IF(OR(Synthese_Programme!M157="Réservé",Synthese_Programme!M157="Acté",Synthese_Programme!M157="réservé",Synthese_Programme!M157="acté"),$D157*Parametres!E2,""),"")</f>
        <v/>
      </c>
      <c r="F157" s="240" t="str">
        <f>IFERROR(IF(Base_de_donnée_clients!J157="","",Base_de_donnée_clients!J157),"")</f>
        <v/>
      </c>
      <c r="G157" s="239" t="str">
        <f>IF($C157="","",IF(AND(Parametres!F3&lt;&gt;"",Synthese_Programme!M157="Acté"),$D157*Parametres!E3,""))</f>
        <v/>
      </c>
      <c r="H157" s="240"/>
      <c r="I157" s="239" t="str">
        <f>IF($C157="","",IF(AND(Parametres!F4&lt;&gt;"",Synthese_Programme!M157="Acté"),$D157*Parametres!E4,""))</f>
        <v/>
      </c>
      <c r="J157" s="240"/>
      <c r="K157" s="239" t="str">
        <f>IF($C157="","",IF(AND(Parametres!F5&lt;&gt;"",Synthese_Programme!M157="Acté"),$D157*Parametres!E5,""))</f>
        <v/>
      </c>
      <c r="L157" s="240"/>
      <c r="M157" s="239" t="str">
        <f>IF($C157="","",IF(AND(Parametres!F6&lt;&gt;"",Synthese_Programme!M157="Acté"),$D157*Parametres!E6,""))</f>
        <v/>
      </c>
      <c r="N157" s="240"/>
      <c r="O157" s="239" t="str">
        <f>IF($C157="","",IF(AND(Parametres!F7&lt;&gt;"",Synthese_Programme!M157="Acté"),$D157*Parametres!E7,""))</f>
        <v/>
      </c>
      <c r="P157" s="240"/>
      <c r="Q157" s="238" t="str">
        <f t="shared" si="6"/>
        <v/>
      </c>
      <c r="R157" s="238" t="str">
        <f t="shared" si="7"/>
        <v/>
      </c>
      <c r="S157" s="238" t="str">
        <f t="shared" si="8"/>
        <v/>
      </c>
    </row>
    <row r="158" spans="1:19" ht="24" customHeight="1" x14ac:dyDescent="0.45">
      <c r="A158" s="237" t="str">
        <f>IFERROR(IF(Base_de_donnée_clients!A158="","",Base_de_donnée_clients!A158),"")</f>
        <v/>
      </c>
      <c r="B158" s="226" t="str">
        <f>IFERROR(IF(Base_de_donnée_clients!B158="","",Base_de_donnée_clients!B158),"")</f>
        <v/>
      </c>
      <c r="C158" s="226" t="str">
        <f>IFERROR(IF(Base_de_donnée_clients!C158="","",Base_de_donnée_clients!C158),"")</f>
        <v/>
      </c>
      <c r="D158" s="238" t="str">
        <f>IFERROR(IF(OR(Synthese_Programme!M158="Réservé",Synthese_Programme!M158="Acté",Synthese_Programme!M158="réservé",Synthese_Programme!M158="acté"),Synthese_Programme!K158,""),"")</f>
        <v/>
      </c>
      <c r="E158" s="239" t="str">
        <f>IFERROR(IF(OR(Synthese_Programme!M158="Réservé",Synthese_Programme!M158="Acté",Synthese_Programme!M158="réservé",Synthese_Programme!M158="acté"),$D158*Parametres!E2,""),"")</f>
        <v/>
      </c>
      <c r="F158" s="240" t="str">
        <f>IFERROR(IF(Base_de_donnée_clients!J158="","",Base_de_donnée_clients!J158),"")</f>
        <v/>
      </c>
      <c r="G158" s="239" t="str">
        <f>IF($C158="","",IF(AND(Parametres!F3&lt;&gt;"",Synthese_Programme!M158="Acté"),$D158*Parametres!E3,""))</f>
        <v/>
      </c>
      <c r="H158" s="240"/>
      <c r="I158" s="239" t="str">
        <f>IF($C158="","",IF(AND(Parametres!F4&lt;&gt;"",Synthese_Programme!M158="Acté"),$D158*Parametres!E4,""))</f>
        <v/>
      </c>
      <c r="J158" s="240"/>
      <c r="K158" s="239" t="str">
        <f>IF($C158="","",IF(AND(Parametres!F5&lt;&gt;"",Synthese_Programme!M158="Acté"),$D158*Parametres!E5,""))</f>
        <v/>
      </c>
      <c r="L158" s="240"/>
      <c r="M158" s="239" t="str">
        <f>IF($C158="","",IF(AND(Parametres!F6&lt;&gt;"",Synthese_Programme!M158="Acté"),$D158*Parametres!E6,""))</f>
        <v/>
      </c>
      <c r="N158" s="240"/>
      <c r="O158" s="239" t="str">
        <f>IF($C158="","",IF(AND(Parametres!F7&lt;&gt;"",Synthese_Programme!M158="Acté"),$D158*Parametres!E7,""))</f>
        <v/>
      </c>
      <c r="P158" s="240"/>
      <c r="Q158" s="238" t="str">
        <f t="shared" si="6"/>
        <v/>
      </c>
      <c r="R158" s="238" t="str">
        <f t="shared" si="7"/>
        <v/>
      </c>
      <c r="S158" s="238" t="str">
        <f t="shared" si="8"/>
        <v/>
      </c>
    </row>
    <row r="159" spans="1:19" ht="24" customHeight="1" x14ac:dyDescent="0.45">
      <c r="A159" s="237" t="str">
        <f>IFERROR(IF(Base_de_donnée_clients!A159="","",Base_de_donnée_clients!A159),"")</f>
        <v/>
      </c>
      <c r="B159" s="226" t="str">
        <f>IFERROR(IF(Base_de_donnée_clients!B159="","",Base_de_donnée_clients!B159),"")</f>
        <v/>
      </c>
      <c r="C159" s="226" t="str">
        <f>IFERROR(IF(Base_de_donnée_clients!C159="","",Base_de_donnée_clients!C159),"")</f>
        <v/>
      </c>
      <c r="D159" s="238" t="str">
        <f>IFERROR(IF(OR(Synthese_Programme!M159="Réservé",Synthese_Programme!M159="Acté",Synthese_Programme!M159="réservé",Synthese_Programme!M159="acté"),Synthese_Programme!K159,""),"")</f>
        <v/>
      </c>
      <c r="E159" s="239" t="str">
        <f>IFERROR(IF(OR(Synthese_Programme!M159="Réservé",Synthese_Programme!M159="Acté",Synthese_Programme!M159="réservé",Synthese_Programme!M159="acté"),$D159*Parametres!E2,""),"")</f>
        <v/>
      </c>
      <c r="F159" s="240" t="str">
        <f>IFERROR(IF(Base_de_donnée_clients!J159="","",Base_de_donnée_clients!J159),"")</f>
        <v/>
      </c>
      <c r="G159" s="239" t="str">
        <f>IF($C159="","",IF(AND(Parametres!F3&lt;&gt;"",Synthese_Programme!M159="Acté"),$D159*Parametres!E3,""))</f>
        <v/>
      </c>
      <c r="H159" s="240"/>
      <c r="I159" s="239" t="str">
        <f>IF($C159="","",IF(AND(Parametres!F4&lt;&gt;"",Synthese_Programme!M159="Acté"),$D159*Parametres!E4,""))</f>
        <v/>
      </c>
      <c r="J159" s="240"/>
      <c r="K159" s="239" t="str">
        <f>IF($C159="","",IF(AND(Parametres!F5&lt;&gt;"",Synthese_Programme!M159="Acté"),$D159*Parametres!E5,""))</f>
        <v/>
      </c>
      <c r="L159" s="240"/>
      <c r="M159" s="239" t="str">
        <f>IF($C159="","",IF(AND(Parametres!F6&lt;&gt;"",Synthese_Programme!M159="Acté"),$D159*Parametres!E6,""))</f>
        <v/>
      </c>
      <c r="N159" s="240"/>
      <c r="O159" s="239" t="str">
        <f>IF($C159="","",IF(AND(Parametres!F7&lt;&gt;"",Synthese_Programme!M159="Acté"),$D159*Parametres!E7,""))</f>
        <v/>
      </c>
      <c r="P159" s="240"/>
      <c r="Q159" s="238" t="str">
        <f t="shared" si="6"/>
        <v/>
      </c>
      <c r="R159" s="238" t="str">
        <f t="shared" si="7"/>
        <v/>
      </c>
      <c r="S159" s="238" t="str">
        <f t="shared" si="8"/>
        <v/>
      </c>
    </row>
    <row r="160" spans="1:19" ht="24" customHeight="1" x14ac:dyDescent="0.45">
      <c r="A160" s="237" t="str">
        <f>IFERROR(IF(Base_de_donnée_clients!A160="","",Base_de_donnée_clients!A160),"")</f>
        <v/>
      </c>
      <c r="B160" s="226" t="str">
        <f>IFERROR(IF(Base_de_donnée_clients!B160="","",Base_de_donnée_clients!B160),"")</f>
        <v/>
      </c>
      <c r="C160" s="226" t="str">
        <f>IFERROR(IF(Base_de_donnée_clients!C160="","",Base_de_donnée_clients!C160),"")</f>
        <v/>
      </c>
      <c r="D160" s="238" t="str">
        <f>IFERROR(IF(OR(Synthese_Programme!M160="Réservé",Synthese_Programme!M160="Acté",Synthese_Programme!M160="réservé",Synthese_Programme!M160="acté"),Synthese_Programme!K160,""),"")</f>
        <v/>
      </c>
      <c r="E160" s="239" t="str">
        <f>IFERROR(IF(OR(Synthese_Programme!M160="Réservé",Synthese_Programme!M160="Acté",Synthese_Programme!M160="réservé",Synthese_Programme!M160="acté"),$D160*Parametres!E2,""),"")</f>
        <v/>
      </c>
      <c r="F160" s="240" t="str">
        <f>IFERROR(IF(Base_de_donnée_clients!J160="","",Base_de_donnée_clients!J160),"")</f>
        <v/>
      </c>
      <c r="G160" s="239" t="str">
        <f>IF($C160="","",IF(AND(Parametres!F3&lt;&gt;"",Synthese_Programme!M160="Acté"),$D160*Parametres!E3,""))</f>
        <v/>
      </c>
      <c r="H160" s="240"/>
      <c r="I160" s="239" t="str">
        <f>IF($C160="","",IF(AND(Parametres!F4&lt;&gt;"",Synthese_Programme!M160="Acté"),$D160*Parametres!E4,""))</f>
        <v/>
      </c>
      <c r="J160" s="240"/>
      <c r="K160" s="239" t="str">
        <f>IF($C160="","",IF(AND(Parametres!F5&lt;&gt;"",Synthese_Programme!M160="Acté"),$D160*Parametres!E5,""))</f>
        <v/>
      </c>
      <c r="L160" s="240"/>
      <c r="M160" s="239" t="str">
        <f>IF($C160="","",IF(AND(Parametres!F6&lt;&gt;"",Synthese_Programme!M160="Acté"),$D160*Parametres!E6,""))</f>
        <v/>
      </c>
      <c r="N160" s="240"/>
      <c r="O160" s="239" t="str">
        <f>IF($C160="","",IF(AND(Parametres!F7&lt;&gt;"",Synthese_Programme!M160="Acté"),$D160*Parametres!E7,""))</f>
        <v/>
      </c>
      <c r="P160" s="240"/>
      <c r="Q160" s="238" t="str">
        <f t="shared" si="6"/>
        <v/>
      </c>
      <c r="R160" s="238" t="str">
        <f t="shared" si="7"/>
        <v/>
      </c>
      <c r="S160" s="238" t="str">
        <f t="shared" si="8"/>
        <v/>
      </c>
    </row>
    <row r="161" spans="1:19" ht="24" customHeight="1" x14ac:dyDescent="0.45">
      <c r="A161" s="237" t="str">
        <f>IFERROR(IF(Base_de_donnée_clients!A161="","",Base_de_donnée_clients!A161),"")</f>
        <v/>
      </c>
      <c r="B161" s="226" t="str">
        <f>IFERROR(IF(Base_de_donnée_clients!B161="","",Base_de_donnée_clients!B161),"")</f>
        <v/>
      </c>
      <c r="C161" s="226" t="str">
        <f>IFERROR(IF(Base_de_donnée_clients!C161="","",Base_de_donnée_clients!C161),"")</f>
        <v/>
      </c>
      <c r="D161" s="238" t="str">
        <f>IFERROR(IF(OR(Synthese_Programme!M161="Réservé",Synthese_Programme!M161="Acté",Synthese_Programme!M161="réservé",Synthese_Programme!M161="acté"),Synthese_Programme!K161,""),"")</f>
        <v/>
      </c>
      <c r="E161" s="239" t="str">
        <f>IFERROR(IF(OR(Synthese_Programme!M161="Réservé",Synthese_Programme!M161="Acté",Synthese_Programme!M161="réservé",Synthese_Programme!M161="acté"),$D161*Parametres!E2,""),"")</f>
        <v/>
      </c>
      <c r="F161" s="240" t="str">
        <f>IFERROR(IF(Base_de_donnée_clients!J161="","",Base_de_donnée_clients!J161),"")</f>
        <v/>
      </c>
      <c r="G161" s="239" t="str">
        <f>IF($C161="","",IF(AND(Parametres!F3&lt;&gt;"",Synthese_Programme!M161="Acté"),$D161*Parametres!E3,""))</f>
        <v/>
      </c>
      <c r="H161" s="240"/>
      <c r="I161" s="239" t="str">
        <f>IF($C161="","",IF(AND(Parametres!F4&lt;&gt;"",Synthese_Programme!M161="Acté"),$D161*Parametres!E4,""))</f>
        <v/>
      </c>
      <c r="J161" s="240"/>
      <c r="K161" s="239" t="str">
        <f>IF($C161="","",IF(AND(Parametres!F5&lt;&gt;"",Synthese_Programme!M161="Acté"),$D161*Parametres!E5,""))</f>
        <v/>
      </c>
      <c r="L161" s="240"/>
      <c r="M161" s="239" t="str">
        <f>IF($C161="","",IF(AND(Parametres!F6&lt;&gt;"",Synthese_Programme!M161="Acté"),$D161*Parametres!E6,""))</f>
        <v/>
      </c>
      <c r="N161" s="240"/>
      <c r="O161" s="239" t="str">
        <f>IF($C161="","",IF(AND(Parametres!F7&lt;&gt;"",Synthese_Programme!M161="Acté"),$D161*Parametres!E7,""))</f>
        <v/>
      </c>
      <c r="P161" s="240"/>
      <c r="Q161" s="238" t="str">
        <f t="shared" si="6"/>
        <v/>
      </c>
      <c r="R161" s="238" t="str">
        <f t="shared" si="7"/>
        <v/>
      </c>
      <c r="S161" s="238" t="str">
        <f t="shared" si="8"/>
        <v/>
      </c>
    </row>
    <row r="162" spans="1:19" ht="24" customHeight="1" x14ac:dyDescent="0.45">
      <c r="A162" s="237" t="str">
        <f>IFERROR(IF(Base_de_donnée_clients!A162="","",Base_de_donnée_clients!A162),"")</f>
        <v/>
      </c>
      <c r="B162" s="226" t="str">
        <f>IFERROR(IF(Base_de_donnée_clients!B162="","",Base_de_donnée_clients!B162),"")</f>
        <v/>
      </c>
      <c r="C162" s="226" t="str">
        <f>IFERROR(IF(Base_de_donnée_clients!C162="","",Base_de_donnée_clients!C162),"")</f>
        <v/>
      </c>
      <c r="D162" s="238" t="str">
        <f>IFERROR(IF(OR(Synthese_Programme!M162="Réservé",Synthese_Programme!M162="Acté",Synthese_Programme!M162="réservé",Synthese_Programme!M162="acté"),Synthese_Programme!K162,""),"")</f>
        <v/>
      </c>
      <c r="E162" s="239" t="str">
        <f>IFERROR(IF(OR(Synthese_Programme!M162="Réservé",Synthese_Programme!M162="Acté",Synthese_Programme!M162="réservé",Synthese_Programme!M162="acté"),$D162*Parametres!E2,""),"")</f>
        <v/>
      </c>
      <c r="F162" s="240" t="str">
        <f>IFERROR(IF(Base_de_donnée_clients!J162="","",Base_de_donnée_clients!J162),"")</f>
        <v/>
      </c>
      <c r="G162" s="239" t="str">
        <f>IF($C162="","",IF(AND(Parametres!F3&lt;&gt;"",Synthese_Programme!M162="Acté"),$D162*Parametres!E3,""))</f>
        <v/>
      </c>
      <c r="H162" s="240"/>
      <c r="I162" s="239" t="str">
        <f>IF($C162="","",IF(AND(Parametres!F4&lt;&gt;"",Synthese_Programme!M162="Acté"),$D162*Parametres!E4,""))</f>
        <v/>
      </c>
      <c r="J162" s="240"/>
      <c r="K162" s="239" t="str">
        <f>IF($C162="","",IF(AND(Parametres!F5&lt;&gt;"",Synthese_Programme!M162="Acté"),$D162*Parametres!E5,""))</f>
        <v/>
      </c>
      <c r="L162" s="240"/>
      <c r="M162" s="239" t="str">
        <f>IF($C162="","",IF(AND(Parametres!F6&lt;&gt;"",Synthese_Programme!M162="Acté"),$D162*Parametres!E6,""))</f>
        <v/>
      </c>
      <c r="N162" s="240"/>
      <c r="O162" s="239" t="str">
        <f>IF($C162="","",IF(AND(Parametres!F7&lt;&gt;"",Synthese_Programme!M162="Acté"),$D162*Parametres!E7,""))</f>
        <v/>
      </c>
      <c r="P162" s="240"/>
      <c r="Q162" s="238" t="str">
        <f t="shared" si="6"/>
        <v/>
      </c>
      <c r="R162" s="238" t="str">
        <f t="shared" si="7"/>
        <v/>
      </c>
      <c r="S162" s="238" t="str">
        <f t="shared" si="8"/>
        <v/>
      </c>
    </row>
    <row r="163" spans="1:19" ht="24" customHeight="1" x14ac:dyDescent="0.45">
      <c r="A163" s="237" t="str">
        <f>IFERROR(IF(Base_de_donnée_clients!A163="","",Base_de_donnée_clients!A163),"")</f>
        <v/>
      </c>
      <c r="B163" s="226" t="str">
        <f>IFERROR(IF(Base_de_donnée_clients!B163="","",Base_de_donnée_clients!B163),"")</f>
        <v/>
      </c>
      <c r="C163" s="226" t="str">
        <f>IFERROR(IF(Base_de_donnée_clients!C163="","",Base_de_donnée_clients!C163),"")</f>
        <v/>
      </c>
      <c r="D163" s="238" t="str">
        <f>IFERROR(IF(OR(Synthese_Programme!M163="Réservé",Synthese_Programme!M163="Acté",Synthese_Programme!M163="réservé",Synthese_Programme!M163="acté"),Synthese_Programme!K163,""),"")</f>
        <v/>
      </c>
      <c r="E163" s="239" t="str">
        <f>IFERROR(IF(OR(Synthese_Programme!M163="Réservé",Synthese_Programme!M163="Acté",Synthese_Programme!M163="réservé",Synthese_Programme!M163="acté"),$D163*Parametres!E2,""),"")</f>
        <v/>
      </c>
      <c r="F163" s="240" t="str">
        <f>IFERROR(IF(Base_de_donnée_clients!J163="","",Base_de_donnée_clients!J163),"")</f>
        <v/>
      </c>
      <c r="G163" s="239" t="str">
        <f>IF($C163="","",IF(AND(Parametres!F3&lt;&gt;"",Synthese_Programme!M163="Acté"),$D163*Parametres!E3,""))</f>
        <v/>
      </c>
      <c r="H163" s="240"/>
      <c r="I163" s="239" t="str">
        <f>IF($C163="","",IF(AND(Parametres!F4&lt;&gt;"",Synthese_Programme!M163="Acté"),$D163*Parametres!E4,""))</f>
        <v/>
      </c>
      <c r="J163" s="240"/>
      <c r="K163" s="239" t="str">
        <f>IF($C163="","",IF(AND(Parametres!F5&lt;&gt;"",Synthese_Programme!M163="Acté"),$D163*Parametres!E5,""))</f>
        <v/>
      </c>
      <c r="L163" s="240"/>
      <c r="M163" s="239" t="str">
        <f>IF($C163="","",IF(AND(Parametres!F6&lt;&gt;"",Synthese_Programme!M163="Acté"),$D163*Parametres!E6,""))</f>
        <v/>
      </c>
      <c r="N163" s="240"/>
      <c r="O163" s="239" t="str">
        <f>IF($C163="","",IF(AND(Parametres!F7&lt;&gt;"",Synthese_Programme!M163="Acté"),$D163*Parametres!E7,""))</f>
        <v/>
      </c>
      <c r="P163" s="240"/>
      <c r="Q163" s="238" t="str">
        <f t="shared" si="6"/>
        <v/>
      </c>
      <c r="R163" s="238" t="str">
        <f t="shared" si="7"/>
        <v/>
      </c>
      <c r="S163" s="238" t="str">
        <f t="shared" si="8"/>
        <v/>
      </c>
    </row>
    <row r="164" spans="1:19" ht="24" customHeight="1" x14ac:dyDescent="0.45">
      <c r="A164" s="237" t="str">
        <f>IFERROR(IF(Base_de_donnée_clients!A164="","",Base_de_donnée_clients!A164),"")</f>
        <v/>
      </c>
      <c r="B164" s="226" t="str">
        <f>IFERROR(IF(Base_de_donnée_clients!B164="","",Base_de_donnée_clients!B164),"")</f>
        <v/>
      </c>
      <c r="C164" s="226" t="str">
        <f>IFERROR(IF(Base_de_donnée_clients!C164="","",Base_de_donnée_clients!C164),"")</f>
        <v/>
      </c>
      <c r="D164" s="238" t="str">
        <f>IFERROR(IF(OR(Synthese_Programme!M164="Réservé",Synthese_Programme!M164="Acté",Synthese_Programme!M164="réservé",Synthese_Programme!M164="acté"),Synthese_Programme!K164,""),"")</f>
        <v/>
      </c>
      <c r="E164" s="239" t="str">
        <f>IFERROR(IF(OR(Synthese_Programme!M164="Réservé",Synthese_Programme!M164="Acté",Synthese_Programme!M164="réservé",Synthese_Programme!M164="acté"),$D164*Parametres!E2,""),"")</f>
        <v/>
      </c>
      <c r="F164" s="240" t="str">
        <f>IFERROR(IF(Base_de_donnée_clients!J164="","",Base_de_donnée_clients!J164),"")</f>
        <v/>
      </c>
      <c r="G164" s="239" t="str">
        <f>IF($C164="","",IF(AND(Parametres!F3&lt;&gt;"",Synthese_Programme!M164="Acté"),$D164*Parametres!E3,""))</f>
        <v/>
      </c>
      <c r="H164" s="240"/>
      <c r="I164" s="239" t="str">
        <f>IF($C164="","",IF(AND(Parametres!F4&lt;&gt;"",Synthese_Programme!M164="Acté"),$D164*Parametres!E4,""))</f>
        <v/>
      </c>
      <c r="J164" s="240"/>
      <c r="K164" s="239" t="str">
        <f>IF($C164="","",IF(AND(Parametres!F5&lt;&gt;"",Synthese_Programme!M164="Acté"),$D164*Parametres!E5,""))</f>
        <v/>
      </c>
      <c r="L164" s="240"/>
      <c r="M164" s="239" t="str">
        <f>IF($C164="","",IF(AND(Parametres!F6&lt;&gt;"",Synthese_Programme!M164="Acté"),$D164*Parametres!E6,""))</f>
        <v/>
      </c>
      <c r="N164" s="240"/>
      <c r="O164" s="239" t="str">
        <f>IF($C164="","",IF(AND(Parametres!F7&lt;&gt;"",Synthese_Programme!M164="Acté"),$D164*Parametres!E7,""))</f>
        <v/>
      </c>
      <c r="P164" s="240"/>
      <c r="Q164" s="238" t="str">
        <f t="shared" si="6"/>
        <v/>
      </c>
      <c r="R164" s="238" t="str">
        <f t="shared" si="7"/>
        <v/>
      </c>
      <c r="S164" s="238" t="str">
        <f t="shared" si="8"/>
        <v/>
      </c>
    </row>
    <row r="165" spans="1:19" ht="24" customHeight="1" x14ac:dyDescent="0.45">
      <c r="A165" s="237" t="str">
        <f>IFERROR(IF(Base_de_donnée_clients!A165="","",Base_de_donnée_clients!A165),"")</f>
        <v/>
      </c>
      <c r="B165" s="226" t="str">
        <f>IFERROR(IF(Base_de_donnée_clients!B165="","",Base_de_donnée_clients!B165),"")</f>
        <v/>
      </c>
      <c r="C165" s="226" t="str">
        <f>IFERROR(IF(Base_de_donnée_clients!C165="","",Base_de_donnée_clients!C165),"")</f>
        <v/>
      </c>
      <c r="D165" s="238" t="str">
        <f>IFERROR(IF(OR(Synthese_Programme!M165="Réservé",Synthese_Programme!M165="Acté",Synthese_Programme!M165="réservé",Synthese_Programme!M165="acté"),Synthese_Programme!K165,""),"")</f>
        <v/>
      </c>
      <c r="E165" s="239" t="str">
        <f>IFERROR(IF(OR(Synthese_Programme!M165="Réservé",Synthese_Programme!M165="Acté",Synthese_Programme!M165="réservé",Synthese_Programme!M165="acté"),$D165*Parametres!E2,""),"")</f>
        <v/>
      </c>
      <c r="F165" s="240" t="str">
        <f>IFERROR(IF(Base_de_donnée_clients!J165="","",Base_de_donnée_clients!J165),"")</f>
        <v/>
      </c>
      <c r="G165" s="239" t="str">
        <f>IF($C165="","",IF(AND(Parametres!F3&lt;&gt;"",Synthese_Programme!M165="Acté"),$D165*Parametres!E3,""))</f>
        <v/>
      </c>
      <c r="H165" s="240"/>
      <c r="I165" s="239" t="str">
        <f>IF($C165="","",IF(AND(Parametres!F4&lt;&gt;"",Synthese_Programme!M165="Acté"),$D165*Parametres!E4,""))</f>
        <v/>
      </c>
      <c r="J165" s="240"/>
      <c r="K165" s="239" t="str">
        <f>IF($C165="","",IF(AND(Parametres!F5&lt;&gt;"",Synthese_Programme!M165="Acté"),$D165*Parametres!E5,""))</f>
        <v/>
      </c>
      <c r="L165" s="240"/>
      <c r="M165" s="239" t="str">
        <f>IF($C165="","",IF(AND(Parametres!F6&lt;&gt;"",Synthese_Programme!M165="Acté"),$D165*Parametres!E6,""))</f>
        <v/>
      </c>
      <c r="N165" s="240"/>
      <c r="O165" s="239" t="str">
        <f>IF($C165="","",IF(AND(Parametres!F7&lt;&gt;"",Synthese_Programme!M165="Acté"),$D165*Parametres!E7,""))</f>
        <v/>
      </c>
      <c r="P165" s="240"/>
      <c r="Q165" s="238" t="str">
        <f t="shared" si="6"/>
        <v/>
      </c>
      <c r="R165" s="238" t="str">
        <f t="shared" si="7"/>
        <v/>
      </c>
      <c r="S165" s="238" t="str">
        <f t="shared" si="8"/>
        <v/>
      </c>
    </row>
    <row r="166" spans="1:19" ht="24" customHeight="1" x14ac:dyDescent="0.45">
      <c r="A166" s="237" t="str">
        <f>IFERROR(IF(Base_de_donnée_clients!A166="","",Base_de_donnée_clients!A166),"")</f>
        <v/>
      </c>
      <c r="B166" s="226" t="str">
        <f>IFERROR(IF(Base_de_donnée_clients!B166="","",Base_de_donnée_clients!B166),"")</f>
        <v/>
      </c>
      <c r="C166" s="226" t="str">
        <f>IFERROR(IF(Base_de_donnée_clients!C166="","",Base_de_donnée_clients!C166),"")</f>
        <v/>
      </c>
      <c r="D166" s="238" t="str">
        <f>IFERROR(IF(OR(Synthese_Programme!M166="Réservé",Synthese_Programme!M166="Acté",Synthese_Programme!M166="réservé",Synthese_Programme!M166="acté"),Synthese_Programme!K166,""),"")</f>
        <v/>
      </c>
      <c r="E166" s="239" t="str">
        <f>IFERROR(IF(OR(Synthese_Programme!M166="Réservé",Synthese_Programme!M166="Acté",Synthese_Programme!M166="réservé",Synthese_Programme!M166="acté"),$D166*Parametres!E2,""),"")</f>
        <v/>
      </c>
      <c r="F166" s="240" t="str">
        <f>IFERROR(IF(Base_de_donnée_clients!J166="","",Base_de_donnée_clients!J166),"")</f>
        <v/>
      </c>
      <c r="G166" s="239" t="str">
        <f>IF($C166="","",IF(AND(Parametres!F3&lt;&gt;"",Synthese_Programme!M166="Acté"),$D166*Parametres!E3,""))</f>
        <v/>
      </c>
      <c r="H166" s="240"/>
      <c r="I166" s="239" t="str">
        <f>IF($C166="","",IF(AND(Parametres!F4&lt;&gt;"",Synthese_Programme!M166="Acté"),$D166*Parametres!E4,""))</f>
        <v/>
      </c>
      <c r="J166" s="240"/>
      <c r="K166" s="239" t="str">
        <f>IF($C166="","",IF(AND(Parametres!F5&lt;&gt;"",Synthese_Programme!M166="Acté"),$D166*Parametres!E5,""))</f>
        <v/>
      </c>
      <c r="L166" s="240"/>
      <c r="M166" s="239" t="str">
        <f>IF($C166="","",IF(AND(Parametres!F6&lt;&gt;"",Synthese_Programme!M166="Acté"),$D166*Parametres!E6,""))</f>
        <v/>
      </c>
      <c r="N166" s="240"/>
      <c r="O166" s="239" t="str">
        <f>IF($C166="","",IF(AND(Parametres!F7&lt;&gt;"",Synthese_Programme!M166="Acté"),$D166*Parametres!E7,""))</f>
        <v/>
      </c>
      <c r="P166" s="240"/>
      <c r="Q166" s="238" t="str">
        <f t="shared" si="6"/>
        <v/>
      </c>
      <c r="R166" s="238" t="str">
        <f t="shared" si="7"/>
        <v/>
      </c>
      <c r="S166" s="238" t="str">
        <f t="shared" si="8"/>
        <v/>
      </c>
    </row>
    <row r="167" spans="1:19" ht="24" customHeight="1" x14ac:dyDescent="0.45">
      <c r="A167" s="237" t="str">
        <f>IFERROR(IF(Base_de_donnée_clients!A167="","",Base_de_donnée_clients!A167),"")</f>
        <v/>
      </c>
      <c r="B167" s="226" t="str">
        <f>IFERROR(IF(Base_de_donnée_clients!B167="","",Base_de_donnée_clients!B167),"")</f>
        <v/>
      </c>
      <c r="C167" s="226" t="str">
        <f>IFERROR(IF(Base_de_donnée_clients!C167="","",Base_de_donnée_clients!C167),"")</f>
        <v/>
      </c>
      <c r="D167" s="238" t="str">
        <f>IFERROR(IF(OR(Synthese_Programme!M167="Réservé",Synthese_Programme!M167="Acté",Synthese_Programme!M167="réservé",Synthese_Programme!M167="acté"),Synthese_Programme!K167,""),"")</f>
        <v/>
      </c>
      <c r="E167" s="239" t="str">
        <f>IFERROR(IF(OR(Synthese_Programme!M167="Réservé",Synthese_Programme!M167="Acté",Synthese_Programme!M167="réservé",Synthese_Programme!M167="acté"),$D167*Parametres!E2,""),"")</f>
        <v/>
      </c>
      <c r="F167" s="240" t="str">
        <f>IFERROR(IF(Base_de_donnée_clients!J167="","",Base_de_donnée_clients!J167),"")</f>
        <v/>
      </c>
      <c r="G167" s="239" t="str">
        <f>IF($C167="","",IF(AND(Parametres!F3&lt;&gt;"",Synthese_Programme!M167="Acté"),$D167*Parametres!E3,""))</f>
        <v/>
      </c>
      <c r="H167" s="240"/>
      <c r="I167" s="239" t="str">
        <f>IF($C167="","",IF(AND(Parametres!F4&lt;&gt;"",Synthese_Programme!M167="Acté"),$D167*Parametres!E4,""))</f>
        <v/>
      </c>
      <c r="J167" s="240"/>
      <c r="K167" s="239" t="str">
        <f>IF($C167="","",IF(AND(Parametres!F5&lt;&gt;"",Synthese_Programme!M167="Acté"),$D167*Parametres!E5,""))</f>
        <v/>
      </c>
      <c r="L167" s="240"/>
      <c r="M167" s="239" t="str">
        <f>IF($C167="","",IF(AND(Parametres!F6&lt;&gt;"",Synthese_Programme!M167="Acté"),$D167*Parametres!E6,""))</f>
        <v/>
      </c>
      <c r="N167" s="240"/>
      <c r="O167" s="239" t="str">
        <f>IF($C167="","",IF(AND(Parametres!F7&lt;&gt;"",Synthese_Programme!M167="Acté"),$D167*Parametres!E7,""))</f>
        <v/>
      </c>
      <c r="P167" s="240"/>
      <c r="Q167" s="238" t="str">
        <f t="shared" si="6"/>
        <v/>
      </c>
      <c r="R167" s="238" t="str">
        <f t="shared" si="7"/>
        <v/>
      </c>
      <c r="S167" s="238" t="str">
        <f t="shared" si="8"/>
        <v/>
      </c>
    </row>
    <row r="168" spans="1:19" ht="24" customHeight="1" x14ac:dyDescent="0.45">
      <c r="A168" s="237" t="str">
        <f>IFERROR(IF(Base_de_donnée_clients!A168="","",Base_de_donnée_clients!A168),"")</f>
        <v/>
      </c>
      <c r="B168" s="226" t="str">
        <f>IFERROR(IF(Base_de_donnée_clients!B168="","",Base_de_donnée_clients!B168),"")</f>
        <v/>
      </c>
      <c r="C168" s="226" t="str">
        <f>IFERROR(IF(Base_de_donnée_clients!C168="","",Base_de_donnée_clients!C168),"")</f>
        <v/>
      </c>
      <c r="D168" s="238" t="str">
        <f>IFERROR(IF(OR(Synthese_Programme!M168="Réservé",Synthese_Programme!M168="Acté",Synthese_Programme!M168="réservé",Synthese_Programme!M168="acté"),Synthese_Programme!K168,""),"")</f>
        <v/>
      </c>
      <c r="E168" s="239" t="str">
        <f>IFERROR(IF(OR(Synthese_Programme!M168="Réservé",Synthese_Programme!M168="Acté",Synthese_Programme!M168="réservé",Synthese_Programme!M168="acté"),$D168*Parametres!E2,""),"")</f>
        <v/>
      </c>
      <c r="F168" s="240" t="str">
        <f>IFERROR(IF(Base_de_donnée_clients!J168="","",Base_de_donnée_clients!J168),"")</f>
        <v/>
      </c>
      <c r="G168" s="239" t="str">
        <f>IF($C168="","",IF(AND(Parametres!F3&lt;&gt;"",Synthese_Programme!M168="Acté"),$D168*Parametres!E3,""))</f>
        <v/>
      </c>
      <c r="H168" s="240"/>
      <c r="I168" s="239" t="str">
        <f>IF($C168="","",IF(AND(Parametres!F4&lt;&gt;"",Synthese_Programme!M168="Acté"),$D168*Parametres!E4,""))</f>
        <v/>
      </c>
      <c r="J168" s="240"/>
      <c r="K168" s="239" t="str">
        <f>IF($C168="","",IF(AND(Parametres!F5&lt;&gt;"",Synthese_Programme!M168="Acté"),$D168*Parametres!E5,""))</f>
        <v/>
      </c>
      <c r="L168" s="240"/>
      <c r="M168" s="239" t="str">
        <f>IF($C168="","",IF(AND(Parametres!F6&lt;&gt;"",Synthese_Programme!M168="Acté"),$D168*Parametres!E6,""))</f>
        <v/>
      </c>
      <c r="N168" s="240"/>
      <c r="O168" s="239" t="str">
        <f>IF($C168="","",IF(AND(Parametres!F7&lt;&gt;"",Synthese_Programme!M168="Acté"),$D168*Parametres!E7,""))</f>
        <v/>
      </c>
      <c r="P168" s="240"/>
      <c r="Q168" s="238" t="str">
        <f t="shared" si="6"/>
        <v/>
      </c>
      <c r="R168" s="238" t="str">
        <f t="shared" si="7"/>
        <v/>
      </c>
      <c r="S168" s="238" t="str">
        <f t="shared" si="8"/>
        <v/>
      </c>
    </row>
    <row r="169" spans="1:19" ht="24" customHeight="1" x14ac:dyDescent="0.45">
      <c r="A169" s="237" t="str">
        <f>IFERROR(IF(Base_de_donnée_clients!A169="","",Base_de_donnée_clients!A169),"")</f>
        <v/>
      </c>
      <c r="B169" s="226" t="str">
        <f>IFERROR(IF(Base_de_donnée_clients!B169="","",Base_de_donnée_clients!B169),"")</f>
        <v/>
      </c>
      <c r="C169" s="226" t="str">
        <f>IFERROR(IF(Base_de_donnée_clients!C169="","",Base_de_donnée_clients!C169),"")</f>
        <v/>
      </c>
      <c r="D169" s="238" t="str">
        <f>IFERROR(IF(OR(Synthese_Programme!M169="Réservé",Synthese_Programme!M169="Acté",Synthese_Programme!M169="réservé",Synthese_Programme!M169="acté"),Synthese_Programme!K169,""),"")</f>
        <v/>
      </c>
      <c r="E169" s="239" t="str">
        <f>IFERROR(IF(OR(Synthese_Programme!M169="Réservé",Synthese_Programme!M169="Acté",Synthese_Programme!M169="réservé",Synthese_Programme!M169="acté"),$D169*Parametres!E2,""),"")</f>
        <v/>
      </c>
      <c r="F169" s="240" t="str">
        <f>IFERROR(IF(Base_de_donnée_clients!J169="","",Base_de_donnée_clients!J169),"")</f>
        <v/>
      </c>
      <c r="G169" s="239" t="str">
        <f>IF($C169="","",IF(AND(Parametres!F3&lt;&gt;"",Synthese_Programme!M169="Acté"),$D169*Parametres!E3,""))</f>
        <v/>
      </c>
      <c r="H169" s="240"/>
      <c r="I169" s="239" t="str">
        <f>IF($C169="","",IF(AND(Parametres!F4&lt;&gt;"",Synthese_Programme!M169="Acté"),$D169*Parametres!E4,""))</f>
        <v/>
      </c>
      <c r="J169" s="240"/>
      <c r="K169" s="239" t="str">
        <f>IF($C169="","",IF(AND(Parametres!F5&lt;&gt;"",Synthese_Programme!M169="Acté"),$D169*Parametres!E5,""))</f>
        <v/>
      </c>
      <c r="L169" s="240"/>
      <c r="M169" s="239" t="str">
        <f>IF($C169="","",IF(AND(Parametres!F6&lt;&gt;"",Synthese_Programme!M169="Acté"),$D169*Parametres!E6,""))</f>
        <v/>
      </c>
      <c r="N169" s="240"/>
      <c r="O169" s="239" t="str">
        <f>IF($C169="","",IF(AND(Parametres!F7&lt;&gt;"",Synthese_Programme!M169="Acté"),$D169*Parametres!E7,""))</f>
        <v/>
      </c>
      <c r="P169" s="240"/>
      <c r="Q169" s="238" t="str">
        <f t="shared" si="6"/>
        <v/>
      </c>
      <c r="R169" s="238" t="str">
        <f t="shared" si="7"/>
        <v/>
      </c>
      <c r="S169" s="238" t="str">
        <f t="shared" si="8"/>
        <v/>
      </c>
    </row>
    <row r="170" spans="1:19" ht="24" customHeight="1" x14ac:dyDescent="0.45">
      <c r="A170" s="237" t="str">
        <f>IFERROR(IF(Base_de_donnée_clients!A170="","",Base_de_donnée_clients!A170),"")</f>
        <v/>
      </c>
      <c r="B170" s="226" t="str">
        <f>IFERROR(IF(Base_de_donnée_clients!B170="","",Base_de_donnée_clients!B170),"")</f>
        <v/>
      </c>
      <c r="C170" s="226" t="str">
        <f>IFERROR(IF(Base_de_donnée_clients!C170="","",Base_de_donnée_clients!C170),"")</f>
        <v/>
      </c>
      <c r="D170" s="238" t="str">
        <f>IFERROR(IF(OR(Synthese_Programme!M170="Réservé",Synthese_Programme!M170="Acté",Synthese_Programme!M170="réservé",Synthese_Programme!M170="acté"),Synthese_Programme!K170,""),"")</f>
        <v/>
      </c>
      <c r="E170" s="239" t="str">
        <f>IFERROR(IF(OR(Synthese_Programme!M170="Réservé",Synthese_Programme!M170="Acté",Synthese_Programme!M170="réservé",Synthese_Programme!M170="acté"),$D170*Parametres!E2,""),"")</f>
        <v/>
      </c>
      <c r="F170" s="240" t="str">
        <f>IFERROR(IF(Base_de_donnée_clients!J170="","",Base_de_donnée_clients!J170),"")</f>
        <v/>
      </c>
      <c r="G170" s="239" t="str">
        <f>IF($C170="","",IF(AND(Parametres!F3&lt;&gt;"",Synthese_Programme!M170="Acté"),$D170*Parametres!E3,""))</f>
        <v/>
      </c>
      <c r="H170" s="240"/>
      <c r="I170" s="239" t="str">
        <f>IF($C170="","",IF(AND(Parametres!F4&lt;&gt;"",Synthese_Programme!M170="Acté"),$D170*Parametres!E4,""))</f>
        <v/>
      </c>
      <c r="J170" s="240"/>
      <c r="K170" s="239" t="str">
        <f>IF($C170="","",IF(AND(Parametres!F5&lt;&gt;"",Synthese_Programme!M170="Acté"),$D170*Parametres!E5,""))</f>
        <v/>
      </c>
      <c r="L170" s="240"/>
      <c r="M170" s="239" t="str">
        <f>IF($C170="","",IF(AND(Parametres!F6&lt;&gt;"",Synthese_Programme!M170="Acté"),$D170*Parametres!E6,""))</f>
        <v/>
      </c>
      <c r="N170" s="240"/>
      <c r="O170" s="239" t="str">
        <f>IF($C170="","",IF(AND(Parametres!F7&lt;&gt;"",Synthese_Programme!M170="Acté"),$D170*Parametres!E7,""))</f>
        <v/>
      </c>
      <c r="P170" s="240"/>
      <c r="Q170" s="238" t="str">
        <f t="shared" si="6"/>
        <v/>
      </c>
      <c r="R170" s="238" t="str">
        <f t="shared" si="7"/>
        <v/>
      </c>
      <c r="S170" s="238" t="str">
        <f t="shared" si="8"/>
        <v/>
      </c>
    </row>
    <row r="171" spans="1:19" ht="24" customHeight="1" x14ac:dyDescent="0.45">
      <c r="A171" s="237" t="str">
        <f>IFERROR(IF(Base_de_donnée_clients!A171="","",Base_de_donnée_clients!A171),"")</f>
        <v/>
      </c>
      <c r="B171" s="226" t="str">
        <f>IFERROR(IF(Base_de_donnée_clients!B171="","",Base_de_donnée_clients!B171),"")</f>
        <v/>
      </c>
      <c r="C171" s="226" t="str">
        <f>IFERROR(IF(Base_de_donnée_clients!C171="","",Base_de_donnée_clients!C171),"")</f>
        <v/>
      </c>
      <c r="D171" s="238" t="str">
        <f>IFERROR(IF(OR(Synthese_Programme!M171="Réservé",Synthese_Programme!M171="Acté",Synthese_Programme!M171="réservé",Synthese_Programme!M171="acté"),Synthese_Programme!K171,""),"")</f>
        <v/>
      </c>
      <c r="E171" s="239" t="str">
        <f>IFERROR(IF(OR(Synthese_Programme!M171="Réservé",Synthese_Programme!M171="Acté",Synthese_Programme!M171="réservé",Synthese_Programme!M171="acté"),$D171*Parametres!E2,""),"")</f>
        <v/>
      </c>
      <c r="F171" s="240" t="str">
        <f>IFERROR(IF(Base_de_donnée_clients!J171="","",Base_de_donnée_clients!J171),"")</f>
        <v/>
      </c>
      <c r="G171" s="239" t="str">
        <f>IF($C171="","",IF(AND(Parametres!F3&lt;&gt;"",Synthese_Programme!M171="Acté"),$D171*Parametres!E3,""))</f>
        <v/>
      </c>
      <c r="H171" s="240"/>
      <c r="I171" s="239" t="str">
        <f>IF($C171="","",IF(AND(Parametres!F4&lt;&gt;"",Synthese_Programme!M171="Acté"),$D171*Parametres!E4,""))</f>
        <v/>
      </c>
      <c r="J171" s="240"/>
      <c r="K171" s="239" t="str">
        <f>IF($C171="","",IF(AND(Parametres!F5&lt;&gt;"",Synthese_Programme!M171="Acté"),$D171*Parametres!E5,""))</f>
        <v/>
      </c>
      <c r="L171" s="240"/>
      <c r="M171" s="239" t="str">
        <f>IF($C171="","",IF(AND(Parametres!F6&lt;&gt;"",Synthese_Programme!M171="Acté"),$D171*Parametres!E6,""))</f>
        <v/>
      </c>
      <c r="N171" s="240"/>
      <c r="O171" s="239" t="str">
        <f>IF($C171="","",IF(AND(Parametres!F7&lt;&gt;"",Synthese_Programme!M171="Acté"),$D171*Parametres!E7,""))</f>
        <v/>
      </c>
      <c r="P171" s="240"/>
      <c r="Q171" s="238" t="str">
        <f t="shared" si="6"/>
        <v/>
      </c>
      <c r="R171" s="238" t="str">
        <f t="shared" si="7"/>
        <v/>
      </c>
      <c r="S171" s="238" t="str">
        <f t="shared" si="8"/>
        <v/>
      </c>
    </row>
    <row r="172" spans="1:19" ht="24" customHeight="1" x14ac:dyDescent="0.45">
      <c r="A172" s="237" t="str">
        <f>IFERROR(IF(Base_de_donnée_clients!A172="","",Base_de_donnée_clients!A172),"")</f>
        <v/>
      </c>
      <c r="B172" s="226" t="str">
        <f>IFERROR(IF(Base_de_donnée_clients!B172="","",Base_de_donnée_clients!B172),"")</f>
        <v/>
      </c>
      <c r="C172" s="226" t="str">
        <f>IFERROR(IF(Base_de_donnée_clients!C172="","",Base_de_donnée_clients!C172),"")</f>
        <v/>
      </c>
      <c r="D172" s="238" t="str">
        <f>IFERROR(IF(OR(Synthese_Programme!M172="Réservé",Synthese_Programme!M172="Acté",Synthese_Programme!M172="réservé",Synthese_Programme!M172="acté"),Synthese_Programme!K172,""),"")</f>
        <v/>
      </c>
      <c r="E172" s="239" t="str">
        <f>IFERROR(IF(OR(Synthese_Programme!M172="Réservé",Synthese_Programme!M172="Acté",Synthese_Programme!M172="réservé",Synthese_Programme!M172="acté"),$D172*Parametres!E2,""),"")</f>
        <v/>
      </c>
      <c r="F172" s="240" t="str">
        <f>IFERROR(IF(Base_de_donnée_clients!J172="","",Base_de_donnée_clients!J172),"")</f>
        <v/>
      </c>
      <c r="G172" s="239" t="str">
        <f>IF($C172="","",IF(AND(Parametres!F3&lt;&gt;"",Synthese_Programme!M172="Acté"),$D172*Parametres!E3,""))</f>
        <v/>
      </c>
      <c r="H172" s="240"/>
      <c r="I172" s="239" t="str">
        <f>IF($C172="","",IF(AND(Parametres!F4&lt;&gt;"",Synthese_Programme!M172="Acté"),$D172*Parametres!E4,""))</f>
        <v/>
      </c>
      <c r="J172" s="240"/>
      <c r="K172" s="239" t="str">
        <f>IF($C172="","",IF(AND(Parametres!F5&lt;&gt;"",Synthese_Programme!M172="Acté"),$D172*Parametres!E5,""))</f>
        <v/>
      </c>
      <c r="L172" s="240"/>
      <c r="M172" s="239" t="str">
        <f>IF($C172="","",IF(AND(Parametres!F6&lt;&gt;"",Synthese_Programme!M172="Acté"),$D172*Parametres!E6,""))</f>
        <v/>
      </c>
      <c r="N172" s="240"/>
      <c r="O172" s="239" t="str">
        <f>IF($C172="","",IF(AND(Parametres!F7&lt;&gt;"",Synthese_Programme!M172="Acté"),$D172*Parametres!E7,""))</f>
        <v/>
      </c>
      <c r="P172" s="240"/>
      <c r="Q172" s="238" t="str">
        <f t="shared" si="6"/>
        <v/>
      </c>
      <c r="R172" s="238" t="str">
        <f t="shared" si="7"/>
        <v/>
      </c>
      <c r="S172" s="238" t="str">
        <f t="shared" si="8"/>
        <v/>
      </c>
    </row>
    <row r="173" spans="1:19" ht="24" customHeight="1" x14ac:dyDescent="0.45">
      <c r="A173" s="237" t="str">
        <f>IFERROR(IF(Base_de_donnée_clients!A173="","",Base_de_donnée_clients!A173),"")</f>
        <v/>
      </c>
      <c r="B173" s="226" t="str">
        <f>IFERROR(IF(Base_de_donnée_clients!B173="","",Base_de_donnée_clients!B173),"")</f>
        <v/>
      </c>
      <c r="C173" s="226" t="str">
        <f>IFERROR(IF(Base_de_donnée_clients!C173="","",Base_de_donnée_clients!C173),"")</f>
        <v/>
      </c>
      <c r="D173" s="238" t="str">
        <f>IFERROR(IF(OR(Synthese_Programme!M173="Réservé",Synthese_Programme!M173="Acté",Synthese_Programme!M173="réservé",Synthese_Programme!M173="acté"),Synthese_Programme!K173,""),"")</f>
        <v/>
      </c>
      <c r="E173" s="239" t="str">
        <f>IFERROR(IF(OR(Synthese_Programme!M173="Réservé",Synthese_Programme!M173="Acté",Synthese_Programme!M173="réservé",Synthese_Programme!M173="acté"),$D173*Parametres!E2,""),"")</f>
        <v/>
      </c>
      <c r="F173" s="240" t="str">
        <f>IFERROR(IF(Base_de_donnée_clients!J173="","",Base_de_donnée_clients!J173),"")</f>
        <v/>
      </c>
      <c r="G173" s="239" t="str">
        <f>IF($C173="","",IF(AND(Parametres!F3&lt;&gt;"",Synthese_Programme!M173="Acté"),$D173*Parametres!E3,""))</f>
        <v/>
      </c>
      <c r="H173" s="240"/>
      <c r="I173" s="239" t="str">
        <f>IF($C173="","",IF(AND(Parametres!F4&lt;&gt;"",Synthese_Programme!M173="Acté"),$D173*Parametres!E4,""))</f>
        <v/>
      </c>
      <c r="J173" s="240"/>
      <c r="K173" s="239" t="str">
        <f>IF($C173="","",IF(AND(Parametres!F5&lt;&gt;"",Synthese_Programme!M173="Acté"),$D173*Parametres!E5,""))</f>
        <v/>
      </c>
      <c r="L173" s="240"/>
      <c r="M173" s="239" t="str">
        <f>IF($C173="","",IF(AND(Parametres!F6&lt;&gt;"",Synthese_Programme!M173="Acté"),$D173*Parametres!E6,""))</f>
        <v/>
      </c>
      <c r="N173" s="240"/>
      <c r="O173" s="239" t="str">
        <f>IF($C173="","",IF(AND(Parametres!F7&lt;&gt;"",Synthese_Programme!M173="Acté"),$D173*Parametres!E7,""))</f>
        <v/>
      </c>
      <c r="P173" s="240"/>
      <c r="Q173" s="238" t="str">
        <f t="shared" si="6"/>
        <v/>
      </c>
      <c r="R173" s="238" t="str">
        <f t="shared" si="7"/>
        <v/>
      </c>
      <c r="S173" s="238" t="str">
        <f t="shared" si="8"/>
        <v/>
      </c>
    </row>
    <row r="174" spans="1:19" ht="24" customHeight="1" x14ac:dyDescent="0.45">
      <c r="A174" s="237" t="str">
        <f>IFERROR(IF(Base_de_donnée_clients!A174="","",Base_de_donnée_clients!A174),"")</f>
        <v/>
      </c>
      <c r="B174" s="226" t="str">
        <f>IFERROR(IF(Base_de_donnée_clients!B174="","",Base_de_donnée_clients!B174),"")</f>
        <v/>
      </c>
      <c r="C174" s="226" t="str">
        <f>IFERROR(IF(Base_de_donnée_clients!C174="","",Base_de_donnée_clients!C174),"")</f>
        <v/>
      </c>
      <c r="D174" s="238" t="str">
        <f>IFERROR(IF(OR(Synthese_Programme!M174="Réservé",Synthese_Programme!M174="Acté",Synthese_Programme!M174="réservé",Synthese_Programme!M174="acté"),Synthese_Programme!K174,""),"")</f>
        <v/>
      </c>
      <c r="E174" s="239" t="str">
        <f>IFERROR(IF(OR(Synthese_Programme!M174="Réservé",Synthese_Programme!M174="Acté",Synthese_Programme!M174="réservé",Synthese_Programme!M174="acté"),$D174*Parametres!E2,""),"")</f>
        <v/>
      </c>
      <c r="F174" s="240" t="str">
        <f>IFERROR(IF(Base_de_donnée_clients!J174="","",Base_de_donnée_clients!J174),"")</f>
        <v/>
      </c>
      <c r="G174" s="239" t="str">
        <f>IF($C174="","",IF(AND(Parametres!F3&lt;&gt;"",Synthese_Programme!M174="Acté"),$D174*Parametres!E3,""))</f>
        <v/>
      </c>
      <c r="H174" s="240"/>
      <c r="I174" s="239" t="str">
        <f>IF($C174="","",IF(AND(Parametres!F4&lt;&gt;"",Synthese_Programme!M174="Acté"),$D174*Parametres!E4,""))</f>
        <v/>
      </c>
      <c r="J174" s="240"/>
      <c r="K174" s="239" t="str">
        <f>IF($C174="","",IF(AND(Parametres!F5&lt;&gt;"",Synthese_Programme!M174="Acté"),$D174*Parametres!E5,""))</f>
        <v/>
      </c>
      <c r="L174" s="240"/>
      <c r="M174" s="239" t="str">
        <f>IF($C174="","",IF(AND(Parametres!F6&lt;&gt;"",Synthese_Programme!M174="Acté"),$D174*Parametres!E6,""))</f>
        <v/>
      </c>
      <c r="N174" s="240"/>
      <c r="O174" s="239" t="str">
        <f>IF($C174="","",IF(AND(Parametres!F7&lt;&gt;"",Synthese_Programme!M174="Acté"),$D174*Parametres!E7,""))</f>
        <v/>
      </c>
      <c r="P174" s="240"/>
      <c r="Q174" s="238" t="str">
        <f t="shared" si="6"/>
        <v/>
      </c>
      <c r="R174" s="238" t="str">
        <f t="shared" si="7"/>
        <v/>
      </c>
      <c r="S174" s="238" t="str">
        <f t="shared" si="8"/>
        <v/>
      </c>
    </row>
    <row r="175" spans="1:19" ht="24" customHeight="1" x14ac:dyDescent="0.45">
      <c r="A175" s="237" t="str">
        <f>IFERROR(IF(Base_de_donnée_clients!A175="","",Base_de_donnée_clients!A175),"")</f>
        <v/>
      </c>
      <c r="B175" s="226" t="str">
        <f>IFERROR(IF(Base_de_donnée_clients!B175="","",Base_de_donnée_clients!B175),"")</f>
        <v/>
      </c>
      <c r="C175" s="226" t="str">
        <f>IFERROR(IF(Base_de_donnée_clients!C175="","",Base_de_donnée_clients!C175),"")</f>
        <v/>
      </c>
      <c r="D175" s="238" t="str">
        <f>IFERROR(IF(OR(Synthese_Programme!M175="Réservé",Synthese_Programme!M175="Acté",Synthese_Programme!M175="réservé",Synthese_Programme!M175="acté"),Synthese_Programme!K175,""),"")</f>
        <v/>
      </c>
      <c r="E175" s="239" t="str">
        <f>IFERROR(IF(OR(Synthese_Programme!M175="Réservé",Synthese_Programme!M175="Acté",Synthese_Programme!M175="réservé",Synthese_Programme!M175="acté"),$D175*Parametres!E2,""),"")</f>
        <v/>
      </c>
      <c r="F175" s="240" t="str">
        <f>IFERROR(IF(Base_de_donnée_clients!J175="","",Base_de_donnée_clients!J175),"")</f>
        <v/>
      </c>
      <c r="G175" s="239" t="str">
        <f>IF($C175="","",IF(AND(Parametres!F3&lt;&gt;"",Synthese_Programme!M175="Acté"),$D175*Parametres!E3,""))</f>
        <v/>
      </c>
      <c r="H175" s="240"/>
      <c r="I175" s="239" t="str">
        <f>IF($C175="","",IF(AND(Parametres!F4&lt;&gt;"",Synthese_Programme!M175="Acté"),$D175*Parametres!E4,""))</f>
        <v/>
      </c>
      <c r="J175" s="240"/>
      <c r="K175" s="239" t="str">
        <f>IF($C175="","",IF(AND(Parametres!F5&lt;&gt;"",Synthese_Programme!M175="Acté"),$D175*Parametres!E5,""))</f>
        <v/>
      </c>
      <c r="L175" s="240"/>
      <c r="M175" s="239" t="str">
        <f>IF($C175="","",IF(AND(Parametres!F6&lt;&gt;"",Synthese_Programme!M175="Acté"),$D175*Parametres!E6,""))</f>
        <v/>
      </c>
      <c r="N175" s="240"/>
      <c r="O175" s="239" t="str">
        <f>IF($C175="","",IF(AND(Parametres!F7&lt;&gt;"",Synthese_Programme!M175="Acté"),$D175*Parametres!E7,""))</f>
        <v/>
      </c>
      <c r="P175" s="240"/>
      <c r="Q175" s="238" t="str">
        <f t="shared" si="6"/>
        <v/>
      </c>
      <c r="R175" s="238" t="str">
        <f t="shared" si="7"/>
        <v/>
      </c>
      <c r="S175" s="238" t="str">
        <f t="shared" si="8"/>
        <v/>
      </c>
    </row>
    <row r="176" spans="1:19" ht="24" customHeight="1" x14ac:dyDescent="0.45">
      <c r="A176" s="237" t="str">
        <f>IFERROR(IF(Base_de_donnée_clients!A176="","",Base_de_donnée_clients!A176),"")</f>
        <v/>
      </c>
      <c r="B176" s="226" t="str">
        <f>IFERROR(IF(Base_de_donnée_clients!B176="","",Base_de_donnée_clients!B176),"")</f>
        <v/>
      </c>
      <c r="C176" s="226" t="str">
        <f>IFERROR(IF(Base_de_donnée_clients!C176="","",Base_de_donnée_clients!C176),"")</f>
        <v/>
      </c>
      <c r="D176" s="238" t="str">
        <f>IFERROR(IF(OR(Synthese_Programme!M176="Réservé",Synthese_Programme!M176="Acté",Synthese_Programme!M176="réservé",Synthese_Programme!M176="acté"),Synthese_Programme!K176,""),"")</f>
        <v/>
      </c>
      <c r="E176" s="239" t="str">
        <f>IFERROR(IF(OR(Synthese_Programme!M176="Réservé",Synthese_Programme!M176="Acté",Synthese_Programme!M176="réservé",Synthese_Programme!M176="acté"),$D176*Parametres!E2,""),"")</f>
        <v/>
      </c>
      <c r="F176" s="240" t="str">
        <f>IFERROR(IF(Base_de_donnée_clients!J176="","",Base_de_donnée_clients!J176),"")</f>
        <v/>
      </c>
      <c r="G176" s="239" t="str">
        <f>IF($C176="","",IF(AND(Parametres!F3&lt;&gt;"",Synthese_Programme!M176="Acté"),$D176*Parametres!E3,""))</f>
        <v/>
      </c>
      <c r="H176" s="240"/>
      <c r="I176" s="239" t="str">
        <f>IF($C176="","",IF(AND(Parametres!F4&lt;&gt;"",Synthese_Programme!M176="Acté"),$D176*Parametres!E4,""))</f>
        <v/>
      </c>
      <c r="J176" s="240"/>
      <c r="K176" s="239" t="str">
        <f>IF($C176="","",IF(AND(Parametres!F5&lt;&gt;"",Synthese_Programme!M176="Acté"),$D176*Parametres!E5,""))</f>
        <v/>
      </c>
      <c r="L176" s="240"/>
      <c r="M176" s="239" t="str">
        <f>IF($C176="","",IF(AND(Parametres!F6&lt;&gt;"",Synthese_Programme!M176="Acté"),$D176*Parametres!E6,""))</f>
        <v/>
      </c>
      <c r="N176" s="240"/>
      <c r="O176" s="239" t="str">
        <f>IF($C176="","",IF(AND(Parametres!F7&lt;&gt;"",Synthese_Programme!M176="Acté"),$D176*Parametres!E7,""))</f>
        <v/>
      </c>
      <c r="P176" s="240"/>
      <c r="Q176" s="238" t="str">
        <f t="shared" si="6"/>
        <v/>
      </c>
      <c r="R176" s="238" t="str">
        <f t="shared" si="7"/>
        <v/>
      </c>
      <c r="S176" s="238" t="str">
        <f t="shared" si="8"/>
        <v/>
      </c>
    </row>
    <row r="177" spans="1:19" ht="24" customHeight="1" x14ac:dyDescent="0.45">
      <c r="A177" s="237" t="str">
        <f>IFERROR(IF(Base_de_donnée_clients!A177="","",Base_de_donnée_clients!A177),"")</f>
        <v/>
      </c>
      <c r="B177" s="226" t="str">
        <f>IFERROR(IF(Base_de_donnée_clients!B177="","",Base_de_donnée_clients!B177),"")</f>
        <v/>
      </c>
      <c r="C177" s="226" t="str">
        <f>IFERROR(IF(Base_de_donnée_clients!C177="","",Base_de_donnée_clients!C177),"")</f>
        <v/>
      </c>
      <c r="D177" s="238" t="str">
        <f>IFERROR(IF(OR(Synthese_Programme!M177="Réservé",Synthese_Programme!M177="Acté",Synthese_Programme!M177="réservé",Synthese_Programme!M177="acté"),Synthese_Programme!K177,""),"")</f>
        <v/>
      </c>
      <c r="E177" s="239" t="str">
        <f>IFERROR(IF(OR(Synthese_Programme!M177="Réservé",Synthese_Programme!M177="Acté",Synthese_Programme!M177="réservé",Synthese_Programme!M177="acté"),$D177*Parametres!E2,""),"")</f>
        <v/>
      </c>
      <c r="F177" s="240" t="str">
        <f>IFERROR(IF(Base_de_donnée_clients!J177="","",Base_de_donnée_clients!J177),"")</f>
        <v/>
      </c>
      <c r="G177" s="239" t="str">
        <f>IF($C177="","",IF(AND(Parametres!F3&lt;&gt;"",Synthese_Programme!M177="Acté"),$D177*Parametres!E3,""))</f>
        <v/>
      </c>
      <c r="H177" s="240"/>
      <c r="I177" s="239" t="str">
        <f>IF($C177="","",IF(AND(Parametres!F4&lt;&gt;"",Synthese_Programme!M177="Acté"),$D177*Parametres!E4,""))</f>
        <v/>
      </c>
      <c r="J177" s="240"/>
      <c r="K177" s="239" t="str">
        <f>IF($C177="","",IF(AND(Parametres!F5&lt;&gt;"",Synthese_Programme!M177="Acté"),$D177*Parametres!E5,""))</f>
        <v/>
      </c>
      <c r="L177" s="240"/>
      <c r="M177" s="239" t="str">
        <f>IF($C177="","",IF(AND(Parametres!F6&lt;&gt;"",Synthese_Programme!M177="Acté"),$D177*Parametres!E6,""))</f>
        <v/>
      </c>
      <c r="N177" s="240"/>
      <c r="O177" s="239" t="str">
        <f>IF($C177="","",IF(AND(Parametres!F7&lt;&gt;"",Synthese_Programme!M177="Acté"),$D177*Parametres!E7,""))</f>
        <v/>
      </c>
      <c r="P177" s="240"/>
      <c r="Q177" s="238" t="str">
        <f t="shared" si="6"/>
        <v/>
      </c>
      <c r="R177" s="238" t="str">
        <f t="shared" si="7"/>
        <v/>
      </c>
      <c r="S177" s="238" t="str">
        <f t="shared" si="8"/>
        <v/>
      </c>
    </row>
    <row r="178" spans="1:19" ht="24" customHeight="1" x14ac:dyDescent="0.45">
      <c r="A178" s="237" t="str">
        <f>IFERROR(IF(Base_de_donnée_clients!A178="","",Base_de_donnée_clients!A178),"")</f>
        <v/>
      </c>
      <c r="B178" s="226" t="str">
        <f>IFERROR(IF(Base_de_donnée_clients!B178="","",Base_de_donnée_clients!B178),"")</f>
        <v/>
      </c>
      <c r="C178" s="226" t="str">
        <f>IFERROR(IF(Base_de_donnée_clients!C178="","",Base_de_donnée_clients!C178),"")</f>
        <v/>
      </c>
      <c r="D178" s="238" t="str">
        <f>IFERROR(IF(OR(Synthese_Programme!M178="Réservé",Synthese_Programme!M178="Acté",Synthese_Programme!M178="réservé",Synthese_Programme!M178="acté"),Synthese_Programme!K178,""),"")</f>
        <v/>
      </c>
      <c r="E178" s="239" t="str">
        <f>IFERROR(IF(OR(Synthese_Programme!M178="Réservé",Synthese_Programme!M178="Acté",Synthese_Programme!M178="réservé",Synthese_Programme!M178="acté"),$D178*Parametres!E2,""),"")</f>
        <v/>
      </c>
      <c r="F178" s="240" t="str">
        <f>IFERROR(IF(Base_de_donnée_clients!J178="","",Base_de_donnée_clients!J178),"")</f>
        <v/>
      </c>
      <c r="G178" s="239" t="str">
        <f>IF($C178="","",IF(AND(Parametres!F3&lt;&gt;"",Synthese_Programme!M178="Acté"),$D178*Parametres!E3,""))</f>
        <v/>
      </c>
      <c r="H178" s="240"/>
      <c r="I178" s="239" t="str">
        <f>IF($C178="","",IF(AND(Parametres!F4&lt;&gt;"",Synthese_Programme!M178="Acté"),$D178*Parametres!E4,""))</f>
        <v/>
      </c>
      <c r="J178" s="240"/>
      <c r="K178" s="239" t="str">
        <f>IF($C178="","",IF(AND(Parametres!F5&lt;&gt;"",Synthese_Programme!M178="Acté"),$D178*Parametres!E5,""))</f>
        <v/>
      </c>
      <c r="L178" s="240"/>
      <c r="M178" s="239" t="str">
        <f>IF($C178="","",IF(AND(Parametres!F6&lt;&gt;"",Synthese_Programme!M178="Acté"),$D178*Parametres!E6,""))</f>
        <v/>
      </c>
      <c r="N178" s="240"/>
      <c r="O178" s="239" t="str">
        <f>IF($C178="","",IF(AND(Parametres!F7&lt;&gt;"",Synthese_Programme!M178="Acté"),$D178*Parametres!E7,""))</f>
        <v/>
      </c>
      <c r="P178" s="240"/>
      <c r="Q178" s="238" t="str">
        <f t="shared" si="6"/>
        <v/>
      </c>
      <c r="R178" s="238" t="str">
        <f t="shared" si="7"/>
        <v/>
      </c>
      <c r="S178" s="238" t="str">
        <f t="shared" si="8"/>
        <v/>
      </c>
    </row>
    <row r="179" spans="1:19" ht="24" customHeight="1" x14ac:dyDescent="0.45">
      <c r="A179" s="237" t="str">
        <f>IFERROR(IF(Base_de_donnée_clients!A179="","",Base_de_donnée_clients!A179),"")</f>
        <v/>
      </c>
      <c r="B179" s="226" t="str">
        <f>IFERROR(IF(Base_de_donnée_clients!B179="","",Base_de_donnée_clients!B179),"")</f>
        <v/>
      </c>
      <c r="C179" s="226" t="str">
        <f>IFERROR(IF(Base_de_donnée_clients!C179="","",Base_de_donnée_clients!C179),"")</f>
        <v/>
      </c>
      <c r="D179" s="238" t="str">
        <f>IFERROR(IF(OR(Synthese_Programme!M179="Réservé",Synthese_Programme!M179="Acté",Synthese_Programme!M179="réservé",Synthese_Programme!M179="acté"),Synthese_Programme!K179,""),"")</f>
        <v/>
      </c>
      <c r="E179" s="239" t="str">
        <f>IFERROR(IF(OR(Synthese_Programme!M179="Réservé",Synthese_Programme!M179="Acté",Synthese_Programme!M179="réservé",Synthese_Programme!M179="acté"),$D179*Parametres!E2,""),"")</f>
        <v/>
      </c>
      <c r="F179" s="240" t="str">
        <f>IFERROR(IF(Base_de_donnée_clients!J179="","",Base_de_donnée_clients!J179),"")</f>
        <v/>
      </c>
      <c r="G179" s="239" t="str">
        <f>IF($C179="","",IF(AND(Parametres!F3&lt;&gt;"",Synthese_Programme!M179="Acté"),$D179*Parametres!E3,""))</f>
        <v/>
      </c>
      <c r="H179" s="240"/>
      <c r="I179" s="239" t="str">
        <f>IF($C179="","",IF(AND(Parametres!F4&lt;&gt;"",Synthese_Programme!M179="Acté"),$D179*Parametres!E4,""))</f>
        <v/>
      </c>
      <c r="J179" s="240"/>
      <c r="K179" s="239" t="str">
        <f>IF($C179="","",IF(AND(Parametres!F5&lt;&gt;"",Synthese_Programme!M179="Acté"),$D179*Parametres!E5,""))</f>
        <v/>
      </c>
      <c r="L179" s="240"/>
      <c r="M179" s="239" t="str">
        <f>IF($C179="","",IF(AND(Parametres!F6&lt;&gt;"",Synthese_Programme!M179="Acté"),$D179*Parametres!E6,""))</f>
        <v/>
      </c>
      <c r="N179" s="240"/>
      <c r="O179" s="239" t="str">
        <f>IF($C179="","",IF(AND(Parametres!F7&lt;&gt;"",Synthese_Programme!M179="Acté"),$D179*Parametres!E7,""))</f>
        <v/>
      </c>
      <c r="P179" s="240"/>
      <c r="Q179" s="238" t="str">
        <f t="shared" si="6"/>
        <v/>
      </c>
      <c r="R179" s="238" t="str">
        <f t="shared" si="7"/>
        <v/>
      </c>
      <c r="S179" s="238" t="str">
        <f t="shared" si="8"/>
        <v/>
      </c>
    </row>
    <row r="180" spans="1:19" ht="24" customHeight="1" x14ac:dyDescent="0.45">
      <c r="A180" s="237" t="str">
        <f>IFERROR(IF(Base_de_donnée_clients!A180="","",Base_de_donnée_clients!A180),"")</f>
        <v/>
      </c>
      <c r="B180" s="226" t="str">
        <f>IFERROR(IF(Base_de_donnée_clients!B180="","",Base_de_donnée_clients!B180),"")</f>
        <v/>
      </c>
      <c r="C180" s="226" t="str">
        <f>IFERROR(IF(Base_de_donnée_clients!C180="","",Base_de_donnée_clients!C180),"")</f>
        <v/>
      </c>
      <c r="D180" s="238" t="str">
        <f>IFERROR(IF(OR(Synthese_Programme!M180="Réservé",Synthese_Programme!M180="Acté",Synthese_Programme!M180="réservé",Synthese_Programme!M180="acté"),Synthese_Programme!K180,""),"")</f>
        <v/>
      </c>
      <c r="E180" s="239" t="str">
        <f>IFERROR(IF(OR(Synthese_Programme!M180="Réservé",Synthese_Programme!M180="Acté",Synthese_Programme!M180="réservé",Synthese_Programme!M180="acté"),$D180*Parametres!E2,""),"")</f>
        <v/>
      </c>
      <c r="F180" s="240" t="str">
        <f>IFERROR(IF(Base_de_donnée_clients!J180="","",Base_de_donnée_clients!J180),"")</f>
        <v/>
      </c>
      <c r="G180" s="239" t="str">
        <f>IF($C180="","",IF(AND(Parametres!F3&lt;&gt;"",Synthese_Programme!M180="Acté"),$D180*Parametres!E3,""))</f>
        <v/>
      </c>
      <c r="H180" s="240"/>
      <c r="I180" s="239" t="str">
        <f>IF($C180="","",IF(AND(Parametres!F4&lt;&gt;"",Synthese_Programme!M180="Acté"),$D180*Parametres!E4,""))</f>
        <v/>
      </c>
      <c r="J180" s="240"/>
      <c r="K180" s="239" t="str">
        <f>IF($C180="","",IF(AND(Parametres!F5&lt;&gt;"",Synthese_Programme!M180="Acté"),$D180*Parametres!E5,""))</f>
        <v/>
      </c>
      <c r="L180" s="240"/>
      <c r="M180" s="239" t="str">
        <f>IF($C180="","",IF(AND(Parametres!F6&lt;&gt;"",Synthese_Programme!M180="Acté"),$D180*Parametres!E6,""))</f>
        <v/>
      </c>
      <c r="N180" s="240"/>
      <c r="O180" s="239" t="str">
        <f>IF($C180="","",IF(AND(Parametres!F7&lt;&gt;"",Synthese_Programme!M180="Acté"),$D180*Parametres!E7,""))</f>
        <v/>
      </c>
      <c r="P180" s="240"/>
      <c r="Q180" s="238" t="str">
        <f t="shared" si="6"/>
        <v/>
      </c>
      <c r="R180" s="238" t="str">
        <f t="shared" si="7"/>
        <v/>
      </c>
      <c r="S180" s="238" t="str">
        <f t="shared" si="8"/>
        <v/>
      </c>
    </row>
    <row r="181" spans="1:19" ht="24" customHeight="1" x14ac:dyDescent="0.45">
      <c r="A181" s="237" t="str">
        <f>IFERROR(IF(Base_de_donnée_clients!A181="","",Base_de_donnée_clients!A181),"")</f>
        <v/>
      </c>
      <c r="B181" s="226" t="str">
        <f>IFERROR(IF(Base_de_donnée_clients!B181="","",Base_de_donnée_clients!B181),"")</f>
        <v/>
      </c>
      <c r="C181" s="226" t="str">
        <f>IFERROR(IF(Base_de_donnée_clients!C181="","",Base_de_donnée_clients!C181),"")</f>
        <v/>
      </c>
      <c r="D181" s="238" t="str">
        <f>IFERROR(IF(OR(Synthese_Programme!M181="Réservé",Synthese_Programme!M181="Acté",Synthese_Programme!M181="réservé",Synthese_Programme!M181="acté"),Synthese_Programme!K181,""),"")</f>
        <v/>
      </c>
      <c r="E181" s="239" t="str">
        <f>IFERROR(IF(OR(Synthese_Programme!M181="Réservé",Synthese_Programme!M181="Acté",Synthese_Programme!M181="réservé",Synthese_Programme!M181="acté"),$D181*Parametres!E2,""),"")</f>
        <v/>
      </c>
      <c r="F181" s="240" t="str">
        <f>IFERROR(IF(Base_de_donnée_clients!J181="","",Base_de_donnée_clients!J181),"")</f>
        <v/>
      </c>
      <c r="G181" s="239" t="str">
        <f>IF($C181="","",IF(AND(Parametres!F3&lt;&gt;"",Synthese_Programme!M181="Acté"),$D181*Parametres!E3,""))</f>
        <v/>
      </c>
      <c r="H181" s="240"/>
      <c r="I181" s="239" t="str">
        <f>IF($C181="","",IF(AND(Parametres!F4&lt;&gt;"",Synthese_Programme!M181="Acté"),$D181*Parametres!E4,""))</f>
        <v/>
      </c>
      <c r="J181" s="240"/>
      <c r="K181" s="239" t="str">
        <f>IF($C181="","",IF(AND(Parametres!F5&lt;&gt;"",Synthese_Programme!M181="Acté"),$D181*Parametres!E5,""))</f>
        <v/>
      </c>
      <c r="L181" s="240"/>
      <c r="M181" s="239" t="str">
        <f>IF($C181="","",IF(AND(Parametres!F6&lt;&gt;"",Synthese_Programme!M181="Acté"),$D181*Parametres!E6,""))</f>
        <v/>
      </c>
      <c r="N181" s="240"/>
      <c r="O181" s="239" t="str">
        <f>IF($C181="","",IF(AND(Parametres!F7&lt;&gt;"",Synthese_Programme!M181="Acté"),$D181*Parametres!E7,""))</f>
        <v/>
      </c>
      <c r="P181" s="240"/>
      <c r="Q181" s="238" t="str">
        <f t="shared" si="6"/>
        <v/>
      </c>
      <c r="R181" s="238" t="str">
        <f t="shared" si="7"/>
        <v/>
      </c>
      <c r="S181" s="238" t="str">
        <f t="shared" si="8"/>
        <v/>
      </c>
    </row>
    <row r="182" spans="1:19" ht="24" customHeight="1" x14ac:dyDescent="0.45">
      <c r="A182" s="237" t="str">
        <f>IFERROR(IF(Base_de_donnée_clients!A182="","",Base_de_donnée_clients!A182),"")</f>
        <v/>
      </c>
      <c r="B182" s="226" t="str">
        <f>IFERROR(IF(Base_de_donnée_clients!B182="","",Base_de_donnée_clients!B182),"")</f>
        <v/>
      </c>
      <c r="C182" s="226" t="str">
        <f>IFERROR(IF(Base_de_donnée_clients!C182="","",Base_de_donnée_clients!C182),"")</f>
        <v/>
      </c>
      <c r="D182" s="238" t="str">
        <f>IFERROR(IF(OR(Synthese_Programme!M182="Réservé",Synthese_Programme!M182="Acté",Synthese_Programme!M182="réservé",Synthese_Programme!M182="acté"),Synthese_Programme!K182,""),"")</f>
        <v/>
      </c>
      <c r="E182" s="239" t="str">
        <f>IFERROR(IF(OR(Synthese_Programme!M182="Réservé",Synthese_Programme!M182="Acté",Synthese_Programme!M182="réservé",Synthese_Programme!M182="acté"),$D182*Parametres!E2,""),"")</f>
        <v/>
      </c>
      <c r="F182" s="240" t="str">
        <f>IFERROR(IF(Base_de_donnée_clients!J182="","",Base_de_donnée_clients!J182),"")</f>
        <v/>
      </c>
      <c r="G182" s="239" t="str">
        <f>IF($C182="","",IF(AND(Parametres!F3&lt;&gt;"",Synthese_Programme!M182="Acté"),$D182*Parametres!E3,""))</f>
        <v/>
      </c>
      <c r="H182" s="240"/>
      <c r="I182" s="239" t="str">
        <f>IF($C182="","",IF(AND(Parametres!F4&lt;&gt;"",Synthese_Programme!M182="Acté"),$D182*Parametres!E4,""))</f>
        <v/>
      </c>
      <c r="J182" s="240"/>
      <c r="K182" s="239" t="str">
        <f>IF($C182="","",IF(AND(Parametres!F5&lt;&gt;"",Synthese_Programme!M182="Acté"),$D182*Parametres!E5,""))</f>
        <v/>
      </c>
      <c r="L182" s="240"/>
      <c r="M182" s="239" t="str">
        <f>IF($C182="","",IF(AND(Parametres!F6&lt;&gt;"",Synthese_Programme!M182="Acté"),$D182*Parametres!E6,""))</f>
        <v/>
      </c>
      <c r="N182" s="240"/>
      <c r="O182" s="239" t="str">
        <f>IF($C182="","",IF(AND(Parametres!F7&lt;&gt;"",Synthese_Programme!M182="Acté"),$D182*Parametres!E7,""))</f>
        <v/>
      </c>
      <c r="P182" s="240"/>
      <c r="Q182" s="238" t="str">
        <f t="shared" si="6"/>
        <v/>
      </c>
      <c r="R182" s="238" t="str">
        <f t="shared" si="7"/>
        <v/>
      </c>
      <c r="S182" s="238" t="str">
        <f t="shared" si="8"/>
        <v/>
      </c>
    </row>
    <row r="183" spans="1:19" ht="24" customHeight="1" x14ac:dyDescent="0.45">
      <c r="A183" s="237" t="str">
        <f>IFERROR(IF(Base_de_donnée_clients!A183="","",Base_de_donnée_clients!A183),"")</f>
        <v/>
      </c>
      <c r="B183" s="226" t="str">
        <f>IFERROR(IF(Base_de_donnée_clients!B183="","",Base_de_donnée_clients!B183),"")</f>
        <v/>
      </c>
      <c r="C183" s="226" t="str">
        <f>IFERROR(IF(Base_de_donnée_clients!C183="","",Base_de_donnée_clients!C183),"")</f>
        <v/>
      </c>
      <c r="D183" s="238" t="str">
        <f>IFERROR(IF(OR(Synthese_Programme!M183="Réservé",Synthese_Programme!M183="Acté",Synthese_Programme!M183="réservé",Synthese_Programme!M183="acté"),Synthese_Programme!K183,""),"")</f>
        <v/>
      </c>
      <c r="E183" s="239" t="str">
        <f>IFERROR(IF(OR(Synthese_Programme!M183="Réservé",Synthese_Programme!M183="Acté",Synthese_Programme!M183="réservé",Synthese_Programme!M183="acté"),$D183*Parametres!E2,""),"")</f>
        <v/>
      </c>
      <c r="F183" s="240" t="str">
        <f>IFERROR(IF(Base_de_donnée_clients!J183="","",Base_de_donnée_clients!J183),"")</f>
        <v/>
      </c>
      <c r="G183" s="239" t="str">
        <f>IF($C183="","",IF(AND(Parametres!F3&lt;&gt;"",Synthese_Programme!M183="Acté"),$D183*Parametres!E3,""))</f>
        <v/>
      </c>
      <c r="H183" s="240"/>
      <c r="I183" s="239" t="str">
        <f>IF($C183="","",IF(AND(Parametres!F4&lt;&gt;"",Synthese_Programme!M183="Acté"),$D183*Parametres!E4,""))</f>
        <v/>
      </c>
      <c r="J183" s="240"/>
      <c r="K183" s="239" t="str">
        <f>IF($C183="","",IF(AND(Parametres!F5&lt;&gt;"",Synthese_Programme!M183="Acté"),$D183*Parametres!E5,""))</f>
        <v/>
      </c>
      <c r="L183" s="240"/>
      <c r="M183" s="239" t="str">
        <f>IF($C183="","",IF(AND(Parametres!F6&lt;&gt;"",Synthese_Programme!M183="Acté"),$D183*Parametres!E6,""))</f>
        <v/>
      </c>
      <c r="N183" s="240"/>
      <c r="O183" s="239" t="str">
        <f>IF($C183="","",IF(AND(Parametres!F7&lt;&gt;"",Synthese_Programme!M183="Acté"),$D183*Parametres!E7,""))</f>
        <v/>
      </c>
      <c r="P183" s="240"/>
      <c r="Q183" s="238" t="str">
        <f t="shared" si="6"/>
        <v/>
      </c>
      <c r="R183" s="238" t="str">
        <f t="shared" si="7"/>
        <v/>
      </c>
      <c r="S183" s="238" t="str">
        <f t="shared" si="8"/>
        <v/>
      </c>
    </row>
    <row r="184" spans="1:19" ht="24" customHeight="1" x14ac:dyDescent="0.45">
      <c r="A184" s="237" t="str">
        <f>IFERROR(IF(Base_de_donnée_clients!A184="","",Base_de_donnée_clients!A184),"")</f>
        <v/>
      </c>
      <c r="B184" s="226" t="str">
        <f>IFERROR(IF(Base_de_donnée_clients!B184="","",Base_de_donnée_clients!B184),"")</f>
        <v/>
      </c>
      <c r="C184" s="226" t="str">
        <f>IFERROR(IF(Base_de_donnée_clients!C184="","",Base_de_donnée_clients!C184),"")</f>
        <v/>
      </c>
      <c r="D184" s="238" t="str">
        <f>IFERROR(IF(OR(Synthese_Programme!M184="Réservé",Synthese_Programme!M184="Acté",Synthese_Programme!M184="réservé",Synthese_Programme!M184="acté"),Synthese_Programme!K184,""),"")</f>
        <v/>
      </c>
      <c r="E184" s="239" t="str">
        <f>IFERROR(IF(OR(Synthese_Programme!M184="Réservé",Synthese_Programme!M184="Acté",Synthese_Programme!M184="réservé",Synthese_Programme!M184="acté"),$D184*Parametres!E2,""),"")</f>
        <v/>
      </c>
      <c r="F184" s="240" t="str">
        <f>IFERROR(IF(Base_de_donnée_clients!J184="","",Base_de_donnée_clients!J184),"")</f>
        <v/>
      </c>
      <c r="G184" s="239" t="str">
        <f>IF($C184="","",IF(AND(Parametres!F3&lt;&gt;"",Synthese_Programme!M184="Acté"),$D184*Parametres!E3,""))</f>
        <v/>
      </c>
      <c r="H184" s="240"/>
      <c r="I184" s="239" t="str">
        <f>IF($C184="","",IF(AND(Parametres!F4&lt;&gt;"",Synthese_Programme!M184="Acté"),$D184*Parametres!E4,""))</f>
        <v/>
      </c>
      <c r="J184" s="240"/>
      <c r="K184" s="239" t="str">
        <f>IF($C184="","",IF(AND(Parametres!F5&lt;&gt;"",Synthese_Programme!M184="Acté"),$D184*Parametres!E5,""))</f>
        <v/>
      </c>
      <c r="L184" s="240"/>
      <c r="M184" s="239" t="str">
        <f>IF($C184="","",IF(AND(Parametres!F6&lt;&gt;"",Synthese_Programme!M184="Acté"),$D184*Parametres!E6,""))</f>
        <v/>
      </c>
      <c r="N184" s="240"/>
      <c r="O184" s="239" t="str">
        <f>IF($C184="","",IF(AND(Parametres!F7&lt;&gt;"",Synthese_Programme!M184="Acté"),$D184*Parametres!E7,""))</f>
        <v/>
      </c>
      <c r="P184" s="240"/>
      <c r="Q184" s="238" t="str">
        <f t="shared" si="6"/>
        <v/>
      </c>
      <c r="R184" s="238" t="str">
        <f t="shared" si="7"/>
        <v/>
      </c>
      <c r="S184" s="238" t="str">
        <f t="shared" si="8"/>
        <v/>
      </c>
    </row>
    <row r="185" spans="1:19" ht="24" customHeight="1" x14ac:dyDescent="0.45">
      <c r="A185" s="237" t="str">
        <f>IFERROR(IF(Base_de_donnée_clients!A185="","",Base_de_donnée_clients!A185),"")</f>
        <v/>
      </c>
      <c r="B185" s="226" t="str">
        <f>IFERROR(IF(Base_de_donnée_clients!B185="","",Base_de_donnée_clients!B185),"")</f>
        <v/>
      </c>
      <c r="C185" s="226" t="str">
        <f>IFERROR(IF(Base_de_donnée_clients!C185="","",Base_de_donnée_clients!C185),"")</f>
        <v/>
      </c>
      <c r="D185" s="238" t="str">
        <f>IFERROR(IF(OR(Synthese_Programme!M185="Réservé",Synthese_Programme!M185="Acté",Synthese_Programme!M185="réservé",Synthese_Programme!M185="acté"),Synthese_Programme!K185,""),"")</f>
        <v/>
      </c>
      <c r="E185" s="239" t="str">
        <f>IFERROR(IF(OR(Synthese_Programme!M185="Réservé",Synthese_Programme!M185="Acté",Synthese_Programme!M185="réservé",Synthese_Programme!M185="acté"),$D185*Parametres!E2,""),"")</f>
        <v/>
      </c>
      <c r="F185" s="240" t="str">
        <f>IFERROR(IF(Base_de_donnée_clients!J185="","",Base_de_donnée_clients!J185),"")</f>
        <v/>
      </c>
      <c r="G185" s="239" t="str">
        <f>IF($C185="","",IF(AND(Parametres!F3&lt;&gt;"",Synthese_Programme!M185="Acté"),$D185*Parametres!E3,""))</f>
        <v/>
      </c>
      <c r="H185" s="240"/>
      <c r="I185" s="239" t="str">
        <f>IF($C185="","",IF(AND(Parametres!F4&lt;&gt;"",Synthese_Programme!M185="Acté"),$D185*Parametres!E4,""))</f>
        <v/>
      </c>
      <c r="J185" s="240"/>
      <c r="K185" s="239" t="str">
        <f>IF($C185="","",IF(AND(Parametres!F5&lt;&gt;"",Synthese_Programme!M185="Acté"),$D185*Parametres!E5,""))</f>
        <v/>
      </c>
      <c r="L185" s="240"/>
      <c r="M185" s="239" t="str">
        <f>IF($C185="","",IF(AND(Parametres!F6&lt;&gt;"",Synthese_Programme!M185="Acté"),$D185*Parametres!E6,""))</f>
        <v/>
      </c>
      <c r="N185" s="240"/>
      <c r="O185" s="239" t="str">
        <f>IF($C185="","",IF(AND(Parametres!F7&lt;&gt;"",Synthese_Programme!M185="Acté"),$D185*Parametres!E7,""))</f>
        <v/>
      </c>
      <c r="P185" s="240"/>
      <c r="Q185" s="238" t="str">
        <f t="shared" si="6"/>
        <v/>
      </c>
      <c r="R185" s="238" t="str">
        <f t="shared" si="7"/>
        <v/>
      </c>
      <c r="S185" s="238" t="str">
        <f t="shared" si="8"/>
        <v/>
      </c>
    </row>
    <row r="186" spans="1:19" ht="24" customHeight="1" x14ac:dyDescent="0.45">
      <c r="A186" s="237" t="str">
        <f>IFERROR(IF(Base_de_donnée_clients!A186="","",Base_de_donnée_clients!A186),"")</f>
        <v/>
      </c>
      <c r="B186" s="226" t="str">
        <f>IFERROR(IF(Base_de_donnée_clients!B186="","",Base_de_donnée_clients!B186),"")</f>
        <v/>
      </c>
      <c r="C186" s="226" t="str">
        <f>IFERROR(IF(Base_de_donnée_clients!C186="","",Base_de_donnée_clients!C186),"")</f>
        <v/>
      </c>
      <c r="D186" s="238" t="str">
        <f>IFERROR(IF(OR(Synthese_Programme!M186="Réservé",Synthese_Programme!M186="Acté",Synthese_Programme!M186="réservé",Synthese_Programme!M186="acté"),Synthese_Programme!K186,""),"")</f>
        <v/>
      </c>
      <c r="E186" s="239" t="str">
        <f>IFERROR(IF(OR(Synthese_Programme!M186="Réservé",Synthese_Programme!M186="Acté",Synthese_Programme!M186="réservé",Synthese_Programme!M186="acté"),$D186*Parametres!E2,""),"")</f>
        <v/>
      </c>
      <c r="F186" s="240" t="str">
        <f>IFERROR(IF(Base_de_donnée_clients!J186="","",Base_de_donnée_clients!J186),"")</f>
        <v/>
      </c>
      <c r="G186" s="239" t="str">
        <f>IF($C186="","",IF(AND(Parametres!F3&lt;&gt;"",Synthese_Programme!M186="Acté"),$D186*Parametres!E3,""))</f>
        <v/>
      </c>
      <c r="H186" s="240"/>
      <c r="I186" s="239" t="str">
        <f>IF($C186="","",IF(AND(Parametres!F4&lt;&gt;"",Synthese_Programme!M186="Acté"),$D186*Parametres!E4,""))</f>
        <v/>
      </c>
      <c r="J186" s="240"/>
      <c r="K186" s="239" t="str">
        <f>IF($C186="","",IF(AND(Parametres!F5&lt;&gt;"",Synthese_Programme!M186="Acté"),$D186*Parametres!E5,""))</f>
        <v/>
      </c>
      <c r="L186" s="240"/>
      <c r="M186" s="239" t="str">
        <f>IF($C186="","",IF(AND(Parametres!F6&lt;&gt;"",Synthese_Programme!M186="Acté"),$D186*Parametres!E6,""))</f>
        <v/>
      </c>
      <c r="N186" s="240"/>
      <c r="O186" s="239" t="str">
        <f>IF($C186="","",IF(AND(Parametres!F7&lt;&gt;"",Synthese_Programme!M186="Acté"),$D186*Parametres!E7,""))</f>
        <v/>
      </c>
      <c r="P186" s="240"/>
      <c r="Q186" s="238" t="str">
        <f t="shared" si="6"/>
        <v/>
      </c>
      <c r="R186" s="238" t="str">
        <f t="shared" si="7"/>
        <v/>
      </c>
      <c r="S186" s="238" t="str">
        <f t="shared" si="8"/>
        <v/>
      </c>
    </row>
    <row r="187" spans="1:19" ht="24" customHeight="1" x14ac:dyDescent="0.45">
      <c r="A187" s="237" t="str">
        <f>IFERROR(IF(Base_de_donnée_clients!A187="","",Base_de_donnée_clients!A187),"")</f>
        <v/>
      </c>
      <c r="B187" s="226" t="str">
        <f>IFERROR(IF(Base_de_donnée_clients!B187="","",Base_de_donnée_clients!B187),"")</f>
        <v/>
      </c>
      <c r="C187" s="226" t="str">
        <f>IFERROR(IF(Base_de_donnée_clients!C187="","",Base_de_donnée_clients!C187),"")</f>
        <v/>
      </c>
      <c r="D187" s="238" t="str">
        <f>IFERROR(IF(OR(Synthese_Programme!M187="Réservé",Synthese_Programme!M187="Acté",Synthese_Programme!M187="réservé",Synthese_Programme!M187="acté"),Synthese_Programme!K187,""),"")</f>
        <v/>
      </c>
      <c r="E187" s="239" t="str">
        <f>IFERROR(IF(OR(Synthese_Programme!M187="Réservé",Synthese_Programme!M187="Acté",Synthese_Programme!M187="réservé",Synthese_Programme!M187="acté"),$D187*Parametres!E2,""),"")</f>
        <v/>
      </c>
      <c r="F187" s="240" t="str">
        <f>IFERROR(IF(Base_de_donnée_clients!J187="","",Base_de_donnée_clients!J187),"")</f>
        <v/>
      </c>
      <c r="G187" s="239" t="str">
        <f>IF($C187="","",IF(AND(Parametres!F3&lt;&gt;"",Synthese_Programme!M187="Acté"),$D187*Parametres!E3,""))</f>
        <v/>
      </c>
      <c r="H187" s="240"/>
      <c r="I187" s="239" t="str">
        <f>IF($C187="","",IF(AND(Parametres!F4&lt;&gt;"",Synthese_Programme!M187="Acté"),$D187*Parametres!E4,""))</f>
        <v/>
      </c>
      <c r="J187" s="240"/>
      <c r="K187" s="239" t="str">
        <f>IF($C187="","",IF(AND(Parametres!F5&lt;&gt;"",Synthese_Programme!M187="Acté"),$D187*Parametres!E5,""))</f>
        <v/>
      </c>
      <c r="L187" s="240"/>
      <c r="M187" s="239" t="str">
        <f>IF($C187="","",IF(AND(Parametres!F6&lt;&gt;"",Synthese_Programme!M187="Acté"),$D187*Parametres!E6,""))</f>
        <v/>
      </c>
      <c r="N187" s="240"/>
      <c r="O187" s="239" t="str">
        <f>IF($C187="","",IF(AND(Parametres!F7&lt;&gt;"",Synthese_Programme!M187="Acté"),$D187*Parametres!E7,""))</f>
        <v/>
      </c>
      <c r="P187" s="240"/>
      <c r="Q187" s="238" t="str">
        <f t="shared" si="6"/>
        <v/>
      </c>
      <c r="R187" s="238" t="str">
        <f t="shared" si="7"/>
        <v/>
      </c>
      <c r="S187" s="238" t="str">
        <f t="shared" si="8"/>
        <v/>
      </c>
    </row>
    <row r="188" spans="1:19" ht="24" customHeight="1" x14ac:dyDescent="0.45">
      <c r="A188" s="237" t="str">
        <f>IFERROR(IF(Base_de_donnée_clients!A188="","",Base_de_donnée_clients!A188),"")</f>
        <v/>
      </c>
      <c r="B188" s="226" t="str">
        <f>IFERROR(IF(Base_de_donnée_clients!B188="","",Base_de_donnée_clients!B188),"")</f>
        <v/>
      </c>
      <c r="C188" s="226" t="str">
        <f>IFERROR(IF(Base_de_donnée_clients!C188="","",Base_de_donnée_clients!C188),"")</f>
        <v/>
      </c>
      <c r="D188" s="238" t="str">
        <f>IFERROR(IF(OR(Synthese_Programme!M188="Réservé",Synthese_Programme!M188="Acté",Synthese_Programme!M188="réservé",Synthese_Programme!M188="acté"),Synthese_Programme!K188,""),"")</f>
        <v/>
      </c>
      <c r="E188" s="239" t="str">
        <f>IFERROR(IF(OR(Synthese_Programme!M188="Réservé",Synthese_Programme!M188="Acté",Synthese_Programme!M188="réservé",Synthese_Programme!M188="acté"),$D188*Parametres!E2,""),"")</f>
        <v/>
      </c>
      <c r="F188" s="240" t="str">
        <f>IFERROR(IF(Base_de_donnée_clients!J188="","",Base_de_donnée_clients!J188),"")</f>
        <v/>
      </c>
      <c r="G188" s="239" t="str">
        <f>IF($C188="","",IF(AND(Parametres!F3&lt;&gt;"",Synthese_Programme!M188="Acté"),$D188*Parametres!E3,""))</f>
        <v/>
      </c>
      <c r="H188" s="240"/>
      <c r="I188" s="239" t="str">
        <f>IF($C188="","",IF(AND(Parametres!F4&lt;&gt;"",Synthese_Programme!M188="Acté"),$D188*Parametres!E4,""))</f>
        <v/>
      </c>
      <c r="J188" s="240"/>
      <c r="K188" s="239" t="str">
        <f>IF($C188="","",IF(AND(Parametres!F5&lt;&gt;"",Synthese_Programme!M188="Acté"),$D188*Parametres!E5,""))</f>
        <v/>
      </c>
      <c r="L188" s="240"/>
      <c r="M188" s="239" t="str">
        <f>IF($C188="","",IF(AND(Parametres!F6&lt;&gt;"",Synthese_Programme!M188="Acté"),$D188*Parametres!E6,""))</f>
        <v/>
      </c>
      <c r="N188" s="240"/>
      <c r="O188" s="239" t="str">
        <f>IF($C188="","",IF(AND(Parametres!F7&lt;&gt;"",Synthese_Programme!M188="Acté"),$D188*Parametres!E7,""))</f>
        <v/>
      </c>
      <c r="P188" s="240"/>
      <c r="Q188" s="238" t="str">
        <f t="shared" si="6"/>
        <v/>
      </c>
      <c r="R188" s="238" t="str">
        <f t="shared" si="7"/>
        <v/>
      </c>
      <c r="S188" s="238" t="str">
        <f t="shared" si="8"/>
        <v/>
      </c>
    </row>
    <row r="189" spans="1:19" ht="24" customHeight="1" x14ac:dyDescent="0.45">
      <c r="A189" s="237" t="str">
        <f>IFERROR(IF(Base_de_donnée_clients!A189="","",Base_de_donnée_clients!A189),"")</f>
        <v/>
      </c>
      <c r="B189" s="226" t="str">
        <f>IFERROR(IF(Base_de_donnée_clients!B189="","",Base_de_donnée_clients!B189),"")</f>
        <v/>
      </c>
      <c r="C189" s="226" t="str">
        <f>IFERROR(IF(Base_de_donnée_clients!C189="","",Base_de_donnée_clients!C189),"")</f>
        <v/>
      </c>
      <c r="D189" s="238" t="str">
        <f>IFERROR(IF(OR(Synthese_Programme!M189="Réservé",Synthese_Programme!M189="Acté",Synthese_Programme!M189="réservé",Synthese_Programme!M189="acté"),Synthese_Programme!K189,""),"")</f>
        <v/>
      </c>
      <c r="E189" s="239" t="str">
        <f>IFERROR(IF(OR(Synthese_Programme!M189="Réservé",Synthese_Programme!M189="Acté",Synthese_Programme!M189="réservé",Synthese_Programme!M189="acté"),$D189*Parametres!E2,""),"")</f>
        <v/>
      </c>
      <c r="F189" s="240" t="str">
        <f>IFERROR(IF(Base_de_donnée_clients!J189="","",Base_de_donnée_clients!J189),"")</f>
        <v/>
      </c>
      <c r="G189" s="239" t="str">
        <f>IF($C189="","",IF(AND(Parametres!F3&lt;&gt;"",Synthese_Programme!M189="Acté"),$D189*Parametres!E3,""))</f>
        <v/>
      </c>
      <c r="H189" s="240"/>
      <c r="I189" s="239" t="str">
        <f>IF($C189="","",IF(AND(Parametres!F4&lt;&gt;"",Synthese_Programme!M189="Acté"),$D189*Parametres!E4,""))</f>
        <v/>
      </c>
      <c r="J189" s="240"/>
      <c r="K189" s="239" t="str">
        <f>IF($C189="","",IF(AND(Parametres!F5&lt;&gt;"",Synthese_Programme!M189="Acté"),$D189*Parametres!E5,""))</f>
        <v/>
      </c>
      <c r="L189" s="240"/>
      <c r="M189" s="239" t="str">
        <f>IF($C189="","",IF(AND(Parametres!F6&lt;&gt;"",Synthese_Programme!M189="Acté"),$D189*Parametres!E6,""))</f>
        <v/>
      </c>
      <c r="N189" s="240"/>
      <c r="O189" s="239" t="str">
        <f>IF($C189="","",IF(AND(Parametres!F7&lt;&gt;"",Synthese_Programme!M189="Acté"),$D189*Parametres!E7,""))</f>
        <v/>
      </c>
      <c r="P189" s="240"/>
      <c r="Q189" s="238" t="str">
        <f t="shared" si="6"/>
        <v/>
      </c>
      <c r="R189" s="238" t="str">
        <f t="shared" si="7"/>
        <v/>
      </c>
      <c r="S189" s="238" t="str">
        <f t="shared" si="8"/>
        <v/>
      </c>
    </row>
    <row r="190" spans="1:19" ht="24" customHeight="1" x14ac:dyDescent="0.45">
      <c r="A190" s="237" t="str">
        <f>IFERROR(IF(Base_de_donnée_clients!A190="","",Base_de_donnée_clients!A190),"")</f>
        <v/>
      </c>
      <c r="B190" s="226" t="str">
        <f>IFERROR(IF(Base_de_donnée_clients!B190="","",Base_de_donnée_clients!B190),"")</f>
        <v/>
      </c>
      <c r="C190" s="226" t="str">
        <f>IFERROR(IF(Base_de_donnée_clients!C190="","",Base_de_donnée_clients!C190),"")</f>
        <v/>
      </c>
      <c r="D190" s="238" t="str">
        <f>IFERROR(IF(OR(Synthese_Programme!M190="Réservé",Synthese_Programme!M190="Acté",Synthese_Programme!M190="réservé",Synthese_Programme!M190="acté"),Synthese_Programme!K190,""),"")</f>
        <v/>
      </c>
      <c r="E190" s="239" t="str">
        <f>IFERROR(IF(OR(Synthese_Programme!M190="Réservé",Synthese_Programme!M190="Acté",Synthese_Programme!M190="réservé",Synthese_Programme!M190="acté"),$D190*Parametres!E2,""),"")</f>
        <v/>
      </c>
      <c r="F190" s="240" t="str">
        <f>IFERROR(IF(Base_de_donnée_clients!J190="","",Base_de_donnée_clients!J190),"")</f>
        <v/>
      </c>
      <c r="G190" s="239" t="str">
        <f>IF($C190="","",IF(AND(Parametres!F3&lt;&gt;"",Synthese_Programme!M190="Acté"),$D190*Parametres!E3,""))</f>
        <v/>
      </c>
      <c r="H190" s="240"/>
      <c r="I190" s="239" t="str">
        <f>IF($C190="","",IF(AND(Parametres!F4&lt;&gt;"",Synthese_Programme!M190="Acté"),$D190*Parametres!E4,""))</f>
        <v/>
      </c>
      <c r="J190" s="240"/>
      <c r="K190" s="239" t="str">
        <f>IF($C190="","",IF(AND(Parametres!F5&lt;&gt;"",Synthese_Programme!M190="Acté"),$D190*Parametres!E5,""))</f>
        <v/>
      </c>
      <c r="L190" s="240"/>
      <c r="M190" s="239" t="str">
        <f>IF($C190="","",IF(AND(Parametres!F6&lt;&gt;"",Synthese_Programme!M190="Acté"),$D190*Parametres!E6,""))</f>
        <v/>
      </c>
      <c r="N190" s="240"/>
      <c r="O190" s="239" t="str">
        <f>IF($C190="","",IF(AND(Parametres!F7&lt;&gt;"",Synthese_Programme!M190="Acté"),$D190*Parametres!E7,""))</f>
        <v/>
      </c>
      <c r="P190" s="240"/>
      <c r="Q190" s="238" t="str">
        <f t="shared" si="6"/>
        <v/>
      </c>
      <c r="R190" s="238" t="str">
        <f t="shared" si="7"/>
        <v/>
      </c>
      <c r="S190" s="238" t="str">
        <f t="shared" si="8"/>
        <v/>
      </c>
    </row>
    <row r="191" spans="1:19" ht="24" customHeight="1" x14ac:dyDescent="0.45">
      <c r="A191" s="237" t="str">
        <f>IFERROR(IF(Base_de_donnée_clients!A191="","",Base_de_donnée_clients!A191),"")</f>
        <v/>
      </c>
      <c r="B191" s="226" t="str">
        <f>IFERROR(IF(Base_de_donnée_clients!B191="","",Base_de_donnée_clients!B191),"")</f>
        <v/>
      </c>
      <c r="C191" s="226" t="str">
        <f>IFERROR(IF(Base_de_donnée_clients!C191="","",Base_de_donnée_clients!C191),"")</f>
        <v/>
      </c>
      <c r="D191" s="238" t="str">
        <f>IFERROR(IF(OR(Synthese_Programme!M191="Réservé",Synthese_Programme!M191="Acté",Synthese_Programme!M191="réservé",Synthese_Programme!M191="acté"),Synthese_Programme!K191,""),"")</f>
        <v/>
      </c>
      <c r="E191" s="239" t="str">
        <f>IFERROR(IF(OR(Synthese_Programme!M191="Réservé",Synthese_Programme!M191="Acté",Synthese_Programme!M191="réservé",Synthese_Programme!M191="acté"),$D191*Parametres!E2,""),"")</f>
        <v/>
      </c>
      <c r="F191" s="240" t="str">
        <f>IFERROR(IF(Base_de_donnée_clients!J191="","",Base_de_donnée_clients!J191),"")</f>
        <v/>
      </c>
      <c r="G191" s="239" t="str">
        <f>IF($C191="","",IF(AND(Parametres!F3&lt;&gt;"",Synthese_Programme!M191="Acté"),$D191*Parametres!E3,""))</f>
        <v/>
      </c>
      <c r="H191" s="240"/>
      <c r="I191" s="239" t="str">
        <f>IF($C191="","",IF(AND(Parametres!F4&lt;&gt;"",Synthese_Programme!M191="Acté"),$D191*Parametres!E4,""))</f>
        <v/>
      </c>
      <c r="J191" s="240"/>
      <c r="K191" s="239" t="str">
        <f>IF($C191="","",IF(AND(Parametres!F5&lt;&gt;"",Synthese_Programme!M191="Acté"),$D191*Parametres!E5,""))</f>
        <v/>
      </c>
      <c r="L191" s="240"/>
      <c r="M191" s="239" t="str">
        <f>IF($C191="","",IF(AND(Parametres!F6&lt;&gt;"",Synthese_Programme!M191="Acté"),$D191*Parametres!E6,""))</f>
        <v/>
      </c>
      <c r="N191" s="240"/>
      <c r="O191" s="239" t="str">
        <f>IF($C191="","",IF(AND(Parametres!F7&lt;&gt;"",Synthese_Programme!M191="Acté"),$D191*Parametres!E7,""))</f>
        <v/>
      </c>
      <c r="P191" s="240"/>
      <c r="Q191" s="238" t="str">
        <f t="shared" si="6"/>
        <v/>
      </c>
      <c r="R191" s="238" t="str">
        <f t="shared" si="7"/>
        <v/>
      </c>
      <c r="S191" s="238" t="str">
        <f t="shared" si="8"/>
        <v/>
      </c>
    </row>
    <row r="192" spans="1:19" ht="24" customHeight="1" x14ac:dyDescent="0.45">
      <c r="A192" s="237" t="str">
        <f>IFERROR(IF(Base_de_donnée_clients!A192="","",Base_de_donnée_clients!A192),"")</f>
        <v/>
      </c>
      <c r="B192" s="226" t="str">
        <f>IFERROR(IF(Base_de_donnée_clients!B192="","",Base_de_donnée_clients!B192),"")</f>
        <v/>
      </c>
      <c r="C192" s="226" t="str">
        <f>IFERROR(IF(Base_de_donnée_clients!C192="","",Base_de_donnée_clients!C192),"")</f>
        <v/>
      </c>
      <c r="D192" s="238" t="str">
        <f>IFERROR(IF(OR(Synthese_Programme!M192="Réservé",Synthese_Programme!M192="Acté",Synthese_Programme!M192="réservé",Synthese_Programme!M192="acté"),Synthese_Programme!K192,""),"")</f>
        <v/>
      </c>
      <c r="E192" s="239" t="str">
        <f>IFERROR(IF(OR(Synthese_Programme!M192="Réservé",Synthese_Programme!M192="Acté",Synthese_Programme!M192="réservé",Synthese_Programme!M192="acté"),$D192*Parametres!E2,""),"")</f>
        <v/>
      </c>
      <c r="F192" s="240" t="str">
        <f>IFERROR(IF(Base_de_donnée_clients!J192="","",Base_de_donnée_clients!J192),"")</f>
        <v/>
      </c>
      <c r="G192" s="239" t="str">
        <f>IF($C192="","",IF(AND(Parametres!F3&lt;&gt;"",Synthese_Programme!M192="Acté"),$D192*Parametres!E3,""))</f>
        <v/>
      </c>
      <c r="H192" s="240"/>
      <c r="I192" s="239" t="str">
        <f>IF($C192="","",IF(AND(Parametres!F4&lt;&gt;"",Synthese_Programme!M192="Acté"),$D192*Parametres!E4,""))</f>
        <v/>
      </c>
      <c r="J192" s="240"/>
      <c r="K192" s="239" t="str">
        <f>IF($C192="","",IF(AND(Parametres!F5&lt;&gt;"",Synthese_Programme!M192="Acté"),$D192*Parametres!E5,""))</f>
        <v/>
      </c>
      <c r="L192" s="240"/>
      <c r="M192" s="239" t="str">
        <f>IF($C192="","",IF(AND(Parametres!F6&lt;&gt;"",Synthese_Programme!M192="Acté"),$D192*Parametres!E6,""))</f>
        <v/>
      </c>
      <c r="N192" s="240"/>
      <c r="O192" s="239" t="str">
        <f>IF($C192="","",IF(AND(Parametres!F7&lt;&gt;"",Synthese_Programme!M192="Acté"),$D192*Parametres!E7,""))</f>
        <v/>
      </c>
      <c r="P192" s="240"/>
      <c r="Q192" s="238" t="str">
        <f t="shared" si="6"/>
        <v/>
      </c>
      <c r="R192" s="238" t="str">
        <f t="shared" si="7"/>
        <v/>
      </c>
      <c r="S192" s="238" t="str">
        <f t="shared" si="8"/>
        <v/>
      </c>
    </row>
    <row r="193" spans="1:19" ht="24" customHeight="1" x14ac:dyDescent="0.45">
      <c r="A193" s="237" t="str">
        <f>IFERROR(IF(Base_de_donnée_clients!A193="","",Base_de_donnée_clients!A193),"")</f>
        <v/>
      </c>
      <c r="B193" s="226" t="str">
        <f>IFERROR(IF(Base_de_donnée_clients!B193="","",Base_de_donnée_clients!B193),"")</f>
        <v/>
      </c>
      <c r="C193" s="226" t="str">
        <f>IFERROR(IF(Base_de_donnée_clients!C193="","",Base_de_donnée_clients!C193),"")</f>
        <v/>
      </c>
      <c r="D193" s="238" t="str">
        <f>IFERROR(IF(OR(Synthese_Programme!M193="Réservé",Synthese_Programme!M193="Acté",Synthese_Programme!M193="réservé",Synthese_Programme!M193="acté"),Synthese_Programme!K193,""),"")</f>
        <v/>
      </c>
      <c r="E193" s="239" t="str">
        <f>IFERROR(IF(OR(Synthese_Programme!M193="Réservé",Synthese_Programme!M193="Acté",Synthese_Programme!M193="réservé",Synthese_Programme!M193="acté"),$D193*Parametres!E2,""),"")</f>
        <v/>
      </c>
      <c r="F193" s="240" t="str">
        <f>IFERROR(IF(Base_de_donnée_clients!J193="","",Base_de_donnée_clients!J193),"")</f>
        <v/>
      </c>
      <c r="G193" s="239" t="str">
        <f>IF($C193="","",IF(AND(Parametres!F3&lt;&gt;"",Synthese_Programme!M193="Acté"),$D193*Parametres!E3,""))</f>
        <v/>
      </c>
      <c r="H193" s="240"/>
      <c r="I193" s="239" t="str">
        <f>IF($C193="","",IF(AND(Parametres!F4&lt;&gt;"",Synthese_Programme!M193="Acté"),$D193*Parametres!E4,""))</f>
        <v/>
      </c>
      <c r="J193" s="240"/>
      <c r="K193" s="239" t="str">
        <f>IF($C193="","",IF(AND(Parametres!F5&lt;&gt;"",Synthese_Programme!M193="Acté"),$D193*Parametres!E5,""))</f>
        <v/>
      </c>
      <c r="L193" s="240"/>
      <c r="M193" s="239" t="str">
        <f>IF($C193="","",IF(AND(Parametres!F6&lt;&gt;"",Synthese_Programme!M193="Acté"),$D193*Parametres!E6,""))</f>
        <v/>
      </c>
      <c r="N193" s="240"/>
      <c r="O193" s="239" t="str">
        <f>IF($C193="","",IF(AND(Parametres!F7&lt;&gt;"",Synthese_Programme!M193="Acté"),$D193*Parametres!E7,""))</f>
        <v/>
      </c>
      <c r="P193" s="240"/>
      <c r="Q193" s="238" t="str">
        <f t="shared" si="6"/>
        <v/>
      </c>
      <c r="R193" s="238" t="str">
        <f t="shared" si="7"/>
        <v/>
      </c>
      <c r="S193" s="238" t="str">
        <f t="shared" si="8"/>
        <v/>
      </c>
    </row>
    <row r="194" spans="1:19" ht="24" customHeight="1" x14ac:dyDescent="0.45">
      <c r="A194" s="237" t="str">
        <f>IFERROR(IF(Base_de_donnée_clients!A194="","",Base_de_donnée_clients!A194),"")</f>
        <v/>
      </c>
      <c r="B194" s="226" t="str">
        <f>IFERROR(IF(Base_de_donnée_clients!B194="","",Base_de_donnée_clients!B194),"")</f>
        <v/>
      </c>
      <c r="C194" s="226" t="str">
        <f>IFERROR(IF(Base_de_donnée_clients!C194="","",Base_de_donnée_clients!C194),"")</f>
        <v/>
      </c>
      <c r="D194" s="238" t="str">
        <f>IFERROR(IF(OR(Synthese_Programme!M194="Réservé",Synthese_Programme!M194="Acté",Synthese_Programme!M194="réservé",Synthese_Programme!M194="acté"),Synthese_Programme!K194,""),"")</f>
        <v/>
      </c>
      <c r="E194" s="239" t="str">
        <f>IFERROR(IF(OR(Synthese_Programme!M194="Réservé",Synthese_Programme!M194="Acté",Synthese_Programme!M194="réservé",Synthese_Programme!M194="acté"),$D194*Parametres!E2,""),"")</f>
        <v/>
      </c>
      <c r="F194" s="240" t="str">
        <f>IFERROR(IF(Base_de_donnée_clients!J194="","",Base_de_donnée_clients!J194),"")</f>
        <v/>
      </c>
      <c r="G194" s="239" t="str">
        <f>IF($C194="","",IF(AND(Parametres!F3&lt;&gt;"",Synthese_Programme!M194="Acté"),$D194*Parametres!E3,""))</f>
        <v/>
      </c>
      <c r="H194" s="240"/>
      <c r="I194" s="239" t="str">
        <f>IF($C194="","",IF(AND(Parametres!F4&lt;&gt;"",Synthese_Programme!M194="Acté"),$D194*Parametres!E4,""))</f>
        <v/>
      </c>
      <c r="J194" s="240"/>
      <c r="K194" s="239" t="str">
        <f>IF($C194="","",IF(AND(Parametres!F5&lt;&gt;"",Synthese_Programme!M194="Acté"),$D194*Parametres!E5,""))</f>
        <v/>
      </c>
      <c r="L194" s="240"/>
      <c r="M194" s="239" t="str">
        <f>IF($C194="","",IF(AND(Parametres!F6&lt;&gt;"",Synthese_Programme!M194="Acté"),$D194*Parametres!E6,""))</f>
        <v/>
      </c>
      <c r="N194" s="240"/>
      <c r="O194" s="239" t="str">
        <f>IF($C194="","",IF(AND(Parametres!F7&lt;&gt;"",Synthese_Programme!M194="Acté"),$D194*Parametres!E7,""))</f>
        <v/>
      </c>
      <c r="P194" s="240"/>
      <c r="Q194" s="226" t="str">
        <f t="shared" si="6"/>
        <v/>
      </c>
      <c r="R194" s="226" t="str">
        <f t="shared" si="7"/>
        <v/>
      </c>
      <c r="S194" s="226" t="str">
        <f t="shared" si="8"/>
        <v/>
      </c>
    </row>
    <row r="195" spans="1:19" ht="24" customHeight="1" x14ac:dyDescent="0.45">
      <c r="A195" s="237" t="str">
        <f>IFERROR(IF(Base_de_donnée_clients!A195="","",Base_de_donnée_clients!A195),"")</f>
        <v/>
      </c>
      <c r="B195" s="226" t="str">
        <f>IFERROR(IF(Base_de_donnée_clients!B195="","",Base_de_donnée_clients!B195),"")</f>
        <v/>
      </c>
      <c r="C195" s="226" t="str">
        <f>IFERROR(IF(Base_de_donnée_clients!C195="","",Base_de_donnée_clients!C195),"")</f>
        <v/>
      </c>
      <c r="D195" s="238" t="str">
        <f>IFERROR(IF(OR(Synthese_Programme!M195="Réservé",Synthese_Programme!M195="Acté",Synthese_Programme!M195="réservé",Synthese_Programme!M195="acté"),Synthese_Programme!K195,""),"")</f>
        <v/>
      </c>
      <c r="E195" s="239" t="str">
        <f>IFERROR(IF(OR(Synthese_Programme!M195="Réservé",Synthese_Programme!M195="Acté",Synthese_Programme!M195="réservé",Synthese_Programme!M195="acté"),$D195*Parametres!E2,""),"")</f>
        <v/>
      </c>
      <c r="F195" s="240" t="str">
        <f>IFERROR(IF(Base_de_donnée_clients!J195="","",Base_de_donnée_clients!J195),"")</f>
        <v/>
      </c>
      <c r="G195" s="239" t="str">
        <f>IF($C195="","",IF(AND(Parametres!F3&lt;&gt;"",Synthese_Programme!M195="Acté"),$D195*Parametres!E3,""))</f>
        <v/>
      </c>
      <c r="H195" s="240"/>
      <c r="I195" s="239" t="str">
        <f>IF($C195="","",IF(AND(Parametres!F4&lt;&gt;"",Synthese_Programme!M195="Acté"),$D195*Parametres!E4,""))</f>
        <v/>
      </c>
      <c r="J195" s="240"/>
      <c r="K195" s="239" t="str">
        <f>IF($C195="","",IF(AND(Parametres!F5&lt;&gt;"",Synthese_Programme!M195="Acté"),$D195*Parametres!E5,""))</f>
        <v/>
      </c>
      <c r="L195" s="240"/>
      <c r="M195" s="239" t="str">
        <f>IF($C195="","",IF(AND(Parametres!F6&lt;&gt;"",Synthese_Programme!M195="Acté"),$D195*Parametres!E6,""))</f>
        <v/>
      </c>
      <c r="N195" s="240"/>
      <c r="O195" s="239" t="str">
        <f>IF($C195="","",IF(AND(Parametres!F7&lt;&gt;"",Synthese_Programme!M195="Acté"),$D195*Parametres!E7,""))</f>
        <v/>
      </c>
      <c r="P195" s="240"/>
      <c r="Q195" s="226" t="str">
        <f t="shared" si="6"/>
        <v/>
      </c>
      <c r="R195" s="226" t="str">
        <f t="shared" si="7"/>
        <v/>
      </c>
      <c r="S195" s="226" t="str">
        <f t="shared" si="8"/>
        <v/>
      </c>
    </row>
    <row r="196" spans="1:19" ht="24" customHeight="1" x14ac:dyDescent="0.45">
      <c r="A196" s="237" t="str">
        <f>IFERROR(IF(Base_de_donnée_clients!A196="","",Base_de_donnée_clients!A196),"")</f>
        <v/>
      </c>
      <c r="B196" s="226" t="str">
        <f>IFERROR(IF(Base_de_donnée_clients!B196="","",Base_de_donnée_clients!B196),"")</f>
        <v/>
      </c>
      <c r="C196" s="226" t="str">
        <f>IFERROR(IF(Base_de_donnée_clients!C196="","",Base_de_donnée_clients!C196),"")</f>
        <v/>
      </c>
      <c r="D196" s="238" t="str">
        <f>IFERROR(IF(OR(Synthese_Programme!M196="Réservé",Synthese_Programme!M196="Acté",Synthese_Programme!M196="réservé",Synthese_Programme!M196="acté"),Synthese_Programme!K196,""),"")</f>
        <v/>
      </c>
      <c r="E196" s="239" t="str">
        <f>IFERROR(IF(OR(Synthese_Programme!M196="Réservé",Synthese_Programme!M196="Acté",Synthese_Programme!M196="réservé",Synthese_Programme!M196="acté"),$D196*Parametres!E2,""),"")</f>
        <v/>
      </c>
      <c r="F196" s="240" t="str">
        <f>IFERROR(IF(Base_de_donnée_clients!J196="","",Base_de_donnée_clients!J196),"")</f>
        <v/>
      </c>
      <c r="G196" s="239" t="str">
        <f>IF($C196="","",IF(AND(Parametres!F3&lt;&gt;"",Synthese_Programme!M196="Acté"),$D196*Parametres!E3,""))</f>
        <v/>
      </c>
      <c r="H196" s="240"/>
      <c r="I196" s="239" t="str">
        <f>IF($C196="","",IF(AND(Parametres!F4&lt;&gt;"",Synthese_Programme!M196="Acté"),$D196*Parametres!E4,""))</f>
        <v/>
      </c>
      <c r="J196" s="240"/>
      <c r="K196" s="239" t="str">
        <f>IF($C196="","",IF(AND(Parametres!F5&lt;&gt;"",Synthese_Programme!M196="Acté"),$D196*Parametres!E5,""))</f>
        <v/>
      </c>
      <c r="L196" s="240"/>
      <c r="M196" s="239" t="str">
        <f>IF($C196="","",IF(AND(Parametres!F6&lt;&gt;"",Synthese_Programme!M196="Acté"),$D196*Parametres!E6,""))</f>
        <v/>
      </c>
      <c r="N196" s="240"/>
      <c r="O196" s="239" t="str">
        <f>IF($C196="","",IF(AND(Parametres!F7&lt;&gt;"",Synthese_Programme!M196="Acté"),$D196*Parametres!E7,""))</f>
        <v/>
      </c>
      <c r="P196" s="240"/>
      <c r="Q196" s="226" t="str">
        <f t="shared" si="6"/>
        <v/>
      </c>
      <c r="R196" s="226" t="str">
        <f t="shared" si="7"/>
        <v/>
      </c>
      <c r="S196" s="226" t="str">
        <f t="shared" si="8"/>
        <v/>
      </c>
    </row>
    <row r="197" spans="1:19" ht="24" customHeight="1" x14ac:dyDescent="0.45">
      <c r="A197" s="237" t="str">
        <f>IFERROR(IF(Base_de_donnée_clients!A197="","",Base_de_donnée_clients!A197),"")</f>
        <v/>
      </c>
      <c r="B197" s="226" t="str">
        <f>IFERROR(IF(Base_de_donnée_clients!B197="","",Base_de_donnée_clients!B197),"")</f>
        <v/>
      </c>
      <c r="C197" s="226" t="str">
        <f>IFERROR(IF(Base_de_donnée_clients!C197="","",Base_de_donnée_clients!C197),"")</f>
        <v/>
      </c>
      <c r="D197" s="238" t="str">
        <f>IFERROR(IF(OR(Synthese_Programme!M197="Réservé",Synthese_Programme!M197="Acté",Synthese_Programme!M197="réservé",Synthese_Programme!M197="acté"),Synthese_Programme!K197,""),"")</f>
        <v/>
      </c>
      <c r="E197" s="239" t="str">
        <f>IFERROR(IF(OR(Synthese_Programme!M197="Réservé",Synthese_Programme!M197="Acté",Synthese_Programme!M197="réservé",Synthese_Programme!M197="acté"),$D197*Parametres!E2,""),"")</f>
        <v/>
      </c>
      <c r="F197" s="240" t="str">
        <f>IFERROR(IF(Base_de_donnée_clients!J197="","",Base_de_donnée_clients!J197),"")</f>
        <v/>
      </c>
      <c r="G197" s="239" t="str">
        <f>IF($C197="","",IF(AND(Parametres!F3&lt;&gt;"",Synthese_Programme!M197="Acté"),$D197*Parametres!E3,""))</f>
        <v/>
      </c>
      <c r="H197" s="240"/>
      <c r="I197" s="239" t="str">
        <f>IF($C197="","",IF(AND(Parametres!F4&lt;&gt;"",Synthese_Programme!M197="Acté"),$D197*Parametres!E4,""))</f>
        <v/>
      </c>
      <c r="J197" s="240"/>
      <c r="K197" s="239" t="str">
        <f>IF($C197="","",IF(AND(Parametres!F5&lt;&gt;"",Synthese_Programme!M197="Acté"),$D197*Parametres!E5,""))</f>
        <v/>
      </c>
      <c r="L197" s="240"/>
      <c r="M197" s="239" t="str">
        <f>IF($C197="","",IF(AND(Parametres!F6&lt;&gt;"",Synthese_Programme!M197="Acté"),$D197*Parametres!E6,""))</f>
        <v/>
      </c>
      <c r="N197" s="240"/>
      <c r="O197" s="239" t="str">
        <f>IF($C197="","",IF(AND(Parametres!F7&lt;&gt;"",Synthese_Programme!M197="Acté"),$D197*Parametres!E7,""))</f>
        <v/>
      </c>
      <c r="P197" s="240"/>
      <c r="Q197" s="226" t="str">
        <f t="shared" ref="Q197:Q260" si="9">IFERROR(D197-(IF(F197="",0,E197)+IF(H197="",0,G197)+IF(J197="",0,I197)+IF(L197="",0,K197)+IF(N197="",0,M197)+IF(P197="",0,O197)),"")</f>
        <v/>
      </c>
      <c r="R197" s="226" t="str">
        <f t="shared" ref="R197:R260" si="10">IF(C197="","",IFERROR(IF(F197="",0,E197)+IF(H197="",0,G197)+IF(J197="",0,I197)+IF(L197="",0,K197)+IF(N197="",0,M197)+IF(P197="",0,O197),""))</f>
        <v/>
      </c>
      <c r="S197" s="226" t="str">
        <f t="shared" ref="S197:S260" si="11">Q197</f>
        <v/>
      </c>
    </row>
    <row r="198" spans="1:19" ht="24" customHeight="1" x14ac:dyDescent="0.45">
      <c r="A198" s="237" t="str">
        <f>IFERROR(IF(Base_de_donnée_clients!A198="","",Base_de_donnée_clients!A198),"")</f>
        <v/>
      </c>
      <c r="B198" s="226" t="str">
        <f>IFERROR(IF(Base_de_donnée_clients!B198="","",Base_de_donnée_clients!B198),"")</f>
        <v/>
      </c>
      <c r="C198" s="226" t="str">
        <f>IFERROR(IF(Base_de_donnée_clients!C198="","",Base_de_donnée_clients!C198),"")</f>
        <v/>
      </c>
      <c r="D198" s="238" t="str">
        <f>IFERROR(IF(OR(Synthese_Programme!M198="Réservé",Synthese_Programme!M198="Acté",Synthese_Programme!M198="réservé",Synthese_Programme!M198="acté"),Synthese_Programme!K198,""),"")</f>
        <v/>
      </c>
      <c r="E198" s="239" t="str">
        <f>IFERROR(IF(OR(Synthese_Programme!M198="Réservé",Synthese_Programme!M198="Acté",Synthese_Programme!M198="réservé",Synthese_Programme!M198="acté"),$D198*Parametres!E2,""),"")</f>
        <v/>
      </c>
      <c r="F198" s="240" t="str">
        <f>IFERROR(IF(Base_de_donnée_clients!J198="","",Base_de_donnée_clients!J198),"")</f>
        <v/>
      </c>
      <c r="G198" s="239" t="str">
        <f>IF($C198="","",IF(AND(Parametres!F3&lt;&gt;"",Synthese_Programme!M198="Acté"),$D198*Parametres!E3,""))</f>
        <v/>
      </c>
      <c r="H198" s="240"/>
      <c r="I198" s="239" t="str">
        <f>IF($C198="","",IF(AND(Parametres!F4&lt;&gt;"",Synthese_Programme!M198="Acté"),$D198*Parametres!E4,""))</f>
        <v/>
      </c>
      <c r="J198" s="240"/>
      <c r="K198" s="239" t="str">
        <f>IF($C198="","",IF(AND(Parametres!F5&lt;&gt;"",Synthese_Programme!M198="Acté"),$D198*Parametres!E5,""))</f>
        <v/>
      </c>
      <c r="L198" s="240"/>
      <c r="M198" s="239" t="str">
        <f>IF($C198="","",IF(AND(Parametres!F6&lt;&gt;"",Synthese_Programme!M198="Acté"),$D198*Parametres!E6,""))</f>
        <v/>
      </c>
      <c r="N198" s="240"/>
      <c r="O198" s="239" t="str">
        <f>IF($C198="","",IF(AND(Parametres!F7&lt;&gt;"",Synthese_Programme!M198="Acté"),$D198*Parametres!E7,""))</f>
        <v/>
      </c>
      <c r="P198" s="240"/>
      <c r="Q198" s="226" t="str">
        <f t="shared" si="9"/>
        <v/>
      </c>
      <c r="R198" s="226" t="str">
        <f t="shared" si="10"/>
        <v/>
      </c>
      <c r="S198" s="226" t="str">
        <f t="shared" si="11"/>
        <v/>
      </c>
    </row>
    <row r="199" spans="1:19" ht="24" customHeight="1" x14ac:dyDescent="0.45">
      <c r="A199" s="237" t="str">
        <f>IFERROR(IF(Base_de_donnée_clients!A199="","",Base_de_donnée_clients!A199),"")</f>
        <v/>
      </c>
      <c r="B199" s="226" t="str">
        <f>IFERROR(IF(Base_de_donnée_clients!B199="","",Base_de_donnée_clients!B199),"")</f>
        <v/>
      </c>
      <c r="C199" s="226" t="str">
        <f>IFERROR(IF(Base_de_donnée_clients!C199="","",Base_de_donnée_clients!C199),"")</f>
        <v/>
      </c>
      <c r="D199" s="238" t="str">
        <f>IFERROR(IF(OR(Synthese_Programme!M199="Réservé",Synthese_Programme!M199="Acté",Synthese_Programme!M199="réservé",Synthese_Programme!M199="acté"),Synthese_Programme!K199,""),"")</f>
        <v/>
      </c>
      <c r="E199" s="239" t="str">
        <f>IFERROR(IF(OR(Synthese_Programme!M199="Réservé",Synthese_Programme!M199="Acté",Synthese_Programme!M199="réservé",Synthese_Programme!M199="acté"),$D199*Parametres!E2,""),"")</f>
        <v/>
      </c>
      <c r="F199" s="240" t="str">
        <f>IFERROR(IF(Base_de_donnée_clients!J199="","",Base_de_donnée_clients!J199),"")</f>
        <v/>
      </c>
      <c r="G199" s="239" t="str">
        <f>IF($C199="","",IF(AND(Parametres!F3&lt;&gt;"",Synthese_Programme!M199="Acté"),$D199*Parametres!E3,""))</f>
        <v/>
      </c>
      <c r="H199" s="240"/>
      <c r="I199" s="239" t="str">
        <f>IF($C199="","",IF(AND(Parametres!F4&lt;&gt;"",Synthese_Programme!M199="Acté"),$D199*Parametres!E4,""))</f>
        <v/>
      </c>
      <c r="J199" s="240"/>
      <c r="K199" s="239" t="str">
        <f>IF($C199="","",IF(AND(Parametres!F5&lt;&gt;"",Synthese_Programme!M199="Acté"),$D199*Parametres!E5,""))</f>
        <v/>
      </c>
      <c r="L199" s="240"/>
      <c r="M199" s="239" t="str">
        <f>IF($C199="","",IF(AND(Parametres!F6&lt;&gt;"",Synthese_Programme!M199="Acté"),$D199*Parametres!E6,""))</f>
        <v/>
      </c>
      <c r="N199" s="240"/>
      <c r="O199" s="239" t="str">
        <f>IF($C199="","",IF(AND(Parametres!F7&lt;&gt;"",Synthese_Programme!M199="Acté"),$D199*Parametres!E7,""))</f>
        <v/>
      </c>
      <c r="P199" s="240"/>
      <c r="Q199" s="226" t="str">
        <f t="shared" si="9"/>
        <v/>
      </c>
      <c r="R199" s="226" t="str">
        <f t="shared" si="10"/>
        <v/>
      </c>
      <c r="S199" s="226" t="str">
        <f t="shared" si="11"/>
        <v/>
      </c>
    </row>
    <row r="200" spans="1:19" ht="24" customHeight="1" x14ac:dyDescent="0.45">
      <c r="A200" s="237" t="str">
        <f>IFERROR(IF(Base_de_donnée_clients!A200="","",Base_de_donnée_clients!A200),"")</f>
        <v/>
      </c>
      <c r="B200" s="226" t="str">
        <f>IFERROR(IF(Base_de_donnée_clients!B200="","",Base_de_donnée_clients!B200),"")</f>
        <v/>
      </c>
      <c r="C200" s="226" t="str">
        <f>IFERROR(IF(Base_de_donnée_clients!C200="","",Base_de_donnée_clients!C200),"")</f>
        <v/>
      </c>
      <c r="D200" s="238" t="str">
        <f>IFERROR(IF(OR(Synthese_Programme!M200="Réservé",Synthese_Programme!M200="Acté",Synthese_Programme!M200="réservé",Synthese_Programme!M200="acté"),Synthese_Programme!K200,""),"")</f>
        <v/>
      </c>
      <c r="E200" s="239" t="str">
        <f>IFERROR(IF(OR(Synthese_Programme!M200="Réservé",Synthese_Programme!M200="Acté",Synthese_Programme!M200="réservé",Synthese_Programme!M200="acté"),$D200*Parametres!E2,""),"")</f>
        <v/>
      </c>
      <c r="F200" s="240" t="str">
        <f>IFERROR(IF(Base_de_donnée_clients!J200="","",Base_de_donnée_clients!J200),"")</f>
        <v/>
      </c>
      <c r="G200" s="239" t="str">
        <f>IF($C200="","",IF(AND(Parametres!F3&lt;&gt;"",Synthese_Programme!M200="Acté"),$D200*Parametres!E3,""))</f>
        <v/>
      </c>
      <c r="H200" s="240"/>
      <c r="I200" s="239" t="str">
        <f>IF($C200="","",IF(AND(Parametres!F4&lt;&gt;"",Synthese_Programme!M200="Acté"),$D200*Parametres!E4,""))</f>
        <v/>
      </c>
      <c r="J200" s="240"/>
      <c r="K200" s="239" t="str">
        <f>IF($C200="","",IF(AND(Parametres!F5&lt;&gt;"",Synthese_Programme!M200="Acté"),$D200*Parametres!E5,""))</f>
        <v/>
      </c>
      <c r="L200" s="240"/>
      <c r="M200" s="239" t="str">
        <f>IF($C200="","",IF(AND(Parametres!F6&lt;&gt;"",Synthese_Programme!M200="Acté"),$D200*Parametres!E6,""))</f>
        <v/>
      </c>
      <c r="N200" s="240"/>
      <c r="O200" s="239" t="str">
        <f>IF($C200="","",IF(AND(Parametres!F7&lt;&gt;"",Synthese_Programme!M200="Acté"),$D200*Parametres!E7,""))</f>
        <v/>
      </c>
      <c r="P200" s="240"/>
      <c r="Q200" s="226" t="str">
        <f t="shared" si="9"/>
        <v/>
      </c>
      <c r="R200" s="226" t="str">
        <f t="shared" si="10"/>
        <v/>
      </c>
      <c r="S200" s="226" t="str">
        <f t="shared" si="11"/>
        <v/>
      </c>
    </row>
    <row r="201" spans="1:19" ht="24" customHeight="1" x14ac:dyDescent="0.45">
      <c r="A201" s="237" t="str">
        <f>IFERROR(IF(Base_de_donnée_clients!A201="","",Base_de_donnée_clients!A201),"")</f>
        <v/>
      </c>
      <c r="B201" s="226" t="str">
        <f>IFERROR(IF(Base_de_donnée_clients!B201="","",Base_de_donnée_clients!B201),"")</f>
        <v/>
      </c>
      <c r="C201" s="226" t="str">
        <f>IFERROR(IF(Base_de_donnée_clients!C201="","",Base_de_donnée_clients!C201),"")</f>
        <v/>
      </c>
      <c r="D201" s="238" t="str">
        <f>IFERROR(IF(OR(Synthese_Programme!M201="Réservé",Synthese_Programme!M201="Acté",Synthese_Programme!M201="réservé",Synthese_Programme!M201="acté"),Synthese_Programme!K201,""),"")</f>
        <v/>
      </c>
      <c r="E201" s="239" t="str">
        <f>IFERROR(IF(OR(Synthese_Programme!M201="Réservé",Synthese_Programme!M201="Acté",Synthese_Programme!M201="réservé",Synthese_Programme!M201="acté"),$D201*Parametres!E2,""),"")</f>
        <v/>
      </c>
      <c r="F201" s="240" t="str">
        <f>IFERROR(IF(Base_de_donnée_clients!J201="","",Base_de_donnée_clients!J201),"")</f>
        <v/>
      </c>
      <c r="G201" s="239" t="str">
        <f>IF($C201="","",IF(AND(Parametres!F3&lt;&gt;"",Synthese_Programme!M201="Acté"),$D201*Parametres!E3,""))</f>
        <v/>
      </c>
      <c r="H201" s="240"/>
      <c r="I201" s="239" t="str">
        <f>IF($C201="","",IF(AND(Parametres!F4&lt;&gt;"",Synthese_Programme!M201="Acté"),$D201*Parametres!E4,""))</f>
        <v/>
      </c>
      <c r="J201" s="240"/>
      <c r="K201" s="239" t="str">
        <f>IF($C201="","",IF(AND(Parametres!F5&lt;&gt;"",Synthese_Programme!M201="Acté"),$D201*Parametres!E5,""))</f>
        <v/>
      </c>
      <c r="L201" s="240"/>
      <c r="M201" s="239" t="str">
        <f>IF($C201="","",IF(AND(Parametres!F6&lt;&gt;"",Synthese_Programme!M201="Acté"),$D201*Parametres!E6,""))</f>
        <v/>
      </c>
      <c r="N201" s="240"/>
      <c r="O201" s="239" t="str">
        <f>IF($C201="","",IF(AND(Parametres!F7&lt;&gt;"",Synthese_Programme!M201="Acté"),$D201*Parametres!E7,""))</f>
        <v/>
      </c>
      <c r="P201" s="240"/>
      <c r="Q201" s="226" t="str">
        <f t="shared" si="9"/>
        <v/>
      </c>
      <c r="R201" s="226" t="str">
        <f t="shared" si="10"/>
        <v/>
      </c>
      <c r="S201" s="226" t="str">
        <f t="shared" si="11"/>
        <v/>
      </c>
    </row>
    <row r="202" spans="1:19" ht="24" customHeight="1" x14ac:dyDescent="0.45">
      <c r="A202" s="237" t="str">
        <f>IFERROR(IF(Base_de_donnée_clients!A202="","",Base_de_donnée_clients!A202),"")</f>
        <v/>
      </c>
      <c r="B202" s="226" t="str">
        <f>IFERROR(IF(Base_de_donnée_clients!B202="","",Base_de_donnée_clients!B202),"")</f>
        <v/>
      </c>
      <c r="C202" s="226" t="str">
        <f>IFERROR(IF(Base_de_donnée_clients!C202="","",Base_de_donnée_clients!C202),"")</f>
        <v/>
      </c>
      <c r="D202" s="238" t="str">
        <f>IFERROR(IF(OR(Synthese_Programme!M202="Réservé",Synthese_Programme!M202="Acté",Synthese_Programme!M202="réservé",Synthese_Programme!M202="acté"),Synthese_Programme!K202,""),"")</f>
        <v/>
      </c>
      <c r="E202" s="239" t="str">
        <f>IFERROR(IF(OR(Synthese_Programme!M202="Réservé",Synthese_Programme!M202="Acté",Synthese_Programme!M202="réservé",Synthese_Programme!M202="acté"),$D202*Parametres!E2,""),"")</f>
        <v/>
      </c>
      <c r="F202" s="240" t="str">
        <f>IFERROR(IF(Base_de_donnée_clients!J202="","",Base_de_donnée_clients!J202),"")</f>
        <v/>
      </c>
      <c r="G202" s="239" t="str">
        <f>IF($C202="","",IF(AND(Parametres!F3&lt;&gt;"",Synthese_Programme!M202="Acté"),$D202*Parametres!E3,""))</f>
        <v/>
      </c>
      <c r="H202" s="240"/>
      <c r="I202" s="239" t="str">
        <f>IF($C202="","",IF(AND(Parametres!F4&lt;&gt;"",Synthese_Programme!M202="Acté"),$D202*Parametres!E4,""))</f>
        <v/>
      </c>
      <c r="J202" s="240"/>
      <c r="K202" s="239" t="str">
        <f>IF($C202="","",IF(AND(Parametres!F5&lt;&gt;"",Synthese_Programme!M202="Acté"),$D202*Parametres!E5,""))</f>
        <v/>
      </c>
      <c r="L202" s="240"/>
      <c r="M202" s="239" t="str">
        <f>IF($C202="","",IF(AND(Parametres!F6&lt;&gt;"",Synthese_Programme!M202="Acté"),$D202*Parametres!E6,""))</f>
        <v/>
      </c>
      <c r="N202" s="240"/>
      <c r="O202" s="239" t="str">
        <f>IF($C202="","",IF(AND(Parametres!F7&lt;&gt;"",Synthese_Programme!M202="Acté"),$D202*Parametres!E7,""))</f>
        <v/>
      </c>
      <c r="P202" s="240"/>
      <c r="Q202" s="226" t="str">
        <f t="shared" si="9"/>
        <v/>
      </c>
      <c r="R202" s="226" t="str">
        <f t="shared" si="10"/>
        <v/>
      </c>
      <c r="S202" s="226" t="str">
        <f t="shared" si="11"/>
        <v/>
      </c>
    </row>
    <row r="203" spans="1:19" ht="24" customHeight="1" x14ac:dyDescent="0.45">
      <c r="A203" s="237" t="str">
        <f>IFERROR(IF(Base_de_donnée_clients!A203="","",Base_de_donnée_clients!A203),"")</f>
        <v/>
      </c>
      <c r="B203" s="226" t="str">
        <f>IFERROR(IF(Base_de_donnée_clients!B203="","",Base_de_donnée_clients!B203),"")</f>
        <v/>
      </c>
      <c r="C203" s="226" t="str">
        <f>IFERROR(IF(Base_de_donnée_clients!C203="","",Base_de_donnée_clients!C203),"")</f>
        <v/>
      </c>
      <c r="D203" s="238" t="str">
        <f>IFERROR(IF(OR(Synthese_Programme!M203="Réservé",Synthese_Programme!M203="Acté",Synthese_Programme!M203="réservé",Synthese_Programme!M203="acté"),Synthese_Programme!K203,""),"")</f>
        <v/>
      </c>
      <c r="E203" s="239" t="str">
        <f>IFERROR(IF(OR(Synthese_Programme!M203="Réservé",Synthese_Programme!M203="Acté",Synthese_Programme!M203="réservé",Synthese_Programme!M203="acté"),$D203*Parametres!E2,""),"")</f>
        <v/>
      </c>
      <c r="F203" s="240" t="str">
        <f>IFERROR(IF(Base_de_donnée_clients!J203="","",Base_de_donnée_clients!J203),"")</f>
        <v/>
      </c>
      <c r="G203" s="239" t="str">
        <f>IF($C203="","",IF(AND(Parametres!F3&lt;&gt;"",Synthese_Programme!M203="Acté"),$D203*Parametres!E3,""))</f>
        <v/>
      </c>
      <c r="H203" s="240"/>
      <c r="I203" s="239" t="str">
        <f>IF($C203="","",IF(AND(Parametres!F4&lt;&gt;"",Synthese_Programme!M203="Acté"),$D203*Parametres!E4,""))</f>
        <v/>
      </c>
      <c r="J203" s="240"/>
      <c r="K203" s="239" t="str">
        <f>IF($C203="","",IF(AND(Parametres!F5&lt;&gt;"",Synthese_Programme!M203="Acté"),$D203*Parametres!E5,""))</f>
        <v/>
      </c>
      <c r="L203" s="240"/>
      <c r="M203" s="239" t="str">
        <f>IF($C203="","",IF(AND(Parametres!F6&lt;&gt;"",Synthese_Programme!M203="Acté"),$D203*Parametres!E6,""))</f>
        <v/>
      </c>
      <c r="N203" s="240"/>
      <c r="O203" s="239" t="str">
        <f>IF($C203="","",IF(AND(Parametres!F7&lt;&gt;"",Synthese_Programme!M203="Acté"),$D203*Parametres!E7,""))</f>
        <v/>
      </c>
      <c r="P203" s="240"/>
      <c r="Q203" s="226" t="str">
        <f t="shared" si="9"/>
        <v/>
      </c>
      <c r="R203" s="226" t="str">
        <f t="shared" si="10"/>
        <v/>
      </c>
      <c r="S203" s="226" t="str">
        <f t="shared" si="11"/>
        <v/>
      </c>
    </row>
    <row r="204" spans="1:19" ht="24" customHeight="1" x14ac:dyDescent="0.45">
      <c r="A204" s="237" t="str">
        <f>IFERROR(IF(Base_de_donnée_clients!A204="","",Base_de_donnée_clients!A204),"")</f>
        <v/>
      </c>
      <c r="B204" s="226" t="str">
        <f>IFERROR(IF(Base_de_donnée_clients!B204="","",Base_de_donnée_clients!B204),"")</f>
        <v/>
      </c>
      <c r="C204" s="226" t="str">
        <f>IFERROR(IF(Base_de_donnée_clients!C204="","",Base_de_donnée_clients!C204),"")</f>
        <v/>
      </c>
      <c r="D204" s="238" t="str">
        <f>IFERROR(IF(OR(Synthese_Programme!M204="Réservé",Synthese_Programme!M204="Acté",Synthese_Programme!M204="réservé",Synthese_Programme!M204="acté"),Synthese_Programme!K204,""),"")</f>
        <v/>
      </c>
      <c r="E204" s="239" t="str">
        <f>IFERROR(IF(OR(Synthese_Programme!M204="Réservé",Synthese_Programme!M204="Acté",Synthese_Programme!M204="réservé",Synthese_Programme!M204="acté"),$D204*Parametres!E2,""),"")</f>
        <v/>
      </c>
      <c r="F204" s="240" t="str">
        <f>IFERROR(IF(Base_de_donnée_clients!J204="","",Base_de_donnée_clients!J204),"")</f>
        <v/>
      </c>
      <c r="G204" s="239" t="str">
        <f>IF($C204="","",IF(AND(Parametres!F3&lt;&gt;"",Synthese_Programme!M204="Acté"),$D204*Parametres!E3,""))</f>
        <v/>
      </c>
      <c r="H204" s="240"/>
      <c r="I204" s="239" t="str">
        <f>IF($C204="","",IF(AND(Parametres!F4&lt;&gt;"",Synthese_Programme!M204="Acté"),$D204*Parametres!E4,""))</f>
        <v/>
      </c>
      <c r="J204" s="240"/>
      <c r="K204" s="239" t="str">
        <f>IF($C204="","",IF(AND(Parametres!F5&lt;&gt;"",Synthese_Programme!M204="Acté"),$D204*Parametres!E5,""))</f>
        <v/>
      </c>
      <c r="L204" s="240"/>
      <c r="M204" s="239" t="str">
        <f>IF($C204="","",IF(AND(Parametres!F6&lt;&gt;"",Synthese_Programme!M204="Acté"),$D204*Parametres!E6,""))</f>
        <v/>
      </c>
      <c r="N204" s="240"/>
      <c r="O204" s="239" t="str">
        <f>IF($C204="","",IF(AND(Parametres!F7&lt;&gt;"",Synthese_Programme!M204="Acté"),$D204*Parametres!E7,""))</f>
        <v/>
      </c>
      <c r="P204" s="240"/>
      <c r="Q204" s="226" t="str">
        <f t="shared" si="9"/>
        <v/>
      </c>
      <c r="R204" s="226" t="str">
        <f t="shared" si="10"/>
        <v/>
      </c>
      <c r="S204" s="226" t="str">
        <f t="shared" si="11"/>
        <v/>
      </c>
    </row>
    <row r="205" spans="1:19" ht="24" customHeight="1" x14ac:dyDescent="0.45">
      <c r="A205" s="237" t="str">
        <f>IFERROR(IF(Base_de_donnée_clients!A205="","",Base_de_donnée_clients!A205),"")</f>
        <v/>
      </c>
      <c r="B205" s="226" t="str">
        <f>IFERROR(IF(Base_de_donnée_clients!B205="","",Base_de_donnée_clients!B205),"")</f>
        <v/>
      </c>
      <c r="C205" s="226" t="str">
        <f>IFERROR(IF(Base_de_donnée_clients!C205="","",Base_de_donnée_clients!C205),"")</f>
        <v/>
      </c>
      <c r="D205" s="238" t="str">
        <f>IFERROR(IF(OR(Synthese_Programme!M205="Réservé",Synthese_Programme!M205="Acté",Synthese_Programme!M205="réservé",Synthese_Programme!M205="acté"),Synthese_Programme!K205,""),"")</f>
        <v/>
      </c>
      <c r="E205" s="239" t="str">
        <f>IFERROR(IF(OR(Synthese_Programme!M205="Réservé",Synthese_Programme!M205="Acté",Synthese_Programme!M205="réservé",Synthese_Programme!M205="acté"),$D205*Parametres!E2,""),"")</f>
        <v/>
      </c>
      <c r="F205" s="240" t="str">
        <f>IFERROR(IF(Base_de_donnée_clients!J205="","",Base_de_donnée_clients!J205),"")</f>
        <v/>
      </c>
      <c r="G205" s="239" t="str">
        <f>IF($C205="","",IF(AND(Parametres!F3&lt;&gt;"",Synthese_Programme!M205="Acté"),$D205*Parametres!E3,""))</f>
        <v/>
      </c>
      <c r="H205" s="240"/>
      <c r="I205" s="239" t="str">
        <f>IF($C205="","",IF(AND(Parametres!F4&lt;&gt;"",Synthese_Programme!M205="Acté"),$D205*Parametres!E4,""))</f>
        <v/>
      </c>
      <c r="J205" s="240"/>
      <c r="K205" s="239" t="str">
        <f>IF($C205="","",IF(AND(Parametres!F5&lt;&gt;"",Synthese_Programme!M205="Acté"),$D205*Parametres!E5,""))</f>
        <v/>
      </c>
      <c r="L205" s="240"/>
      <c r="M205" s="239" t="str">
        <f>IF($C205="","",IF(AND(Parametres!F6&lt;&gt;"",Synthese_Programme!M205="Acté"),$D205*Parametres!E6,""))</f>
        <v/>
      </c>
      <c r="N205" s="240"/>
      <c r="O205" s="239" t="str">
        <f>IF($C205="","",IF(AND(Parametres!F7&lt;&gt;"",Synthese_Programme!M205="Acté"),$D205*Parametres!E7,""))</f>
        <v/>
      </c>
      <c r="P205" s="240"/>
      <c r="Q205" s="226" t="str">
        <f t="shared" si="9"/>
        <v/>
      </c>
      <c r="R205" s="226" t="str">
        <f t="shared" si="10"/>
        <v/>
      </c>
      <c r="S205" s="226" t="str">
        <f t="shared" si="11"/>
        <v/>
      </c>
    </row>
    <row r="206" spans="1:19" ht="24" customHeight="1" x14ac:dyDescent="0.45">
      <c r="A206" s="237" t="str">
        <f>IFERROR(IF(Base_de_donnée_clients!A206="","",Base_de_donnée_clients!A206),"")</f>
        <v/>
      </c>
      <c r="B206" s="226" t="str">
        <f>IFERROR(IF(Base_de_donnée_clients!B206="","",Base_de_donnée_clients!B206),"")</f>
        <v/>
      </c>
      <c r="C206" s="226" t="str">
        <f>IFERROR(IF(Base_de_donnée_clients!C206="","",Base_de_donnée_clients!C206),"")</f>
        <v/>
      </c>
      <c r="D206" s="238" t="str">
        <f>IFERROR(IF(OR(Synthese_Programme!M206="Réservé",Synthese_Programme!M206="Acté",Synthese_Programme!M206="réservé",Synthese_Programme!M206="acté"),Synthese_Programme!K206,""),"")</f>
        <v/>
      </c>
      <c r="E206" s="239" t="str">
        <f>IFERROR(IF(OR(Synthese_Programme!M206="Réservé",Synthese_Programme!M206="Acté",Synthese_Programme!M206="réservé",Synthese_Programme!M206="acté"),$D206*Parametres!E2,""),"")</f>
        <v/>
      </c>
      <c r="F206" s="240" t="str">
        <f>IFERROR(IF(Base_de_donnée_clients!J206="","",Base_de_donnée_clients!J206),"")</f>
        <v/>
      </c>
      <c r="G206" s="239" t="str">
        <f>IF($C206="","",IF(AND(Parametres!F3&lt;&gt;"",Synthese_Programme!M206="Acté"),$D206*Parametres!E3,""))</f>
        <v/>
      </c>
      <c r="H206" s="240"/>
      <c r="I206" s="239" t="str">
        <f>IF($C206="","",IF(AND(Parametres!F4&lt;&gt;"",Synthese_Programme!M206="Acté"),$D206*Parametres!E4,""))</f>
        <v/>
      </c>
      <c r="J206" s="240"/>
      <c r="K206" s="239" t="str">
        <f>IF($C206="","",IF(AND(Parametres!F5&lt;&gt;"",Synthese_Programme!M206="Acté"),$D206*Parametres!E5,""))</f>
        <v/>
      </c>
      <c r="L206" s="240"/>
      <c r="M206" s="239" t="str">
        <f>IF($C206="","",IF(AND(Parametres!F6&lt;&gt;"",Synthese_Programme!M206="Acté"),$D206*Parametres!E6,""))</f>
        <v/>
      </c>
      <c r="N206" s="240"/>
      <c r="O206" s="239" t="str">
        <f>IF($C206="","",IF(AND(Parametres!F7&lt;&gt;"",Synthese_Programme!M206="Acté"),$D206*Parametres!E7,""))</f>
        <v/>
      </c>
      <c r="P206" s="240"/>
      <c r="Q206" s="226" t="str">
        <f t="shared" si="9"/>
        <v/>
      </c>
      <c r="R206" s="226" t="str">
        <f t="shared" si="10"/>
        <v/>
      </c>
      <c r="S206" s="226" t="str">
        <f t="shared" si="11"/>
        <v/>
      </c>
    </row>
    <row r="207" spans="1:19" ht="24" customHeight="1" x14ac:dyDescent="0.45">
      <c r="A207" s="237" t="str">
        <f>IFERROR(IF(Base_de_donnée_clients!A207="","",Base_de_donnée_clients!A207),"")</f>
        <v/>
      </c>
      <c r="B207" s="226" t="str">
        <f>IFERROR(IF(Base_de_donnée_clients!B207="","",Base_de_donnée_clients!B207),"")</f>
        <v/>
      </c>
      <c r="C207" s="226" t="str">
        <f>IFERROR(IF(Base_de_donnée_clients!C207="","",Base_de_donnée_clients!C207),"")</f>
        <v/>
      </c>
      <c r="D207" s="238" t="str">
        <f>IFERROR(IF(OR(Synthese_Programme!M207="Réservé",Synthese_Programme!M207="Acté",Synthese_Programme!M207="réservé",Synthese_Programme!M207="acté"),Synthese_Programme!K207,""),"")</f>
        <v/>
      </c>
      <c r="E207" s="239" t="str">
        <f>IFERROR(IF(OR(Synthese_Programme!M207="Réservé",Synthese_Programme!M207="Acté",Synthese_Programme!M207="réservé",Synthese_Programme!M207="acté"),$D207*Parametres!E2,""),"")</f>
        <v/>
      </c>
      <c r="F207" s="240" t="str">
        <f>IFERROR(IF(Base_de_donnée_clients!J207="","",Base_de_donnée_clients!J207),"")</f>
        <v/>
      </c>
      <c r="G207" s="239" t="str">
        <f>IF($C207="","",IF(AND(Parametres!F3&lt;&gt;"",Synthese_Programme!M207="Acté"),$D207*Parametres!E3,""))</f>
        <v/>
      </c>
      <c r="H207" s="240"/>
      <c r="I207" s="239" t="str">
        <f>IF($C207="","",IF(AND(Parametres!F4&lt;&gt;"",Synthese_Programme!M207="Acté"),$D207*Parametres!E4,""))</f>
        <v/>
      </c>
      <c r="J207" s="240"/>
      <c r="K207" s="239" t="str">
        <f>IF($C207="","",IF(AND(Parametres!F5&lt;&gt;"",Synthese_Programme!M207="Acté"),$D207*Parametres!E5,""))</f>
        <v/>
      </c>
      <c r="L207" s="240"/>
      <c r="M207" s="239" t="str">
        <f>IF($C207="","",IF(AND(Parametres!F6&lt;&gt;"",Synthese_Programme!M207="Acté"),$D207*Parametres!E6,""))</f>
        <v/>
      </c>
      <c r="N207" s="240"/>
      <c r="O207" s="239" t="str">
        <f>IF($C207="","",IF(AND(Parametres!F7&lt;&gt;"",Synthese_Programme!M207="Acté"),$D207*Parametres!E7,""))</f>
        <v/>
      </c>
      <c r="P207" s="240"/>
      <c r="Q207" s="226" t="str">
        <f t="shared" si="9"/>
        <v/>
      </c>
      <c r="R207" s="226" t="str">
        <f t="shared" si="10"/>
        <v/>
      </c>
      <c r="S207" s="226" t="str">
        <f t="shared" si="11"/>
        <v/>
      </c>
    </row>
    <row r="208" spans="1:19" ht="24" customHeight="1" x14ac:dyDescent="0.45">
      <c r="A208" s="237" t="str">
        <f>IFERROR(IF(Base_de_donnée_clients!A208="","",Base_de_donnée_clients!A208),"")</f>
        <v/>
      </c>
      <c r="B208" s="226" t="str">
        <f>IFERROR(IF(Base_de_donnée_clients!B208="","",Base_de_donnée_clients!B208),"")</f>
        <v/>
      </c>
      <c r="C208" s="226" t="str">
        <f>IFERROR(IF(Base_de_donnée_clients!C208="","",Base_de_donnée_clients!C208),"")</f>
        <v/>
      </c>
      <c r="D208" s="238" t="str">
        <f>IFERROR(IF(OR(Synthese_Programme!M208="Réservé",Synthese_Programme!M208="Acté",Synthese_Programme!M208="réservé",Synthese_Programme!M208="acté"),Synthese_Programme!K208,""),"")</f>
        <v/>
      </c>
      <c r="E208" s="239" t="str">
        <f>IFERROR(IF(OR(Synthese_Programme!M208="Réservé",Synthese_Programme!M208="Acté",Synthese_Programme!M208="réservé",Synthese_Programme!M208="acté"),$D208*Parametres!E2,""),"")</f>
        <v/>
      </c>
      <c r="F208" s="240" t="str">
        <f>IFERROR(IF(Base_de_donnée_clients!J208="","",Base_de_donnée_clients!J208),"")</f>
        <v/>
      </c>
      <c r="G208" s="239" t="str">
        <f>IF($C208="","",IF(AND(Parametres!F3&lt;&gt;"",Synthese_Programme!M208="Acté"),$D208*Parametres!E3,""))</f>
        <v/>
      </c>
      <c r="H208" s="240"/>
      <c r="I208" s="239" t="str">
        <f>IF($C208="","",IF(AND(Parametres!F4&lt;&gt;"",Synthese_Programme!M208="Acté"),$D208*Parametres!E4,""))</f>
        <v/>
      </c>
      <c r="J208" s="240"/>
      <c r="K208" s="239" t="str">
        <f>IF($C208="","",IF(AND(Parametres!F5&lt;&gt;"",Synthese_Programme!M208="Acté"),$D208*Parametres!E5,""))</f>
        <v/>
      </c>
      <c r="L208" s="240"/>
      <c r="M208" s="239" t="str">
        <f>IF($C208="","",IF(AND(Parametres!F6&lt;&gt;"",Synthese_Programme!M208="Acté"),$D208*Parametres!E6,""))</f>
        <v/>
      </c>
      <c r="N208" s="240"/>
      <c r="O208" s="239" t="str">
        <f>IF($C208="","",IF(AND(Parametres!F7&lt;&gt;"",Synthese_Programme!M208="Acté"),$D208*Parametres!E7,""))</f>
        <v/>
      </c>
      <c r="P208" s="240"/>
      <c r="Q208" s="226" t="str">
        <f t="shared" si="9"/>
        <v/>
      </c>
      <c r="R208" s="226" t="str">
        <f t="shared" si="10"/>
        <v/>
      </c>
      <c r="S208" s="226" t="str">
        <f t="shared" si="11"/>
        <v/>
      </c>
    </row>
    <row r="209" spans="1:19" ht="24" customHeight="1" x14ac:dyDescent="0.45">
      <c r="A209" s="237" t="str">
        <f>IFERROR(IF(Base_de_donnée_clients!A209="","",Base_de_donnée_clients!A209),"")</f>
        <v/>
      </c>
      <c r="B209" s="226" t="str">
        <f>IFERROR(IF(Base_de_donnée_clients!B209="","",Base_de_donnée_clients!B209),"")</f>
        <v/>
      </c>
      <c r="C209" s="226" t="str">
        <f>IFERROR(IF(Base_de_donnée_clients!C209="","",Base_de_donnée_clients!C209),"")</f>
        <v/>
      </c>
      <c r="D209" s="238" t="str">
        <f>IFERROR(IF(OR(Synthese_Programme!M209="Réservé",Synthese_Programme!M209="Acté",Synthese_Programme!M209="réservé",Synthese_Programme!M209="acté"),Synthese_Programme!K209,""),"")</f>
        <v/>
      </c>
      <c r="E209" s="239" t="str">
        <f>IFERROR(IF(OR(Synthese_Programme!M209="Réservé",Synthese_Programme!M209="Acté",Synthese_Programme!M209="réservé",Synthese_Programme!M209="acté"),$D209*Parametres!E2,""),"")</f>
        <v/>
      </c>
      <c r="F209" s="240" t="str">
        <f>IFERROR(IF(Base_de_donnée_clients!J209="","",Base_de_donnée_clients!J209),"")</f>
        <v/>
      </c>
      <c r="G209" s="239" t="str">
        <f>IF($C209="","",IF(AND(Parametres!F3&lt;&gt;"",Synthese_Programme!M209="Acté"),$D209*Parametres!E3,""))</f>
        <v/>
      </c>
      <c r="H209" s="240"/>
      <c r="I209" s="239" t="str">
        <f>IF($C209="","",IF(AND(Parametres!F4&lt;&gt;"",Synthese_Programme!M209="Acté"),$D209*Parametres!E4,""))</f>
        <v/>
      </c>
      <c r="J209" s="240"/>
      <c r="K209" s="239" t="str">
        <f>IF($C209="","",IF(AND(Parametres!F5&lt;&gt;"",Synthese_Programme!M209="Acté"),$D209*Parametres!E5,""))</f>
        <v/>
      </c>
      <c r="L209" s="240"/>
      <c r="M209" s="239" t="str">
        <f>IF($C209="","",IF(AND(Parametres!F6&lt;&gt;"",Synthese_Programme!M209="Acté"),$D209*Parametres!E6,""))</f>
        <v/>
      </c>
      <c r="N209" s="240"/>
      <c r="O209" s="239" t="str">
        <f>IF($C209="","",IF(AND(Parametres!F7&lt;&gt;"",Synthese_Programme!M209="Acté"),$D209*Parametres!E7,""))</f>
        <v/>
      </c>
      <c r="P209" s="240"/>
      <c r="Q209" s="226" t="str">
        <f t="shared" si="9"/>
        <v/>
      </c>
      <c r="R209" s="226" t="str">
        <f t="shared" si="10"/>
        <v/>
      </c>
      <c r="S209" s="226" t="str">
        <f t="shared" si="11"/>
        <v/>
      </c>
    </row>
    <row r="210" spans="1:19" ht="24" customHeight="1" x14ac:dyDescent="0.45">
      <c r="A210" s="237" t="str">
        <f>IFERROR(IF(Base_de_donnée_clients!A210="","",Base_de_donnée_clients!A210),"")</f>
        <v/>
      </c>
      <c r="B210" s="226" t="str">
        <f>IFERROR(IF(Base_de_donnée_clients!B210="","",Base_de_donnée_clients!B210),"")</f>
        <v/>
      </c>
      <c r="C210" s="226" t="str">
        <f>IFERROR(IF(Base_de_donnée_clients!C210="","",Base_de_donnée_clients!C210),"")</f>
        <v/>
      </c>
      <c r="D210" s="238" t="str">
        <f>IFERROR(IF(OR(Synthese_Programme!M210="Réservé",Synthese_Programme!M210="Acté",Synthese_Programme!M210="réservé",Synthese_Programme!M210="acté"),Synthese_Programme!K210,""),"")</f>
        <v/>
      </c>
      <c r="E210" s="239" t="str">
        <f>IFERROR(IF(OR(Synthese_Programme!M210="Réservé",Synthese_Programme!M210="Acté",Synthese_Programme!M210="réservé",Synthese_Programme!M210="acté"),$D210*Parametres!E2,""),"")</f>
        <v/>
      </c>
      <c r="F210" s="240" t="str">
        <f>IFERROR(IF(Base_de_donnée_clients!J210="","",Base_de_donnée_clients!J210),"")</f>
        <v/>
      </c>
      <c r="G210" s="239" t="str">
        <f>IF($C210="","",IF(AND(Parametres!F3&lt;&gt;"",Synthese_Programme!M210="Acté"),$D210*Parametres!E3,""))</f>
        <v/>
      </c>
      <c r="H210" s="240"/>
      <c r="I210" s="239" t="str">
        <f>IF($C210="","",IF(AND(Parametres!F4&lt;&gt;"",Synthese_Programme!M210="Acté"),$D210*Parametres!E4,""))</f>
        <v/>
      </c>
      <c r="J210" s="240"/>
      <c r="K210" s="239" t="str">
        <f>IF($C210="","",IF(AND(Parametres!F5&lt;&gt;"",Synthese_Programme!M210="Acté"),$D210*Parametres!E5,""))</f>
        <v/>
      </c>
      <c r="L210" s="240"/>
      <c r="M210" s="239" t="str">
        <f>IF($C210="","",IF(AND(Parametres!F6&lt;&gt;"",Synthese_Programme!M210="Acté"),$D210*Parametres!E6,""))</f>
        <v/>
      </c>
      <c r="N210" s="240"/>
      <c r="O210" s="239" t="str">
        <f>IF($C210="","",IF(AND(Parametres!F7&lt;&gt;"",Synthese_Programme!M210="Acté"),$D210*Parametres!E7,""))</f>
        <v/>
      </c>
      <c r="P210" s="240"/>
      <c r="Q210" s="226" t="str">
        <f t="shared" si="9"/>
        <v/>
      </c>
      <c r="R210" s="226" t="str">
        <f t="shared" si="10"/>
        <v/>
      </c>
      <c r="S210" s="226" t="str">
        <f t="shared" si="11"/>
        <v/>
      </c>
    </row>
    <row r="211" spans="1:19" ht="24" customHeight="1" x14ac:dyDescent="0.45">
      <c r="A211" s="237" t="str">
        <f>IFERROR(IF(Base_de_donnée_clients!A211="","",Base_de_donnée_clients!A211),"")</f>
        <v/>
      </c>
      <c r="B211" s="226" t="str">
        <f>IFERROR(IF(Base_de_donnée_clients!B211="","",Base_de_donnée_clients!B211),"")</f>
        <v/>
      </c>
      <c r="C211" s="226" t="str">
        <f>IFERROR(IF(Base_de_donnée_clients!C211="","",Base_de_donnée_clients!C211),"")</f>
        <v/>
      </c>
      <c r="D211" s="238" t="str">
        <f>IFERROR(IF(OR(Synthese_Programme!M211="Réservé",Synthese_Programme!M211="Acté",Synthese_Programme!M211="réservé",Synthese_Programme!M211="acté"),Synthese_Programme!K211,""),"")</f>
        <v/>
      </c>
      <c r="E211" s="239" t="str">
        <f>IFERROR(IF(OR(Synthese_Programme!M211="Réservé",Synthese_Programme!M211="Acté",Synthese_Programme!M211="réservé",Synthese_Programme!M211="acté"),$D211*Parametres!E2,""),"")</f>
        <v/>
      </c>
      <c r="F211" s="240" t="str">
        <f>IFERROR(IF(Base_de_donnée_clients!J211="","",Base_de_donnée_clients!J211),"")</f>
        <v/>
      </c>
      <c r="G211" s="239" t="str">
        <f>IF($C211="","",IF(AND(Parametres!F3&lt;&gt;"",Synthese_Programme!M211="Acté"),$D211*Parametres!E3,""))</f>
        <v/>
      </c>
      <c r="H211" s="240"/>
      <c r="I211" s="239" t="str">
        <f>IF($C211="","",IF(AND(Parametres!F4&lt;&gt;"",Synthese_Programme!M211="Acté"),$D211*Parametres!E4,""))</f>
        <v/>
      </c>
      <c r="J211" s="240"/>
      <c r="K211" s="239" t="str">
        <f>IF($C211="","",IF(AND(Parametres!F5&lt;&gt;"",Synthese_Programme!M211="Acté"),$D211*Parametres!E5,""))</f>
        <v/>
      </c>
      <c r="L211" s="240"/>
      <c r="M211" s="239" t="str">
        <f>IF($C211="","",IF(AND(Parametres!F6&lt;&gt;"",Synthese_Programme!M211="Acté"),$D211*Parametres!E6,""))</f>
        <v/>
      </c>
      <c r="N211" s="240"/>
      <c r="O211" s="239" t="str">
        <f>IF($C211="","",IF(AND(Parametres!F7&lt;&gt;"",Synthese_Programme!M211="Acté"),$D211*Parametres!E7,""))</f>
        <v/>
      </c>
      <c r="P211" s="240"/>
      <c r="Q211" s="226" t="str">
        <f t="shared" si="9"/>
        <v/>
      </c>
      <c r="R211" s="226" t="str">
        <f t="shared" si="10"/>
        <v/>
      </c>
      <c r="S211" s="226" t="str">
        <f t="shared" si="11"/>
        <v/>
      </c>
    </row>
    <row r="212" spans="1:19" ht="24" customHeight="1" x14ac:dyDescent="0.45">
      <c r="A212" s="237" t="str">
        <f>IFERROR(IF(Base_de_donnée_clients!A212="","",Base_de_donnée_clients!A212),"")</f>
        <v/>
      </c>
      <c r="B212" s="226" t="str">
        <f>IFERROR(IF(Base_de_donnée_clients!B212="","",Base_de_donnée_clients!B212),"")</f>
        <v/>
      </c>
      <c r="C212" s="226" t="str">
        <f>IFERROR(IF(Base_de_donnée_clients!C212="","",Base_de_donnée_clients!C212),"")</f>
        <v/>
      </c>
      <c r="D212" s="238" t="str">
        <f>IFERROR(IF(OR(Synthese_Programme!M212="Réservé",Synthese_Programme!M212="Acté",Synthese_Programme!M212="réservé",Synthese_Programme!M212="acté"),Synthese_Programme!K212,""),"")</f>
        <v/>
      </c>
      <c r="E212" s="239" t="str">
        <f>IFERROR(IF(OR(Synthese_Programme!M212="Réservé",Synthese_Programme!M212="Acté",Synthese_Programme!M212="réservé",Synthese_Programme!M212="acté"),$D212*Parametres!E2,""),"")</f>
        <v/>
      </c>
      <c r="F212" s="240" t="str">
        <f>IFERROR(IF(Base_de_donnée_clients!J212="","",Base_de_donnée_clients!J212),"")</f>
        <v/>
      </c>
      <c r="G212" s="239" t="str">
        <f>IF($C212="","",IF(AND(Parametres!F3&lt;&gt;"",Synthese_Programme!M212="Acté"),$D212*Parametres!E3,""))</f>
        <v/>
      </c>
      <c r="H212" s="240"/>
      <c r="I212" s="239" t="str">
        <f>IF($C212="","",IF(AND(Parametres!F4&lt;&gt;"",Synthese_Programme!M212="Acté"),$D212*Parametres!E4,""))</f>
        <v/>
      </c>
      <c r="J212" s="240"/>
      <c r="K212" s="239" t="str">
        <f>IF($C212="","",IF(AND(Parametres!F5&lt;&gt;"",Synthese_Programme!M212="Acté"),$D212*Parametres!E5,""))</f>
        <v/>
      </c>
      <c r="L212" s="240"/>
      <c r="M212" s="239" t="str">
        <f>IF($C212="","",IF(AND(Parametres!F6&lt;&gt;"",Synthese_Programme!M212="Acté"),$D212*Parametres!E6,""))</f>
        <v/>
      </c>
      <c r="N212" s="240"/>
      <c r="O212" s="239" t="str">
        <f>IF($C212="","",IF(AND(Parametres!F7&lt;&gt;"",Synthese_Programme!M212="Acté"),$D212*Parametres!E7,""))</f>
        <v/>
      </c>
      <c r="P212" s="240"/>
      <c r="Q212" s="226" t="str">
        <f t="shared" si="9"/>
        <v/>
      </c>
      <c r="R212" s="226" t="str">
        <f t="shared" si="10"/>
        <v/>
      </c>
      <c r="S212" s="226" t="str">
        <f t="shared" si="11"/>
        <v/>
      </c>
    </row>
    <row r="213" spans="1:19" ht="24" customHeight="1" x14ac:dyDescent="0.45">
      <c r="A213" s="237" t="str">
        <f>IFERROR(IF(Base_de_donnée_clients!A213="","",Base_de_donnée_clients!A213),"")</f>
        <v/>
      </c>
      <c r="B213" s="226" t="str">
        <f>IFERROR(IF(Base_de_donnée_clients!B213="","",Base_de_donnée_clients!B213),"")</f>
        <v/>
      </c>
      <c r="C213" s="226" t="str">
        <f>IFERROR(IF(Base_de_donnée_clients!C213="","",Base_de_donnée_clients!C213),"")</f>
        <v/>
      </c>
      <c r="D213" s="238" t="str">
        <f>IFERROR(IF(OR(Synthese_Programme!M213="Réservé",Synthese_Programme!M213="Acté",Synthese_Programme!M213="réservé",Synthese_Programme!M213="acté"),Synthese_Programme!K213,""),"")</f>
        <v/>
      </c>
      <c r="E213" s="239" t="str">
        <f>IFERROR(IF(OR(Synthese_Programme!M213="Réservé",Synthese_Programme!M213="Acté",Synthese_Programme!M213="réservé",Synthese_Programme!M213="acté"),$D213*Parametres!E2,""),"")</f>
        <v/>
      </c>
      <c r="F213" s="240" t="str">
        <f>IFERROR(IF(Base_de_donnée_clients!J213="","",Base_de_donnée_clients!J213),"")</f>
        <v/>
      </c>
      <c r="G213" s="239" t="str">
        <f>IF($C213="","",IF(AND(Parametres!F3&lt;&gt;"",Synthese_Programme!M213="Acté"),$D213*Parametres!E3,""))</f>
        <v/>
      </c>
      <c r="H213" s="240"/>
      <c r="I213" s="239" t="str">
        <f>IF($C213="","",IF(AND(Parametres!F4&lt;&gt;"",Synthese_Programme!M213="Acté"),$D213*Parametres!E4,""))</f>
        <v/>
      </c>
      <c r="J213" s="240"/>
      <c r="K213" s="239" t="str">
        <f>IF($C213="","",IF(AND(Parametres!F5&lt;&gt;"",Synthese_Programme!M213="Acté"),$D213*Parametres!E5,""))</f>
        <v/>
      </c>
      <c r="L213" s="240"/>
      <c r="M213" s="239" t="str">
        <f>IF($C213="","",IF(AND(Parametres!F6&lt;&gt;"",Synthese_Programme!M213="Acté"),$D213*Parametres!E6,""))</f>
        <v/>
      </c>
      <c r="N213" s="240"/>
      <c r="O213" s="239" t="str">
        <f>IF($C213="","",IF(AND(Parametres!F7&lt;&gt;"",Synthese_Programme!M213="Acté"),$D213*Parametres!E7,""))</f>
        <v/>
      </c>
      <c r="P213" s="240"/>
      <c r="Q213" s="226" t="str">
        <f t="shared" si="9"/>
        <v/>
      </c>
      <c r="R213" s="226" t="str">
        <f t="shared" si="10"/>
        <v/>
      </c>
      <c r="S213" s="226" t="str">
        <f t="shared" si="11"/>
        <v/>
      </c>
    </row>
    <row r="214" spans="1:19" ht="24" customHeight="1" x14ac:dyDescent="0.45">
      <c r="A214" s="237" t="str">
        <f>IFERROR(IF(Base_de_donnée_clients!A214="","",Base_de_donnée_clients!A214),"")</f>
        <v/>
      </c>
      <c r="B214" s="226" t="str">
        <f>IFERROR(IF(Base_de_donnée_clients!B214="","",Base_de_donnée_clients!B214),"")</f>
        <v/>
      </c>
      <c r="C214" s="226" t="str">
        <f>IFERROR(IF(Base_de_donnée_clients!C214="","",Base_de_donnée_clients!C214),"")</f>
        <v/>
      </c>
      <c r="D214" s="238" t="str">
        <f>IFERROR(IF(OR(Synthese_Programme!M214="Réservé",Synthese_Programme!M214="Acté",Synthese_Programme!M214="réservé",Synthese_Programme!M214="acté"),Synthese_Programme!K214,""),"")</f>
        <v/>
      </c>
      <c r="E214" s="239" t="str">
        <f>IFERROR(IF(OR(Synthese_Programme!M214="Réservé",Synthese_Programme!M214="Acté",Synthese_Programme!M214="réservé",Synthese_Programme!M214="acté"),$D214*Parametres!E2,""),"")</f>
        <v/>
      </c>
      <c r="F214" s="240" t="str">
        <f>IFERROR(IF(Base_de_donnée_clients!J214="","",Base_de_donnée_clients!J214),"")</f>
        <v/>
      </c>
      <c r="G214" s="239" t="str">
        <f>IF($C214="","",IF(AND(Parametres!F3&lt;&gt;"",Synthese_Programme!M214="Acté"),$D214*Parametres!E3,""))</f>
        <v/>
      </c>
      <c r="H214" s="240"/>
      <c r="I214" s="239" t="str">
        <f>IF($C214="","",IF(AND(Parametres!F4&lt;&gt;"",Synthese_Programme!M214="Acté"),$D214*Parametres!E4,""))</f>
        <v/>
      </c>
      <c r="J214" s="240"/>
      <c r="K214" s="239" t="str">
        <f>IF($C214="","",IF(AND(Parametres!F5&lt;&gt;"",Synthese_Programme!M214="Acté"),$D214*Parametres!E5,""))</f>
        <v/>
      </c>
      <c r="L214" s="240"/>
      <c r="M214" s="239" t="str">
        <f>IF($C214="","",IF(AND(Parametres!F6&lt;&gt;"",Synthese_Programme!M214="Acté"),$D214*Parametres!E6,""))</f>
        <v/>
      </c>
      <c r="N214" s="240"/>
      <c r="O214" s="239" t="str">
        <f>IF($C214="","",IF(AND(Parametres!F7&lt;&gt;"",Synthese_Programme!M214="Acté"),$D214*Parametres!E7,""))</f>
        <v/>
      </c>
      <c r="P214" s="240"/>
      <c r="Q214" s="226" t="str">
        <f t="shared" si="9"/>
        <v/>
      </c>
      <c r="R214" s="226" t="str">
        <f t="shared" si="10"/>
        <v/>
      </c>
      <c r="S214" s="226" t="str">
        <f t="shared" si="11"/>
        <v/>
      </c>
    </row>
    <row r="215" spans="1:19" ht="24" customHeight="1" x14ac:dyDescent="0.45">
      <c r="A215" s="237" t="str">
        <f>IFERROR(IF(Base_de_donnée_clients!A215="","",Base_de_donnée_clients!A215),"")</f>
        <v/>
      </c>
      <c r="B215" s="226" t="str">
        <f>IFERROR(IF(Base_de_donnée_clients!B215="","",Base_de_donnée_clients!B215),"")</f>
        <v/>
      </c>
      <c r="C215" s="226" t="str">
        <f>IFERROR(IF(Base_de_donnée_clients!C215="","",Base_de_donnée_clients!C215),"")</f>
        <v/>
      </c>
      <c r="D215" s="238" t="str">
        <f>IFERROR(IF(OR(Synthese_Programme!M215="Réservé",Synthese_Programme!M215="Acté",Synthese_Programme!M215="réservé",Synthese_Programme!M215="acté"),Synthese_Programme!K215,""),"")</f>
        <v/>
      </c>
      <c r="E215" s="239" t="str">
        <f>IFERROR(IF(OR(Synthese_Programme!M215="Réservé",Synthese_Programme!M215="Acté",Synthese_Programme!M215="réservé",Synthese_Programme!M215="acté"),$D215*Parametres!E2,""),"")</f>
        <v/>
      </c>
      <c r="F215" s="240" t="str">
        <f>IFERROR(IF(Base_de_donnée_clients!J215="","",Base_de_donnée_clients!J215),"")</f>
        <v/>
      </c>
      <c r="G215" s="239" t="str">
        <f>IF($C215="","",IF(AND(Parametres!F3&lt;&gt;"",Synthese_Programme!M215="Acté"),$D215*Parametres!E3,""))</f>
        <v/>
      </c>
      <c r="H215" s="240"/>
      <c r="I215" s="239" t="str">
        <f>IF($C215="","",IF(AND(Parametres!F4&lt;&gt;"",Synthese_Programme!M215="Acté"),$D215*Parametres!E4,""))</f>
        <v/>
      </c>
      <c r="J215" s="240"/>
      <c r="K215" s="239" t="str">
        <f>IF($C215="","",IF(AND(Parametres!F5&lt;&gt;"",Synthese_Programme!M215="Acté"),$D215*Parametres!E5,""))</f>
        <v/>
      </c>
      <c r="L215" s="240"/>
      <c r="M215" s="239" t="str">
        <f>IF($C215="","",IF(AND(Parametres!F6&lt;&gt;"",Synthese_Programme!M215="Acté"),$D215*Parametres!E6,""))</f>
        <v/>
      </c>
      <c r="N215" s="240"/>
      <c r="O215" s="239" t="str">
        <f>IF($C215="","",IF(AND(Parametres!F7&lt;&gt;"",Synthese_Programme!M215="Acté"),$D215*Parametres!E7,""))</f>
        <v/>
      </c>
      <c r="P215" s="240"/>
      <c r="Q215" s="226" t="str">
        <f t="shared" si="9"/>
        <v/>
      </c>
      <c r="R215" s="226" t="str">
        <f t="shared" si="10"/>
        <v/>
      </c>
      <c r="S215" s="226" t="str">
        <f t="shared" si="11"/>
        <v/>
      </c>
    </row>
    <row r="216" spans="1:19" ht="24" customHeight="1" x14ac:dyDescent="0.45">
      <c r="A216" s="237" t="str">
        <f>IFERROR(IF(Base_de_donnée_clients!A216="","",Base_de_donnée_clients!A216),"")</f>
        <v/>
      </c>
      <c r="B216" s="226" t="str">
        <f>IFERROR(IF(Base_de_donnée_clients!B216="","",Base_de_donnée_clients!B216),"")</f>
        <v/>
      </c>
      <c r="C216" s="226" t="str">
        <f>IFERROR(IF(Base_de_donnée_clients!C216="","",Base_de_donnée_clients!C216),"")</f>
        <v/>
      </c>
      <c r="D216" s="238" t="str">
        <f>IFERROR(IF(OR(Synthese_Programme!M216="Réservé",Synthese_Programme!M216="Acté",Synthese_Programme!M216="réservé",Synthese_Programme!M216="acté"),Synthese_Programme!K216,""),"")</f>
        <v/>
      </c>
      <c r="E216" s="239" t="str">
        <f>IFERROR(IF(OR(Synthese_Programme!M216="Réservé",Synthese_Programme!M216="Acté",Synthese_Programme!M216="réservé",Synthese_Programme!M216="acté"),$D216*Parametres!E2,""),"")</f>
        <v/>
      </c>
      <c r="F216" s="240" t="str">
        <f>IFERROR(IF(Base_de_donnée_clients!J216="","",Base_de_donnée_clients!J216),"")</f>
        <v/>
      </c>
      <c r="G216" s="239" t="str">
        <f>IF($C216="","",IF(AND(Parametres!F3&lt;&gt;"",Synthese_Programme!M216="Acté"),$D216*Parametres!E3,""))</f>
        <v/>
      </c>
      <c r="H216" s="240"/>
      <c r="I216" s="239" t="str">
        <f>IF($C216="","",IF(AND(Parametres!F4&lt;&gt;"",Synthese_Programme!M216="Acté"),$D216*Parametres!E4,""))</f>
        <v/>
      </c>
      <c r="J216" s="240"/>
      <c r="K216" s="239" t="str">
        <f>IF($C216="","",IF(AND(Parametres!F5&lt;&gt;"",Synthese_Programme!M216="Acté"),$D216*Parametres!E5,""))</f>
        <v/>
      </c>
      <c r="L216" s="240"/>
      <c r="M216" s="239" t="str">
        <f>IF($C216="","",IF(AND(Parametres!F6&lt;&gt;"",Synthese_Programme!M216="Acté"),$D216*Parametres!E6,""))</f>
        <v/>
      </c>
      <c r="N216" s="240"/>
      <c r="O216" s="239" t="str">
        <f>IF($C216="","",IF(AND(Parametres!F7&lt;&gt;"",Synthese_Programme!M216="Acté"),$D216*Parametres!E7,""))</f>
        <v/>
      </c>
      <c r="P216" s="240"/>
      <c r="Q216" s="226" t="str">
        <f t="shared" si="9"/>
        <v/>
      </c>
      <c r="R216" s="226" t="str">
        <f t="shared" si="10"/>
        <v/>
      </c>
      <c r="S216" s="226" t="str">
        <f t="shared" si="11"/>
        <v/>
      </c>
    </row>
    <row r="217" spans="1:19" ht="24" customHeight="1" x14ac:dyDescent="0.45">
      <c r="A217" s="237" t="str">
        <f>IFERROR(IF(Base_de_donnée_clients!A217="","",Base_de_donnée_clients!A217),"")</f>
        <v/>
      </c>
      <c r="B217" s="226" t="str">
        <f>IFERROR(IF(Base_de_donnée_clients!B217="","",Base_de_donnée_clients!B217),"")</f>
        <v/>
      </c>
      <c r="C217" s="226" t="str">
        <f>IFERROR(IF(Base_de_donnée_clients!C217="","",Base_de_donnée_clients!C217),"")</f>
        <v/>
      </c>
      <c r="D217" s="238" t="str">
        <f>IFERROR(IF(OR(Synthese_Programme!M217="Réservé",Synthese_Programme!M217="Acté",Synthese_Programme!M217="réservé",Synthese_Programme!M217="acté"),Synthese_Programme!K217,""),"")</f>
        <v/>
      </c>
      <c r="E217" s="239" t="str">
        <f>IFERROR(IF(OR(Synthese_Programme!M217="Réservé",Synthese_Programme!M217="Acté",Synthese_Programme!M217="réservé",Synthese_Programme!M217="acté"),$D217*Parametres!E2,""),"")</f>
        <v/>
      </c>
      <c r="F217" s="240" t="str">
        <f>IFERROR(IF(Base_de_donnée_clients!J217="","",Base_de_donnée_clients!J217),"")</f>
        <v/>
      </c>
      <c r="G217" s="239" t="str">
        <f>IF($C217="","",IF(AND(Parametres!F3&lt;&gt;"",Synthese_Programme!M217="Acté"),$D217*Parametres!E3,""))</f>
        <v/>
      </c>
      <c r="H217" s="240"/>
      <c r="I217" s="239" t="str">
        <f>IF($C217="","",IF(AND(Parametres!F4&lt;&gt;"",Synthese_Programme!M217="Acté"),$D217*Parametres!E4,""))</f>
        <v/>
      </c>
      <c r="J217" s="240"/>
      <c r="K217" s="239" t="str">
        <f>IF($C217="","",IF(AND(Parametres!F5&lt;&gt;"",Synthese_Programme!M217="Acté"),$D217*Parametres!E5,""))</f>
        <v/>
      </c>
      <c r="L217" s="240"/>
      <c r="M217" s="239" t="str">
        <f>IF($C217="","",IF(AND(Parametres!F6&lt;&gt;"",Synthese_Programme!M217="Acté"),$D217*Parametres!E6,""))</f>
        <v/>
      </c>
      <c r="N217" s="240"/>
      <c r="O217" s="239" t="str">
        <f>IF($C217="","",IF(AND(Parametres!F7&lt;&gt;"",Synthese_Programme!M217="Acté"),$D217*Parametres!E7,""))</f>
        <v/>
      </c>
      <c r="P217" s="240"/>
      <c r="Q217" s="226" t="str">
        <f t="shared" si="9"/>
        <v/>
      </c>
      <c r="R217" s="226" t="str">
        <f t="shared" si="10"/>
        <v/>
      </c>
      <c r="S217" s="226" t="str">
        <f t="shared" si="11"/>
        <v/>
      </c>
    </row>
    <row r="218" spans="1:19" ht="24" customHeight="1" x14ac:dyDescent="0.45">
      <c r="A218" s="237" t="str">
        <f>IFERROR(IF(Base_de_donnée_clients!A218="","",Base_de_donnée_clients!A218),"")</f>
        <v/>
      </c>
      <c r="B218" s="226" t="str">
        <f>IFERROR(IF(Base_de_donnée_clients!B218="","",Base_de_donnée_clients!B218),"")</f>
        <v/>
      </c>
      <c r="C218" s="226" t="str">
        <f>IFERROR(IF(Base_de_donnée_clients!C218="","",Base_de_donnée_clients!C218),"")</f>
        <v/>
      </c>
      <c r="D218" s="238" t="str">
        <f>IFERROR(IF(OR(Synthese_Programme!M218="Réservé",Synthese_Programme!M218="Acté",Synthese_Programme!M218="réservé",Synthese_Programme!M218="acté"),Synthese_Programme!K218,""),"")</f>
        <v/>
      </c>
      <c r="E218" s="239" t="str">
        <f>IFERROR(IF(OR(Synthese_Programme!M218="Réservé",Synthese_Programme!M218="Acté",Synthese_Programme!M218="réservé",Synthese_Programme!M218="acté"),$D218*Parametres!E2,""),"")</f>
        <v/>
      </c>
      <c r="F218" s="240" t="str">
        <f>IFERROR(IF(Base_de_donnée_clients!J218="","",Base_de_donnée_clients!J218),"")</f>
        <v/>
      </c>
      <c r="G218" s="239" t="str">
        <f>IF($C218="","",IF(AND(Parametres!F3&lt;&gt;"",Synthese_Programme!M218="Acté"),$D218*Parametres!E3,""))</f>
        <v/>
      </c>
      <c r="H218" s="240"/>
      <c r="I218" s="239" t="str">
        <f>IF($C218="","",IF(AND(Parametres!F4&lt;&gt;"",Synthese_Programme!M218="Acté"),$D218*Parametres!E4,""))</f>
        <v/>
      </c>
      <c r="J218" s="240"/>
      <c r="K218" s="239" t="str">
        <f>IF($C218="","",IF(AND(Parametres!F5&lt;&gt;"",Synthese_Programme!M218="Acté"),$D218*Parametres!E5,""))</f>
        <v/>
      </c>
      <c r="L218" s="240"/>
      <c r="M218" s="239" t="str">
        <f>IF($C218="","",IF(AND(Parametres!F6&lt;&gt;"",Synthese_Programme!M218="Acté"),$D218*Parametres!E6,""))</f>
        <v/>
      </c>
      <c r="N218" s="240"/>
      <c r="O218" s="239" t="str">
        <f>IF($C218="","",IF(AND(Parametres!F7&lt;&gt;"",Synthese_Programme!M218="Acté"),$D218*Parametres!E7,""))</f>
        <v/>
      </c>
      <c r="P218" s="240"/>
      <c r="Q218" s="226" t="str">
        <f t="shared" si="9"/>
        <v/>
      </c>
      <c r="R218" s="226" t="str">
        <f t="shared" si="10"/>
        <v/>
      </c>
      <c r="S218" s="226" t="str">
        <f t="shared" si="11"/>
        <v/>
      </c>
    </row>
    <row r="219" spans="1:19" ht="24" customHeight="1" x14ac:dyDescent="0.45">
      <c r="A219" s="237" t="str">
        <f>IFERROR(IF(Base_de_donnée_clients!A219="","",Base_de_donnée_clients!A219),"")</f>
        <v/>
      </c>
      <c r="B219" s="226" t="str">
        <f>IFERROR(IF(Base_de_donnée_clients!B219="","",Base_de_donnée_clients!B219),"")</f>
        <v/>
      </c>
      <c r="C219" s="226" t="str">
        <f>IFERROR(IF(Base_de_donnée_clients!C219="","",Base_de_donnée_clients!C219),"")</f>
        <v/>
      </c>
      <c r="D219" s="238" t="str">
        <f>IFERROR(IF(OR(Synthese_Programme!M219="Réservé",Synthese_Programme!M219="Acté",Synthese_Programme!M219="réservé",Synthese_Programme!M219="acté"),Synthese_Programme!K219,""),"")</f>
        <v/>
      </c>
      <c r="E219" s="239" t="str">
        <f>IFERROR(IF(OR(Synthese_Programme!M219="Réservé",Synthese_Programme!M219="Acté",Synthese_Programme!M219="réservé",Synthese_Programme!M219="acté"),$D219*Parametres!E2,""),"")</f>
        <v/>
      </c>
      <c r="F219" s="240" t="str">
        <f>IFERROR(IF(Base_de_donnée_clients!J219="","",Base_de_donnée_clients!J219),"")</f>
        <v/>
      </c>
      <c r="G219" s="239" t="str">
        <f>IF($C219="","",IF(AND(Parametres!F3&lt;&gt;"",Synthese_Programme!M219="Acté"),$D219*Parametres!E3,""))</f>
        <v/>
      </c>
      <c r="H219" s="240"/>
      <c r="I219" s="239" t="str">
        <f>IF($C219="","",IF(AND(Parametres!F4&lt;&gt;"",Synthese_Programme!M219="Acté"),$D219*Parametres!E4,""))</f>
        <v/>
      </c>
      <c r="J219" s="240"/>
      <c r="K219" s="239" t="str">
        <f>IF($C219="","",IF(AND(Parametres!F5&lt;&gt;"",Synthese_Programme!M219="Acté"),$D219*Parametres!E5,""))</f>
        <v/>
      </c>
      <c r="L219" s="240"/>
      <c r="M219" s="239" t="str">
        <f>IF($C219="","",IF(AND(Parametres!F6&lt;&gt;"",Synthese_Programme!M219="Acté"),$D219*Parametres!E6,""))</f>
        <v/>
      </c>
      <c r="N219" s="240"/>
      <c r="O219" s="239" t="str">
        <f>IF($C219="","",IF(AND(Parametres!F7&lt;&gt;"",Synthese_Programme!M219="Acté"),$D219*Parametres!E7,""))</f>
        <v/>
      </c>
      <c r="P219" s="240"/>
      <c r="Q219" s="226" t="str">
        <f t="shared" si="9"/>
        <v/>
      </c>
      <c r="R219" s="226" t="str">
        <f t="shared" si="10"/>
        <v/>
      </c>
      <c r="S219" s="226" t="str">
        <f t="shared" si="11"/>
        <v/>
      </c>
    </row>
    <row r="220" spans="1:19" ht="24" customHeight="1" x14ac:dyDescent="0.45">
      <c r="A220" s="237" t="str">
        <f>IFERROR(IF(Base_de_donnée_clients!A220="","",Base_de_donnée_clients!A220),"")</f>
        <v/>
      </c>
      <c r="B220" s="226" t="str">
        <f>IFERROR(IF(Base_de_donnée_clients!B220="","",Base_de_donnée_clients!B220),"")</f>
        <v/>
      </c>
      <c r="C220" s="226" t="str">
        <f>IFERROR(IF(Base_de_donnée_clients!C220="","",Base_de_donnée_clients!C220),"")</f>
        <v/>
      </c>
      <c r="D220" s="238" t="str">
        <f>IFERROR(IF(OR(Synthese_Programme!M220="Réservé",Synthese_Programme!M220="Acté",Synthese_Programme!M220="réservé",Synthese_Programme!M220="acté"),Synthese_Programme!K220,""),"")</f>
        <v/>
      </c>
      <c r="E220" s="239" t="str">
        <f>IFERROR(IF(OR(Synthese_Programme!M220="Réservé",Synthese_Programme!M220="Acté",Synthese_Programme!M220="réservé",Synthese_Programme!M220="acté"),$D220*Parametres!E2,""),"")</f>
        <v/>
      </c>
      <c r="F220" s="240" t="str">
        <f>IFERROR(IF(Base_de_donnée_clients!J220="","",Base_de_donnée_clients!J220),"")</f>
        <v/>
      </c>
      <c r="G220" s="239" t="str">
        <f>IF($C220="","",IF(AND(Parametres!F3&lt;&gt;"",Synthese_Programme!M220="Acté"),$D220*Parametres!E3,""))</f>
        <v/>
      </c>
      <c r="H220" s="240"/>
      <c r="I220" s="239" t="str">
        <f>IF($C220="","",IF(AND(Parametres!F4&lt;&gt;"",Synthese_Programme!M220="Acté"),$D220*Parametres!E4,""))</f>
        <v/>
      </c>
      <c r="J220" s="240"/>
      <c r="K220" s="239" t="str">
        <f>IF($C220="","",IF(AND(Parametres!F5&lt;&gt;"",Synthese_Programme!M220="Acté"),$D220*Parametres!E5,""))</f>
        <v/>
      </c>
      <c r="L220" s="240"/>
      <c r="M220" s="239" t="str">
        <f>IF($C220="","",IF(AND(Parametres!F6&lt;&gt;"",Synthese_Programme!M220="Acté"),$D220*Parametres!E6,""))</f>
        <v/>
      </c>
      <c r="N220" s="240"/>
      <c r="O220" s="239" t="str">
        <f>IF($C220="","",IF(AND(Parametres!F7&lt;&gt;"",Synthese_Programme!M220="Acté"),$D220*Parametres!E7,""))</f>
        <v/>
      </c>
      <c r="P220" s="240"/>
      <c r="Q220" s="226" t="str">
        <f t="shared" si="9"/>
        <v/>
      </c>
      <c r="R220" s="226" t="str">
        <f t="shared" si="10"/>
        <v/>
      </c>
      <c r="S220" s="226" t="str">
        <f t="shared" si="11"/>
        <v/>
      </c>
    </row>
    <row r="221" spans="1:19" ht="24" customHeight="1" x14ac:dyDescent="0.45">
      <c r="A221" s="237" t="str">
        <f>IFERROR(IF(Base_de_donnée_clients!A221="","",Base_de_donnée_clients!A221),"")</f>
        <v/>
      </c>
      <c r="B221" s="226" t="str">
        <f>IFERROR(IF(Base_de_donnée_clients!B221="","",Base_de_donnée_clients!B221),"")</f>
        <v/>
      </c>
      <c r="C221" s="226" t="str">
        <f>IFERROR(IF(Base_de_donnée_clients!C221="","",Base_de_donnée_clients!C221),"")</f>
        <v/>
      </c>
      <c r="D221" s="238" t="str">
        <f>IFERROR(IF(OR(Synthese_Programme!M221="Réservé",Synthese_Programme!M221="Acté",Synthese_Programme!M221="réservé",Synthese_Programme!M221="acté"),Synthese_Programme!K221,""),"")</f>
        <v/>
      </c>
      <c r="E221" s="239" t="str">
        <f>IFERROR(IF(OR(Synthese_Programme!M221="Réservé",Synthese_Programme!M221="Acté",Synthese_Programme!M221="réservé",Synthese_Programme!M221="acté"),$D221*Parametres!E2,""),"")</f>
        <v/>
      </c>
      <c r="F221" s="240" t="str">
        <f>IFERROR(IF(Base_de_donnée_clients!J221="","",Base_de_donnée_clients!J221),"")</f>
        <v/>
      </c>
      <c r="G221" s="239" t="str">
        <f>IF($C221="","",IF(AND(Parametres!F3&lt;&gt;"",Synthese_Programme!M221="Acté"),$D221*Parametres!E3,""))</f>
        <v/>
      </c>
      <c r="H221" s="240"/>
      <c r="I221" s="239" t="str">
        <f>IF($C221="","",IF(AND(Parametres!F4&lt;&gt;"",Synthese_Programme!M221="Acté"),$D221*Parametres!E4,""))</f>
        <v/>
      </c>
      <c r="J221" s="240"/>
      <c r="K221" s="239" t="str">
        <f>IF($C221="","",IF(AND(Parametres!F5&lt;&gt;"",Synthese_Programme!M221="Acté"),$D221*Parametres!E5,""))</f>
        <v/>
      </c>
      <c r="L221" s="240"/>
      <c r="M221" s="239" t="str">
        <f>IF($C221="","",IF(AND(Parametres!F6&lt;&gt;"",Synthese_Programme!M221="Acté"),$D221*Parametres!E6,""))</f>
        <v/>
      </c>
      <c r="N221" s="240"/>
      <c r="O221" s="239" t="str">
        <f>IF($C221="","",IF(AND(Parametres!F7&lt;&gt;"",Synthese_Programme!M221="Acté"),$D221*Parametres!E7,""))</f>
        <v/>
      </c>
      <c r="P221" s="240"/>
      <c r="Q221" s="226" t="str">
        <f t="shared" si="9"/>
        <v/>
      </c>
      <c r="R221" s="226" t="str">
        <f t="shared" si="10"/>
        <v/>
      </c>
      <c r="S221" s="226" t="str">
        <f t="shared" si="11"/>
        <v/>
      </c>
    </row>
    <row r="222" spans="1:19" ht="24" customHeight="1" x14ac:dyDescent="0.45">
      <c r="A222" s="237" t="str">
        <f>IFERROR(IF(Base_de_donnée_clients!A222="","",Base_de_donnée_clients!A222),"")</f>
        <v/>
      </c>
      <c r="B222" s="226" t="str">
        <f>IFERROR(IF(Base_de_donnée_clients!B222="","",Base_de_donnée_clients!B222),"")</f>
        <v/>
      </c>
      <c r="C222" s="226" t="str">
        <f>IFERROR(IF(Base_de_donnée_clients!C222="","",Base_de_donnée_clients!C222),"")</f>
        <v/>
      </c>
      <c r="D222" s="238" t="str">
        <f>IFERROR(IF(OR(Synthese_Programme!M222="Réservé",Synthese_Programme!M222="Acté",Synthese_Programme!M222="réservé",Synthese_Programme!M222="acté"),Synthese_Programme!K222,""),"")</f>
        <v/>
      </c>
      <c r="E222" s="239" t="str">
        <f>IFERROR(IF(OR(Synthese_Programme!M222="Réservé",Synthese_Programme!M222="Acté",Synthese_Programme!M222="réservé",Synthese_Programme!M222="acté"),$D222*Parametres!E2,""),"")</f>
        <v/>
      </c>
      <c r="F222" s="240" t="str">
        <f>IFERROR(IF(Base_de_donnée_clients!J222="","",Base_de_donnée_clients!J222),"")</f>
        <v/>
      </c>
      <c r="G222" s="239" t="str">
        <f>IF($C222="","",IF(AND(Parametres!F3&lt;&gt;"",Synthese_Programme!M222="Acté"),$D222*Parametres!E3,""))</f>
        <v/>
      </c>
      <c r="H222" s="240"/>
      <c r="I222" s="239" t="str">
        <f>IF($C222="","",IF(AND(Parametres!F4&lt;&gt;"",Synthese_Programme!M222="Acté"),$D222*Parametres!E4,""))</f>
        <v/>
      </c>
      <c r="J222" s="240"/>
      <c r="K222" s="239" t="str">
        <f>IF($C222="","",IF(AND(Parametres!F5&lt;&gt;"",Synthese_Programme!M222="Acté"),$D222*Parametres!E5,""))</f>
        <v/>
      </c>
      <c r="L222" s="240"/>
      <c r="M222" s="239" t="str">
        <f>IF($C222="","",IF(AND(Parametres!F6&lt;&gt;"",Synthese_Programme!M222="Acté"),$D222*Parametres!E6,""))</f>
        <v/>
      </c>
      <c r="N222" s="240"/>
      <c r="O222" s="239" t="str">
        <f>IF($C222="","",IF(AND(Parametres!F7&lt;&gt;"",Synthese_Programme!M222="Acté"),$D222*Parametres!E7,""))</f>
        <v/>
      </c>
      <c r="P222" s="240"/>
      <c r="Q222" s="226" t="str">
        <f t="shared" si="9"/>
        <v/>
      </c>
      <c r="R222" s="226" t="str">
        <f t="shared" si="10"/>
        <v/>
      </c>
      <c r="S222" s="226" t="str">
        <f t="shared" si="11"/>
        <v/>
      </c>
    </row>
    <row r="223" spans="1:19" ht="24" customHeight="1" x14ac:dyDescent="0.45">
      <c r="A223" s="237" t="str">
        <f>IFERROR(IF(Base_de_donnée_clients!A223="","",Base_de_donnée_clients!A223),"")</f>
        <v/>
      </c>
      <c r="B223" s="226" t="str">
        <f>IFERROR(IF(Base_de_donnée_clients!B223="","",Base_de_donnée_clients!B223),"")</f>
        <v/>
      </c>
      <c r="C223" s="226" t="str">
        <f>IFERROR(IF(Base_de_donnée_clients!C223="","",Base_de_donnée_clients!C223),"")</f>
        <v/>
      </c>
      <c r="D223" s="238" t="str">
        <f>IFERROR(IF(OR(Synthese_Programme!M223="Réservé",Synthese_Programme!M223="Acté",Synthese_Programme!M223="réservé",Synthese_Programme!M223="acté"),Synthese_Programme!K223,""),"")</f>
        <v/>
      </c>
      <c r="E223" s="239" t="str">
        <f>IFERROR(IF(OR(Synthese_Programme!M223="Réservé",Synthese_Programme!M223="Acté",Synthese_Programme!M223="réservé",Synthese_Programme!M223="acté"),$D223*Parametres!E2,""),"")</f>
        <v/>
      </c>
      <c r="F223" s="240" t="str">
        <f>IFERROR(IF(Base_de_donnée_clients!J223="","",Base_de_donnée_clients!J223),"")</f>
        <v/>
      </c>
      <c r="G223" s="239" t="str">
        <f>IF($C223="","",IF(AND(Parametres!F3&lt;&gt;"",Synthese_Programme!M223="Acté"),$D223*Parametres!E3,""))</f>
        <v/>
      </c>
      <c r="H223" s="240"/>
      <c r="I223" s="239" t="str">
        <f>IF($C223="","",IF(AND(Parametres!F4&lt;&gt;"",Synthese_Programme!M223="Acté"),$D223*Parametres!E4,""))</f>
        <v/>
      </c>
      <c r="J223" s="240"/>
      <c r="K223" s="239" t="str">
        <f>IF($C223="","",IF(AND(Parametres!F5&lt;&gt;"",Synthese_Programme!M223="Acté"),$D223*Parametres!E5,""))</f>
        <v/>
      </c>
      <c r="L223" s="240"/>
      <c r="M223" s="239" t="str">
        <f>IF($C223="","",IF(AND(Parametres!F6&lt;&gt;"",Synthese_Programme!M223="Acté"),$D223*Parametres!E6,""))</f>
        <v/>
      </c>
      <c r="N223" s="240"/>
      <c r="O223" s="239" t="str">
        <f>IF($C223="","",IF(AND(Parametres!F7&lt;&gt;"",Synthese_Programme!M223="Acté"),$D223*Parametres!E7,""))</f>
        <v/>
      </c>
      <c r="P223" s="240"/>
      <c r="Q223" s="226" t="str">
        <f t="shared" si="9"/>
        <v/>
      </c>
      <c r="R223" s="226" t="str">
        <f t="shared" si="10"/>
        <v/>
      </c>
      <c r="S223" s="226" t="str">
        <f t="shared" si="11"/>
        <v/>
      </c>
    </row>
    <row r="224" spans="1:19" ht="24" customHeight="1" x14ac:dyDescent="0.45">
      <c r="A224" s="237" t="str">
        <f>IFERROR(IF(Base_de_donnée_clients!A224="","",Base_de_donnée_clients!A224),"")</f>
        <v/>
      </c>
      <c r="B224" s="226" t="str">
        <f>IFERROR(IF(Base_de_donnée_clients!B224="","",Base_de_donnée_clients!B224),"")</f>
        <v/>
      </c>
      <c r="C224" s="226" t="str">
        <f>IFERROR(IF(Base_de_donnée_clients!C224="","",Base_de_donnée_clients!C224),"")</f>
        <v/>
      </c>
      <c r="D224" s="238" t="str">
        <f>IFERROR(IF(OR(Synthese_Programme!M224="Réservé",Synthese_Programme!M224="Acté",Synthese_Programme!M224="réservé",Synthese_Programme!M224="acté"),Synthese_Programme!K224,""),"")</f>
        <v/>
      </c>
      <c r="E224" s="239" t="str">
        <f>IFERROR(IF(OR(Synthese_Programme!M224="Réservé",Synthese_Programme!M224="Acté",Synthese_Programme!M224="réservé",Synthese_Programme!M224="acté"),$D224*Parametres!E2,""),"")</f>
        <v/>
      </c>
      <c r="F224" s="240" t="str">
        <f>IFERROR(IF(Base_de_donnée_clients!J224="","",Base_de_donnée_clients!J224),"")</f>
        <v/>
      </c>
      <c r="G224" s="239" t="str">
        <f>IF($C224="","",IF(AND(Parametres!F3&lt;&gt;"",Synthese_Programme!M224="Acté"),$D224*Parametres!E3,""))</f>
        <v/>
      </c>
      <c r="H224" s="240"/>
      <c r="I224" s="239" t="str">
        <f>IF($C224="","",IF(AND(Parametres!F4&lt;&gt;"",Synthese_Programme!M224="Acté"),$D224*Parametres!E4,""))</f>
        <v/>
      </c>
      <c r="J224" s="240"/>
      <c r="K224" s="239" t="str">
        <f>IF($C224="","",IF(AND(Parametres!F5&lt;&gt;"",Synthese_Programme!M224="Acté"),$D224*Parametres!E5,""))</f>
        <v/>
      </c>
      <c r="L224" s="240"/>
      <c r="M224" s="239" t="str">
        <f>IF($C224="","",IF(AND(Parametres!F6&lt;&gt;"",Synthese_Programme!M224="Acté"),$D224*Parametres!E6,""))</f>
        <v/>
      </c>
      <c r="N224" s="240"/>
      <c r="O224" s="239" t="str">
        <f>IF($C224="","",IF(AND(Parametres!F7&lt;&gt;"",Synthese_Programme!M224="Acté"),$D224*Parametres!E7,""))</f>
        <v/>
      </c>
      <c r="P224" s="240"/>
      <c r="Q224" s="226" t="str">
        <f t="shared" si="9"/>
        <v/>
      </c>
      <c r="R224" s="226" t="str">
        <f t="shared" si="10"/>
        <v/>
      </c>
      <c r="S224" s="226" t="str">
        <f t="shared" si="11"/>
        <v/>
      </c>
    </row>
    <row r="225" spans="1:19" ht="24" customHeight="1" x14ac:dyDescent="0.45">
      <c r="A225" s="237" t="str">
        <f>IFERROR(IF(Base_de_donnée_clients!A225="","",Base_de_donnée_clients!A225),"")</f>
        <v/>
      </c>
      <c r="B225" s="226" t="str">
        <f>IFERROR(IF(Base_de_donnée_clients!B225="","",Base_de_donnée_clients!B225),"")</f>
        <v/>
      </c>
      <c r="C225" s="226" t="str">
        <f>IFERROR(IF(Base_de_donnée_clients!C225="","",Base_de_donnée_clients!C225),"")</f>
        <v/>
      </c>
      <c r="D225" s="238" t="str">
        <f>IFERROR(IF(OR(Synthese_Programme!M225="Réservé",Synthese_Programme!M225="Acté",Synthese_Programme!M225="réservé",Synthese_Programme!M225="acté"),Synthese_Programme!K225,""),"")</f>
        <v/>
      </c>
      <c r="E225" s="239" t="str">
        <f>IFERROR(IF(OR(Synthese_Programme!M225="Réservé",Synthese_Programme!M225="Acté",Synthese_Programme!M225="réservé",Synthese_Programme!M225="acté"),$D225*Parametres!E2,""),"")</f>
        <v/>
      </c>
      <c r="F225" s="240" t="str">
        <f>IFERROR(IF(Base_de_donnée_clients!J225="","",Base_de_donnée_clients!J225),"")</f>
        <v/>
      </c>
      <c r="G225" s="239" t="str">
        <f>IF($C225="","",IF(AND(Parametres!F3&lt;&gt;"",Synthese_Programme!M225="Acté"),$D225*Parametres!E3,""))</f>
        <v/>
      </c>
      <c r="H225" s="240"/>
      <c r="I225" s="239" t="str">
        <f>IF($C225="","",IF(AND(Parametres!F4&lt;&gt;"",Synthese_Programme!M225="Acté"),$D225*Parametres!E4,""))</f>
        <v/>
      </c>
      <c r="J225" s="240"/>
      <c r="K225" s="239" t="str">
        <f>IF($C225="","",IF(AND(Parametres!F5&lt;&gt;"",Synthese_Programme!M225="Acté"),$D225*Parametres!E5,""))</f>
        <v/>
      </c>
      <c r="L225" s="240"/>
      <c r="M225" s="239" t="str">
        <f>IF($C225="","",IF(AND(Parametres!F6&lt;&gt;"",Synthese_Programme!M225="Acté"),$D225*Parametres!E6,""))</f>
        <v/>
      </c>
      <c r="N225" s="240"/>
      <c r="O225" s="239" t="str">
        <f>IF($C225="","",IF(AND(Parametres!F7&lt;&gt;"",Synthese_Programme!M225="Acté"),$D225*Parametres!E7,""))</f>
        <v/>
      </c>
      <c r="P225" s="240"/>
      <c r="Q225" s="226" t="str">
        <f t="shared" si="9"/>
        <v/>
      </c>
      <c r="R225" s="226" t="str">
        <f t="shared" si="10"/>
        <v/>
      </c>
      <c r="S225" s="226" t="str">
        <f t="shared" si="11"/>
        <v/>
      </c>
    </row>
    <row r="226" spans="1:19" ht="24" customHeight="1" x14ac:dyDescent="0.45">
      <c r="A226" s="237" t="str">
        <f>IFERROR(IF(Base_de_donnée_clients!A226="","",Base_de_donnée_clients!A226),"")</f>
        <v/>
      </c>
      <c r="B226" s="226" t="str">
        <f>IFERROR(IF(Base_de_donnée_clients!B226="","",Base_de_donnée_clients!B226),"")</f>
        <v/>
      </c>
      <c r="C226" s="226" t="str">
        <f>IFERROR(IF(Base_de_donnée_clients!C226="","",Base_de_donnée_clients!C226),"")</f>
        <v/>
      </c>
      <c r="D226" s="238" t="str">
        <f>IFERROR(IF(OR(Synthese_Programme!M226="Réservé",Synthese_Programme!M226="Acté",Synthese_Programme!M226="réservé",Synthese_Programme!M226="acté"),Synthese_Programme!K226,""),"")</f>
        <v/>
      </c>
      <c r="E226" s="239" t="str">
        <f>IFERROR(IF(OR(Synthese_Programme!M226="Réservé",Synthese_Programme!M226="Acté",Synthese_Programme!M226="réservé",Synthese_Programme!M226="acté"),$D226*Parametres!E2,""),"")</f>
        <v/>
      </c>
      <c r="F226" s="240" t="str">
        <f>IFERROR(IF(Base_de_donnée_clients!J226="","",Base_de_donnée_clients!J226),"")</f>
        <v/>
      </c>
      <c r="G226" s="239" t="str">
        <f>IF($C226="","",IF(AND(Parametres!F3&lt;&gt;"",Synthese_Programme!M226="Acté"),$D226*Parametres!E3,""))</f>
        <v/>
      </c>
      <c r="H226" s="240"/>
      <c r="I226" s="239" t="str">
        <f>IF($C226="","",IF(AND(Parametres!F4&lt;&gt;"",Synthese_Programme!M226="Acté"),$D226*Parametres!E4,""))</f>
        <v/>
      </c>
      <c r="J226" s="240"/>
      <c r="K226" s="239" t="str">
        <f>IF($C226="","",IF(AND(Parametres!F5&lt;&gt;"",Synthese_Programme!M226="Acté"),$D226*Parametres!E5,""))</f>
        <v/>
      </c>
      <c r="L226" s="240"/>
      <c r="M226" s="239" t="str">
        <f>IF($C226="","",IF(AND(Parametres!F6&lt;&gt;"",Synthese_Programme!M226="Acté"),$D226*Parametres!E6,""))</f>
        <v/>
      </c>
      <c r="N226" s="240"/>
      <c r="O226" s="239" t="str">
        <f>IF($C226="","",IF(AND(Parametres!F7&lt;&gt;"",Synthese_Programme!M226="Acté"),$D226*Parametres!E7,""))</f>
        <v/>
      </c>
      <c r="P226" s="240"/>
      <c r="Q226" s="226" t="str">
        <f t="shared" si="9"/>
        <v/>
      </c>
      <c r="R226" s="226" t="str">
        <f t="shared" si="10"/>
        <v/>
      </c>
      <c r="S226" s="226" t="str">
        <f t="shared" si="11"/>
        <v/>
      </c>
    </row>
    <row r="227" spans="1:19" ht="24" customHeight="1" x14ac:dyDescent="0.45">
      <c r="A227" s="237" t="str">
        <f>IFERROR(IF(Base_de_donnée_clients!A227="","",Base_de_donnée_clients!A227),"")</f>
        <v/>
      </c>
      <c r="B227" s="226" t="str">
        <f>IFERROR(IF(Base_de_donnée_clients!B227="","",Base_de_donnée_clients!B227),"")</f>
        <v/>
      </c>
      <c r="C227" s="226" t="str">
        <f>IFERROR(IF(Base_de_donnée_clients!C227="","",Base_de_donnée_clients!C227),"")</f>
        <v/>
      </c>
      <c r="D227" s="238" t="str">
        <f>IFERROR(IF(OR(Synthese_Programme!M227="Réservé",Synthese_Programme!M227="Acté",Synthese_Programme!M227="réservé",Synthese_Programme!M227="acté"),Synthese_Programme!K227,""),"")</f>
        <v/>
      </c>
      <c r="E227" s="239" t="str">
        <f>IFERROR(IF(OR(Synthese_Programme!M227="Réservé",Synthese_Programme!M227="Acté",Synthese_Programme!M227="réservé",Synthese_Programme!M227="acté"),$D227*Parametres!E2,""),"")</f>
        <v/>
      </c>
      <c r="F227" s="240" t="str">
        <f>IFERROR(IF(Base_de_donnée_clients!J227="","",Base_de_donnée_clients!J227),"")</f>
        <v/>
      </c>
      <c r="G227" s="239" t="str">
        <f>IF($C227="","",IF(AND(Parametres!F3&lt;&gt;"",Synthese_Programme!M227="Acté"),$D227*Parametres!E3,""))</f>
        <v/>
      </c>
      <c r="H227" s="240"/>
      <c r="I227" s="239" t="str">
        <f>IF($C227="","",IF(AND(Parametres!F4&lt;&gt;"",Synthese_Programme!M227="Acté"),$D227*Parametres!E4,""))</f>
        <v/>
      </c>
      <c r="J227" s="240"/>
      <c r="K227" s="239" t="str">
        <f>IF($C227="","",IF(AND(Parametres!F5&lt;&gt;"",Synthese_Programme!M227="Acté"),$D227*Parametres!E5,""))</f>
        <v/>
      </c>
      <c r="L227" s="240"/>
      <c r="M227" s="239" t="str">
        <f>IF($C227="","",IF(AND(Parametres!F6&lt;&gt;"",Synthese_Programme!M227="Acté"),$D227*Parametres!E6,""))</f>
        <v/>
      </c>
      <c r="N227" s="240"/>
      <c r="O227" s="239" t="str">
        <f>IF($C227="","",IF(AND(Parametres!F7&lt;&gt;"",Synthese_Programme!M227="Acté"),$D227*Parametres!E7,""))</f>
        <v/>
      </c>
      <c r="P227" s="240"/>
      <c r="Q227" s="226" t="str">
        <f t="shared" si="9"/>
        <v/>
      </c>
      <c r="R227" s="226" t="str">
        <f t="shared" si="10"/>
        <v/>
      </c>
      <c r="S227" s="226" t="str">
        <f t="shared" si="11"/>
        <v/>
      </c>
    </row>
    <row r="228" spans="1:19" ht="24" customHeight="1" x14ac:dyDescent="0.45">
      <c r="A228" s="237" t="str">
        <f>IFERROR(IF(Base_de_donnée_clients!A228="","",Base_de_donnée_clients!A228),"")</f>
        <v/>
      </c>
      <c r="B228" s="226" t="str">
        <f>IFERROR(IF(Base_de_donnée_clients!B228="","",Base_de_donnée_clients!B228),"")</f>
        <v/>
      </c>
      <c r="C228" s="226" t="str">
        <f>IFERROR(IF(Base_de_donnée_clients!C228="","",Base_de_donnée_clients!C228),"")</f>
        <v/>
      </c>
      <c r="D228" s="238" t="str">
        <f>IFERROR(IF(OR(Synthese_Programme!M228="Réservé",Synthese_Programme!M228="Acté",Synthese_Programme!M228="réservé",Synthese_Programme!M228="acté"),Synthese_Programme!K228,""),"")</f>
        <v/>
      </c>
      <c r="E228" s="239" t="str">
        <f>IFERROR(IF(OR(Synthese_Programme!M228="Réservé",Synthese_Programme!M228="Acté",Synthese_Programme!M228="réservé",Synthese_Programme!M228="acté"),$D228*Parametres!E2,""),"")</f>
        <v/>
      </c>
      <c r="F228" s="240" t="str">
        <f>IFERROR(IF(Base_de_donnée_clients!J228="","",Base_de_donnée_clients!J228),"")</f>
        <v/>
      </c>
      <c r="G228" s="239" t="str">
        <f>IF($C228="","",IF(AND(Parametres!F3&lt;&gt;"",Synthese_Programme!M228="Acté"),$D228*Parametres!E3,""))</f>
        <v/>
      </c>
      <c r="H228" s="240"/>
      <c r="I228" s="239" t="str">
        <f>IF($C228="","",IF(AND(Parametres!F4&lt;&gt;"",Synthese_Programme!M228="Acté"),$D228*Parametres!E4,""))</f>
        <v/>
      </c>
      <c r="J228" s="240"/>
      <c r="K228" s="239" t="str">
        <f>IF($C228="","",IF(AND(Parametres!F5&lt;&gt;"",Synthese_Programme!M228="Acté"),$D228*Parametres!E5,""))</f>
        <v/>
      </c>
      <c r="L228" s="240"/>
      <c r="M228" s="239" t="str">
        <f>IF($C228="","",IF(AND(Parametres!F6&lt;&gt;"",Synthese_Programme!M228="Acté"),$D228*Parametres!E6,""))</f>
        <v/>
      </c>
      <c r="N228" s="240"/>
      <c r="O228" s="239" t="str">
        <f>IF($C228="","",IF(AND(Parametres!F7&lt;&gt;"",Synthese_Programme!M228="Acté"),$D228*Parametres!E7,""))</f>
        <v/>
      </c>
      <c r="P228" s="240"/>
      <c r="Q228" s="226" t="str">
        <f t="shared" si="9"/>
        <v/>
      </c>
      <c r="R228" s="226" t="str">
        <f t="shared" si="10"/>
        <v/>
      </c>
      <c r="S228" s="226" t="str">
        <f t="shared" si="11"/>
        <v/>
      </c>
    </row>
    <row r="229" spans="1:19" ht="24" customHeight="1" x14ac:dyDescent="0.45">
      <c r="A229" s="237" t="str">
        <f>IFERROR(IF(Base_de_donnée_clients!A229="","",Base_de_donnée_clients!A229),"")</f>
        <v/>
      </c>
      <c r="B229" s="226" t="str">
        <f>IFERROR(IF(Base_de_donnée_clients!B229="","",Base_de_donnée_clients!B229),"")</f>
        <v/>
      </c>
      <c r="C229" s="226" t="str">
        <f>IFERROR(IF(Base_de_donnée_clients!C229="","",Base_de_donnée_clients!C229),"")</f>
        <v/>
      </c>
      <c r="D229" s="238" t="str">
        <f>IFERROR(IF(OR(Synthese_Programme!M229="Réservé",Synthese_Programme!M229="Acté",Synthese_Programme!M229="réservé",Synthese_Programme!M229="acté"),Synthese_Programme!K229,""),"")</f>
        <v/>
      </c>
      <c r="E229" s="239" t="str">
        <f>IFERROR(IF(OR(Synthese_Programme!M229="Réservé",Synthese_Programme!M229="Acté",Synthese_Programme!M229="réservé",Synthese_Programme!M229="acté"),$D229*Parametres!E2,""),"")</f>
        <v/>
      </c>
      <c r="F229" s="240" t="str">
        <f>IFERROR(IF(Base_de_donnée_clients!J229="","",Base_de_donnée_clients!J229),"")</f>
        <v/>
      </c>
      <c r="G229" s="239" t="str">
        <f>IF($C229="","",IF(AND(Parametres!F3&lt;&gt;"",Synthese_Programme!M229="Acté"),$D229*Parametres!E3,""))</f>
        <v/>
      </c>
      <c r="H229" s="240"/>
      <c r="I229" s="239" t="str">
        <f>IF($C229="","",IF(AND(Parametres!F4&lt;&gt;"",Synthese_Programme!M229="Acté"),$D229*Parametres!E4,""))</f>
        <v/>
      </c>
      <c r="J229" s="240"/>
      <c r="K229" s="239" t="str">
        <f>IF($C229="","",IF(AND(Parametres!F5&lt;&gt;"",Synthese_Programme!M229="Acté"),$D229*Parametres!E5,""))</f>
        <v/>
      </c>
      <c r="L229" s="240"/>
      <c r="M229" s="239" t="str">
        <f>IF($C229="","",IF(AND(Parametres!F6&lt;&gt;"",Synthese_Programme!M229="Acté"),$D229*Parametres!E6,""))</f>
        <v/>
      </c>
      <c r="N229" s="240"/>
      <c r="O229" s="239" t="str">
        <f>IF($C229="","",IF(AND(Parametres!F7&lt;&gt;"",Synthese_Programme!M229="Acté"),$D229*Parametres!E7,""))</f>
        <v/>
      </c>
      <c r="P229" s="240"/>
      <c r="Q229" s="226" t="str">
        <f t="shared" si="9"/>
        <v/>
      </c>
      <c r="R229" s="226" t="str">
        <f t="shared" si="10"/>
        <v/>
      </c>
      <c r="S229" s="226" t="str">
        <f t="shared" si="11"/>
        <v/>
      </c>
    </row>
    <row r="230" spans="1:19" ht="24" customHeight="1" x14ac:dyDescent="0.45">
      <c r="A230" s="237" t="str">
        <f>IFERROR(IF(Base_de_donnée_clients!A230="","",Base_de_donnée_clients!A230),"")</f>
        <v/>
      </c>
      <c r="B230" s="226" t="str">
        <f>IFERROR(IF(Base_de_donnée_clients!B230="","",Base_de_donnée_clients!B230),"")</f>
        <v/>
      </c>
      <c r="C230" s="226" t="str">
        <f>IFERROR(IF(Base_de_donnée_clients!C230="","",Base_de_donnée_clients!C230),"")</f>
        <v/>
      </c>
      <c r="D230" s="238" t="str">
        <f>IFERROR(IF(OR(Synthese_Programme!M230="Réservé",Synthese_Programme!M230="Acté",Synthese_Programme!M230="réservé",Synthese_Programme!M230="acté"),Synthese_Programme!K230,""),"")</f>
        <v/>
      </c>
      <c r="E230" s="239" t="str">
        <f>IFERROR(IF(OR(Synthese_Programme!M230="Réservé",Synthese_Programme!M230="Acté",Synthese_Programme!M230="réservé",Synthese_Programme!M230="acté"),$D230*Parametres!E2,""),"")</f>
        <v/>
      </c>
      <c r="F230" s="240" t="str">
        <f>IFERROR(IF(Base_de_donnée_clients!J230="","",Base_de_donnée_clients!J230),"")</f>
        <v/>
      </c>
      <c r="G230" s="239" t="str">
        <f>IF($C230="","",IF(AND(Parametres!F3&lt;&gt;"",Synthese_Programme!M230="Acté"),$D230*Parametres!E3,""))</f>
        <v/>
      </c>
      <c r="H230" s="240"/>
      <c r="I230" s="239" t="str">
        <f>IF($C230="","",IF(AND(Parametres!F4&lt;&gt;"",Synthese_Programme!M230="Acté"),$D230*Parametres!E4,""))</f>
        <v/>
      </c>
      <c r="J230" s="240"/>
      <c r="K230" s="239" t="str">
        <f>IF($C230="","",IF(AND(Parametres!F5&lt;&gt;"",Synthese_Programme!M230="Acté"),$D230*Parametres!E5,""))</f>
        <v/>
      </c>
      <c r="L230" s="240"/>
      <c r="M230" s="239" t="str">
        <f>IF($C230="","",IF(AND(Parametres!F6&lt;&gt;"",Synthese_Programme!M230="Acté"),$D230*Parametres!E6,""))</f>
        <v/>
      </c>
      <c r="N230" s="240"/>
      <c r="O230" s="239" t="str">
        <f>IF($C230="","",IF(AND(Parametres!F7&lt;&gt;"",Synthese_Programme!M230="Acté"),$D230*Parametres!E7,""))</f>
        <v/>
      </c>
      <c r="P230" s="240"/>
      <c r="Q230" s="226" t="str">
        <f t="shared" si="9"/>
        <v/>
      </c>
      <c r="R230" s="226" t="str">
        <f t="shared" si="10"/>
        <v/>
      </c>
      <c r="S230" s="226" t="str">
        <f t="shared" si="11"/>
        <v/>
      </c>
    </row>
    <row r="231" spans="1:19" ht="24" customHeight="1" x14ac:dyDescent="0.45">
      <c r="A231" s="237" t="str">
        <f>IFERROR(IF(Base_de_donnée_clients!A231="","",Base_de_donnée_clients!A231),"")</f>
        <v/>
      </c>
      <c r="B231" s="226" t="str">
        <f>IFERROR(IF(Base_de_donnée_clients!B231="","",Base_de_donnée_clients!B231),"")</f>
        <v/>
      </c>
      <c r="C231" s="226" t="str">
        <f>IFERROR(IF(Base_de_donnée_clients!C231="","",Base_de_donnée_clients!C231),"")</f>
        <v/>
      </c>
      <c r="D231" s="238" t="str">
        <f>IFERROR(IF(OR(Synthese_Programme!M231="Réservé",Synthese_Programme!M231="Acté",Synthese_Programme!M231="réservé",Synthese_Programme!M231="acté"),Synthese_Programme!K231,""),"")</f>
        <v/>
      </c>
      <c r="E231" s="239" t="str">
        <f>IFERROR(IF(OR(Synthese_Programme!M231="Réservé",Synthese_Programme!M231="Acté",Synthese_Programme!M231="réservé",Synthese_Programme!M231="acté"),$D231*Parametres!E2,""),"")</f>
        <v/>
      </c>
      <c r="F231" s="240" t="str">
        <f>IFERROR(IF(Base_de_donnée_clients!J231="","",Base_de_donnée_clients!J231),"")</f>
        <v/>
      </c>
      <c r="G231" s="239" t="str">
        <f>IF($C231="","",IF(AND(Parametres!F3&lt;&gt;"",Synthese_Programme!M231="Acté"),$D231*Parametres!E3,""))</f>
        <v/>
      </c>
      <c r="H231" s="240"/>
      <c r="I231" s="239" t="str">
        <f>IF($C231="","",IF(AND(Parametres!F4&lt;&gt;"",Synthese_Programme!M231="Acté"),$D231*Parametres!E4,""))</f>
        <v/>
      </c>
      <c r="J231" s="240"/>
      <c r="K231" s="239" t="str">
        <f>IF($C231="","",IF(AND(Parametres!F5&lt;&gt;"",Synthese_Programme!M231="Acté"),$D231*Parametres!E5,""))</f>
        <v/>
      </c>
      <c r="L231" s="240"/>
      <c r="M231" s="239" t="str">
        <f>IF($C231="","",IF(AND(Parametres!F6&lt;&gt;"",Synthese_Programme!M231="Acté"),$D231*Parametres!E6,""))</f>
        <v/>
      </c>
      <c r="N231" s="240"/>
      <c r="O231" s="239" t="str">
        <f>IF($C231="","",IF(AND(Parametres!F7&lt;&gt;"",Synthese_Programme!M231="Acté"),$D231*Parametres!E7,""))</f>
        <v/>
      </c>
      <c r="P231" s="240"/>
      <c r="Q231" s="226" t="str">
        <f t="shared" si="9"/>
        <v/>
      </c>
      <c r="R231" s="226" t="str">
        <f t="shared" si="10"/>
        <v/>
      </c>
      <c r="S231" s="226" t="str">
        <f t="shared" si="11"/>
        <v/>
      </c>
    </row>
    <row r="232" spans="1:19" ht="24" customHeight="1" x14ac:dyDescent="0.45">
      <c r="A232" s="237" t="str">
        <f>IFERROR(IF(Base_de_donnée_clients!A232="","",Base_de_donnée_clients!A232),"")</f>
        <v/>
      </c>
      <c r="B232" s="226" t="str">
        <f>IFERROR(IF(Base_de_donnée_clients!B232="","",Base_de_donnée_clients!B232),"")</f>
        <v/>
      </c>
      <c r="C232" s="226" t="str">
        <f>IFERROR(IF(Base_de_donnée_clients!C232="","",Base_de_donnée_clients!C232),"")</f>
        <v/>
      </c>
      <c r="D232" s="238" t="str">
        <f>IFERROR(IF(OR(Synthese_Programme!M232="Réservé",Synthese_Programme!M232="Acté",Synthese_Programme!M232="réservé",Synthese_Programme!M232="acté"),Synthese_Programme!K232,""),"")</f>
        <v/>
      </c>
      <c r="E232" s="239" t="str">
        <f>IFERROR(IF(OR(Synthese_Programme!M232="Réservé",Synthese_Programme!M232="Acté",Synthese_Programme!M232="réservé",Synthese_Programme!M232="acté"),$D232*Parametres!E2,""),"")</f>
        <v/>
      </c>
      <c r="F232" s="240" t="str">
        <f>IFERROR(IF(Base_de_donnée_clients!J232="","",Base_de_donnée_clients!J232),"")</f>
        <v/>
      </c>
      <c r="G232" s="239" t="str">
        <f>IF($C232="","",IF(AND(Parametres!F3&lt;&gt;"",Synthese_Programme!M232="Acté"),$D232*Parametres!E3,""))</f>
        <v/>
      </c>
      <c r="H232" s="240"/>
      <c r="I232" s="239" t="str">
        <f>IF($C232="","",IF(AND(Parametres!F4&lt;&gt;"",Synthese_Programme!M232="Acté"),$D232*Parametres!E4,""))</f>
        <v/>
      </c>
      <c r="J232" s="240"/>
      <c r="K232" s="239" t="str">
        <f>IF($C232="","",IF(AND(Parametres!F5&lt;&gt;"",Synthese_Programme!M232="Acté"),$D232*Parametres!E5,""))</f>
        <v/>
      </c>
      <c r="L232" s="240"/>
      <c r="M232" s="239" t="str">
        <f>IF($C232="","",IF(AND(Parametres!F6&lt;&gt;"",Synthese_Programme!M232="Acté"),$D232*Parametres!E6,""))</f>
        <v/>
      </c>
      <c r="N232" s="240"/>
      <c r="O232" s="239" t="str">
        <f>IF($C232="","",IF(AND(Parametres!F7&lt;&gt;"",Synthese_Programme!M232="Acté"),$D232*Parametres!E7,""))</f>
        <v/>
      </c>
      <c r="P232" s="240"/>
      <c r="Q232" s="226" t="str">
        <f t="shared" si="9"/>
        <v/>
      </c>
      <c r="R232" s="226" t="str">
        <f t="shared" si="10"/>
        <v/>
      </c>
      <c r="S232" s="226" t="str">
        <f t="shared" si="11"/>
        <v/>
      </c>
    </row>
    <row r="233" spans="1:19" ht="24" customHeight="1" x14ac:dyDescent="0.45">
      <c r="A233" s="237" t="str">
        <f>IFERROR(IF(Base_de_donnée_clients!A233="","",Base_de_donnée_clients!A233),"")</f>
        <v/>
      </c>
      <c r="B233" s="226" t="str">
        <f>IFERROR(IF(Base_de_donnée_clients!B233="","",Base_de_donnée_clients!B233),"")</f>
        <v/>
      </c>
      <c r="C233" s="226" t="str">
        <f>IFERROR(IF(Base_de_donnée_clients!C233="","",Base_de_donnée_clients!C233),"")</f>
        <v/>
      </c>
      <c r="D233" s="238" t="str">
        <f>IFERROR(IF(OR(Synthese_Programme!M233="Réservé",Synthese_Programme!M233="Acté",Synthese_Programme!M233="réservé",Synthese_Programme!M233="acté"),Synthese_Programme!K233,""),"")</f>
        <v/>
      </c>
      <c r="E233" s="239" t="str">
        <f>IFERROR(IF(OR(Synthese_Programme!M233="Réservé",Synthese_Programme!M233="Acté",Synthese_Programme!M233="réservé",Synthese_Programme!M233="acté"),$D233*Parametres!E2,""),"")</f>
        <v/>
      </c>
      <c r="F233" s="240" t="str">
        <f>IFERROR(IF(Base_de_donnée_clients!J233="","",Base_de_donnée_clients!J233),"")</f>
        <v/>
      </c>
      <c r="G233" s="239" t="str">
        <f>IF($C233="","",IF(AND(Parametres!F3&lt;&gt;"",Synthese_Programme!M233="Acté"),$D233*Parametres!E3,""))</f>
        <v/>
      </c>
      <c r="H233" s="240"/>
      <c r="I233" s="239" t="str">
        <f>IF($C233="","",IF(AND(Parametres!F4&lt;&gt;"",Synthese_Programme!M233="Acté"),$D233*Parametres!E4,""))</f>
        <v/>
      </c>
      <c r="J233" s="240"/>
      <c r="K233" s="239" t="str">
        <f>IF($C233="","",IF(AND(Parametres!F5&lt;&gt;"",Synthese_Programme!M233="Acté"),$D233*Parametres!E5,""))</f>
        <v/>
      </c>
      <c r="L233" s="240"/>
      <c r="M233" s="239" t="str">
        <f>IF($C233="","",IF(AND(Parametres!F6&lt;&gt;"",Synthese_Programme!M233="Acté"),$D233*Parametres!E6,""))</f>
        <v/>
      </c>
      <c r="N233" s="240"/>
      <c r="O233" s="239" t="str">
        <f>IF($C233="","",IF(AND(Parametres!F7&lt;&gt;"",Synthese_Programme!M233="Acté"),$D233*Parametres!E7,""))</f>
        <v/>
      </c>
      <c r="P233" s="240"/>
      <c r="Q233" s="226" t="str">
        <f t="shared" si="9"/>
        <v/>
      </c>
      <c r="R233" s="226" t="str">
        <f t="shared" si="10"/>
        <v/>
      </c>
      <c r="S233" s="226" t="str">
        <f t="shared" si="11"/>
        <v/>
      </c>
    </row>
    <row r="234" spans="1:19" ht="24" customHeight="1" x14ac:dyDescent="0.45">
      <c r="A234" s="237" t="str">
        <f>IFERROR(IF(Base_de_donnée_clients!A234="","",Base_de_donnée_clients!A234),"")</f>
        <v/>
      </c>
      <c r="B234" s="226" t="str">
        <f>IFERROR(IF(Base_de_donnée_clients!B234="","",Base_de_donnée_clients!B234),"")</f>
        <v/>
      </c>
      <c r="C234" s="226" t="str">
        <f>IFERROR(IF(Base_de_donnée_clients!C234="","",Base_de_donnée_clients!C234),"")</f>
        <v/>
      </c>
      <c r="D234" s="238" t="str">
        <f>IFERROR(IF(OR(Synthese_Programme!M234="Réservé",Synthese_Programme!M234="Acté",Synthese_Programme!M234="réservé",Synthese_Programme!M234="acté"),Synthese_Programme!K234,""),"")</f>
        <v/>
      </c>
      <c r="E234" s="239" t="str">
        <f>IFERROR(IF(OR(Synthese_Programme!M234="Réservé",Synthese_Programme!M234="Acté",Synthese_Programme!M234="réservé",Synthese_Programme!M234="acté"),$D234*Parametres!E2,""),"")</f>
        <v/>
      </c>
      <c r="F234" s="240" t="str">
        <f>IFERROR(IF(Base_de_donnée_clients!J234="","",Base_de_donnée_clients!J234),"")</f>
        <v/>
      </c>
      <c r="G234" s="239" t="str">
        <f>IF($C234="","",IF(AND(Parametres!F3&lt;&gt;"",Synthese_Programme!M234="Acté"),$D234*Parametres!E3,""))</f>
        <v/>
      </c>
      <c r="H234" s="240"/>
      <c r="I234" s="239" t="str">
        <f>IF($C234="","",IF(AND(Parametres!F4&lt;&gt;"",Synthese_Programme!M234="Acté"),$D234*Parametres!E4,""))</f>
        <v/>
      </c>
      <c r="J234" s="240"/>
      <c r="K234" s="239" t="str">
        <f>IF($C234="","",IF(AND(Parametres!F5&lt;&gt;"",Synthese_Programme!M234="Acté"),$D234*Parametres!E5,""))</f>
        <v/>
      </c>
      <c r="L234" s="240"/>
      <c r="M234" s="239" t="str">
        <f>IF($C234="","",IF(AND(Parametres!F6&lt;&gt;"",Synthese_Programme!M234="Acté"),$D234*Parametres!E6,""))</f>
        <v/>
      </c>
      <c r="N234" s="240"/>
      <c r="O234" s="239" t="str">
        <f>IF($C234="","",IF(AND(Parametres!F7&lt;&gt;"",Synthese_Programme!M234="Acté"),$D234*Parametres!E7,""))</f>
        <v/>
      </c>
      <c r="P234" s="240"/>
      <c r="Q234" s="226" t="str">
        <f t="shared" si="9"/>
        <v/>
      </c>
      <c r="R234" s="226" t="str">
        <f t="shared" si="10"/>
        <v/>
      </c>
      <c r="S234" s="226" t="str">
        <f t="shared" si="11"/>
        <v/>
      </c>
    </row>
    <row r="235" spans="1:19" ht="24" customHeight="1" x14ac:dyDescent="0.45">
      <c r="A235" s="237" t="str">
        <f>IFERROR(IF(Base_de_donnée_clients!A235="","",Base_de_donnée_clients!A235),"")</f>
        <v/>
      </c>
      <c r="B235" s="226" t="str">
        <f>IFERROR(IF(Base_de_donnée_clients!B235="","",Base_de_donnée_clients!B235),"")</f>
        <v/>
      </c>
      <c r="C235" s="226" t="str">
        <f>IFERROR(IF(Base_de_donnée_clients!C235="","",Base_de_donnée_clients!C235),"")</f>
        <v/>
      </c>
      <c r="D235" s="238" t="str">
        <f>IFERROR(IF(OR(Synthese_Programme!M235="Réservé",Synthese_Programme!M235="Acté",Synthese_Programme!M235="réservé",Synthese_Programme!M235="acté"),Synthese_Programme!K235,""),"")</f>
        <v/>
      </c>
      <c r="E235" s="239" t="str">
        <f>IFERROR(IF(OR(Synthese_Programme!M235="Réservé",Synthese_Programme!M235="Acté",Synthese_Programme!M235="réservé",Synthese_Programme!M235="acté"),$D235*Parametres!E2,""),"")</f>
        <v/>
      </c>
      <c r="F235" s="240" t="str">
        <f>IFERROR(IF(Base_de_donnée_clients!J235="","",Base_de_donnée_clients!J235),"")</f>
        <v/>
      </c>
      <c r="G235" s="239" t="str">
        <f>IF($C235="","",IF(AND(Parametres!F3&lt;&gt;"",Synthese_Programme!M235="Acté"),$D235*Parametres!E3,""))</f>
        <v/>
      </c>
      <c r="H235" s="240"/>
      <c r="I235" s="239" t="str">
        <f>IF($C235="","",IF(AND(Parametres!F4&lt;&gt;"",Synthese_Programme!M235="Acté"),$D235*Parametres!E4,""))</f>
        <v/>
      </c>
      <c r="J235" s="240"/>
      <c r="K235" s="239" t="str">
        <f>IF($C235="","",IF(AND(Parametres!F5&lt;&gt;"",Synthese_Programme!M235="Acté"),$D235*Parametres!E5,""))</f>
        <v/>
      </c>
      <c r="L235" s="240"/>
      <c r="M235" s="239" t="str">
        <f>IF($C235="","",IF(AND(Parametres!F6&lt;&gt;"",Synthese_Programme!M235="Acté"),$D235*Parametres!E6,""))</f>
        <v/>
      </c>
      <c r="N235" s="240"/>
      <c r="O235" s="239" t="str">
        <f>IF($C235="","",IF(AND(Parametres!F7&lt;&gt;"",Synthese_Programme!M235="Acté"),$D235*Parametres!E7,""))</f>
        <v/>
      </c>
      <c r="P235" s="240"/>
      <c r="Q235" s="226" t="str">
        <f t="shared" si="9"/>
        <v/>
      </c>
      <c r="R235" s="226" t="str">
        <f t="shared" si="10"/>
        <v/>
      </c>
      <c r="S235" s="226" t="str">
        <f t="shared" si="11"/>
        <v/>
      </c>
    </row>
    <row r="236" spans="1:19" ht="24" customHeight="1" x14ac:dyDescent="0.45">
      <c r="A236" s="237" t="str">
        <f>IFERROR(IF(Base_de_donnée_clients!A236="","",Base_de_donnée_clients!A236),"")</f>
        <v/>
      </c>
      <c r="B236" s="226" t="str">
        <f>IFERROR(IF(Base_de_donnée_clients!B236="","",Base_de_donnée_clients!B236),"")</f>
        <v/>
      </c>
      <c r="C236" s="226" t="str">
        <f>IFERROR(IF(Base_de_donnée_clients!C236="","",Base_de_donnée_clients!C236),"")</f>
        <v/>
      </c>
      <c r="D236" s="238" t="str">
        <f>IFERROR(IF(OR(Synthese_Programme!M236="Réservé",Synthese_Programme!M236="Acté",Synthese_Programme!M236="réservé",Synthese_Programme!M236="acté"),Synthese_Programme!K236,""),"")</f>
        <v/>
      </c>
      <c r="E236" s="239" t="str">
        <f>IFERROR(IF(OR(Synthese_Programme!M236="Réservé",Synthese_Programme!M236="Acté",Synthese_Programme!M236="réservé",Synthese_Programme!M236="acté"),$D236*Parametres!E2,""),"")</f>
        <v/>
      </c>
      <c r="F236" s="240" t="str">
        <f>IFERROR(IF(Base_de_donnée_clients!J236="","",Base_de_donnée_clients!J236),"")</f>
        <v/>
      </c>
      <c r="G236" s="239" t="str">
        <f>IF($C236="","",IF(AND(Parametres!F3&lt;&gt;"",Synthese_Programme!M236="Acté"),$D236*Parametres!E3,""))</f>
        <v/>
      </c>
      <c r="H236" s="240"/>
      <c r="I236" s="239" t="str">
        <f>IF($C236="","",IF(AND(Parametres!F4&lt;&gt;"",Synthese_Programme!M236="Acté"),$D236*Parametres!E4,""))</f>
        <v/>
      </c>
      <c r="J236" s="240"/>
      <c r="K236" s="239" t="str">
        <f>IF($C236="","",IF(AND(Parametres!F5&lt;&gt;"",Synthese_Programme!M236="Acté"),$D236*Parametres!E5,""))</f>
        <v/>
      </c>
      <c r="L236" s="240"/>
      <c r="M236" s="239" t="str">
        <f>IF($C236="","",IF(AND(Parametres!F6&lt;&gt;"",Synthese_Programme!M236="Acté"),$D236*Parametres!E6,""))</f>
        <v/>
      </c>
      <c r="N236" s="240"/>
      <c r="O236" s="239" t="str">
        <f>IF($C236="","",IF(AND(Parametres!F7&lt;&gt;"",Synthese_Programme!M236="Acté"),$D236*Parametres!E7,""))</f>
        <v/>
      </c>
      <c r="P236" s="240"/>
      <c r="Q236" s="226" t="str">
        <f t="shared" si="9"/>
        <v/>
      </c>
      <c r="R236" s="226" t="str">
        <f t="shared" si="10"/>
        <v/>
      </c>
      <c r="S236" s="226" t="str">
        <f t="shared" si="11"/>
        <v/>
      </c>
    </row>
    <row r="237" spans="1:19" ht="24" customHeight="1" x14ac:dyDescent="0.45">
      <c r="A237" s="237" t="str">
        <f>IFERROR(IF(Base_de_donnée_clients!A237="","",Base_de_donnée_clients!A237),"")</f>
        <v/>
      </c>
      <c r="B237" s="226" t="str">
        <f>IFERROR(IF(Base_de_donnée_clients!B237="","",Base_de_donnée_clients!B237),"")</f>
        <v/>
      </c>
      <c r="C237" s="226" t="str">
        <f>IFERROR(IF(Base_de_donnée_clients!C237="","",Base_de_donnée_clients!C237),"")</f>
        <v/>
      </c>
      <c r="D237" s="238" t="str">
        <f>IFERROR(IF(OR(Synthese_Programme!M237="Réservé",Synthese_Programme!M237="Acté",Synthese_Programme!M237="réservé",Synthese_Programme!M237="acté"),Synthese_Programme!K237,""),"")</f>
        <v/>
      </c>
      <c r="E237" s="239" t="str">
        <f>IFERROR(IF(OR(Synthese_Programme!M237="Réservé",Synthese_Programme!M237="Acté",Synthese_Programme!M237="réservé",Synthese_Programme!M237="acté"),$D237*Parametres!E2,""),"")</f>
        <v/>
      </c>
      <c r="F237" s="240" t="str">
        <f>IFERROR(IF(Base_de_donnée_clients!J237="","",Base_de_donnée_clients!J237),"")</f>
        <v/>
      </c>
      <c r="G237" s="239" t="str">
        <f>IF($C237="","",IF(AND(Parametres!F3&lt;&gt;"",Synthese_Programme!M237="Acté"),$D237*Parametres!E3,""))</f>
        <v/>
      </c>
      <c r="H237" s="240"/>
      <c r="I237" s="239" t="str">
        <f>IF($C237="","",IF(AND(Parametres!F4&lt;&gt;"",Synthese_Programme!M237="Acté"),$D237*Parametres!E4,""))</f>
        <v/>
      </c>
      <c r="J237" s="240"/>
      <c r="K237" s="239" t="str">
        <f>IF($C237="","",IF(AND(Parametres!F5&lt;&gt;"",Synthese_Programme!M237="Acté"),$D237*Parametres!E5,""))</f>
        <v/>
      </c>
      <c r="L237" s="240"/>
      <c r="M237" s="239" t="str">
        <f>IF($C237="","",IF(AND(Parametres!F6&lt;&gt;"",Synthese_Programme!M237="Acté"),$D237*Parametres!E6,""))</f>
        <v/>
      </c>
      <c r="N237" s="240"/>
      <c r="O237" s="239" t="str">
        <f>IF($C237="","",IF(AND(Parametres!F7&lt;&gt;"",Synthese_Programme!M237="Acté"),$D237*Parametres!E7,""))</f>
        <v/>
      </c>
      <c r="P237" s="240"/>
      <c r="Q237" s="226" t="str">
        <f t="shared" si="9"/>
        <v/>
      </c>
      <c r="R237" s="226" t="str">
        <f t="shared" si="10"/>
        <v/>
      </c>
      <c r="S237" s="226" t="str">
        <f t="shared" si="11"/>
        <v/>
      </c>
    </row>
    <row r="238" spans="1:19" ht="24" customHeight="1" x14ac:dyDescent="0.45">
      <c r="A238" s="237" t="str">
        <f>IFERROR(IF(Base_de_donnée_clients!A238="","",Base_de_donnée_clients!A238),"")</f>
        <v/>
      </c>
      <c r="B238" s="226" t="str">
        <f>IFERROR(IF(Base_de_donnée_clients!B238="","",Base_de_donnée_clients!B238),"")</f>
        <v/>
      </c>
      <c r="C238" s="226" t="str">
        <f>IFERROR(IF(Base_de_donnée_clients!C238="","",Base_de_donnée_clients!C238),"")</f>
        <v/>
      </c>
      <c r="D238" s="238" t="str">
        <f>IFERROR(IF(OR(Synthese_Programme!M238="Réservé",Synthese_Programme!M238="Acté",Synthese_Programme!M238="réservé",Synthese_Programme!M238="acté"),Synthese_Programme!K238,""),"")</f>
        <v/>
      </c>
      <c r="E238" s="239" t="str">
        <f>IFERROR(IF(OR(Synthese_Programme!M238="Réservé",Synthese_Programme!M238="Acté",Synthese_Programme!M238="réservé",Synthese_Programme!M238="acté"),$D238*Parametres!E2,""),"")</f>
        <v/>
      </c>
      <c r="F238" s="240" t="str">
        <f>IFERROR(IF(Base_de_donnée_clients!J238="","",Base_de_donnée_clients!J238),"")</f>
        <v/>
      </c>
      <c r="G238" s="239" t="str">
        <f>IF($C238="","",IF(AND(Parametres!F3&lt;&gt;"",Synthese_Programme!M238="Acté"),$D238*Parametres!E3,""))</f>
        <v/>
      </c>
      <c r="H238" s="240"/>
      <c r="I238" s="239" t="str">
        <f>IF($C238="","",IF(AND(Parametres!F4&lt;&gt;"",Synthese_Programme!M238="Acté"),$D238*Parametres!E4,""))</f>
        <v/>
      </c>
      <c r="J238" s="240"/>
      <c r="K238" s="239" t="str">
        <f>IF($C238="","",IF(AND(Parametres!F5&lt;&gt;"",Synthese_Programme!M238="Acté"),$D238*Parametres!E5,""))</f>
        <v/>
      </c>
      <c r="L238" s="240"/>
      <c r="M238" s="239" t="str">
        <f>IF($C238="","",IF(AND(Parametres!F6&lt;&gt;"",Synthese_Programme!M238="Acté"),$D238*Parametres!E6,""))</f>
        <v/>
      </c>
      <c r="N238" s="240"/>
      <c r="O238" s="239" t="str">
        <f>IF($C238="","",IF(AND(Parametres!F7&lt;&gt;"",Synthese_Programme!M238="Acté"),$D238*Parametres!E7,""))</f>
        <v/>
      </c>
      <c r="P238" s="240"/>
      <c r="Q238" s="226" t="str">
        <f t="shared" si="9"/>
        <v/>
      </c>
      <c r="R238" s="226" t="str">
        <f t="shared" si="10"/>
        <v/>
      </c>
      <c r="S238" s="226" t="str">
        <f t="shared" si="11"/>
        <v/>
      </c>
    </row>
    <row r="239" spans="1:19" ht="24" customHeight="1" x14ac:dyDescent="0.45">
      <c r="A239" s="237" t="str">
        <f>IFERROR(IF(Base_de_donnée_clients!A239="","",Base_de_donnée_clients!A239),"")</f>
        <v/>
      </c>
      <c r="B239" s="226" t="str">
        <f>IFERROR(IF(Base_de_donnée_clients!B239="","",Base_de_donnée_clients!B239),"")</f>
        <v/>
      </c>
      <c r="C239" s="226" t="str">
        <f>IFERROR(IF(Base_de_donnée_clients!C239="","",Base_de_donnée_clients!C239),"")</f>
        <v/>
      </c>
      <c r="D239" s="238" t="str">
        <f>IFERROR(IF(OR(Synthese_Programme!M239="Réservé",Synthese_Programme!M239="Acté",Synthese_Programme!M239="réservé",Synthese_Programme!M239="acté"),Synthese_Programme!K239,""),"")</f>
        <v/>
      </c>
      <c r="E239" s="239" t="str">
        <f>IFERROR(IF(OR(Synthese_Programme!M239="Réservé",Synthese_Programme!M239="Acté",Synthese_Programme!M239="réservé",Synthese_Programme!M239="acté"),$D239*Parametres!E2,""),"")</f>
        <v/>
      </c>
      <c r="F239" s="240" t="str">
        <f>IFERROR(IF(Base_de_donnée_clients!J239="","",Base_de_donnée_clients!J239),"")</f>
        <v/>
      </c>
      <c r="G239" s="239" t="str">
        <f>IF($C239="","",IF(AND(Parametres!F3&lt;&gt;"",Synthese_Programme!M239="Acté"),$D239*Parametres!E3,""))</f>
        <v/>
      </c>
      <c r="H239" s="240"/>
      <c r="I239" s="239" t="str">
        <f>IF($C239="","",IF(AND(Parametres!F4&lt;&gt;"",Synthese_Programme!M239="Acté"),$D239*Parametres!E4,""))</f>
        <v/>
      </c>
      <c r="J239" s="240"/>
      <c r="K239" s="239" t="str">
        <f>IF($C239="","",IF(AND(Parametres!F5&lt;&gt;"",Synthese_Programme!M239="Acté"),$D239*Parametres!E5,""))</f>
        <v/>
      </c>
      <c r="L239" s="240"/>
      <c r="M239" s="239" t="str">
        <f>IF($C239="","",IF(AND(Parametres!F6&lt;&gt;"",Synthese_Programme!M239="Acté"),$D239*Parametres!E6,""))</f>
        <v/>
      </c>
      <c r="N239" s="240"/>
      <c r="O239" s="239" t="str">
        <f>IF($C239="","",IF(AND(Parametres!F7&lt;&gt;"",Synthese_Programme!M239="Acté"),$D239*Parametres!E7,""))</f>
        <v/>
      </c>
      <c r="P239" s="240"/>
      <c r="Q239" s="226" t="str">
        <f t="shared" si="9"/>
        <v/>
      </c>
      <c r="R239" s="226" t="str">
        <f t="shared" si="10"/>
        <v/>
      </c>
      <c r="S239" s="226" t="str">
        <f t="shared" si="11"/>
        <v/>
      </c>
    </row>
    <row r="240" spans="1:19" ht="24" customHeight="1" x14ac:dyDescent="0.45">
      <c r="A240" s="237" t="str">
        <f>IFERROR(IF(Base_de_donnée_clients!A240="","",Base_de_donnée_clients!A240),"")</f>
        <v/>
      </c>
      <c r="B240" s="226" t="str">
        <f>IFERROR(IF(Base_de_donnée_clients!B240="","",Base_de_donnée_clients!B240),"")</f>
        <v/>
      </c>
      <c r="C240" s="226" t="str">
        <f>IFERROR(IF(Base_de_donnée_clients!C240="","",Base_de_donnée_clients!C240),"")</f>
        <v/>
      </c>
      <c r="D240" s="238" t="str">
        <f>IFERROR(IF(OR(Synthese_Programme!M240="Réservé",Synthese_Programme!M240="Acté",Synthese_Programme!M240="réservé",Synthese_Programme!M240="acté"),Synthese_Programme!K240,""),"")</f>
        <v/>
      </c>
      <c r="E240" s="239" t="str">
        <f>IFERROR(IF(OR(Synthese_Programme!M240="Réservé",Synthese_Programme!M240="Acté",Synthese_Programme!M240="réservé",Synthese_Programme!M240="acté"),$D240*Parametres!E2,""),"")</f>
        <v/>
      </c>
      <c r="F240" s="240" t="str">
        <f>IFERROR(IF(Base_de_donnée_clients!J240="","",Base_de_donnée_clients!J240),"")</f>
        <v/>
      </c>
      <c r="G240" s="239" t="str">
        <f>IF($C240="","",IF(AND(Parametres!F3&lt;&gt;"",Synthese_Programme!M240="Acté"),$D240*Parametres!E3,""))</f>
        <v/>
      </c>
      <c r="H240" s="240"/>
      <c r="I240" s="239" t="str">
        <f>IF($C240="","",IF(AND(Parametres!F4&lt;&gt;"",Synthese_Programme!M240="Acté"),$D240*Parametres!E4,""))</f>
        <v/>
      </c>
      <c r="J240" s="240"/>
      <c r="K240" s="239" t="str">
        <f>IF($C240="","",IF(AND(Parametres!F5&lt;&gt;"",Synthese_Programme!M240="Acté"),$D240*Parametres!E5,""))</f>
        <v/>
      </c>
      <c r="L240" s="240"/>
      <c r="M240" s="239" t="str">
        <f>IF($C240="","",IF(AND(Parametres!F6&lt;&gt;"",Synthese_Programme!M240="Acté"),$D240*Parametres!E6,""))</f>
        <v/>
      </c>
      <c r="N240" s="240"/>
      <c r="O240" s="239" t="str">
        <f>IF($C240="","",IF(AND(Parametres!F7&lt;&gt;"",Synthese_Programme!M240="Acté"),$D240*Parametres!E7,""))</f>
        <v/>
      </c>
      <c r="P240" s="240"/>
      <c r="Q240" s="226" t="str">
        <f t="shared" si="9"/>
        <v/>
      </c>
      <c r="R240" s="226" t="str">
        <f t="shared" si="10"/>
        <v/>
      </c>
      <c r="S240" s="226" t="str">
        <f t="shared" si="11"/>
        <v/>
      </c>
    </row>
    <row r="241" spans="1:19" ht="24" customHeight="1" x14ac:dyDescent="0.45">
      <c r="A241" s="237" t="str">
        <f>IFERROR(IF(Base_de_donnée_clients!A241="","",Base_de_donnée_clients!A241),"")</f>
        <v/>
      </c>
      <c r="B241" s="226" t="str">
        <f>IFERROR(IF(Base_de_donnée_clients!B241="","",Base_de_donnée_clients!B241),"")</f>
        <v/>
      </c>
      <c r="C241" s="226" t="str">
        <f>IFERROR(IF(Base_de_donnée_clients!C241="","",Base_de_donnée_clients!C241),"")</f>
        <v/>
      </c>
      <c r="D241" s="238" t="str">
        <f>IFERROR(IF(OR(Synthese_Programme!M241="Réservé",Synthese_Programme!M241="Acté",Synthese_Programme!M241="réservé",Synthese_Programme!M241="acté"),Synthese_Programme!K241,""),"")</f>
        <v/>
      </c>
      <c r="E241" s="239" t="str">
        <f>IFERROR(IF(OR(Synthese_Programme!M241="Réservé",Synthese_Programme!M241="Acté",Synthese_Programme!M241="réservé",Synthese_Programme!M241="acté"),$D241*Parametres!E2,""),"")</f>
        <v/>
      </c>
      <c r="F241" s="240" t="str">
        <f>IFERROR(IF(Base_de_donnée_clients!J241="","",Base_de_donnée_clients!J241),"")</f>
        <v/>
      </c>
      <c r="G241" s="239" t="str">
        <f>IF($C241="","",IF(AND(Parametres!F3&lt;&gt;"",Synthese_Programme!M241="Acté"),$D241*Parametres!E3,""))</f>
        <v/>
      </c>
      <c r="H241" s="240"/>
      <c r="I241" s="239" t="str">
        <f>IF($C241="","",IF(AND(Parametres!F4&lt;&gt;"",Synthese_Programme!M241="Acté"),$D241*Parametres!E4,""))</f>
        <v/>
      </c>
      <c r="J241" s="240"/>
      <c r="K241" s="239" t="str">
        <f>IF($C241="","",IF(AND(Parametres!F5&lt;&gt;"",Synthese_Programme!M241="Acté"),$D241*Parametres!E5,""))</f>
        <v/>
      </c>
      <c r="L241" s="240"/>
      <c r="M241" s="239" t="str">
        <f>IF($C241="","",IF(AND(Parametres!F6&lt;&gt;"",Synthese_Programme!M241="Acté"),$D241*Parametres!E6,""))</f>
        <v/>
      </c>
      <c r="N241" s="240"/>
      <c r="O241" s="239" t="str">
        <f>IF($C241="","",IF(AND(Parametres!F7&lt;&gt;"",Synthese_Programme!M241="Acté"),$D241*Parametres!E7,""))</f>
        <v/>
      </c>
      <c r="P241" s="240"/>
      <c r="Q241" s="226" t="str">
        <f t="shared" si="9"/>
        <v/>
      </c>
      <c r="R241" s="226" t="str">
        <f t="shared" si="10"/>
        <v/>
      </c>
      <c r="S241" s="226" t="str">
        <f t="shared" si="11"/>
        <v/>
      </c>
    </row>
    <row r="242" spans="1:19" ht="24" customHeight="1" x14ac:dyDescent="0.45">
      <c r="A242" s="237" t="str">
        <f>IFERROR(IF(Base_de_donnée_clients!A242="","",Base_de_donnée_clients!A242),"")</f>
        <v/>
      </c>
      <c r="B242" s="226" t="str">
        <f>IFERROR(IF(Base_de_donnée_clients!B242="","",Base_de_donnée_clients!B242),"")</f>
        <v/>
      </c>
      <c r="C242" s="226" t="str">
        <f>IFERROR(IF(Base_de_donnée_clients!C242="","",Base_de_donnée_clients!C242),"")</f>
        <v/>
      </c>
      <c r="D242" s="238" t="str">
        <f>IFERROR(IF(OR(Synthese_Programme!M242="Réservé",Synthese_Programme!M242="Acté",Synthese_Programme!M242="réservé",Synthese_Programme!M242="acté"),Synthese_Programme!K242,""),"")</f>
        <v/>
      </c>
      <c r="E242" s="239" t="str">
        <f>IFERROR(IF(OR(Synthese_Programme!M242="Réservé",Synthese_Programme!M242="Acté",Synthese_Programme!M242="réservé",Synthese_Programme!M242="acté"),$D242*Parametres!E2,""),"")</f>
        <v/>
      </c>
      <c r="F242" s="240" t="str">
        <f>IFERROR(IF(Base_de_donnée_clients!J242="","",Base_de_donnée_clients!J242),"")</f>
        <v/>
      </c>
      <c r="G242" s="239" t="str">
        <f>IF($C242="","",IF(AND(Parametres!F3&lt;&gt;"",Synthese_Programme!M242="Acté"),$D242*Parametres!E3,""))</f>
        <v/>
      </c>
      <c r="H242" s="240"/>
      <c r="I242" s="239" t="str">
        <f>IF($C242="","",IF(AND(Parametres!F4&lt;&gt;"",Synthese_Programme!M242="Acté"),$D242*Parametres!E4,""))</f>
        <v/>
      </c>
      <c r="J242" s="240"/>
      <c r="K242" s="239" t="str">
        <f>IF($C242="","",IF(AND(Parametres!F5&lt;&gt;"",Synthese_Programme!M242="Acté"),$D242*Parametres!E5,""))</f>
        <v/>
      </c>
      <c r="L242" s="240"/>
      <c r="M242" s="239" t="str">
        <f>IF($C242="","",IF(AND(Parametres!F6&lt;&gt;"",Synthese_Programme!M242="Acté"),$D242*Parametres!E6,""))</f>
        <v/>
      </c>
      <c r="N242" s="240"/>
      <c r="O242" s="239" t="str">
        <f>IF($C242="","",IF(AND(Parametres!F7&lt;&gt;"",Synthese_Programme!M242="Acté"),$D242*Parametres!E7,""))</f>
        <v/>
      </c>
      <c r="P242" s="240"/>
      <c r="Q242" s="226" t="str">
        <f t="shared" si="9"/>
        <v/>
      </c>
      <c r="R242" s="226" t="str">
        <f t="shared" si="10"/>
        <v/>
      </c>
      <c r="S242" s="226" t="str">
        <f t="shared" si="11"/>
        <v/>
      </c>
    </row>
    <row r="243" spans="1:19" ht="24" customHeight="1" x14ac:dyDescent="0.45">
      <c r="A243" s="237" t="str">
        <f>IFERROR(IF(Base_de_donnée_clients!A243="","",Base_de_donnée_clients!A243),"")</f>
        <v/>
      </c>
      <c r="B243" s="226" t="str">
        <f>IFERROR(IF(Base_de_donnée_clients!B243="","",Base_de_donnée_clients!B243),"")</f>
        <v/>
      </c>
      <c r="C243" s="226" t="str">
        <f>IFERROR(IF(Base_de_donnée_clients!C243="","",Base_de_donnée_clients!C243),"")</f>
        <v/>
      </c>
      <c r="D243" s="238" t="str">
        <f>IFERROR(IF(OR(Synthese_Programme!M243="Réservé",Synthese_Programme!M243="Acté",Synthese_Programme!M243="réservé",Synthese_Programme!M243="acté"),Synthese_Programme!K243,""),"")</f>
        <v/>
      </c>
      <c r="E243" s="239" t="str">
        <f>IFERROR(IF(OR(Synthese_Programme!M243="Réservé",Synthese_Programme!M243="Acté",Synthese_Programme!M243="réservé",Synthese_Programme!M243="acté"),$D243*Parametres!E2,""),"")</f>
        <v/>
      </c>
      <c r="F243" s="240" t="str">
        <f>IFERROR(IF(Base_de_donnée_clients!J243="","",Base_de_donnée_clients!J243),"")</f>
        <v/>
      </c>
      <c r="G243" s="239" t="str">
        <f>IF($C243="","",IF(AND(Parametres!F3&lt;&gt;"",Synthese_Programme!M243="Acté"),$D243*Parametres!E3,""))</f>
        <v/>
      </c>
      <c r="H243" s="240"/>
      <c r="I243" s="239" t="str">
        <f>IF($C243="","",IF(AND(Parametres!F4&lt;&gt;"",Synthese_Programme!M243="Acté"),$D243*Parametres!E4,""))</f>
        <v/>
      </c>
      <c r="J243" s="240"/>
      <c r="K243" s="239" t="str">
        <f>IF($C243="","",IF(AND(Parametres!F5&lt;&gt;"",Synthese_Programme!M243="Acté"),$D243*Parametres!E5,""))</f>
        <v/>
      </c>
      <c r="L243" s="240"/>
      <c r="M243" s="239" t="str">
        <f>IF($C243="","",IF(AND(Parametres!F6&lt;&gt;"",Synthese_Programme!M243="Acté"),$D243*Parametres!E6,""))</f>
        <v/>
      </c>
      <c r="N243" s="240"/>
      <c r="O243" s="239" t="str">
        <f>IF($C243="","",IF(AND(Parametres!F7&lt;&gt;"",Synthese_Programme!M243="Acté"),$D243*Parametres!E7,""))</f>
        <v/>
      </c>
      <c r="P243" s="240"/>
      <c r="Q243" s="226" t="str">
        <f t="shared" si="9"/>
        <v/>
      </c>
      <c r="R243" s="226" t="str">
        <f t="shared" si="10"/>
        <v/>
      </c>
      <c r="S243" s="226" t="str">
        <f t="shared" si="11"/>
        <v/>
      </c>
    </row>
    <row r="244" spans="1:19" ht="24" customHeight="1" x14ac:dyDescent="0.45">
      <c r="A244" s="237" t="str">
        <f>IFERROR(IF(Base_de_donnée_clients!A244="","",Base_de_donnée_clients!A244),"")</f>
        <v/>
      </c>
      <c r="B244" s="226" t="str">
        <f>IFERROR(IF(Base_de_donnée_clients!B244="","",Base_de_donnée_clients!B244),"")</f>
        <v/>
      </c>
      <c r="C244" s="226" t="str">
        <f>IFERROR(IF(Base_de_donnée_clients!C244="","",Base_de_donnée_clients!C244),"")</f>
        <v/>
      </c>
      <c r="D244" s="238" t="str">
        <f>IFERROR(IF(OR(Synthese_Programme!M244="Réservé",Synthese_Programme!M244="Acté",Synthese_Programme!M244="réservé",Synthese_Programme!M244="acté"),Synthese_Programme!K244,""),"")</f>
        <v/>
      </c>
      <c r="E244" s="239" t="str">
        <f>IFERROR(IF(OR(Synthese_Programme!M244="Réservé",Synthese_Programme!M244="Acté",Synthese_Programme!M244="réservé",Synthese_Programme!M244="acté"),$D244*Parametres!E2,""),"")</f>
        <v/>
      </c>
      <c r="F244" s="240" t="str">
        <f>IFERROR(IF(Base_de_donnée_clients!J244="","",Base_de_donnée_clients!J244),"")</f>
        <v/>
      </c>
      <c r="G244" s="239" t="str">
        <f>IF($C244="","",IF(AND(Parametres!F3&lt;&gt;"",Synthese_Programme!M244="Acté"),$D244*Parametres!E3,""))</f>
        <v/>
      </c>
      <c r="H244" s="240"/>
      <c r="I244" s="239" t="str">
        <f>IF($C244="","",IF(AND(Parametres!F4&lt;&gt;"",Synthese_Programme!M244="Acté"),$D244*Parametres!E4,""))</f>
        <v/>
      </c>
      <c r="J244" s="240"/>
      <c r="K244" s="239" t="str">
        <f>IF($C244="","",IF(AND(Parametres!F5&lt;&gt;"",Synthese_Programme!M244="Acté"),$D244*Parametres!E5,""))</f>
        <v/>
      </c>
      <c r="L244" s="240"/>
      <c r="M244" s="239" t="str">
        <f>IF($C244="","",IF(AND(Parametres!F6&lt;&gt;"",Synthese_Programme!M244="Acté"),$D244*Parametres!E6,""))</f>
        <v/>
      </c>
      <c r="N244" s="240"/>
      <c r="O244" s="239" t="str">
        <f>IF($C244="","",IF(AND(Parametres!F7&lt;&gt;"",Synthese_Programme!M244="Acté"),$D244*Parametres!E7,""))</f>
        <v/>
      </c>
      <c r="P244" s="240"/>
      <c r="Q244" s="226" t="str">
        <f t="shared" si="9"/>
        <v/>
      </c>
      <c r="R244" s="226" t="str">
        <f t="shared" si="10"/>
        <v/>
      </c>
      <c r="S244" s="226" t="str">
        <f t="shared" si="11"/>
        <v/>
      </c>
    </row>
    <row r="245" spans="1:19" ht="24" customHeight="1" x14ac:dyDescent="0.45">
      <c r="A245" s="237" t="str">
        <f>IFERROR(IF(Base_de_donnée_clients!A245="","",Base_de_donnée_clients!A245),"")</f>
        <v/>
      </c>
      <c r="B245" s="226" t="str">
        <f>IFERROR(IF(Base_de_donnée_clients!B245="","",Base_de_donnée_clients!B245),"")</f>
        <v/>
      </c>
      <c r="C245" s="226" t="str">
        <f>IFERROR(IF(Base_de_donnée_clients!C245="","",Base_de_donnée_clients!C245),"")</f>
        <v/>
      </c>
      <c r="D245" s="238" t="str">
        <f>IFERROR(IF(OR(Synthese_Programme!M245="Réservé",Synthese_Programme!M245="Acté",Synthese_Programme!M245="réservé",Synthese_Programme!M245="acté"),Synthese_Programme!K245,""),"")</f>
        <v/>
      </c>
      <c r="E245" s="239" t="str">
        <f>IFERROR(IF(OR(Synthese_Programme!M245="Réservé",Synthese_Programme!M245="Acté",Synthese_Programme!M245="réservé",Synthese_Programme!M245="acté"),$D245*Parametres!E2,""),"")</f>
        <v/>
      </c>
      <c r="F245" s="240" t="str">
        <f>IFERROR(IF(Base_de_donnée_clients!J245="","",Base_de_donnée_clients!J245),"")</f>
        <v/>
      </c>
      <c r="G245" s="239" t="str">
        <f>IF($C245="","",IF(AND(Parametres!F3&lt;&gt;"",Synthese_Programme!M245="Acté"),$D245*Parametres!E3,""))</f>
        <v/>
      </c>
      <c r="H245" s="240"/>
      <c r="I245" s="239" t="str">
        <f>IF($C245="","",IF(AND(Parametres!F4&lt;&gt;"",Synthese_Programme!M245="Acté"),$D245*Parametres!E4,""))</f>
        <v/>
      </c>
      <c r="J245" s="240"/>
      <c r="K245" s="239" t="str">
        <f>IF($C245="","",IF(AND(Parametres!F5&lt;&gt;"",Synthese_Programme!M245="Acté"),$D245*Parametres!E5,""))</f>
        <v/>
      </c>
      <c r="L245" s="240"/>
      <c r="M245" s="239" t="str">
        <f>IF($C245="","",IF(AND(Parametres!F6&lt;&gt;"",Synthese_Programme!M245="Acté"),$D245*Parametres!E6,""))</f>
        <v/>
      </c>
      <c r="N245" s="240"/>
      <c r="O245" s="239" t="str">
        <f>IF($C245="","",IF(AND(Parametres!F7&lt;&gt;"",Synthese_Programme!M245="Acté"),$D245*Parametres!E7,""))</f>
        <v/>
      </c>
      <c r="P245" s="240"/>
      <c r="Q245" s="226" t="str">
        <f t="shared" si="9"/>
        <v/>
      </c>
      <c r="R245" s="226" t="str">
        <f t="shared" si="10"/>
        <v/>
      </c>
      <c r="S245" s="226" t="str">
        <f t="shared" si="11"/>
        <v/>
      </c>
    </row>
    <row r="246" spans="1:19" ht="24" customHeight="1" x14ac:dyDescent="0.45">
      <c r="A246" s="237" t="str">
        <f>IFERROR(IF(Base_de_donnée_clients!A246="","",Base_de_donnée_clients!A246),"")</f>
        <v/>
      </c>
      <c r="B246" s="226" t="str">
        <f>IFERROR(IF(Base_de_donnée_clients!B246="","",Base_de_donnée_clients!B246),"")</f>
        <v/>
      </c>
      <c r="C246" s="226" t="str">
        <f>IFERROR(IF(Base_de_donnée_clients!C246="","",Base_de_donnée_clients!C246),"")</f>
        <v/>
      </c>
      <c r="D246" s="238" t="str">
        <f>IFERROR(IF(OR(Synthese_Programme!M246="Réservé",Synthese_Programme!M246="Acté",Synthese_Programme!M246="réservé",Synthese_Programme!M246="acté"),Synthese_Programme!K246,""),"")</f>
        <v/>
      </c>
      <c r="E246" s="239" t="str">
        <f>IFERROR(IF(OR(Synthese_Programme!M246="Réservé",Synthese_Programme!M246="Acté",Synthese_Programme!M246="réservé",Synthese_Programme!M246="acté"),$D246*Parametres!E2,""),"")</f>
        <v/>
      </c>
      <c r="F246" s="240" t="str">
        <f>IFERROR(IF(Base_de_donnée_clients!J246="","",Base_de_donnée_clients!J246),"")</f>
        <v/>
      </c>
      <c r="G246" s="239" t="str">
        <f>IF($C246="","",IF(AND(Parametres!F3&lt;&gt;"",Synthese_Programme!M246="Acté"),$D246*Parametres!E3,""))</f>
        <v/>
      </c>
      <c r="H246" s="240"/>
      <c r="I246" s="239" t="str">
        <f>IF($C246="","",IF(AND(Parametres!F4&lt;&gt;"",Synthese_Programme!M246="Acté"),$D246*Parametres!E4,""))</f>
        <v/>
      </c>
      <c r="J246" s="240"/>
      <c r="K246" s="239" t="str">
        <f>IF($C246="","",IF(AND(Parametres!F5&lt;&gt;"",Synthese_Programme!M246="Acté"),$D246*Parametres!E5,""))</f>
        <v/>
      </c>
      <c r="L246" s="240"/>
      <c r="M246" s="239" t="str">
        <f>IF($C246="","",IF(AND(Parametres!F6&lt;&gt;"",Synthese_Programme!M246="Acté"),$D246*Parametres!E6,""))</f>
        <v/>
      </c>
      <c r="N246" s="240"/>
      <c r="O246" s="239" t="str">
        <f>IF($C246="","",IF(AND(Parametres!F7&lt;&gt;"",Synthese_Programme!M246="Acté"),$D246*Parametres!E7,""))</f>
        <v/>
      </c>
      <c r="P246" s="240"/>
      <c r="Q246" s="226" t="str">
        <f t="shared" si="9"/>
        <v/>
      </c>
      <c r="R246" s="226" t="str">
        <f t="shared" si="10"/>
        <v/>
      </c>
      <c r="S246" s="226" t="str">
        <f t="shared" si="11"/>
        <v/>
      </c>
    </row>
    <row r="247" spans="1:19" ht="24" customHeight="1" x14ac:dyDescent="0.45">
      <c r="A247" s="237" t="str">
        <f>IFERROR(IF(Base_de_donnée_clients!A247="","",Base_de_donnée_clients!A247),"")</f>
        <v/>
      </c>
      <c r="B247" s="226" t="str">
        <f>IFERROR(IF(Base_de_donnée_clients!B247="","",Base_de_donnée_clients!B247),"")</f>
        <v/>
      </c>
      <c r="C247" s="226" t="str">
        <f>IFERROR(IF(Base_de_donnée_clients!C247="","",Base_de_donnée_clients!C247),"")</f>
        <v/>
      </c>
      <c r="D247" s="238" t="str">
        <f>IFERROR(IF(OR(Synthese_Programme!M247="Réservé",Synthese_Programme!M247="Acté",Synthese_Programme!M247="réservé",Synthese_Programme!M247="acté"),Synthese_Programme!K247,""),"")</f>
        <v/>
      </c>
      <c r="E247" s="239" t="str">
        <f>IFERROR(IF(OR(Synthese_Programme!M247="Réservé",Synthese_Programme!M247="Acté",Synthese_Programme!M247="réservé",Synthese_Programme!M247="acté"),$D247*Parametres!E2,""),"")</f>
        <v/>
      </c>
      <c r="F247" s="240" t="str">
        <f>IFERROR(IF(Base_de_donnée_clients!J247="","",Base_de_donnée_clients!J247),"")</f>
        <v/>
      </c>
      <c r="G247" s="239" t="str">
        <f>IF($C247="","",IF(AND(Parametres!F3&lt;&gt;"",Synthese_Programme!M247="Acté"),$D247*Parametres!E3,""))</f>
        <v/>
      </c>
      <c r="H247" s="240"/>
      <c r="I247" s="239" t="str">
        <f>IF($C247="","",IF(AND(Parametres!F4&lt;&gt;"",Synthese_Programme!M247="Acté"),$D247*Parametres!E4,""))</f>
        <v/>
      </c>
      <c r="J247" s="240"/>
      <c r="K247" s="239" t="str">
        <f>IF($C247="","",IF(AND(Parametres!F5&lt;&gt;"",Synthese_Programme!M247="Acté"),$D247*Parametres!E5,""))</f>
        <v/>
      </c>
      <c r="L247" s="240"/>
      <c r="M247" s="239" t="str">
        <f>IF($C247="","",IF(AND(Parametres!F6&lt;&gt;"",Synthese_Programme!M247="Acté"),$D247*Parametres!E6,""))</f>
        <v/>
      </c>
      <c r="N247" s="240"/>
      <c r="O247" s="239" t="str">
        <f>IF($C247="","",IF(AND(Parametres!F7&lt;&gt;"",Synthese_Programme!M247="Acté"),$D247*Parametres!E7,""))</f>
        <v/>
      </c>
      <c r="P247" s="240"/>
      <c r="Q247" s="226" t="str">
        <f t="shared" si="9"/>
        <v/>
      </c>
      <c r="R247" s="226" t="str">
        <f t="shared" si="10"/>
        <v/>
      </c>
      <c r="S247" s="226" t="str">
        <f t="shared" si="11"/>
        <v/>
      </c>
    </row>
    <row r="248" spans="1:19" ht="24" customHeight="1" x14ac:dyDescent="0.45">
      <c r="A248" s="237" t="str">
        <f>IFERROR(IF(Base_de_donnée_clients!A248="","",Base_de_donnée_clients!A248),"")</f>
        <v/>
      </c>
      <c r="B248" s="226" t="str">
        <f>IFERROR(IF(Base_de_donnée_clients!B248="","",Base_de_donnée_clients!B248),"")</f>
        <v/>
      </c>
      <c r="C248" s="226" t="str">
        <f>IFERROR(IF(Base_de_donnée_clients!C248="","",Base_de_donnée_clients!C248),"")</f>
        <v/>
      </c>
      <c r="D248" s="238" t="str">
        <f>IFERROR(IF(OR(Synthese_Programme!M248="Réservé",Synthese_Programme!M248="Acté",Synthese_Programme!M248="réservé",Synthese_Programme!M248="acté"),Synthese_Programme!K248,""),"")</f>
        <v/>
      </c>
      <c r="E248" s="239" t="str">
        <f>IFERROR(IF(OR(Synthese_Programme!M248="Réservé",Synthese_Programme!M248="Acté",Synthese_Programme!M248="réservé",Synthese_Programme!M248="acté"),$D248*Parametres!E2,""),"")</f>
        <v/>
      </c>
      <c r="F248" s="240" t="str">
        <f>IFERROR(IF(Base_de_donnée_clients!J248="","",Base_de_donnée_clients!J248),"")</f>
        <v/>
      </c>
      <c r="G248" s="239" t="str">
        <f>IF($C248="","",IF(AND(Parametres!F3&lt;&gt;"",Synthese_Programme!M248="Acté"),$D248*Parametres!E3,""))</f>
        <v/>
      </c>
      <c r="H248" s="240"/>
      <c r="I248" s="239" t="str">
        <f>IF($C248="","",IF(AND(Parametres!F4&lt;&gt;"",Synthese_Programme!M248="Acté"),$D248*Parametres!E4,""))</f>
        <v/>
      </c>
      <c r="J248" s="240"/>
      <c r="K248" s="239" t="str">
        <f>IF($C248="","",IF(AND(Parametres!F5&lt;&gt;"",Synthese_Programme!M248="Acté"),$D248*Parametres!E5,""))</f>
        <v/>
      </c>
      <c r="L248" s="240"/>
      <c r="M248" s="239" t="str">
        <f>IF($C248="","",IF(AND(Parametres!F6&lt;&gt;"",Synthese_Programme!M248="Acté"),$D248*Parametres!E6,""))</f>
        <v/>
      </c>
      <c r="N248" s="240"/>
      <c r="O248" s="239" t="str">
        <f>IF($C248="","",IF(AND(Parametres!F7&lt;&gt;"",Synthese_Programme!M248="Acté"),$D248*Parametres!E7,""))</f>
        <v/>
      </c>
      <c r="P248" s="240"/>
      <c r="Q248" s="226" t="str">
        <f t="shared" si="9"/>
        <v/>
      </c>
      <c r="R248" s="226" t="str">
        <f t="shared" si="10"/>
        <v/>
      </c>
      <c r="S248" s="226" t="str">
        <f t="shared" si="11"/>
        <v/>
      </c>
    </row>
    <row r="249" spans="1:19" ht="24" customHeight="1" x14ac:dyDescent="0.45">
      <c r="A249" s="237" t="str">
        <f>IFERROR(IF(Base_de_donnée_clients!A249="","",Base_de_donnée_clients!A249),"")</f>
        <v/>
      </c>
      <c r="B249" s="226" t="str">
        <f>IFERROR(IF(Base_de_donnée_clients!B249="","",Base_de_donnée_clients!B249),"")</f>
        <v/>
      </c>
      <c r="C249" s="226" t="str">
        <f>IFERROR(IF(Base_de_donnée_clients!C249="","",Base_de_donnée_clients!C249),"")</f>
        <v/>
      </c>
      <c r="D249" s="238" t="str">
        <f>IFERROR(IF(OR(Synthese_Programme!M249="Réservé",Synthese_Programme!M249="Acté",Synthese_Programme!M249="réservé",Synthese_Programme!M249="acté"),Synthese_Programme!K249,""),"")</f>
        <v/>
      </c>
      <c r="E249" s="239" t="str">
        <f>IFERROR(IF(OR(Synthese_Programme!M249="Réservé",Synthese_Programme!M249="Acté",Synthese_Programme!M249="réservé",Synthese_Programme!M249="acté"),$D249*Parametres!E2,""),"")</f>
        <v/>
      </c>
      <c r="F249" s="240" t="str">
        <f>IFERROR(IF(Base_de_donnée_clients!J249="","",Base_de_donnée_clients!J249),"")</f>
        <v/>
      </c>
      <c r="G249" s="239" t="str">
        <f>IF($C249="","",IF(AND(Parametres!F3&lt;&gt;"",Synthese_Programme!M249="Acté"),$D249*Parametres!E3,""))</f>
        <v/>
      </c>
      <c r="H249" s="240"/>
      <c r="I249" s="239" t="str">
        <f>IF($C249="","",IF(AND(Parametres!F4&lt;&gt;"",Synthese_Programme!M249="Acté"),$D249*Parametres!E4,""))</f>
        <v/>
      </c>
      <c r="J249" s="240"/>
      <c r="K249" s="239" t="str">
        <f>IF($C249="","",IF(AND(Parametres!F5&lt;&gt;"",Synthese_Programme!M249="Acté"),$D249*Parametres!E5,""))</f>
        <v/>
      </c>
      <c r="L249" s="240"/>
      <c r="M249" s="239" t="str">
        <f>IF($C249="","",IF(AND(Parametres!F6&lt;&gt;"",Synthese_Programme!M249="Acté"),$D249*Parametres!E6,""))</f>
        <v/>
      </c>
      <c r="N249" s="240"/>
      <c r="O249" s="239" t="str">
        <f>IF($C249="","",IF(AND(Parametres!F7&lt;&gt;"",Synthese_Programme!M249="Acté"),$D249*Parametres!E7,""))</f>
        <v/>
      </c>
      <c r="P249" s="240"/>
      <c r="Q249" s="226" t="str">
        <f t="shared" si="9"/>
        <v/>
      </c>
      <c r="R249" s="226" t="str">
        <f t="shared" si="10"/>
        <v/>
      </c>
      <c r="S249" s="226" t="str">
        <f t="shared" si="11"/>
        <v/>
      </c>
    </row>
    <row r="250" spans="1:19" ht="24" customHeight="1" x14ac:dyDescent="0.45">
      <c r="A250" s="237" t="str">
        <f>IFERROR(IF(Base_de_donnée_clients!A250="","",Base_de_donnée_clients!A250),"")</f>
        <v/>
      </c>
      <c r="B250" s="226" t="str">
        <f>IFERROR(IF(Base_de_donnée_clients!B250="","",Base_de_donnée_clients!B250),"")</f>
        <v/>
      </c>
      <c r="C250" s="226" t="str">
        <f>IFERROR(IF(Base_de_donnée_clients!C250="","",Base_de_donnée_clients!C250),"")</f>
        <v/>
      </c>
      <c r="D250" s="238" t="str">
        <f>IFERROR(IF(OR(Synthese_Programme!M250="Réservé",Synthese_Programme!M250="Acté",Synthese_Programme!M250="réservé",Synthese_Programme!M250="acté"),Synthese_Programme!K250,""),"")</f>
        <v/>
      </c>
      <c r="E250" s="239" t="str">
        <f>IFERROR(IF(OR(Synthese_Programme!M250="Réservé",Synthese_Programme!M250="Acté",Synthese_Programme!M250="réservé",Synthese_Programme!M250="acté"),$D250*Parametres!E2,""),"")</f>
        <v/>
      </c>
      <c r="F250" s="240" t="str">
        <f>IFERROR(IF(Base_de_donnée_clients!J250="","",Base_de_donnée_clients!J250),"")</f>
        <v/>
      </c>
      <c r="G250" s="239" t="str">
        <f>IF($C250="","",IF(AND(Parametres!F3&lt;&gt;"",Synthese_Programme!M250="Acté"),$D250*Parametres!E3,""))</f>
        <v/>
      </c>
      <c r="H250" s="240"/>
      <c r="I250" s="239" t="str">
        <f>IF($C250="","",IF(AND(Parametres!F4&lt;&gt;"",Synthese_Programme!M250="Acté"),$D250*Parametres!E4,""))</f>
        <v/>
      </c>
      <c r="J250" s="240"/>
      <c r="K250" s="239" t="str">
        <f>IF($C250="","",IF(AND(Parametres!F5&lt;&gt;"",Synthese_Programme!M250="Acté"),$D250*Parametres!E5,""))</f>
        <v/>
      </c>
      <c r="L250" s="240"/>
      <c r="M250" s="239" t="str">
        <f>IF($C250="","",IF(AND(Parametres!F6&lt;&gt;"",Synthese_Programme!M250="Acté"),$D250*Parametres!E6,""))</f>
        <v/>
      </c>
      <c r="N250" s="240"/>
      <c r="O250" s="239" t="str">
        <f>IF($C250="","",IF(AND(Parametres!F7&lt;&gt;"",Synthese_Programme!M250="Acté"),$D250*Parametres!E7,""))</f>
        <v/>
      </c>
      <c r="P250" s="240"/>
      <c r="Q250" s="226" t="str">
        <f t="shared" si="9"/>
        <v/>
      </c>
      <c r="R250" s="226" t="str">
        <f t="shared" si="10"/>
        <v/>
      </c>
      <c r="S250" s="226" t="str">
        <f t="shared" si="11"/>
        <v/>
      </c>
    </row>
    <row r="251" spans="1:19" ht="24" customHeight="1" x14ac:dyDescent="0.45">
      <c r="A251" s="237" t="str">
        <f>IFERROR(IF(Base_de_donnée_clients!A251="","",Base_de_donnée_clients!A251),"")</f>
        <v/>
      </c>
      <c r="B251" s="226" t="str">
        <f>IFERROR(IF(Base_de_donnée_clients!B251="","",Base_de_donnée_clients!B251),"")</f>
        <v/>
      </c>
      <c r="C251" s="226" t="str">
        <f>IFERROR(IF(Base_de_donnée_clients!C251="","",Base_de_donnée_clients!C251),"")</f>
        <v/>
      </c>
      <c r="D251" s="238" t="str">
        <f>IFERROR(IF(OR(Synthese_Programme!M251="Réservé",Synthese_Programme!M251="Acté",Synthese_Programme!M251="réservé",Synthese_Programme!M251="acté"),Synthese_Programme!K251,""),"")</f>
        <v/>
      </c>
      <c r="E251" s="239" t="str">
        <f>IFERROR(IF(OR(Synthese_Programme!M251="Réservé",Synthese_Programme!M251="Acté",Synthese_Programme!M251="réservé",Synthese_Programme!M251="acté"),$D251*Parametres!E2,""),"")</f>
        <v/>
      </c>
      <c r="F251" s="240" t="str">
        <f>IFERROR(IF(Base_de_donnée_clients!J251="","",Base_de_donnée_clients!J251),"")</f>
        <v/>
      </c>
      <c r="G251" s="239" t="str">
        <f>IF($C251="","",IF(AND(Parametres!F3&lt;&gt;"",Synthese_Programme!M251="Acté"),$D251*Parametres!E3,""))</f>
        <v/>
      </c>
      <c r="H251" s="240"/>
      <c r="I251" s="239" t="str">
        <f>IF($C251="","",IF(AND(Parametres!F4&lt;&gt;"",Synthese_Programme!M251="Acté"),$D251*Parametres!E4,""))</f>
        <v/>
      </c>
      <c r="J251" s="240"/>
      <c r="K251" s="239" t="str">
        <f>IF($C251="","",IF(AND(Parametres!F5&lt;&gt;"",Synthese_Programme!M251="Acté"),$D251*Parametres!E5,""))</f>
        <v/>
      </c>
      <c r="L251" s="240"/>
      <c r="M251" s="239" t="str">
        <f>IF($C251="","",IF(AND(Parametres!F6&lt;&gt;"",Synthese_Programme!M251="Acté"),$D251*Parametres!E6,""))</f>
        <v/>
      </c>
      <c r="N251" s="240"/>
      <c r="O251" s="239" t="str">
        <f>IF($C251="","",IF(AND(Parametres!F7&lt;&gt;"",Synthese_Programme!M251="Acté"),$D251*Parametres!E7,""))</f>
        <v/>
      </c>
      <c r="P251" s="240"/>
      <c r="Q251" s="226" t="str">
        <f t="shared" si="9"/>
        <v/>
      </c>
      <c r="R251" s="226" t="str">
        <f t="shared" si="10"/>
        <v/>
      </c>
      <c r="S251" s="226" t="str">
        <f t="shared" si="11"/>
        <v/>
      </c>
    </row>
    <row r="252" spans="1:19" ht="24" customHeight="1" x14ac:dyDescent="0.45">
      <c r="A252" s="237" t="str">
        <f>IFERROR(IF(Base_de_donnée_clients!A252="","",Base_de_donnée_clients!A252),"")</f>
        <v/>
      </c>
      <c r="B252" s="226" t="str">
        <f>IFERROR(IF(Base_de_donnée_clients!B252="","",Base_de_donnée_clients!B252),"")</f>
        <v/>
      </c>
      <c r="C252" s="226" t="str">
        <f>IFERROR(IF(Base_de_donnée_clients!C252="","",Base_de_donnée_clients!C252),"")</f>
        <v/>
      </c>
      <c r="D252" s="238" t="str">
        <f>IFERROR(IF(OR(Synthese_Programme!M252="Réservé",Synthese_Programme!M252="Acté",Synthese_Programme!M252="réservé",Synthese_Programme!M252="acté"),Synthese_Programme!K252,""),"")</f>
        <v/>
      </c>
      <c r="E252" s="239" t="str">
        <f>IFERROR(IF(OR(Synthese_Programme!M252="Réservé",Synthese_Programme!M252="Acté",Synthese_Programme!M252="réservé",Synthese_Programme!M252="acté"),$D252*Parametres!E2,""),"")</f>
        <v/>
      </c>
      <c r="F252" s="240" t="str">
        <f>IFERROR(IF(Base_de_donnée_clients!J252="","",Base_de_donnée_clients!J252),"")</f>
        <v/>
      </c>
      <c r="G252" s="239" t="str">
        <f>IF($C252="","",IF(AND(Parametres!F3&lt;&gt;"",Synthese_Programme!M252="Acté"),$D252*Parametres!E3,""))</f>
        <v/>
      </c>
      <c r="H252" s="240"/>
      <c r="I252" s="239" t="str">
        <f>IF($C252="","",IF(AND(Parametres!F4&lt;&gt;"",Synthese_Programme!M252="Acté"),$D252*Parametres!E4,""))</f>
        <v/>
      </c>
      <c r="J252" s="240"/>
      <c r="K252" s="239" t="str">
        <f>IF($C252="","",IF(AND(Parametres!F5&lt;&gt;"",Synthese_Programme!M252="Acté"),$D252*Parametres!E5,""))</f>
        <v/>
      </c>
      <c r="L252" s="240"/>
      <c r="M252" s="239" t="str">
        <f>IF($C252="","",IF(AND(Parametres!F6&lt;&gt;"",Synthese_Programme!M252="Acté"),$D252*Parametres!E6,""))</f>
        <v/>
      </c>
      <c r="N252" s="240"/>
      <c r="O252" s="239" t="str">
        <f>IF($C252="","",IF(AND(Parametres!F7&lt;&gt;"",Synthese_Programme!M252="Acté"),$D252*Parametres!E7,""))</f>
        <v/>
      </c>
      <c r="P252" s="240"/>
      <c r="Q252" s="226" t="str">
        <f t="shared" si="9"/>
        <v/>
      </c>
      <c r="R252" s="226" t="str">
        <f t="shared" si="10"/>
        <v/>
      </c>
      <c r="S252" s="226" t="str">
        <f t="shared" si="11"/>
        <v/>
      </c>
    </row>
    <row r="253" spans="1:19" ht="24" customHeight="1" x14ac:dyDescent="0.45">
      <c r="A253" s="237" t="str">
        <f>IFERROR(IF(Base_de_donnée_clients!A253="","",Base_de_donnée_clients!A253),"")</f>
        <v/>
      </c>
      <c r="B253" s="226" t="str">
        <f>IFERROR(IF(Base_de_donnée_clients!B253="","",Base_de_donnée_clients!B253),"")</f>
        <v/>
      </c>
      <c r="C253" s="226" t="str">
        <f>IFERROR(IF(Base_de_donnée_clients!C253="","",Base_de_donnée_clients!C253),"")</f>
        <v/>
      </c>
      <c r="D253" s="238" t="str">
        <f>IFERROR(IF(OR(Synthese_Programme!M253="Réservé",Synthese_Programme!M253="Acté",Synthese_Programme!M253="réservé",Synthese_Programme!M253="acté"),Synthese_Programme!K253,""),"")</f>
        <v/>
      </c>
      <c r="E253" s="239" t="str">
        <f>IFERROR(IF(OR(Synthese_Programme!M253="Réservé",Synthese_Programme!M253="Acté",Synthese_Programme!M253="réservé",Synthese_Programme!M253="acté"),$D253*Parametres!E2,""),"")</f>
        <v/>
      </c>
      <c r="F253" s="240" t="str">
        <f>IFERROR(IF(Base_de_donnée_clients!J253="","",Base_de_donnée_clients!J253),"")</f>
        <v/>
      </c>
      <c r="G253" s="239" t="str">
        <f>IF($C253="","",IF(AND(Parametres!F3&lt;&gt;"",Synthese_Programme!M253="Acté"),$D253*Parametres!E3,""))</f>
        <v/>
      </c>
      <c r="H253" s="240"/>
      <c r="I253" s="239" t="str">
        <f>IF($C253="","",IF(AND(Parametres!F4&lt;&gt;"",Synthese_Programme!M253="Acté"),$D253*Parametres!E4,""))</f>
        <v/>
      </c>
      <c r="J253" s="240"/>
      <c r="K253" s="239" t="str">
        <f>IF($C253="","",IF(AND(Parametres!F5&lt;&gt;"",Synthese_Programme!M253="Acté"),$D253*Parametres!E5,""))</f>
        <v/>
      </c>
      <c r="L253" s="240"/>
      <c r="M253" s="239" t="str">
        <f>IF($C253="","",IF(AND(Parametres!F6&lt;&gt;"",Synthese_Programme!M253="Acté"),$D253*Parametres!E6,""))</f>
        <v/>
      </c>
      <c r="N253" s="240"/>
      <c r="O253" s="239" t="str">
        <f>IF($C253="","",IF(AND(Parametres!F7&lt;&gt;"",Synthese_Programme!M253="Acté"),$D253*Parametres!E7,""))</f>
        <v/>
      </c>
      <c r="P253" s="240"/>
      <c r="Q253" s="226" t="str">
        <f t="shared" si="9"/>
        <v/>
      </c>
      <c r="R253" s="226" t="str">
        <f t="shared" si="10"/>
        <v/>
      </c>
      <c r="S253" s="226" t="str">
        <f t="shared" si="11"/>
        <v/>
      </c>
    </row>
    <row r="254" spans="1:19" ht="24" customHeight="1" x14ac:dyDescent="0.45">
      <c r="A254" s="237" t="str">
        <f>IFERROR(IF(Base_de_donnée_clients!A254="","",Base_de_donnée_clients!A254),"")</f>
        <v/>
      </c>
      <c r="B254" s="226" t="str">
        <f>IFERROR(IF(Base_de_donnée_clients!B254="","",Base_de_donnée_clients!B254),"")</f>
        <v/>
      </c>
      <c r="C254" s="226" t="str">
        <f>IFERROR(IF(Base_de_donnée_clients!C254="","",Base_de_donnée_clients!C254),"")</f>
        <v/>
      </c>
      <c r="D254" s="238" t="str">
        <f>IFERROR(IF(OR(Synthese_Programme!M254="Réservé",Synthese_Programme!M254="Acté",Synthese_Programme!M254="réservé",Synthese_Programme!M254="acté"),Synthese_Programme!K254,""),"")</f>
        <v/>
      </c>
      <c r="E254" s="239" t="str">
        <f>IFERROR(IF(OR(Synthese_Programme!M254="Réservé",Synthese_Programme!M254="Acté",Synthese_Programme!M254="réservé",Synthese_Programme!M254="acté"),$D254*Parametres!E2,""),"")</f>
        <v/>
      </c>
      <c r="F254" s="240" t="str">
        <f>IFERROR(IF(Base_de_donnée_clients!J254="","",Base_de_donnée_clients!J254),"")</f>
        <v/>
      </c>
      <c r="G254" s="239" t="str">
        <f>IF($C254="","",IF(AND(Parametres!F3&lt;&gt;"",Synthese_Programme!M254="Acté"),$D254*Parametres!E3,""))</f>
        <v/>
      </c>
      <c r="H254" s="240"/>
      <c r="I254" s="239" t="str">
        <f>IF($C254="","",IF(AND(Parametres!F4&lt;&gt;"",Synthese_Programme!M254="Acté"),$D254*Parametres!E4,""))</f>
        <v/>
      </c>
      <c r="J254" s="240"/>
      <c r="K254" s="239" t="str">
        <f>IF($C254="","",IF(AND(Parametres!F5&lt;&gt;"",Synthese_Programme!M254="Acté"),$D254*Parametres!E5,""))</f>
        <v/>
      </c>
      <c r="L254" s="240"/>
      <c r="M254" s="239" t="str">
        <f>IF($C254="","",IF(AND(Parametres!F6&lt;&gt;"",Synthese_Programme!M254="Acté"),$D254*Parametres!E6,""))</f>
        <v/>
      </c>
      <c r="N254" s="240"/>
      <c r="O254" s="239" t="str">
        <f>IF($C254="","",IF(AND(Parametres!F7&lt;&gt;"",Synthese_Programme!M254="Acté"),$D254*Parametres!E7,""))</f>
        <v/>
      </c>
      <c r="P254" s="240"/>
      <c r="Q254" s="226" t="str">
        <f t="shared" si="9"/>
        <v/>
      </c>
      <c r="R254" s="226" t="str">
        <f t="shared" si="10"/>
        <v/>
      </c>
      <c r="S254" s="226" t="str">
        <f t="shared" si="11"/>
        <v/>
      </c>
    </row>
    <row r="255" spans="1:19" ht="24" customHeight="1" x14ac:dyDescent="0.45">
      <c r="A255" s="237" t="str">
        <f>IFERROR(IF(Base_de_donnée_clients!A255="","",Base_de_donnée_clients!A255),"")</f>
        <v/>
      </c>
      <c r="B255" s="226" t="str">
        <f>IFERROR(IF(Base_de_donnée_clients!B255="","",Base_de_donnée_clients!B255),"")</f>
        <v/>
      </c>
      <c r="C255" s="226" t="str">
        <f>IFERROR(IF(Base_de_donnée_clients!C255="","",Base_de_donnée_clients!C255),"")</f>
        <v/>
      </c>
      <c r="D255" s="238" t="str">
        <f>IFERROR(IF(OR(Synthese_Programme!M255="Réservé",Synthese_Programme!M255="Acté",Synthese_Programme!M255="réservé",Synthese_Programme!M255="acté"),Synthese_Programme!K255,""),"")</f>
        <v/>
      </c>
      <c r="E255" s="239" t="str">
        <f>IFERROR(IF(OR(Synthese_Programme!M255="Réservé",Synthese_Programme!M255="Acté",Synthese_Programme!M255="réservé",Synthese_Programme!M255="acté"),$D255*Parametres!E2,""),"")</f>
        <v/>
      </c>
      <c r="F255" s="240" t="str">
        <f>IFERROR(IF(Base_de_donnée_clients!J255="","",Base_de_donnée_clients!J255),"")</f>
        <v/>
      </c>
      <c r="G255" s="239" t="str">
        <f>IF($C255="","",IF(AND(Parametres!F3&lt;&gt;"",Synthese_Programme!M255="Acté"),$D255*Parametres!E3,""))</f>
        <v/>
      </c>
      <c r="H255" s="240"/>
      <c r="I255" s="239" t="str">
        <f>IF($C255="","",IF(AND(Parametres!F4&lt;&gt;"",Synthese_Programme!M255="Acté"),$D255*Parametres!E4,""))</f>
        <v/>
      </c>
      <c r="J255" s="240"/>
      <c r="K255" s="239" t="str">
        <f>IF($C255="","",IF(AND(Parametres!F5&lt;&gt;"",Synthese_Programme!M255="Acté"),$D255*Parametres!E5,""))</f>
        <v/>
      </c>
      <c r="L255" s="240"/>
      <c r="M255" s="239" t="str">
        <f>IF($C255="","",IF(AND(Parametres!F6&lt;&gt;"",Synthese_Programme!M255="Acté"),$D255*Parametres!E6,""))</f>
        <v/>
      </c>
      <c r="N255" s="240"/>
      <c r="O255" s="239" t="str">
        <f>IF($C255="","",IF(AND(Parametres!F7&lt;&gt;"",Synthese_Programme!M255="Acté"),$D255*Parametres!E7,""))</f>
        <v/>
      </c>
      <c r="P255" s="240"/>
      <c r="Q255" s="226" t="str">
        <f t="shared" si="9"/>
        <v/>
      </c>
      <c r="R255" s="226" t="str">
        <f t="shared" si="10"/>
        <v/>
      </c>
      <c r="S255" s="226" t="str">
        <f t="shared" si="11"/>
        <v/>
      </c>
    </row>
    <row r="256" spans="1:19" ht="24" customHeight="1" x14ac:dyDescent="0.45">
      <c r="A256" s="237" t="str">
        <f>IFERROR(IF(Base_de_donnée_clients!A256="","",Base_de_donnée_clients!A256),"")</f>
        <v/>
      </c>
      <c r="B256" s="226" t="str">
        <f>IFERROR(IF(Base_de_donnée_clients!B256="","",Base_de_donnée_clients!B256),"")</f>
        <v/>
      </c>
      <c r="C256" s="226" t="str">
        <f>IFERROR(IF(Base_de_donnée_clients!C256="","",Base_de_donnée_clients!C256),"")</f>
        <v/>
      </c>
      <c r="D256" s="238" t="str">
        <f>IFERROR(IF(OR(Synthese_Programme!M256="Réservé",Synthese_Programme!M256="Acté",Synthese_Programme!M256="réservé",Synthese_Programme!M256="acté"),Synthese_Programme!K256,""),"")</f>
        <v/>
      </c>
      <c r="E256" s="239" t="str">
        <f>IFERROR(IF(OR(Synthese_Programme!M256="Réservé",Synthese_Programme!M256="Acté",Synthese_Programme!M256="réservé",Synthese_Programme!M256="acté"),$D256*Parametres!E2,""),"")</f>
        <v/>
      </c>
      <c r="F256" s="240" t="str">
        <f>IFERROR(IF(Base_de_donnée_clients!J256="","",Base_de_donnée_clients!J256),"")</f>
        <v/>
      </c>
      <c r="G256" s="239" t="str">
        <f>IF($C256="","",IF(AND(Parametres!F3&lt;&gt;"",Synthese_Programme!M256="Acté"),$D256*Parametres!E3,""))</f>
        <v/>
      </c>
      <c r="H256" s="240"/>
      <c r="I256" s="239" t="str">
        <f>IF($C256="","",IF(AND(Parametres!F4&lt;&gt;"",Synthese_Programme!M256="Acté"),$D256*Parametres!E4,""))</f>
        <v/>
      </c>
      <c r="J256" s="240"/>
      <c r="K256" s="239" t="str">
        <f>IF($C256="","",IF(AND(Parametres!F5&lt;&gt;"",Synthese_Programme!M256="Acté"),$D256*Parametres!E5,""))</f>
        <v/>
      </c>
      <c r="L256" s="240"/>
      <c r="M256" s="239" t="str">
        <f>IF($C256="","",IF(AND(Parametres!F6&lt;&gt;"",Synthese_Programme!M256="Acté"),$D256*Parametres!E6,""))</f>
        <v/>
      </c>
      <c r="N256" s="240"/>
      <c r="O256" s="239" t="str">
        <f>IF($C256="","",IF(AND(Parametres!F7&lt;&gt;"",Synthese_Programme!M256="Acté"),$D256*Parametres!E7,""))</f>
        <v/>
      </c>
      <c r="P256" s="240"/>
      <c r="Q256" s="226" t="str">
        <f t="shared" si="9"/>
        <v/>
      </c>
      <c r="R256" s="226" t="str">
        <f t="shared" si="10"/>
        <v/>
      </c>
      <c r="S256" s="226" t="str">
        <f t="shared" si="11"/>
        <v/>
      </c>
    </row>
    <row r="257" spans="1:19" ht="24" customHeight="1" x14ac:dyDescent="0.45">
      <c r="A257" s="237" t="str">
        <f>IFERROR(IF(Base_de_donnée_clients!A257="","",Base_de_donnée_clients!A257),"")</f>
        <v/>
      </c>
      <c r="B257" s="226" t="str">
        <f>IFERROR(IF(Base_de_donnée_clients!B257="","",Base_de_donnée_clients!B257),"")</f>
        <v/>
      </c>
      <c r="C257" s="226" t="str">
        <f>IFERROR(IF(Base_de_donnée_clients!C257="","",Base_de_donnée_clients!C257),"")</f>
        <v/>
      </c>
      <c r="D257" s="238" t="str">
        <f>IFERROR(IF(OR(Synthese_Programme!M257="Réservé",Synthese_Programme!M257="Acté",Synthese_Programme!M257="réservé",Synthese_Programme!M257="acté"),Synthese_Programme!K257,""),"")</f>
        <v/>
      </c>
      <c r="E257" s="239" t="str">
        <f>IFERROR(IF(OR(Synthese_Programme!M257="Réservé",Synthese_Programme!M257="Acté",Synthese_Programme!M257="réservé",Synthese_Programme!M257="acté"),$D257*Parametres!E2,""),"")</f>
        <v/>
      </c>
      <c r="F257" s="240" t="str">
        <f>IFERROR(IF(Base_de_donnée_clients!J257="","",Base_de_donnée_clients!J257),"")</f>
        <v/>
      </c>
      <c r="G257" s="239" t="str">
        <f>IF($C257="","",IF(AND(Parametres!F3&lt;&gt;"",Synthese_Programme!M257="Acté"),$D257*Parametres!E3,""))</f>
        <v/>
      </c>
      <c r="H257" s="240"/>
      <c r="I257" s="239" t="str">
        <f>IF($C257="","",IF(AND(Parametres!F4&lt;&gt;"",Synthese_Programme!M257="Acté"),$D257*Parametres!E4,""))</f>
        <v/>
      </c>
      <c r="J257" s="240"/>
      <c r="K257" s="239" t="str">
        <f>IF($C257="","",IF(AND(Parametres!F5&lt;&gt;"",Synthese_Programme!M257="Acté"),$D257*Parametres!E5,""))</f>
        <v/>
      </c>
      <c r="L257" s="240"/>
      <c r="M257" s="239" t="str">
        <f>IF($C257="","",IF(AND(Parametres!F6&lt;&gt;"",Synthese_Programme!M257="Acté"),$D257*Parametres!E6,""))</f>
        <v/>
      </c>
      <c r="N257" s="240"/>
      <c r="O257" s="239" t="str">
        <f>IF($C257="","",IF(AND(Parametres!F7&lt;&gt;"",Synthese_Programme!M257="Acté"),$D257*Parametres!E7,""))</f>
        <v/>
      </c>
      <c r="P257" s="240"/>
      <c r="Q257" s="226" t="str">
        <f t="shared" si="9"/>
        <v/>
      </c>
      <c r="R257" s="226" t="str">
        <f t="shared" si="10"/>
        <v/>
      </c>
      <c r="S257" s="226" t="str">
        <f t="shared" si="11"/>
        <v/>
      </c>
    </row>
    <row r="258" spans="1:19" ht="24" customHeight="1" x14ac:dyDescent="0.45">
      <c r="A258" s="237" t="str">
        <f>IFERROR(IF(Base_de_donnée_clients!A258="","",Base_de_donnée_clients!A258),"")</f>
        <v/>
      </c>
      <c r="B258" s="226" t="str">
        <f>IFERROR(IF(Base_de_donnée_clients!B258="","",Base_de_donnée_clients!B258),"")</f>
        <v/>
      </c>
      <c r="C258" s="226" t="str">
        <f>IFERROR(IF(Base_de_donnée_clients!C258="","",Base_de_donnée_clients!C258),"")</f>
        <v/>
      </c>
      <c r="D258" s="238" t="str">
        <f>IFERROR(IF(OR(Synthese_Programme!M258="Réservé",Synthese_Programme!M258="Acté",Synthese_Programme!M258="réservé",Synthese_Programme!M258="acté"),Synthese_Programme!K258,""),"")</f>
        <v/>
      </c>
      <c r="E258" s="239" t="str">
        <f>IFERROR(IF(OR(Synthese_Programme!M258="Réservé",Synthese_Programme!M258="Acté",Synthese_Programme!M258="réservé",Synthese_Programme!M258="acté"),$D258*Parametres!E2,""),"")</f>
        <v/>
      </c>
      <c r="F258" s="240" t="str">
        <f>IFERROR(IF(Base_de_donnée_clients!J258="","",Base_de_donnée_clients!J258),"")</f>
        <v/>
      </c>
      <c r="G258" s="239" t="str">
        <f>IF($C258="","",IF(AND(Parametres!F3&lt;&gt;"",Synthese_Programme!M258="Acté"),$D258*Parametres!E3,""))</f>
        <v/>
      </c>
      <c r="H258" s="240"/>
      <c r="I258" s="239" t="str">
        <f>IF($C258="","",IF(AND(Parametres!F4&lt;&gt;"",Synthese_Programme!M258="Acté"),$D258*Parametres!E4,""))</f>
        <v/>
      </c>
      <c r="J258" s="240"/>
      <c r="K258" s="239" t="str">
        <f>IF($C258="","",IF(AND(Parametres!F5&lt;&gt;"",Synthese_Programme!M258="Acté"),$D258*Parametres!E5,""))</f>
        <v/>
      </c>
      <c r="L258" s="240"/>
      <c r="M258" s="239" t="str">
        <f>IF($C258="","",IF(AND(Parametres!F6&lt;&gt;"",Synthese_Programme!M258="Acté"),$D258*Parametres!E6,""))</f>
        <v/>
      </c>
      <c r="N258" s="240"/>
      <c r="O258" s="239" t="str">
        <f>IF($C258="","",IF(AND(Parametres!F7&lt;&gt;"",Synthese_Programme!M258="Acté"),$D258*Parametres!E7,""))</f>
        <v/>
      </c>
      <c r="P258" s="240"/>
      <c r="Q258" s="226" t="str">
        <f t="shared" si="9"/>
        <v/>
      </c>
      <c r="R258" s="226" t="str">
        <f t="shared" si="10"/>
        <v/>
      </c>
      <c r="S258" s="226" t="str">
        <f t="shared" si="11"/>
        <v/>
      </c>
    </row>
    <row r="259" spans="1:19" ht="24" customHeight="1" x14ac:dyDescent="0.45">
      <c r="A259" s="237" t="str">
        <f>IFERROR(IF(Base_de_donnée_clients!A259="","",Base_de_donnée_clients!A259),"")</f>
        <v/>
      </c>
      <c r="B259" s="226" t="str">
        <f>IFERROR(IF(Base_de_donnée_clients!B259="","",Base_de_donnée_clients!B259),"")</f>
        <v/>
      </c>
      <c r="C259" s="226" t="str">
        <f>IFERROR(IF(Base_de_donnée_clients!C259="","",Base_de_donnée_clients!C259),"")</f>
        <v/>
      </c>
      <c r="D259" s="238" t="str">
        <f>IFERROR(IF(OR(Synthese_Programme!M259="Réservé",Synthese_Programme!M259="Acté",Synthese_Programme!M259="réservé",Synthese_Programme!M259="acté"),Synthese_Programme!K259,""),"")</f>
        <v/>
      </c>
      <c r="E259" s="239" t="str">
        <f>IFERROR(IF(OR(Synthese_Programme!M259="Réservé",Synthese_Programme!M259="Acté",Synthese_Programme!M259="réservé",Synthese_Programme!M259="acté"),$D259*Parametres!E2,""),"")</f>
        <v/>
      </c>
      <c r="F259" s="240" t="str">
        <f>IFERROR(IF(Base_de_donnée_clients!J259="","",Base_de_donnée_clients!J259),"")</f>
        <v/>
      </c>
      <c r="G259" s="239" t="str">
        <f>IF($C259="","",IF(AND(Parametres!F3&lt;&gt;"",Synthese_Programme!M259="Acté"),$D259*Parametres!E3,""))</f>
        <v/>
      </c>
      <c r="H259" s="240"/>
      <c r="I259" s="239" t="str">
        <f>IF($C259="","",IF(AND(Parametres!F4&lt;&gt;"",Synthese_Programme!M259="Acté"),$D259*Parametres!E4,""))</f>
        <v/>
      </c>
      <c r="J259" s="240"/>
      <c r="K259" s="239" t="str">
        <f>IF($C259="","",IF(AND(Parametres!F5&lt;&gt;"",Synthese_Programme!M259="Acté"),$D259*Parametres!E5,""))</f>
        <v/>
      </c>
      <c r="L259" s="240"/>
      <c r="M259" s="239" t="str">
        <f>IF($C259="","",IF(AND(Parametres!F6&lt;&gt;"",Synthese_Programme!M259="Acté"),$D259*Parametres!E6,""))</f>
        <v/>
      </c>
      <c r="N259" s="240"/>
      <c r="O259" s="239" t="str">
        <f>IF($C259="","",IF(AND(Parametres!F7&lt;&gt;"",Synthese_Programme!M259="Acté"),$D259*Parametres!E7,""))</f>
        <v/>
      </c>
      <c r="P259" s="240"/>
      <c r="Q259" s="226" t="str">
        <f t="shared" si="9"/>
        <v/>
      </c>
      <c r="R259" s="226" t="str">
        <f t="shared" si="10"/>
        <v/>
      </c>
      <c r="S259" s="226" t="str">
        <f t="shared" si="11"/>
        <v/>
      </c>
    </row>
    <row r="260" spans="1:19" ht="24" customHeight="1" x14ac:dyDescent="0.45">
      <c r="A260" s="237" t="str">
        <f>IFERROR(IF(Base_de_donnée_clients!A260="","",Base_de_donnée_clients!A260),"")</f>
        <v/>
      </c>
      <c r="B260" s="226" t="str">
        <f>IFERROR(IF(Base_de_donnée_clients!B260="","",Base_de_donnée_clients!B260),"")</f>
        <v/>
      </c>
      <c r="C260" s="226" t="str">
        <f>IFERROR(IF(Base_de_donnée_clients!C260="","",Base_de_donnée_clients!C260),"")</f>
        <v/>
      </c>
      <c r="D260" s="238" t="str">
        <f>IFERROR(IF(OR(Synthese_Programme!M260="Réservé",Synthese_Programme!M260="Acté",Synthese_Programme!M260="réservé",Synthese_Programme!M260="acté"),Synthese_Programme!K260,""),"")</f>
        <v/>
      </c>
      <c r="E260" s="239" t="str">
        <f>IFERROR(IF(OR(Synthese_Programme!M260="Réservé",Synthese_Programme!M260="Acté",Synthese_Programme!M260="réservé",Synthese_Programme!M260="acté"),$D260*Parametres!E2,""),"")</f>
        <v/>
      </c>
      <c r="F260" s="240" t="str">
        <f>IFERROR(IF(Base_de_donnée_clients!J260="","",Base_de_donnée_clients!J260),"")</f>
        <v/>
      </c>
      <c r="G260" s="239" t="str">
        <f>IF($C260="","",IF(AND(Parametres!F3&lt;&gt;"",Synthese_Programme!M260="Acté"),$D260*Parametres!E3,""))</f>
        <v/>
      </c>
      <c r="H260" s="240"/>
      <c r="I260" s="239" t="str">
        <f>IF($C260="","",IF(AND(Parametres!F4&lt;&gt;"",Synthese_Programme!M260="Acté"),$D260*Parametres!E4,""))</f>
        <v/>
      </c>
      <c r="J260" s="240"/>
      <c r="K260" s="239" t="str">
        <f>IF($C260="","",IF(AND(Parametres!F5&lt;&gt;"",Synthese_Programme!M260="Acté"),$D260*Parametres!E5,""))</f>
        <v/>
      </c>
      <c r="L260" s="240"/>
      <c r="M260" s="239" t="str">
        <f>IF($C260="","",IF(AND(Parametres!F6&lt;&gt;"",Synthese_Programme!M260="Acté"),$D260*Parametres!E6,""))</f>
        <v/>
      </c>
      <c r="N260" s="240"/>
      <c r="O260" s="239" t="str">
        <f>IF($C260="","",IF(AND(Parametres!F7&lt;&gt;"",Synthese_Programme!M260="Acté"),$D260*Parametres!E7,""))</f>
        <v/>
      </c>
      <c r="P260" s="240"/>
      <c r="Q260" s="226" t="str">
        <f t="shared" si="9"/>
        <v/>
      </c>
      <c r="R260" s="226" t="str">
        <f t="shared" si="10"/>
        <v/>
      </c>
      <c r="S260" s="226" t="str">
        <f t="shared" si="11"/>
        <v/>
      </c>
    </row>
    <row r="261" spans="1:19" ht="24" customHeight="1" x14ac:dyDescent="0.45">
      <c r="A261" s="237" t="str">
        <f>IFERROR(IF(Base_de_donnée_clients!A261="","",Base_de_donnée_clients!A261),"")</f>
        <v/>
      </c>
      <c r="B261" s="226" t="str">
        <f>IFERROR(IF(Base_de_donnée_clients!B261="","",Base_de_donnée_clients!B261),"")</f>
        <v/>
      </c>
      <c r="C261" s="226" t="str">
        <f>IFERROR(IF(Base_de_donnée_clients!C261="","",Base_de_donnée_clients!C261),"")</f>
        <v/>
      </c>
      <c r="D261" s="238" t="str">
        <f>IFERROR(IF(OR(Synthese_Programme!M261="Réservé",Synthese_Programme!M261="Acté",Synthese_Programme!M261="réservé",Synthese_Programme!M261="acté"),Synthese_Programme!K261,""),"")</f>
        <v/>
      </c>
      <c r="E261" s="239" t="str">
        <f>IFERROR(IF(OR(Synthese_Programme!M261="Réservé",Synthese_Programme!M261="Acté",Synthese_Programme!M261="réservé",Synthese_Programme!M261="acté"),$D261*Parametres!E2,""),"")</f>
        <v/>
      </c>
      <c r="F261" s="240" t="str">
        <f>IFERROR(IF(Base_de_donnée_clients!J261="","",Base_de_donnée_clients!J261),"")</f>
        <v/>
      </c>
      <c r="G261" s="239" t="str">
        <f>IF($C261="","",IF(AND(Parametres!F3&lt;&gt;"",Synthese_Programme!M261="Acté"),$D261*Parametres!E3,""))</f>
        <v/>
      </c>
      <c r="H261" s="240"/>
      <c r="I261" s="239" t="str">
        <f>IF($C261="","",IF(AND(Parametres!F4&lt;&gt;"",Synthese_Programme!M261="Acté"),$D261*Parametres!E4,""))</f>
        <v/>
      </c>
      <c r="J261" s="240"/>
      <c r="K261" s="239" t="str">
        <f>IF($C261="","",IF(AND(Parametres!F5&lt;&gt;"",Synthese_Programme!M261="Acté"),$D261*Parametres!E5,""))</f>
        <v/>
      </c>
      <c r="L261" s="240"/>
      <c r="M261" s="239" t="str">
        <f>IF($C261="","",IF(AND(Parametres!F6&lt;&gt;"",Synthese_Programme!M261="Acté"),$D261*Parametres!E6,""))</f>
        <v/>
      </c>
      <c r="N261" s="240"/>
      <c r="O261" s="239" t="str">
        <f>IF($C261="","",IF(AND(Parametres!F7&lt;&gt;"",Synthese_Programme!M261="Acté"),$D261*Parametres!E7,""))</f>
        <v/>
      </c>
      <c r="P261" s="240"/>
      <c r="Q261" s="226" t="str">
        <f t="shared" ref="Q261:Q293" si="12">IFERROR(D261-(IF(F261="",0,E261)+IF(H261="",0,G261)+IF(J261="",0,I261)+IF(L261="",0,K261)+IF(N261="",0,M261)+IF(P261="",0,O261)),"")</f>
        <v/>
      </c>
      <c r="R261" s="226" t="str">
        <f t="shared" ref="R261:R293" si="13">IF(C261="","",IFERROR(IF(F261="",0,E261)+IF(H261="",0,G261)+IF(J261="",0,I261)+IF(L261="",0,K261)+IF(N261="",0,M261)+IF(P261="",0,O261),""))</f>
        <v/>
      </c>
      <c r="S261" s="226" t="str">
        <f t="shared" ref="S261:S293" si="14">Q261</f>
        <v/>
      </c>
    </row>
    <row r="262" spans="1:19" ht="24" customHeight="1" x14ac:dyDescent="0.45">
      <c r="A262" s="237" t="str">
        <f>IFERROR(IF(Base_de_donnée_clients!A262="","",Base_de_donnée_clients!A262),"")</f>
        <v/>
      </c>
      <c r="B262" s="226" t="str">
        <f>IFERROR(IF(Base_de_donnée_clients!B262="","",Base_de_donnée_clients!B262),"")</f>
        <v/>
      </c>
      <c r="C262" s="226" t="str">
        <f>IFERROR(IF(Base_de_donnée_clients!C262="","",Base_de_donnée_clients!C262),"")</f>
        <v/>
      </c>
      <c r="D262" s="238" t="str">
        <f>IFERROR(IF(OR(Synthese_Programme!M262="Réservé",Synthese_Programme!M262="Acté",Synthese_Programme!M262="réservé",Synthese_Programme!M262="acté"),Synthese_Programme!K262,""),"")</f>
        <v/>
      </c>
      <c r="E262" s="239" t="str">
        <f>IFERROR(IF(OR(Synthese_Programme!M262="Réservé",Synthese_Programme!M262="Acté",Synthese_Programme!M262="réservé",Synthese_Programme!M262="acté"),$D262*Parametres!E2,""),"")</f>
        <v/>
      </c>
      <c r="F262" s="240" t="str">
        <f>IFERROR(IF(Base_de_donnée_clients!J262="","",Base_de_donnée_clients!J262),"")</f>
        <v/>
      </c>
      <c r="G262" s="239" t="str">
        <f>IF($C262="","",IF(AND(Parametres!F3&lt;&gt;"",Synthese_Programme!M262="Acté"),$D262*Parametres!E3,""))</f>
        <v/>
      </c>
      <c r="H262" s="240"/>
      <c r="I262" s="239" t="str">
        <f>IF($C262="","",IF(AND(Parametres!F4&lt;&gt;"",Synthese_Programme!M262="Acté"),$D262*Parametres!E4,""))</f>
        <v/>
      </c>
      <c r="J262" s="240"/>
      <c r="K262" s="239" t="str">
        <f>IF($C262="","",IF(AND(Parametres!F5&lt;&gt;"",Synthese_Programme!M262="Acté"),$D262*Parametres!E5,""))</f>
        <v/>
      </c>
      <c r="L262" s="240"/>
      <c r="M262" s="239" t="str">
        <f>IF($C262="","",IF(AND(Parametres!F6&lt;&gt;"",Synthese_Programme!M262="Acté"),$D262*Parametres!E6,""))</f>
        <v/>
      </c>
      <c r="N262" s="240"/>
      <c r="O262" s="239" t="str">
        <f>IF($C262="","",IF(AND(Parametres!F7&lt;&gt;"",Synthese_Programme!M262="Acté"),$D262*Parametres!E7,""))</f>
        <v/>
      </c>
      <c r="P262" s="240"/>
      <c r="Q262" s="226" t="str">
        <f t="shared" si="12"/>
        <v/>
      </c>
      <c r="R262" s="226" t="str">
        <f t="shared" si="13"/>
        <v/>
      </c>
      <c r="S262" s="226" t="str">
        <f t="shared" si="14"/>
        <v/>
      </c>
    </row>
    <row r="263" spans="1:19" ht="24" customHeight="1" x14ac:dyDescent="0.45">
      <c r="A263" s="237" t="str">
        <f>IFERROR(IF(Base_de_donnée_clients!A263="","",Base_de_donnée_clients!A263),"")</f>
        <v/>
      </c>
      <c r="B263" s="226" t="str">
        <f>IFERROR(IF(Base_de_donnée_clients!B263="","",Base_de_donnée_clients!B263),"")</f>
        <v/>
      </c>
      <c r="C263" s="226" t="str">
        <f>IFERROR(IF(Base_de_donnée_clients!C263="","",Base_de_donnée_clients!C263),"")</f>
        <v/>
      </c>
      <c r="D263" s="238" t="str">
        <f>IFERROR(IF(OR(Synthese_Programme!M263="Réservé",Synthese_Programme!M263="Acté",Synthese_Programme!M263="réservé",Synthese_Programme!M263="acté"),Synthese_Programme!K263,""),"")</f>
        <v/>
      </c>
      <c r="E263" s="239" t="str">
        <f>IFERROR(IF(OR(Synthese_Programme!M263="Réservé",Synthese_Programme!M263="Acté",Synthese_Programme!M263="réservé",Synthese_Programme!M263="acté"),$D263*Parametres!E2,""),"")</f>
        <v/>
      </c>
      <c r="F263" s="240" t="str">
        <f>IFERROR(IF(Base_de_donnée_clients!J263="","",Base_de_donnée_clients!J263),"")</f>
        <v/>
      </c>
      <c r="G263" s="239" t="str">
        <f>IF($C263="","",IF(AND(Parametres!F3&lt;&gt;"",Synthese_Programme!M263="Acté"),$D263*Parametres!E3,""))</f>
        <v/>
      </c>
      <c r="H263" s="240"/>
      <c r="I263" s="239" t="str">
        <f>IF($C263="","",IF(AND(Parametres!F4&lt;&gt;"",Synthese_Programme!M263="Acté"),$D263*Parametres!E4,""))</f>
        <v/>
      </c>
      <c r="J263" s="240"/>
      <c r="K263" s="239" t="str">
        <f>IF($C263="","",IF(AND(Parametres!F5&lt;&gt;"",Synthese_Programme!M263="Acté"),$D263*Parametres!E5,""))</f>
        <v/>
      </c>
      <c r="L263" s="240"/>
      <c r="M263" s="239" t="str">
        <f>IF($C263="","",IF(AND(Parametres!F6&lt;&gt;"",Synthese_Programme!M263="Acté"),$D263*Parametres!E6,""))</f>
        <v/>
      </c>
      <c r="N263" s="240"/>
      <c r="O263" s="239" t="str">
        <f>IF($C263="","",IF(AND(Parametres!F7&lt;&gt;"",Synthese_Programme!M263="Acté"),$D263*Parametres!E7,""))</f>
        <v/>
      </c>
      <c r="P263" s="240"/>
      <c r="Q263" s="226" t="str">
        <f t="shared" si="12"/>
        <v/>
      </c>
      <c r="R263" s="226" t="str">
        <f t="shared" si="13"/>
        <v/>
      </c>
      <c r="S263" s="226" t="str">
        <f t="shared" si="14"/>
        <v/>
      </c>
    </row>
    <row r="264" spans="1:19" ht="24" customHeight="1" x14ac:dyDescent="0.45">
      <c r="A264" s="237" t="str">
        <f>IFERROR(IF(Base_de_donnée_clients!A264="","",Base_de_donnée_clients!A264),"")</f>
        <v/>
      </c>
      <c r="B264" s="226" t="str">
        <f>IFERROR(IF(Base_de_donnée_clients!B264="","",Base_de_donnée_clients!B264),"")</f>
        <v/>
      </c>
      <c r="C264" s="226" t="str">
        <f>IFERROR(IF(Base_de_donnée_clients!C264="","",Base_de_donnée_clients!C264),"")</f>
        <v/>
      </c>
      <c r="D264" s="238" t="str">
        <f>IFERROR(IF(OR(Synthese_Programme!M264="Réservé",Synthese_Programme!M264="Acté",Synthese_Programme!M264="réservé",Synthese_Programme!M264="acté"),Synthese_Programme!K264,""),"")</f>
        <v/>
      </c>
      <c r="E264" s="239" t="str">
        <f>IFERROR(IF(OR(Synthese_Programme!M264="Réservé",Synthese_Programme!M264="Acté",Synthese_Programme!M264="réservé",Synthese_Programme!M264="acté"),$D264*Parametres!E2,""),"")</f>
        <v/>
      </c>
      <c r="F264" s="240" t="str">
        <f>IFERROR(IF(Base_de_donnée_clients!J264="","",Base_de_donnée_clients!J264),"")</f>
        <v/>
      </c>
      <c r="G264" s="239" t="str">
        <f>IF($C264="","",IF(AND(Parametres!F3&lt;&gt;"",Synthese_Programme!M264="Acté"),$D264*Parametres!E3,""))</f>
        <v/>
      </c>
      <c r="H264" s="240"/>
      <c r="I264" s="239" t="str">
        <f>IF($C264="","",IF(AND(Parametres!F4&lt;&gt;"",Synthese_Programme!M264="Acté"),$D264*Parametres!E4,""))</f>
        <v/>
      </c>
      <c r="J264" s="240"/>
      <c r="K264" s="239" t="str">
        <f>IF($C264="","",IF(AND(Parametres!F5&lt;&gt;"",Synthese_Programme!M264="Acté"),$D264*Parametres!E5,""))</f>
        <v/>
      </c>
      <c r="L264" s="240"/>
      <c r="M264" s="239" t="str">
        <f>IF($C264="","",IF(AND(Parametres!F6&lt;&gt;"",Synthese_Programme!M264="Acté"),$D264*Parametres!E6,""))</f>
        <v/>
      </c>
      <c r="N264" s="240"/>
      <c r="O264" s="239" t="str">
        <f>IF($C264="","",IF(AND(Parametres!F7&lt;&gt;"",Synthese_Programme!M264="Acté"),$D264*Parametres!E7,""))</f>
        <v/>
      </c>
      <c r="P264" s="240"/>
      <c r="Q264" s="226" t="str">
        <f t="shared" si="12"/>
        <v/>
      </c>
      <c r="R264" s="226" t="str">
        <f t="shared" si="13"/>
        <v/>
      </c>
      <c r="S264" s="226" t="str">
        <f t="shared" si="14"/>
        <v/>
      </c>
    </row>
    <row r="265" spans="1:19" ht="24" customHeight="1" x14ac:dyDescent="0.45">
      <c r="A265" s="237" t="str">
        <f>IFERROR(IF(Base_de_donnée_clients!A265="","",Base_de_donnée_clients!A265),"")</f>
        <v/>
      </c>
      <c r="B265" s="226" t="str">
        <f>IFERROR(IF(Base_de_donnée_clients!B265="","",Base_de_donnée_clients!B265),"")</f>
        <v/>
      </c>
      <c r="C265" s="226" t="str">
        <f>IFERROR(IF(Base_de_donnée_clients!C265="","",Base_de_donnée_clients!C265),"")</f>
        <v/>
      </c>
      <c r="D265" s="238" t="str">
        <f>IFERROR(IF(OR(Synthese_Programme!M265="Réservé",Synthese_Programme!M265="Acté",Synthese_Programme!M265="réservé",Synthese_Programme!M265="acté"),Synthese_Programme!K265,""),"")</f>
        <v/>
      </c>
      <c r="E265" s="239" t="str">
        <f>IFERROR(IF(OR(Synthese_Programme!M265="Réservé",Synthese_Programme!M265="Acté",Synthese_Programme!M265="réservé",Synthese_Programme!M265="acté"),$D265*Parametres!E2,""),"")</f>
        <v/>
      </c>
      <c r="F265" s="240" t="str">
        <f>IFERROR(IF(Base_de_donnée_clients!J265="","",Base_de_donnée_clients!J265),"")</f>
        <v/>
      </c>
      <c r="G265" s="239" t="str">
        <f>IF($C265="","",IF(AND(Parametres!F3&lt;&gt;"",Synthese_Programme!M265="Acté"),$D265*Parametres!E3,""))</f>
        <v/>
      </c>
      <c r="H265" s="240"/>
      <c r="I265" s="239" t="str">
        <f>IF($C265="","",IF(AND(Parametres!F4&lt;&gt;"",Synthese_Programme!M265="Acté"),$D265*Parametres!E4,""))</f>
        <v/>
      </c>
      <c r="J265" s="240"/>
      <c r="K265" s="239" t="str">
        <f>IF($C265="","",IF(AND(Parametres!F5&lt;&gt;"",Synthese_Programme!M265="Acté"),$D265*Parametres!E5,""))</f>
        <v/>
      </c>
      <c r="L265" s="240"/>
      <c r="M265" s="239" t="str">
        <f>IF($C265="","",IF(AND(Parametres!F6&lt;&gt;"",Synthese_Programme!M265="Acté"),$D265*Parametres!E6,""))</f>
        <v/>
      </c>
      <c r="N265" s="240"/>
      <c r="O265" s="239" t="str">
        <f>IF($C265="","",IF(AND(Parametres!F7&lt;&gt;"",Synthese_Programme!M265="Acté"),$D265*Parametres!E7,""))</f>
        <v/>
      </c>
      <c r="P265" s="240"/>
      <c r="Q265" s="226" t="str">
        <f t="shared" si="12"/>
        <v/>
      </c>
      <c r="R265" s="226" t="str">
        <f t="shared" si="13"/>
        <v/>
      </c>
      <c r="S265" s="226" t="str">
        <f t="shared" si="14"/>
        <v/>
      </c>
    </row>
    <row r="266" spans="1:19" ht="24" customHeight="1" x14ac:dyDescent="0.45">
      <c r="A266" s="237" t="str">
        <f>IFERROR(IF(Base_de_donnée_clients!A266="","",Base_de_donnée_clients!A266),"")</f>
        <v/>
      </c>
      <c r="B266" s="226" t="str">
        <f>IFERROR(IF(Base_de_donnée_clients!B266="","",Base_de_donnée_clients!B266),"")</f>
        <v/>
      </c>
      <c r="C266" s="226" t="str">
        <f>IFERROR(IF(Base_de_donnée_clients!C266="","",Base_de_donnée_clients!C266),"")</f>
        <v/>
      </c>
      <c r="D266" s="238" t="str">
        <f>IFERROR(IF(OR(Synthese_Programme!M266="Réservé",Synthese_Programme!M266="Acté",Synthese_Programme!M266="réservé",Synthese_Programme!M266="acté"),Synthese_Programme!K266,""),"")</f>
        <v/>
      </c>
      <c r="E266" s="239" t="str">
        <f>IFERROR(IF(OR(Synthese_Programme!M266="Réservé",Synthese_Programme!M266="Acté",Synthese_Programme!M266="réservé",Synthese_Programme!M266="acté"),$D266*Parametres!E2,""),"")</f>
        <v/>
      </c>
      <c r="F266" s="240" t="str">
        <f>IFERROR(IF(Base_de_donnée_clients!J266="","",Base_de_donnée_clients!J266),"")</f>
        <v/>
      </c>
      <c r="G266" s="239" t="str">
        <f>IF($C266="","",IF(AND(Parametres!F3&lt;&gt;"",Synthese_Programme!M266="Acté"),$D266*Parametres!E3,""))</f>
        <v/>
      </c>
      <c r="H266" s="240"/>
      <c r="I266" s="239" t="str">
        <f>IF($C266="","",IF(AND(Parametres!F4&lt;&gt;"",Synthese_Programme!M266="Acté"),$D266*Parametres!E4,""))</f>
        <v/>
      </c>
      <c r="J266" s="240"/>
      <c r="K266" s="239" t="str">
        <f>IF($C266="","",IF(AND(Parametres!F5&lt;&gt;"",Synthese_Programme!M266="Acté"),$D266*Parametres!E5,""))</f>
        <v/>
      </c>
      <c r="L266" s="240"/>
      <c r="M266" s="239" t="str">
        <f>IF($C266="","",IF(AND(Parametres!F6&lt;&gt;"",Synthese_Programme!M266="Acté"),$D266*Parametres!E6,""))</f>
        <v/>
      </c>
      <c r="N266" s="240"/>
      <c r="O266" s="239" t="str">
        <f>IF($C266="","",IF(AND(Parametres!F7&lt;&gt;"",Synthese_Programme!M266="Acté"),$D266*Parametres!E7,""))</f>
        <v/>
      </c>
      <c r="P266" s="240"/>
      <c r="Q266" s="226" t="str">
        <f t="shared" si="12"/>
        <v/>
      </c>
      <c r="R266" s="226" t="str">
        <f t="shared" si="13"/>
        <v/>
      </c>
      <c r="S266" s="226" t="str">
        <f t="shared" si="14"/>
        <v/>
      </c>
    </row>
    <row r="267" spans="1:19" ht="24" customHeight="1" x14ac:dyDescent="0.45">
      <c r="A267" s="237" t="str">
        <f>IFERROR(IF(Base_de_donnée_clients!A267="","",Base_de_donnée_clients!A267),"")</f>
        <v/>
      </c>
      <c r="B267" s="226" t="str">
        <f>IFERROR(IF(Base_de_donnée_clients!B267="","",Base_de_donnée_clients!B267),"")</f>
        <v/>
      </c>
      <c r="C267" s="226" t="str">
        <f>IFERROR(IF(Base_de_donnée_clients!C267="","",Base_de_donnée_clients!C267),"")</f>
        <v/>
      </c>
      <c r="D267" s="238" t="str">
        <f>IFERROR(IF(OR(Synthese_Programme!M267="Réservé",Synthese_Programme!M267="Acté",Synthese_Programme!M267="réservé",Synthese_Programme!M267="acté"),Synthese_Programme!K267,""),"")</f>
        <v/>
      </c>
      <c r="E267" s="239" t="str">
        <f>IFERROR(IF(OR(Synthese_Programme!M267="Réservé",Synthese_Programme!M267="Acté",Synthese_Programme!M267="réservé",Synthese_Programme!M267="acté"),$D267*Parametres!E2,""),"")</f>
        <v/>
      </c>
      <c r="F267" s="240" t="str">
        <f>IFERROR(IF(Base_de_donnée_clients!J267="","",Base_de_donnée_clients!J267),"")</f>
        <v/>
      </c>
      <c r="G267" s="239" t="str">
        <f>IF($C267="","",IF(AND(Parametres!F3&lt;&gt;"",Synthese_Programme!M267="Acté"),$D267*Parametres!E3,""))</f>
        <v/>
      </c>
      <c r="H267" s="240"/>
      <c r="I267" s="239" t="str">
        <f>IF($C267="","",IF(AND(Parametres!F4&lt;&gt;"",Synthese_Programme!M267="Acté"),$D267*Parametres!E4,""))</f>
        <v/>
      </c>
      <c r="J267" s="240"/>
      <c r="K267" s="239" t="str">
        <f>IF($C267="","",IF(AND(Parametres!F5&lt;&gt;"",Synthese_Programme!M267="Acté"),$D267*Parametres!E5,""))</f>
        <v/>
      </c>
      <c r="L267" s="240"/>
      <c r="M267" s="239" t="str">
        <f>IF($C267="","",IF(AND(Parametres!F6&lt;&gt;"",Synthese_Programme!M267="Acté"),$D267*Parametres!E6,""))</f>
        <v/>
      </c>
      <c r="N267" s="240"/>
      <c r="O267" s="239" t="str">
        <f>IF($C267="","",IF(AND(Parametres!F7&lt;&gt;"",Synthese_Programme!M267="Acté"),$D267*Parametres!E7,""))</f>
        <v/>
      </c>
      <c r="P267" s="240"/>
      <c r="Q267" s="226" t="str">
        <f t="shared" si="12"/>
        <v/>
      </c>
      <c r="R267" s="226" t="str">
        <f t="shared" si="13"/>
        <v/>
      </c>
      <c r="S267" s="226" t="str">
        <f t="shared" si="14"/>
        <v/>
      </c>
    </row>
    <row r="268" spans="1:19" ht="24" customHeight="1" x14ac:dyDescent="0.45">
      <c r="A268" s="237" t="str">
        <f>IFERROR(IF(Base_de_donnée_clients!A268="","",Base_de_donnée_clients!A268),"")</f>
        <v/>
      </c>
      <c r="B268" s="226" t="str">
        <f>IFERROR(IF(Base_de_donnée_clients!B268="","",Base_de_donnée_clients!B268),"")</f>
        <v/>
      </c>
      <c r="C268" s="226" t="str">
        <f>IFERROR(IF(Base_de_donnée_clients!C268="","",Base_de_donnée_clients!C268),"")</f>
        <v/>
      </c>
      <c r="D268" s="238" t="str">
        <f>IFERROR(IF(OR(Synthese_Programme!M268="Réservé",Synthese_Programme!M268="Acté",Synthese_Programme!M268="réservé",Synthese_Programme!M268="acté"),Synthese_Programme!K268,""),"")</f>
        <v/>
      </c>
      <c r="E268" s="239" t="str">
        <f>IFERROR(IF(OR(Synthese_Programme!M268="Réservé",Synthese_Programme!M268="Acté",Synthese_Programme!M268="réservé",Synthese_Programme!M268="acté"),$D268*Parametres!E2,""),"")</f>
        <v/>
      </c>
      <c r="F268" s="240" t="str">
        <f>IFERROR(IF(Base_de_donnée_clients!J268="","",Base_de_donnée_clients!J268),"")</f>
        <v/>
      </c>
      <c r="G268" s="239" t="str">
        <f>IF($C268="","",IF(AND(Parametres!F3&lt;&gt;"",Synthese_Programme!M268="Acté"),$D268*Parametres!E3,""))</f>
        <v/>
      </c>
      <c r="H268" s="240"/>
      <c r="I268" s="239" t="str">
        <f>IF($C268="","",IF(AND(Parametres!F4&lt;&gt;"",Synthese_Programme!M268="Acté"),$D268*Parametres!E4,""))</f>
        <v/>
      </c>
      <c r="J268" s="240"/>
      <c r="K268" s="239" t="str">
        <f>IF($C268="","",IF(AND(Parametres!F5&lt;&gt;"",Synthese_Programme!M268="Acté"),$D268*Parametres!E5,""))</f>
        <v/>
      </c>
      <c r="L268" s="240"/>
      <c r="M268" s="239" t="str">
        <f>IF($C268="","",IF(AND(Parametres!F6&lt;&gt;"",Synthese_Programme!M268="Acté"),$D268*Parametres!E6,""))</f>
        <v/>
      </c>
      <c r="N268" s="240"/>
      <c r="O268" s="239" t="str">
        <f>IF($C268="","",IF(AND(Parametres!F7&lt;&gt;"",Synthese_Programme!M268="Acté"),$D268*Parametres!E7,""))</f>
        <v/>
      </c>
      <c r="P268" s="240"/>
      <c r="Q268" s="226" t="str">
        <f t="shared" si="12"/>
        <v/>
      </c>
      <c r="R268" s="226" t="str">
        <f t="shared" si="13"/>
        <v/>
      </c>
      <c r="S268" s="226" t="str">
        <f t="shared" si="14"/>
        <v/>
      </c>
    </row>
    <row r="269" spans="1:19" ht="24" customHeight="1" x14ac:dyDescent="0.45">
      <c r="A269" s="237" t="str">
        <f>IFERROR(IF(Base_de_donnée_clients!A269="","",Base_de_donnée_clients!A269),"")</f>
        <v/>
      </c>
      <c r="B269" s="226" t="str">
        <f>IFERROR(IF(Base_de_donnée_clients!B269="","",Base_de_donnée_clients!B269),"")</f>
        <v/>
      </c>
      <c r="C269" s="226" t="str">
        <f>IFERROR(IF(Base_de_donnée_clients!C269="","",Base_de_donnée_clients!C269),"")</f>
        <v/>
      </c>
      <c r="D269" s="238" t="str">
        <f>IFERROR(IF(OR(Synthese_Programme!M269="Réservé",Synthese_Programme!M269="Acté",Synthese_Programme!M269="réservé",Synthese_Programme!M269="acté"),Synthese_Programme!K269,""),"")</f>
        <v/>
      </c>
      <c r="E269" s="239" t="str">
        <f>IFERROR(IF(OR(Synthese_Programme!M269="Réservé",Synthese_Programme!M269="Acté",Synthese_Programme!M269="réservé",Synthese_Programme!M269="acté"),$D269*Parametres!E2,""),"")</f>
        <v/>
      </c>
      <c r="F269" s="240" t="str">
        <f>IFERROR(IF(Base_de_donnée_clients!J269="","",Base_de_donnée_clients!J269),"")</f>
        <v/>
      </c>
      <c r="G269" s="239" t="str">
        <f>IF($C269="","",IF(AND(Parametres!F3&lt;&gt;"",Synthese_Programme!M269="Acté"),$D269*Parametres!E3,""))</f>
        <v/>
      </c>
      <c r="H269" s="240"/>
      <c r="I269" s="239" t="str">
        <f>IF($C269="","",IF(AND(Parametres!F4&lt;&gt;"",Synthese_Programme!M269="Acté"),$D269*Parametres!E4,""))</f>
        <v/>
      </c>
      <c r="J269" s="240"/>
      <c r="K269" s="239" t="str">
        <f>IF($C269="","",IF(AND(Parametres!F5&lt;&gt;"",Synthese_Programme!M269="Acté"),$D269*Parametres!E5,""))</f>
        <v/>
      </c>
      <c r="L269" s="240"/>
      <c r="M269" s="239" t="str">
        <f>IF($C269="","",IF(AND(Parametres!F6&lt;&gt;"",Synthese_Programme!M269="Acté"),$D269*Parametres!E6,""))</f>
        <v/>
      </c>
      <c r="N269" s="240"/>
      <c r="O269" s="239" t="str">
        <f>IF($C269="","",IF(AND(Parametres!F7&lt;&gt;"",Synthese_Programme!M269="Acté"),$D269*Parametres!E7,""))</f>
        <v/>
      </c>
      <c r="P269" s="240"/>
      <c r="Q269" s="226" t="str">
        <f t="shared" si="12"/>
        <v/>
      </c>
      <c r="R269" s="226" t="str">
        <f t="shared" si="13"/>
        <v/>
      </c>
      <c r="S269" s="226" t="str">
        <f t="shared" si="14"/>
        <v/>
      </c>
    </row>
    <row r="270" spans="1:19" ht="24" customHeight="1" x14ac:dyDescent="0.45">
      <c r="A270" s="237" t="str">
        <f>IFERROR(IF(Base_de_donnée_clients!A270="","",Base_de_donnée_clients!A270),"")</f>
        <v/>
      </c>
      <c r="B270" s="226" t="str">
        <f>IFERROR(IF(Base_de_donnée_clients!B270="","",Base_de_donnée_clients!B270),"")</f>
        <v/>
      </c>
      <c r="C270" s="226" t="str">
        <f>IFERROR(IF(Base_de_donnée_clients!C270="","",Base_de_donnée_clients!C270),"")</f>
        <v/>
      </c>
      <c r="D270" s="238" t="str">
        <f>IFERROR(IF(OR(Synthese_Programme!M270="Réservé",Synthese_Programme!M270="Acté",Synthese_Programme!M270="réservé",Synthese_Programme!M270="acté"),Synthese_Programme!K270,""),"")</f>
        <v/>
      </c>
      <c r="E270" s="239" t="str">
        <f>IFERROR(IF(OR(Synthese_Programme!M270="Réservé",Synthese_Programme!M270="Acté",Synthese_Programme!M270="réservé",Synthese_Programme!M270="acté"),$D270*Parametres!E2,""),"")</f>
        <v/>
      </c>
      <c r="F270" s="240" t="str">
        <f>IFERROR(IF(Base_de_donnée_clients!J270="","",Base_de_donnée_clients!J270),"")</f>
        <v/>
      </c>
      <c r="G270" s="239" t="str">
        <f>IF($C270="","",IF(AND(Parametres!F3&lt;&gt;"",Synthese_Programme!M270="Acté"),$D270*Parametres!E3,""))</f>
        <v/>
      </c>
      <c r="H270" s="240"/>
      <c r="I270" s="239" t="str">
        <f>IF($C270="","",IF(AND(Parametres!F4&lt;&gt;"",Synthese_Programme!M270="Acté"),$D270*Parametres!E4,""))</f>
        <v/>
      </c>
      <c r="J270" s="240"/>
      <c r="K270" s="239" t="str">
        <f>IF($C270="","",IF(AND(Parametres!F5&lt;&gt;"",Synthese_Programme!M270="Acté"),$D270*Parametres!E5,""))</f>
        <v/>
      </c>
      <c r="L270" s="240"/>
      <c r="M270" s="239" t="str">
        <f>IF($C270="","",IF(AND(Parametres!F6&lt;&gt;"",Synthese_Programme!M270="Acté"),$D270*Parametres!E6,""))</f>
        <v/>
      </c>
      <c r="N270" s="240"/>
      <c r="O270" s="239" t="str">
        <f>IF($C270="","",IF(AND(Parametres!F7&lt;&gt;"",Synthese_Programme!M270="Acté"),$D270*Parametres!E7,""))</f>
        <v/>
      </c>
      <c r="P270" s="240"/>
      <c r="Q270" s="226" t="str">
        <f t="shared" si="12"/>
        <v/>
      </c>
      <c r="R270" s="226" t="str">
        <f t="shared" si="13"/>
        <v/>
      </c>
      <c r="S270" s="226" t="str">
        <f t="shared" si="14"/>
        <v/>
      </c>
    </row>
    <row r="271" spans="1:19" ht="24" customHeight="1" x14ac:dyDescent="0.45">
      <c r="A271" s="237" t="str">
        <f>IFERROR(IF(Base_de_donnée_clients!A271="","",Base_de_donnée_clients!A271),"")</f>
        <v/>
      </c>
      <c r="B271" s="226" t="str">
        <f>IFERROR(IF(Base_de_donnée_clients!B271="","",Base_de_donnée_clients!B271),"")</f>
        <v/>
      </c>
      <c r="C271" s="226" t="str">
        <f>IFERROR(IF(Base_de_donnée_clients!C271="","",Base_de_donnée_clients!C271),"")</f>
        <v/>
      </c>
      <c r="D271" s="238" t="str">
        <f>IFERROR(IF(OR(Synthese_Programme!M271="Réservé",Synthese_Programme!M271="Acté",Synthese_Programme!M271="réservé",Synthese_Programme!M271="acté"),Synthese_Programme!K271,""),"")</f>
        <v/>
      </c>
      <c r="E271" s="239" t="str">
        <f>IFERROR(IF(OR(Synthese_Programme!M271="Réservé",Synthese_Programme!M271="Acté",Synthese_Programme!M271="réservé",Synthese_Programme!M271="acté"),$D271*Parametres!E2,""),"")</f>
        <v/>
      </c>
      <c r="F271" s="240" t="str">
        <f>IFERROR(IF(Base_de_donnée_clients!J271="","",Base_de_donnée_clients!J271),"")</f>
        <v/>
      </c>
      <c r="G271" s="239" t="str">
        <f>IF($C271="","",IF(AND(Parametres!F3&lt;&gt;"",Synthese_Programme!M271="Acté"),$D271*Parametres!E3,""))</f>
        <v/>
      </c>
      <c r="H271" s="240"/>
      <c r="I271" s="239" t="str">
        <f>IF($C271="","",IF(AND(Parametres!F4&lt;&gt;"",Synthese_Programme!M271="Acté"),$D271*Parametres!E4,""))</f>
        <v/>
      </c>
      <c r="J271" s="240"/>
      <c r="K271" s="239" t="str">
        <f>IF($C271="","",IF(AND(Parametres!F5&lt;&gt;"",Synthese_Programme!M271="Acté"),$D271*Parametres!E5,""))</f>
        <v/>
      </c>
      <c r="L271" s="240"/>
      <c r="M271" s="239" t="str">
        <f>IF($C271="","",IF(AND(Parametres!F6&lt;&gt;"",Synthese_Programme!M271="Acté"),$D271*Parametres!E6,""))</f>
        <v/>
      </c>
      <c r="N271" s="240"/>
      <c r="O271" s="239" t="str">
        <f>IF($C271="","",IF(AND(Parametres!F7&lt;&gt;"",Synthese_Programme!M271="Acté"),$D271*Parametres!E7,""))</f>
        <v/>
      </c>
      <c r="P271" s="240"/>
      <c r="Q271" s="226" t="str">
        <f t="shared" si="12"/>
        <v/>
      </c>
      <c r="R271" s="226" t="str">
        <f t="shared" si="13"/>
        <v/>
      </c>
      <c r="S271" s="226" t="str">
        <f t="shared" si="14"/>
        <v/>
      </c>
    </row>
    <row r="272" spans="1:19" ht="24" customHeight="1" x14ac:dyDescent="0.45">
      <c r="A272" s="237" t="str">
        <f>IFERROR(IF(Base_de_donnée_clients!A272="","",Base_de_donnée_clients!A272),"")</f>
        <v/>
      </c>
      <c r="B272" s="226" t="str">
        <f>IFERROR(IF(Base_de_donnée_clients!B272="","",Base_de_donnée_clients!B272),"")</f>
        <v/>
      </c>
      <c r="C272" s="226" t="str">
        <f>IFERROR(IF(Base_de_donnée_clients!C272="","",Base_de_donnée_clients!C272),"")</f>
        <v/>
      </c>
      <c r="D272" s="238" t="str">
        <f>IFERROR(IF(OR(Synthese_Programme!M272="Réservé",Synthese_Programme!M272="Acté",Synthese_Programme!M272="réservé",Synthese_Programme!M272="acté"),Synthese_Programme!K272,""),"")</f>
        <v/>
      </c>
      <c r="E272" s="239" t="str">
        <f>IFERROR(IF(OR(Synthese_Programme!M272="Réservé",Synthese_Programme!M272="Acté",Synthese_Programme!M272="réservé",Synthese_Programme!M272="acté"),$D272*Parametres!E2,""),"")</f>
        <v/>
      </c>
      <c r="F272" s="240" t="str">
        <f>IFERROR(IF(Base_de_donnée_clients!J272="","",Base_de_donnée_clients!J272),"")</f>
        <v/>
      </c>
      <c r="G272" s="239" t="str">
        <f>IF($C272="","",IF(AND(Parametres!F3&lt;&gt;"",Synthese_Programme!M272="Acté"),$D272*Parametres!E3,""))</f>
        <v/>
      </c>
      <c r="H272" s="240"/>
      <c r="I272" s="239" t="str">
        <f>IF($C272="","",IF(AND(Parametres!F4&lt;&gt;"",Synthese_Programme!M272="Acté"),$D272*Parametres!E4,""))</f>
        <v/>
      </c>
      <c r="J272" s="240"/>
      <c r="K272" s="239" t="str">
        <f>IF($C272="","",IF(AND(Parametres!F5&lt;&gt;"",Synthese_Programme!M272="Acté"),$D272*Parametres!E5,""))</f>
        <v/>
      </c>
      <c r="L272" s="240"/>
      <c r="M272" s="239" t="str">
        <f>IF($C272="","",IF(AND(Parametres!F6&lt;&gt;"",Synthese_Programme!M272="Acté"),$D272*Parametres!E6,""))</f>
        <v/>
      </c>
      <c r="N272" s="240"/>
      <c r="O272" s="239" t="str">
        <f>IF($C272="","",IF(AND(Parametres!F7&lt;&gt;"",Synthese_Programme!M272="Acté"),$D272*Parametres!E7,""))</f>
        <v/>
      </c>
      <c r="P272" s="240"/>
      <c r="Q272" s="226" t="str">
        <f t="shared" si="12"/>
        <v/>
      </c>
      <c r="R272" s="226" t="str">
        <f t="shared" si="13"/>
        <v/>
      </c>
      <c r="S272" s="226" t="str">
        <f t="shared" si="14"/>
        <v/>
      </c>
    </row>
    <row r="273" spans="1:19" ht="24" customHeight="1" x14ac:dyDescent="0.45">
      <c r="A273" s="237" t="str">
        <f>IFERROR(IF(Base_de_donnée_clients!A273="","",Base_de_donnée_clients!A273),"")</f>
        <v/>
      </c>
      <c r="B273" s="226" t="str">
        <f>IFERROR(IF(Base_de_donnée_clients!B273="","",Base_de_donnée_clients!B273),"")</f>
        <v/>
      </c>
      <c r="C273" s="226" t="str">
        <f>IFERROR(IF(Base_de_donnée_clients!C273="","",Base_de_donnée_clients!C273),"")</f>
        <v/>
      </c>
      <c r="D273" s="238" t="str">
        <f>IFERROR(IF(OR(Synthese_Programme!M273="Réservé",Synthese_Programme!M273="Acté",Synthese_Programme!M273="réservé",Synthese_Programme!M273="acté"),Synthese_Programme!K273,""),"")</f>
        <v/>
      </c>
      <c r="E273" s="239" t="str">
        <f>IFERROR(IF(OR(Synthese_Programme!M273="Réservé",Synthese_Programme!M273="Acté",Synthese_Programme!M273="réservé",Synthese_Programme!M273="acté"),$D273*Parametres!E2,""),"")</f>
        <v/>
      </c>
      <c r="F273" s="240" t="str">
        <f>IFERROR(IF(Base_de_donnée_clients!J273="","",Base_de_donnée_clients!J273),"")</f>
        <v/>
      </c>
      <c r="G273" s="239" t="str">
        <f>IF($C273="","",IF(AND(Parametres!F3&lt;&gt;"",Synthese_Programme!M273="Acté"),$D273*Parametres!E3,""))</f>
        <v/>
      </c>
      <c r="H273" s="240"/>
      <c r="I273" s="239" t="str">
        <f>IF($C273="","",IF(AND(Parametres!F4&lt;&gt;"",Synthese_Programme!M273="Acté"),$D273*Parametres!E4,""))</f>
        <v/>
      </c>
      <c r="J273" s="240"/>
      <c r="K273" s="239" t="str">
        <f>IF($C273="","",IF(AND(Parametres!F5&lt;&gt;"",Synthese_Programme!M273="Acté"),$D273*Parametres!E5,""))</f>
        <v/>
      </c>
      <c r="L273" s="240"/>
      <c r="M273" s="239" t="str">
        <f>IF($C273="","",IF(AND(Parametres!F6&lt;&gt;"",Synthese_Programme!M273="Acté"),$D273*Parametres!E6,""))</f>
        <v/>
      </c>
      <c r="N273" s="240"/>
      <c r="O273" s="239" t="str">
        <f>IF($C273="","",IF(AND(Parametres!F7&lt;&gt;"",Synthese_Programme!M273="Acté"),$D273*Parametres!E7,""))</f>
        <v/>
      </c>
      <c r="P273" s="240"/>
      <c r="Q273" s="226" t="str">
        <f t="shared" si="12"/>
        <v/>
      </c>
      <c r="R273" s="226" t="str">
        <f t="shared" si="13"/>
        <v/>
      </c>
      <c r="S273" s="226" t="str">
        <f t="shared" si="14"/>
        <v/>
      </c>
    </row>
    <row r="274" spans="1:19" ht="24" customHeight="1" x14ac:dyDescent="0.45">
      <c r="A274" s="237" t="str">
        <f>IFERROR(IF(Base_de_donnée_clients!A274="","",Base_de_donnée_clients!A274),"")</f>
        <v/>
      </c>
      <c r="B274" s="226" t="str">
        <f>IFERROR(IF(Base_de_donnée_clients!B274="","",Base_de_donnée_clients!B274),"")</f>
        <v/>
      </c>
      <c r="C274" s="226" t="str">
        <f>IFERROR(IF(Base_de_donnée_clients!C274="","",Base_de_donnée_clients!C274),"")</f>
        <v/>
      </c>
      <c r="D274" s="238" t="str">
        <f>IFERROR(IF(OR(Synthese_Programme!M274="Réservé",Synthese_Programme!M274="Acté",Synthese_Programme!M274="réservé",Synthese_Programme!M274="acté"),Synthese_Programme!K274,""),"")</f>
        <v/>
      </c>
      <c r="E274" s="239" t="str">
        <f>IFERROR(IF(OR(Synthese_Programme!M274="Réservé",Synthese_Programme!M274="Acté",Synthese_Programme!M274="réservé",Synthese_Programme!M274="acté"),$D274*Parametres!E2,""),"")</f>
        <v/>
      </c>
      <c r="F274" s="240" t="str">
        <f>IFERROR(IF(Base_de_donnée_clients!J274="","",Base_de_donnée_clients!J274),"")</f>
        <v/>
      </c>
      <c r="G274" s="239" t="str">
        <f>IF($C274="","",IF(AND(Parametres!F3&lt;&gt;"",Synthese_Programme!M274="Acté"),$D274*Parametres!E3,""))</f>
        <v/>
      </c>
      <c r="H274" s="240"/>
      <c r="I274" s="239" t="str">
        <f>IF($C274="","",IF(AND(Parametres!F4&lt;&gt;"",Synthese_Programme!M274="Acté"),$D274*Parametres!E4,""))</f>
        <v/>
      </c>
      <c r="J274" s="240"/>
      <c r="K274" s="239" t="str">
        <f>IF($C274="","",IF(AND(Parametres!F5&lt;&gt;"",Synthese_Programme!M274="Acté"),$D274*Parametres!E5,""))</f>
        <v/>
      </c>
      <c r="L274" s="240"/>
      <c r="M274" s="239" t="str">
        <f>IF($C274="","",IF(AND(Parametres!F6&lt;&gt;"",Synthese_Programme!M274="Acté"),$D274*Parametres!E6,""))</f>
        <v/>
      </c>
      <c r="N274" s="240"/>
      <c r="O274" s="239" t="str">
        <f>IF($C274="","",IF(AND(Parametres!F7&lt;&gt;"",Synthese_Programme!M274="Acté"),$D274*Parametres!E7,""))</f>
        <v/>
      </c>
      <c r="P274" s="240"/>
      <c r="Q274" s="226" t="str">
        <f t="shared" si="12"/>
        <v/>
      </c>
      <c r="R274" s="226" t="str">
        <f t="shared" si="13"/>
        <v/>
      </c>
      <c r="S274" s="226" t="str">
        <f t="shared" si="14"/>
        <v/>
      </c>
    </row>
    <row r="275" spans="1:19" ht="24" customHeight="1" x14ac:dyDescent="0.45">
      <c r="A275" s="237" t="str">
        <f>IFERROR(IF(Base_de_donnée_clients!A275="","",Base_de_donnée_clients!A275),"")</f>
        <v/>
      </c>
      <c r="B275" s="226" t="str">
        <f>IFERROR(IF(Base_de_donnée_clients!B275="","",Base_de_donnée_clients!B275),"")</f>
        <v/>
      </c>
      <c r="C275" s="226" t="str">
        <f>IFERROR(IF(Base_de_donnée_clients!C275="","",Base_de_donnée_clients!C275),"")</f>
        <v/>
      </c>
      <c r="D275" s="238" t="str">
        <f>IFERROR(IF(OR(Synthese_Programme!M275="Réservé",Synthese_Programme!M275="Acté",Synthese_Programme!M275="réservé",Synthese_Programme!M275="acté"),Synthese_Programme!K275,""),"")</f>
        <v/>
      </c>
      <c r="E275" s="239" t="str">
        <f>IFERROR(IF(OR(Synthese_Programme!M275="Réservé",Synthese_Programme!M275="Acté",Synthese_Programme!M275="réservé",Synthese_Programme!M275="acté"),$D275*Parametres!E2,""),"")</f>
        <v/>
      </c>
      <c r="F275" s="240" t="str">
        <f>IFERROR(IF(Base_de_donnée_clients!J275="","",Base_de_donnée_clients!J275),"")</f>
        <v/>
      </c>
      <c r="G275" s="239" t="str">
        <f>IF($C275="","",IF(AND(Parametres!F3&lt;&gt;"",Synthese_Programme!M275="Acté"),$D275*Parametres!E3,""))</f>
        <v/>
      </c>
      <c r="H275" s="240"/>
      <c r="I275" s="239" t="str">
        <f>IF($C275="","",IF(AND(Parametres!F4&lt;&gt;"",Synthese_Programme!M275="Acté"),$D275*Parametres!E4,""))</f>
        <v/>
      </c>
      <c r="J275" s="240"/>
      <c r="K275" s="239" t="str">
        <f>IF($C275="","",IF(AND(Parametres!F5&lt;&gt;"",Synthese_Programme!M275="Acté"),$D275*Parametres!E5,""))</f>
        <v/>
      </c>
      <c r="L275" s="240"/>
      <c r="M275" s="239" t="str">
        <f>IF($C275="","",IF(AND(Parametres!F6&lt;&gt;"",Synthese_Programme!M275="Acté"),$D275*Parametres!E6,""))</f>
        <v/>
      </c>
      <c r="N275" s="240"/>
      <c r="O275" s="239" t="str">
        <f>IF($C275="","",IF(AND(Parametres!F7&lt;&gt;"",Synthese_Programme!M275="Acté"),$D275*Parametres!E7,""))</f>
        <v/>
      </c>
      <c r="P275" s="240"/>
      <c r="Q275" s="226" t="str">
        <f t="shared" si="12"/>
        <v/>
      </c>
      <c r="R275" s="226" t="str">
        <f t="shared" si="13"/>
        <v/>
      </c>
      <c r="S275" s="226" t="str">
        <f t="shared" si="14"/>
        <v/>
      </c>
    </row>
    <row r="276" spans="1:19" ht="24" customHeight="1" x14ac:dyDescent="0.45">
      <c r="A276" s="237" t="str">
        <f>IFERROR(IF(Base_de_donnée_clients!A276="","",Base_de_donnée_clients!A276),"")</f>
        <v/>
      </c>
      <c r="B276" s="226" t="str">
        <f>IFERROR(IF(Base_de_donnée_clients!B276="","",Base_de_donnée_clients!B276),"")</f>
        <v/>
      </c>
      <c r="C276" s="226" t="str">
        <f>IFERROR(IF(Base_de_donnée_clients!C276="","",Base_de_donnée_clients!C276),"")</f>
        <v/>
      </c>
      <c r="D276" s="238" t="str">
        <f>IFERROR(IF(OR(Synthese_Programme!M276="Réservé",Synthese_Programme!M276="Acté",Synthese_Programme!M276="réservé",Synthese_Programme!M276="acté"),Synthese_Programme!K276,""),"")</f>
        <v/>
      </c>
      <c r="E276" s="239" t="str">
        <f>IFERROR(IF(OR(Synthese_Programme!M276="Réservé",Synthese_Programme!M276="Acté",Synthese_Programme!M276="réservé",Synthese_Programme!M276="acté"),$D276*Parametres!E2,""),"")</f>
        <v/>
      </c>
      <c r="F276" s="240" t="str">
        <f>IFERROR(IF(Base_de_donnée_clients!J276="","",Base_de_donnée_clients!J276),"")</f>
        <v/>
      </c>
      <c r="G276" s="239" t="str">
        <f>IF($C276="","",IF(AND(Parametres!F3&lt;&gt;"",Synthese_Programme!M276="Acté"),$D276*Parametres!E3,""))</f>
        <v/>
      </c>
      <c r="H276" s="240"/>
      <c r="I276" s="239" t="str">
        <f>IF($C276="","",IF(AND(Parametres!F4&lt;&gt;"",Synthese_Programme!M276="Acté"),$D276*Parametres!E4,""))</f>
        <v/>
      </c>
      <c r="J276" s="240"/>
      <c r="K276" s="239" t="str">
        <f>IF($C276="","",IF(AND(Parametres!F5&lt;&gt;"",Synthese_Programme!M276="Acté"),$D276*Parametres!E5,""))</f>
        <v/>
      </c>
      <c r="L276" s="240"/>
      <c r="M276" s="239" t="str">
        <f>IF($C276="","",IF(AND(Parametres!F6&lt;&gt;"",Synthese_Programme!M276="Acté"),$D276*Parametres!E6,""))</f>
        <v/>
      </c>
      <c r="N276" s="240"/>
      <c r="O276" s="239" t="str">
        <f>IF($C276="","",IF(AND(Parametres!F7&lt;&gt;"",Synthese_Programme!M276="Acté"),$D276*Parametres!E7,""))</f>
        <v/>
      </c>
      <c r="P276" s="240"/>
      <c r="Q276" s="226" t="str">
        <f t="shared" si="12"/>
        <v/>
      </c>
      <c r="R276" s="226" t="str">
        <f t="shared" si="13"/>
        <v/>
      </c>
      <c r="S276" s="226" t="str">
        <f t="shared" si="14"/>
        <v/>
      </c>
    </row>
    <row r="277" spans="1:19" ht="24" customHeight="1" x14ac:dyDescent="0.45">
      <c r="A277" s="237" t="str">
        <f>IFERROR(IF(Base_de_donnée_clients!A277="","",Base_de_donnée_clients!A277),"")</f>
        <v/>
      </c>
      <c r="B277" s="226" t="str">
        <f>IFERROR(IF(Base_de_donnée_clients!B277="","",Base_de_donnée_clients!B277),"")</f>
        <v/>
      </c>
      <c r="C277" s="226" t="str">
        <f>IFERROR(IF(Base_de_donnée_clients!C277="","",Base_de_donnée_clients!C277),"")</f>
        <v/>
      </c>
      <c r="D277" s="238" t="str">
        <f>IFERROR(IF(OR(Synthese_Programme!M277="Réservé",Synthese_Programme!M277="Acté",Synthese_Programme!M277="réservé",Synthese_Programme!M277="acté"),Synthese_Programme!K277,""),"")</f>
        <v/>
      </c>
      <c r="E277" s="239" t="str">
        <f>IFERROR(IF(OR(Synthese_Programme!M277="Réservé",Synthese_Programme!M277="Acté",Synthese_Programme!M277="réservé",Synthese_Programme!M277="acté"),$D277*Parametres!E2,""),"")</f>
        <v/>
      </c>
      <c r="F277" s="240" t="str">
        <f>IFERROR(IF(Base_de_donnée_clients!J277="","",Base_de_donnée_clients!J277),"")</f>
        <v/>
      </c>
      <c r="G277" s="239" t="str">
        <f>IF($C277="","",IF(AND(Parametres!F3&lt;&gt;"",Synthese_Programme!M277="Acté"),$D277*Parametres!E3,""))</f>
        <v/>
      </c>
      <c r="H277" s="240"/>
      <c r="I277" s="239" t="str">
        <f>IF($C277="","",IF(AND(Parametres!F4&lt;&gt;"",Synthese_Programme!M277="Acté"),$D277*Parametres!E4,""))</f>
        <v/>
      </c>
      <c r="J277" s="240"/>
      <c r="K277" s="239" t="str">
        <f>IF($C277="","",IF(AND(Parametres!F5&lt;&gt;"",Synthese_Programme!M277="Acté"),$D277*Parametres!E5,""))</f>
        <v/>
      </c>
      <c r="L277" s="240"/>
      <c r="M277" s="239" t="str">
        <f>IF($C277="","",IF(AND(Parametres!F6&lt;&gt;"",Synthese_Programme!M277="Acté"),$D277*Parametres!E6,""))</f>
        <v/>
      </c>
      <c r="N277" s="240"/>
      <c r="O277" s="239" t="str">
        <f>IF($C277="","",IF(AND(Parametres!F7&lt;&gt;"",Synthese_Programme!M277="Acté"),$D277*Parametres!E7,""))</f>
        <v/>
      </c>
      <c r="P277" s="240"/>
      <c r="Q277" s="226" t="str">
        <f t="shared" si="12"/>
        <v/>
      </c>
      <c r="R277" s="226" t="str">
        <f t="shared" si="13"/>
        <v/>
      </c>
      <c r="S277" s="226" t="str">
        <f t="shared" si="14"/>
        <v/>
      </c>
    </row>
    <row r="278" spans="1:19" ht="24" customHeight="1" x14ac:dyDescent="0.45">
      <c r="A278" s="237" t="str">
        <f>IFERROR(IF(Base_de_donnée_clients!A278="","",Base_de_donnée_clients!A278),"")</f>
        <v/>
      </c>
      <c r="B278" s="226" t="str">
        <f>IFERROR(IF(Base_de_donnée_clients!B278="","",Base_de_donnée_clients!B278),"")</f>
        <v/>
      </c>
      <c r="C278" s="226" t="str">
        <f>IFERROR(IF(Base_de_donnée_clients!C278="","",Base_de_donnée_clients!C278),"")</f>
        <v/>
      </c>
      <c r="D278" s="238" t="str">
        <f>IFERROR(IF(OR(Synthese_Programme!M278="Réservé",Synthese_Programme!M278="Acté",Synthese_Programme!M278="réservé",Synthese_Programme!M278="acté"),Synthese_Programme!K278,""),"")</f>
        <v/>
      </c>
      <c r="E278" s="239" t="str">
        <f>IFERROR(IF(OR(Synthese_Programme!M278="Réservé",Synthese_Programme!M278="Acté",Synthese_Programme!M278="réservé",Synthese_Programme!M278="acté"),$D278*Parametres!E2,""),"")</f>
        <v/>
      </c>
      <c r="F278" s="240" t="str">
        <f>IFERROR(IF(Base_de_donnée_clients!J278="","",Base_de_donnée_clients!J278),"")</f>
        <v/>
      </c>
      <c r="G278" s="239" t="str">
        <f>IF($C278="","",IF(AND(Parametres!F3&lt;&gt;"",Synthese_Programme!M278="Acté"),$D278*Parametres!E3,""))</f>
        <v/>
      </c>
      <c r="H278" s="240"/>
      <c r="I278" s="239" t="str">
        <f>IF($C278="","",IF(AND(Parametres!F4&lt;&gt;"",Synthese_Programme!M278="Acté"),$D278*Parametres!E4,""))</f>
        <v/>
      </c>
      <c r="J278" s="240"/>
      <c r="K278" s="239" t="str">
        <f>IF($C278="","",IF(AND(Parametres!F5&lt;&gt;"",Synthese_Programme!M278="Acté"),$D278*Parametres!E5,""))</f>
        <v/>
      </c>
      <c r="L278" s="240"/>
      <c r="M278" s="239" t="str">
        <f>IF($C278="","",IF(AND(Parametres!F6&lt;&gt;"",Synthese_Programme!M278="Acté"),$D278*Parametres!E6,""))</f>
        <v/>
      </c>
      <c r="N278" s="240"/>
      <c r="O278" s="239" t="str">
        <f>IF($C278="","",IF(AND(Parametres!F7&lt;&gt;"",Synthese_Programme!M278="Acté"),$D278*Parametres!E7,""))</f>
        <v/>
      </c>
      <c r="P278" s="240"/>
      <c r="Q278" s="226" t="str">
        <f t="shared" si="12"/>
        <v/>
      </c>
      <c r="R278" s="226" t="str">
        <f t="shared" si="13"/>
        <v/>
      </c>
      <c r="S278" s="226" t="str">
        <f t="shared" si="14"/>
        <v/>
      </c>
    </row>
    <row r="279" spans="1:19" ht="24" customHeight="1" x14ac:dyDescent="0.45">
      <c r="A279" s="237" t="str">
        <f>IFERROR(IF(Base_de_donnée_clients!A279="","",Base_de_donnée_clients!A279),"")</f>
        <v/>
      </c>
      <c r="B279" s="226" t="str">
        <f>IFERROR(IF(Base_de_donnée_clients!B279="","",Base_de_donnée_clients!B279),"")</f>
        <v/>
      </c>
      <c r="C279" s="226" t="str">
        <f>IFERROR(IF(Base_de_donnée_clients!C279="","",Base_de_donnée_clients!C279),"")</f>
        <v/>
      </c>
      <c r="D279" s="238" t="str">
        <f>IFERROR(IF(OR(Synthese_Programme!M279="Réservé",Synthese_Programme!M279="Acté",Synthese_Programme!M279="réservé",Synthese_Programme!M279="acté"),Synthese_Programme!K279,""),"")</f>
        <v/>
      </c>
      <c r="E279" s="239" t="str">
        <f>IFERROR(IF(OR(Synthese_Programme!M279="Réservé",Synthese_Programme!M279="Acté",Synthese_Programme!M279="réservé",Synthese_Programme!M279="acté"),$D279*Parametres!E2,""),"")</f>
        <v/>
      </c>
      <c r="F279" s="240" t="str">
        <f>IFERROR(IF(Base_de_donnée_clients!J279="","",Base_de_donnée_clients!J279),"")</f>
        <v/>
      </c>
      <c r="G279" s="239" t="str">
        <f>IF($C279="","",IF(AND(Parametres!F3&lt;&gt;"",Synthese_Programme!M279="Acté"),$D279*Parametres!E3,""))</f>
        <v/>
      </c>
      <c r="H279" s="240"/>
      <c r="I279" s="239" t="str">
        <f>IF($C279="","",IF(AND(Parametres!F4&lt;&gt;"",Synthese_Programme!M279="Acté"),$D279*Parametres!E4,""))</f>
        <v/>
      </c>
      <c r="J279" s="240"/>
      <c r="K279" s="239" t="str">
        <f>IF($C279="","",IF(AND(Parametres!F5&lt;&gt;"",Synthese_Programme!M279="Acté"),$D279*Parametres!E5,""))</f>
        <v/>
      </c>
      <c r="L279" s="240"/>
      <c r="M279" s="239" t="str">
        <f>IF($C279="","",IF(AND(Parametres!F6&lt;&gt;"",Synthese_Programme!M279="Acté"),$D279*Parametres!E6,""))</f>
        <v/>
      </c>
      <c r="N279" s="240"/>
      <c r="O279" s="239" t="str">
        <f>IF($C279="","",IF(AND(Parametres!F7&lt;&gt;"",Synthese_Programme!M279="Acté"),$D279*Parametres!E7,""))</f>
        <v/>
      </c>
      <c r="P279" s="240"/>
      <c r="Q279" s="226" t="str">
        <f t="shared" si="12"/>
        <v/>
      </c>
      <c r="R279" s="226" t="str">
        <f t="shared" si="13"/>
        <v/>
      </c>
      <c r="S279" s="226" t="str">
        <f t="shared" si="14"/>
        <v/>
      </c>
    </row>
    <row r="280" spans="1:19" ht="24" customHeight="1" x14ac:dyDescent="0.45">
      <c r="A280" s="237" t="str">
        <f>IFERROR(IF(Base_de_donnée_clients!A280="","",Base_de_donnée_clients!A280),"")</f>
        <v/>
      </c>
      <c r="B280" s="226" t="str">
        <f>IFERROR(IF(Base_de_donnée_clients!B280="","",Base_de_donnée_clients!B280),"")</f>
        <v/>
      </c>
      <c r="C280" s="226" t="str">
        <f>IFERROR(IF(Base_de_donnée_clients!C280="","",Base_de_donnée_clients!C280),"")</f>
        <v/>
      </c>
      <c r="D280" s="238" t="str">
        <f>IFERROR(IF(OR(Synthese_Programme!M280="Réservé",Synthese_Programme!M280="Acté",Synthese_Programme!M280="réservé",Synthese_Programme!M280="acté"),Synthese_Programme!K280,""),"")</f>
        <v/>
      </c>
      <c r="E280" s="239" t="str">
        <f>IFERROR(IF(OR(Synthese_Programme!M280="Réservé",Synthese_Programme!M280="Acté",Synthese_Programme!M280="réservé",Synthese_Programme!M280="acté"),$D280*Parametres!E2,""),"")</f>
        <v/>
      </c>
      <c r="F280" s="240" t="str">
        <f>IFERROR(IF(Base_de_donnée_clients!J280="","",Base_de_donnée_clients!J280),"")</f>
        <v/>
      </c>
      <c r="G280" s="239" t="str">
        <f>IF($C280="","",IF(AND(Parametres!F3&lt;&gt;"",Synthese_Programme!M280="Acté"),$D280*Parametres!E3,""))</f>
        <v/>
      </c>
      <c r="H280" s="240"/>
      <c r="I280" s="239" t="str">
        <f>IF($C280="","",IF(AND(Parametres!F4&lt;&gt;"",Synthese_Programme!M280="Acté"),$D280*Parametres!E4,""))</f>
        <v/>
      </c>
      <c r="J280" s="240"/>
      <c r="K280" s="239" t="str">
        <f>IF($C280="","",IF(AND(Parametres!F5&lt;&gt;"",Synthese_Programme!M280="Acté"),$D280*Parametres!E5,""))</f>
        <v/>
      </c>
      <c r="L280" s="240"/>
      <c r="M280" s="239" t="str">
        <f>IF($C280="","",IF(AND(Parametres!F6&lt;&gt;"",Synthese_Programme!M280="Acté"),$D280*Parametres!E6,""))</f>
        <v/>
      </c>
      <c r="N280" s="240"/>
      <c r="O280" s="239" t="str">
        <f>IF($C280="","",IF(AND(Parametres!F7&lt;&gt;"",Synthese_Programme!M280="Acté"),$D280*Parametres!E7,""))</f>
        <v/>
      </c>
      <c r="P280" s="240"/>
      <c r="Q280" s="226" t="str">
        <f t="shared" si="12"/>
        <v/>
      </c>
      <c r="R280" s="226" t="str">
        <f t="shared" si="13"/>
        <v/>
      </c>
      <c r="S280" s="226" t="str">
        <f t="shared" si="14"/>
        <v/>
      </c>
    </row>
    <row r="281" spans="1:19" ht="24" customHeight="1" x14ac:dyDescent="0.45">
      <c r="A281" s="237" t="str">
        <f>IFERROR(IF(Base_de_donnée_clients!A281="","",Base_de_donnée_clients!A281),"")</f>
        <v/>
      </c>
      <c r="B281" s="226" t="str">
        <f>IFERROR(IF(Base_de_donnée_clients!B281="","",Base_de_donnée_clients!B281),"")</f>
        <v/>
      </c>
      <c r="C281" s="226" t="str">
        <f>IFERROR(IF(Base_de_donnée_clients!C281="","",Base_de_donnée_clients!C281),"")</f>
        <v/>
      </c>
      <c r="D281" s="238" t="str">
        <f>IFERROR(IF(OR(Synthese_Programme!M281="Réservé",Synthese_Programme!M281="Acté",Synthese_Programme!M281="réservé",Synthese_Programme!M281="acté"),Synthese_Programme!K281,""),"")</f>
        <v/>
      </c>
      <c r="E281" s="239" t="str">
        <f>IFERROR(IF(OR(Synthese_Programme!M281="Réservé",Synthese_Programme!M281="Acté",Synthese_Programme!M281="réservé",Synthese_Programme!M281="acté"),$D281*Parametres!E2,""),"")</f>
        <v/>
      </c>
      <c r="F281" s="240" t="str">
        <f>IFERROR(IF(Base_de_donnée_clients!J281="","",Base_de_donnée_clients!J281),"")</f>
        <v/>
      </c>
      <c r="G281" s="239" t="str">
        <f>IF($C281="","",IF(AND(Parametres!F3&lt;&gt;"",Synthese_Programme!M281="Acté"),$D281*Parametres!E3,""))</f>
        <v/>
      </c>
      <c r="H281" s="240"/>
      <c r="I281" s="239" t="str">
        <f>IF($C281="","",IF(AND(Parametres!F4&lt;&gt;"",Synthese_Programme!M281="Acté"),$D281*Parametres!E4,""))</f>
        <v/>
      </c>
      <c r="J281" s="240"/>
      <c r="K281" s="239" t="str">
        <f>IF($C281="","",IF(AND(Parametres!F5&lt;&gt;"",Synthese_Programme!M281="Acté"),$D281*Parametres!E5,""))</f>
        <v/>
      </c>
      <c r="L281" s="240"/>
      <c r="M281" s="239" t="str">
        <f>IF($C281="","",IF(AND(Parametres!F6&lt;&gt;"",Synthese_Programme!M281="Acté"),$D281*Parametres!E6,""))</f>
        <v/>
      </c>
      <c r="N281" s="240"/>
      <c r="O281" s="239" t="str">
        <f>IF($C281="","",IF(AND(Parametres!F7&lt;&gt;"",Synthese_Programme!M281="Acté"),$D281*Parametres!E7,""))</f>
        <v/>
      </c>
      <c r="P281" s="240"/>
      <c r="Q281" s="226" t="str">
        <f t="shared" si="12"/>
        <v/>
      </c>
      <c r="R281" s="226" t="str">
        <f t="shared" si="13"/>
        <v/>
      </c>
      <c r="S281" s="226" t="str">
        <f t="shared" si="14"/>
        <v/>
      </c>
    </row>
    <row r="282" spans="1:19" ht="24" customHeight="1" x14ac:dyDescent="0.45">
      <c r="A282" s="237" t="str">
        <f>IFERROR(IF(Base_de_donnée_clients!A282="","",Base_de_donnée_clients!A282),"")</f>
        <v/>
      </c>
      <c r="B282" s="226" t="str">
        <f>IFERROR(IF(Base_de_donnée_clients!B282="","",Base_de_donnée_clients!B282),"")</f>
        <v/>
      </c>
      <c r="C282" s="226" t="str">
        <f>IFERROR(IF(Base_de_donnée_clients!C282="","",Base_de_donnée_clients!C282),"")</f>
        <v/>
      </c>
      <c r="D282" s="238" t="str">
        <f>IFERROR(IF(OR(Synthese_Programme!M282="Réservé",Synthese_Programme!M282="Acté",Synthese_Programme!M282="réservé",Synthese_Programme!M282="acté"),Synthese_Programme!K282,""),"")</f>
        <v/>
      </c>
      <c r="E282" s="239" t="str">
        <f>IFERROR(IF(OR(Synthese_Programme!M282="Réservé",Synthese_Programme!M282="Acté",Synthese_Programme!M282="réservé",Synthese_Programme!M282="acté"),$D282*Parametres!E2,""),"")</f>
        <v/>
      </c>
      <c r="F282" s="240" t="str">
        <f>IFERROR(IF(Base_de_donnée_clients!J282="","",Base_de_donnée_clients!J282),"")</f>
        <v/>
      </c>
      <c r="G282" s="239" t="str">
        <f>IF($C282="","",IF(AND(Parametres!F3&lt;&gt;"",Synthese_Programme!M282="Acté"),$D282*Parametres!E3,""))</f>
        <v/>
      </c>
      <c r="H282" s="240"/>
      <c r="I282" s="239" t="str">
        <f>IF($C282="","",IF(AND(Parametres!F4&lt;&gt;"",Synthese_Programme!M282="Acté"),$D282*Parametres!E4,""))</f>
        <v/>
      </c>
      <c r="J282" s="240"/>
      <c r="K282" s="239" t="str">
        <f>IF($C282="","",IF(AND(Parametres!F5&lt;&gt;"",Synthese_Programme!M282="Acté"),$D282*Parametres!E5,""))</f>
        <v/>
      </c>
      <c r="L282" s="240"/>
      <c r="M282" s="239" t="str">
        <f>IF($C282="","",IF(AND(Parametres!F6&lt;&gt;"",Synthese_Programme!M282="Acté"),$D282*Parametres!E6,""))</f>
        <v/>
      </c>
      <c r="N282" s="240"/>
      <c r="O282" s="239" t="str">
        <f>IF($C282="","",IF(AND(Parametres!F7&lt;&gt;"",Synthese_Programme!M282="Acté"),$D282*Parametres!E7,""))</f>
        <v/>
      </c>
      <c r="P282" s="240"/>
      <c r="Q282" s="226" t="str">
        <f t="shared" si="12"/>
        <v/>
      </c>
      <c r="R282" s="226" t="str">
        <f t="shared" si="13"/>
        <v/>
      </c>
      <c r="S282" s="226" t="str">
        <f t="shared" si="14"/>
        <v/>
      </c>
    </row>
    <row r="283" spans="1:19" ht="24" customHeight="1" x14ac:dyDescent="0.45">
      <c r="A283" s="237" t="str">
        <f>IFERROR(IF(Base_de_donnée_clients!A283="","",Base_de_donnée_clients!A283),"")</f>
        <v/>
      </c>
      <c r="B283" s="226" t="str">
        <f>IFERROR(IF(Base_de_donnée_clients!B283="","",Base_de_donnée_clients!B283),"")</f>
        <v/>
      </c>
      <c r="C283" s="226" t="str">
        <f>IFERROR(IF(Base_de_donnée_clients!C283="","",Base_de_donnée_clients!C283),"")</f>
        <v/>
      </c>
      <c r="D283" s="238" t="str">
        <f>IFERROR(IF(OR(Synthese_Programme!M283="Réservé",Synthese_Programme!M283="Acté",Synthese_Programme!M283="réservé",Synthese_Programme!M283="acté"),Synthese_Programme!K283,""),"")</f>
        <v/>
      </c>
      <c r="E283" s="239" t="str">
        <f>IFERROR(IF(OR(Synthese_Programme!M283="Réservé",Synthese_Programme!M283="Acté",Synthese_Programme!M283="réservé",Synthese_Programme!M283="acté"),$D283*Parametres!E2,""),"")</f>
        <v/>
      </c>
      <c r="F283" s="240" t="str">
        <f>IFERROR(IF(Base_de_donnée_clients!J283="","",Base_de_donnée_clients!J283),"")</f>
        <v/>
      </c>
      <c r="G283" s="239" t="str">
        <f>IF($C283="","",IF(AND(Parametres!F3&lt;&gt;"",Synthese_Programme!M283="Acté"),$D283*Parametres!E3,""))</f>
        <v/>
      </c>
      <c r="H283" s="240"/>
      <c r="I283" s="239" t="str">
        <f>IF($C283="","",IF(AND(Parametres!F4&lt;&gt;"",Synthese_Programme!M283="Acté"),$D283*Parametres!E4,""))</f>
        <v/>
      </c>
      <c r="J283" s="240"/>
      <c r="K283" s="239" t="str">
        <f>IF($C283="","",IF(AND(Parametres!F5&lt;&gt;"",Synthese_Programme!M283="Acté"),$D283*Parametres!E5,""))</f>
        <v/>
      </c>
      <c r="L283" s="240"/>
      <c r="M283" s="239" t="str">
        <f>IF($C283="","",IF(AND(Parametres!F6&lt;&gt;"",Synthese_Programme!M283="Acté"),$D283*Parametres!E6,""))</f>
        <v/>
      </c>
      <c r="N283" s="240"/>
      <c r="O283" s="239" t="str">
        <f>IF($C283="","",IF(AND(Parametres!F7&lt;&gt;"",Synthese_Programme!M283="Acté"),$D283*Parametres!E7,""))</f>
        <v/>
      </c>
      <c r="P283" s="240"/>
      <c r="Q283" s="226" t="str">
        <f t="shared" si="12"/>
        <v/>
      </c>
      <c r="R283" s="226" t="str">
        <f t="shared" si="13"/>
        <v/>
      </c>
      <c r="S283" s="226" t="str">
        <f t="shared" si="14"/>
        <v/>
      </c>
    </row>
    <row r="284" spans="1:19" ht="24" customHeight="1" x14ac:dyDescent="0.45">
      <c r="A284" s="237" t="str">
        <f>IFERROR(IF(Base_de_donnée_clients!A284="","",Base_de_donnée_clients!A284),"")</f>
        <v/>
      </c>
      <c r="B284" s="226" t="str">
        <f>IFERROR(IF(Base_de_donnée_clients!B284="","",Base_de_donnée_clients!B284),"")</f>
        <v/>
      </c>
      <c r="C284" s="226" t="str">
        <f>IFERROR(IF(Base_de_donnée_clients!C284="","",Base_de_donnée_clients!C284),"")</f>
        <v/>
      </c>
      <c r="D284" s="238" t="str">
        <f>IFERROR(IF(OR(Synthese_Programme!M284="Réservé",Synthese_Programme!M284="Acté",Synthese_Programme!M284="réservé",Synthese_Programme!M284="acté"),Synthese_Programme!K284,""),"")</f>
        <v/>
      </c>
      <c r="E284" s="239" t="str">
        <f>IFERROR(IF(OR(Synthese_Programme!M284="Réservé",Synthese_Programme!M284="Acté",Synthese_Programme!M284="réservé",Synthese_Programme!M284="acté"),$D284*Parametres!E2,""),"")</f>
        <v/>
      </c>
      <c r="F284" s="240" t="str">
        <f>IFERROR(IF(Base_de_donnée_clients!J284="","",Base_de_donnée_clients!J284),"")</f>
        <v/>
      </c>
      <c r="G284" s="239" t="str">
        <f>IF($C284="","",IF(AND(Parametres!F3&lt;&gt;"",Synthese_Programme!M284="Acté"),$D284*Parametres!E3,""))</f>
        <v/>
      </c>
      <c r="H284" s="240"/>
      <c r="I284" s="239" t="str">
        <f>IF($C284="","",IF(AND(Parametres!F4&lt;&gt;"",Synthese_Programme!M284="Acté"),$D284*Parametres!E4,""))</f>
        <v/>
      </c>
      <c r="J284" s="240"/>
      <c r="K284" s="239" t="str">
        <f>IF($C284="","",IF(AND(Parametres!F5&lt;&gt;"",Synthese_Programme!M284="Acté"),$D284*Parametres!E5,""))</f>
        <v/>
      </c>
      <c r="L284" s="240"/>
      <c r="M284" s="239" t="str">
        <f>IF($C284="","",IF(AND(Parametres!F6&lt;&gt;"",Synthese_Programme!M284="Acté"),$D284*Parametres!E6,""))</f>
        <v/>
      </c>
      <c r="N284" s="240"/>
      <c r="O284" s="239" t="str">
        <f>IF($C284="","",IF(AND(Parametres!F7&lt;&gt;"",Synthese_Programme!M284="Acté"),$D284*Parametres!E7,""))</f>
        <v/>
      </c>
      <c r="P284" s="240"/>
      <c r="Q284" s="226" t="str">
        <f t="shared" si="12"/>
        <v/>
      </c>
      <c r="R284" s="226" t="str">
        <f t="shared" si="13"/>
        <v/>
      </c>
      <c r="S284" s="226" t="str">
        <f t="shared" si="14"/>
        <v/>
      </c>
    </row>
    <row r="285" spans="1:19" ht="24" customHeight="1" x14ac:dyDescent="0.45">
      <c r="A285" s="237" t="str">
        <f>IFERROR(IF(Base_de_donnée_clients!A285="","",Base_de_donnée_clients!A285),"")</f>
        <v/>
      </c>
      <c r="B285" s="226" t="str">
        <f>IFERROR(IF(Base_de_donnée_clients!B285="","",Base_de_donnée_clients!B285),"")</f>
        <v/>
      </c>
      <c r="C285" s="226" t="str">
        <f>IFERROR(IF(Base_de_donnée_clients!C285="","",Base_de_donnée_clients!C285),"")</f>
        <v/>
      </c>
      <c r="D285" s="238" t="str">
        <f>IFERROR(IF(OR(Synthese_Programme!M285="Réservé",Synthese_Programme!M285="Acté",Synthese_Programme!M285="réservé",Synthese_Programme!M285="acté"),Synthese_Programme!K285,""),"")</f>
        <v/>
      </c>
      <c r="E285" s="239" t="str">
        <f>IFERROR(IF(OR(Synthese_Programme!M285="Réservé",Synthese_Programme!M285="Acté",Synthese_Programme!M285="réservé",Synthese_Programme!M285="acté"),$D285*Parametres!E2,""),"")</f>
        <v/>
      </c>
      <c r="F285" s="240" t="str">
        <f>IFERROR(IF(Base_de_donnée_clients!J285="","",Base_de_donnée_clients!J285),"")</f>
        <v/>
      </c>
      <c r="G285" s="239" t="str">
        <f>IF($C285="","",IF(AND(Parametres!F3&lt;&gt;"",Synthese_Programme!M285="Acté"),$D285*Parametres!E3,""))</f>
        <v/>
      </c>
      <c r="H285" s="240"/>
      <c r="I285" s="239" t="str">
        <f>IF($C285="","",IF(AND(Parametres!F4&lt;&gt;"",Synthese_Programme!M285="Acté"),$D285*Parametres!E4,""))</f>
        <v/>
      </c>
      <c r="J285" s="240"/>
      <c r="K285" s="239" t="str">
        <f>IF($C285="","",IF(AND(Parametres!F5&lt;&gt;"",Synthese_Programme!M285="Acté"),$D285*Parametres!E5,""))</f>
        <v/>
      </c>
      <c r="L285" s="240"/>
      <c r="M285" s="239" t="str">
        <f>IF($C285="","",IF(AND(Parametres!F6&lt;&gt;"",Synthese_Programme!M285="Acté"),$D285*Parametres!E6,""))</f>
        <v/>
      </c>
      <c r="N285" s="240"/>
      <c r="O285" s="239" t="str">
        <f>IF($C285="","",IF(AND(Parametres!F7&lt;&gt;"",Synthese_Programme!M285="Acté"),$D285*Parametres!E7,""))</f>
        <v/>
      </c>
      <c r="P285" s="240"/>
      <c r="Q285" s="226" t="str">
        <f t="shared" si="12"/>
        <v/>
      </c>
      <c r="R285" s="226" t="str">
        <f t="shared" si="13"/>
        <v/>
      </c>
      <c r="S285" s="226" t="str">
        <f t="shared" si="14"/>
        <v/>
      </c>
    </row>
    <row r="286" spans="1:19" ht="24" customHeight="1" x14ac:dyDescent="0.45">
      <c r="A286" s="237" t="str">
        <f>IFERROR(IF(Base_de_donnée_clients!A286="","",Base_de_donnée_clients!A286),"")</f>
        <v/>
      </c>
      <c r="B286" s="226" t="str">
        <f>IFERROR(IF(Base_de_donnée_clients!B286="","",Base_de_donnée_clients!B286),"")</f>
        <v/>
      </c>
      <c r="C286" s="226" t="str">
        <f>IFERROR(IF(Base_de_donnée_clients!C286="","",Base_de_donnée_clients!C286),"")</f>
        <v/>
      </c>
      <c r="D286" s="238" t="str">
        <f>IFERROR(IF(OR(Synthese_Programme!M286="Réservé",Synthese_Programme!M286="Acté",Synthese_Programme!M286="réservé",Synthese_Programme!M286="acté"),Synthese_Programme!K286,""),"")</f>
        <v/>
      </c>
      <c r="E286" s="239" t="str">
        <f>IFERROR(IF(OR(Synthese_Programme!M286="Réservé",Synthese_Programme!M286="Acté",Synthese_Programme!M286="réservé",Synthese_Programme!M286="acté"),$D286*Parametres!E2,""),"")</f>
        <v/>
      </c>
      <c r="F286" s="240" t="str">
        <f>IFERROR(IF(Base_de_donnée_clients!J286="","",Base_de_donnée_clients!J286),"")</f>
        <v/>
      </c>
      <c r="G286" s="239" t="str">
        <f>IF($C286="","",IF(AND(Parametres!F3&lt;&gt;"",Synthese_Programme!M286="Acté"),$D286*Parametres!E3,""))</f>
        <v/>
      </c>
      <c r="H286" s="240"/>
      <c r="I286" s="239" t="str">
        <f>IF($C286="","",IF(AND(Parametres!F4&lt;&gt;"",Synthese_Programme!M286="Acté"),$D286*Parametres!E4,""))</f>
        <v/>
      </c>
      <c r="J286" s="240"/>
      <c r="K286" s="239" t="str">
        <f>IF($C286="","",IF(AND(Parametres!F5&lt;&gt;"",Synthese_Programme!M286="Acté"),$D286*Parametres!E5,""))</f>
        <v/>
      </c>
      <c r="L286" s="240"/>
      <c r="M286" s="239" t="str">
        <f>IF($C286="","",IF(AND(Parametres!F6&lt;&gt;"",Synthese_Programme!M286="Acté"),$D286*Parametres!E6,""))</f>
        <v/>
      </c>
      <c r="N286" s="240"/>
      <c r="O286" s="239" t="str">
        <f>IF($C286="","",IF(AND(Parametres!F7&lt;&gt;"",Synthese_Programme!M286="Acté"),$D286*Parametres!E7,""))</f>
        <v/>
      </c>
      <c r="P286" s="240"/>
      <c r="Q286" s="226" t="str">
        <f t="shared" si="12"/>
        <v/>
      </c>
      <c r="R286" s="226" t="str">
        <f t="shared" si="13"/>
        <v/>
      </c>
      <c r="S286" s="226" t="str">
        <f t="shared" si="14"/>
        <v/>
      </c>
    </row>
    <row r="287" spans="1:19" ht="24" customHeight="1" x14ac:dyDescent="0.45">
      <c r="A287" s="237" t="str">
        <f>IFERROR(IF(Base_de_donnée_clients!A287="","",Base_de_donnée_clients!A287),"")</f>
        <v/>
      </c>
      <c r="B287" s="226" t="str">
        <f>IFERROR(IF(Base_de_donnée_clients!B287="","",Base_de_donnée_clients!B287),"")</f>
        <v/>
      </c>
      <c r="C287" s="226" t="str">
        <f>IFERROR(IF(Base_de_donnée_clients!C287="","",Base_de_donnée_clients!C287),"")</f>
        <v/>
      </c>
      <c r="D287" s="238" t="str">
        <f>IFERROR(IF(OR(Synthese_Programme!M287="Réservé",Synthese_Programme!M287="Acté",Synthese_Programme!M287="réservé",Synthese_Programme!M287="acté"),Synthese_Programme!K287,""),"")</f>
        <v/>
      </c>
      <c r="E287" s="239" t="str">
        <f>IFERROR(IF(OR(Synthese_Programme!M287="Réservé",Synthese_Programme!M287="Acté",Synthese_Programme!M287="réservé",Synthese_Programme!M287="acté"),$D287*Parametres!E2,""),"")</f>
        <v/>
      </c>
      <c r="F287" s="240" t="str">
        <f>IFERROR(IF(Base_de_donnée_clients!J287="","",Base_de_donnée_clients!J287),"")</f>
        <v/>
      </c>
      <c r="G287" s="239" t="str">
        <f>IF($C287="","",IF(AND(Parametres!F3&lt;&gt;"",Synthese_Programme!M287="Acté"),$D287*Parametres!E3,""))</f>
        <v/>
      </c>
      <c r="H287" s="240"/>
      <c r="I287" s="239" t="str">
        <f>IF($C287="","",IF(AND(Parametres!F4&lt;&gt;"",Synthese_Programme!M287="Acté"),$D287*Parametres!E4,""))</f>
        <v/>
      </c>
      <c r="J287" s="240"/>
      <c r="K287" s="239" t="str">
        <f>IF($C287="","",IF(AND(Parametres!F5&lt;&gt;"",Synthese_Programme!M287="Acté"),$D287*Parametres!E5,""))</f>
        <v/>
      </c>
      <c r="L287" s="240"/>
      <c r="M287" s="239" t="str">
        <f>IF($C287="","",IF(AND(Parametres!F6&lt;&gt;"",Synthese_Programme!M287="Acté"),$D287*Parametres!E6,""))</f>
        <v/>
      </c>
      <c r="N287" s="240"/>
      <c r="O287" s="239" t="str">
        <f>IF($C287="","",IF(AND(Parametres!F7&lt;&gt;"",Synthese_Programme!M287="Acté"),$D287*Parametres!E7,""))</f>
        <v/>
      </c>
      <c r="P287" s="240"/>
      <c r="Q287" s="226" t="str">
        <f t="shared" si="12"/>
        <v/>
      </c>
      <c r="R287" s="226" t="str">
        <f t="shared" si="13"/>
        <v/>
      </c>
      <c r="S287" s="226" t="str">
        <f t="shared" si="14"/>
        <v/>
      </c>
    </row>
    <row r="288" spans="1:19" ht="24" customHeight="1" x14ac:dyDescent="0.45">
      <c r="A288" s="237" t="str">
        <f>IFERROR(IF(Base_de_donnée_clients!A288="","",Base_de_donnée_clients!A288),"")</f>
        <v/>
      </c>
      <c r="B288" s="226" t="str">
        <f>IFERROR(IF(Base_de_donnée_clients!B288="","",Base_de_donnée_clients!B288),"")</f>
        <v/>
      </c>
      <c r="C288" s="226" t="str">
        <f>IFERROR(IF(Base_de_donnée_clients!C288="","",Base_de_donnée_clients!C288),"")</f>
        <v/>
      </c>
      <c r="D288" s="238" t="str">
        <f>IFERROR(IF(OR(Synthese_Programme!M288="Réservé",Synthese_Programme!M288="Acté",Synthese_Programme!M288="réservé",Synthese_Programme!M288="acté"),Synthese_Programme!K288,""),"")</f>
        <v/>
      </c>
      <c r="E288" s="239" t="str">
        <f>IFERROR(IF(OR(Synthese_Programme!M288="Réservé",Synthese_Programme!M288="Acté",Synthese_Programme!M288="réservé",Synthese_Programme!M288="acté"),$D288*Parametres!E2,""),"")</f>
        <v/>
      </c>
      <c r="F288" s="240" t="str">
        <f>IFERROR(IF(Base_de_donnée_clients!J288="","",Base_de_donnée_clients!J288),"")</f>
        <v/>
      </c>
      <c r="G288" s="239" t="str">
        <f>IF($C288="","",IF(AND(Parametres!F3&lt;&gt;"",Synthese_Programme!M288="Acté"),$D288*Parametres!E3,""))</f>
        <v/>
      </c>
      <c r="H288" s="240"/>
      <c r="I288" s="239" t="str">
        <f>IF($C288="","",IF(AND(Parametres!F4&lt;&gt;"",Synthese_Programme!M288="Acté"),$D288*Parametres!E4,""))</f>
        <v/>
      </c>
      <c r="J288" s="240"/>
      <c r="K288" s="239" t="str">
        <f>IF($C288="","",IF(AND(Parametres!F5&lt;&gt;"",Synthese_Programme!M288="Acté"),$D288*Parametres!E5,""))</f>
        <v/>
      </c>
      <c r="L288" s="240"/>
      <c r="M288" s="239" t="str">
        <f>IF($C288="","",IF(AND(Parametres!F6&lt;&gt;"",Synthese_Programme!M288="Acté"),$D288*Parametres!E6,""))</f>
        <v/>
      </c>
      <c r="N288" s="240"/>
      <c r="O288" s="239" t="str">
        <f>IF($C288="","",IF(AND(Parametres!F7&lt;&gt;"",Synthese_Programme!M288="Acté"),$D288*Parametres!E7,""))</f>
        <v/>
      </c>
      <c r="P288" s="240"/>
      <c r="Q288" s="226" t="str">
        <f t="shared" si="12"/>
        <v/>
      </c>
      <c r="R288" s="226" t="str">
        <f t="shared" si="13"/>
        <v/>
      </c>
      <c r="S288" s="226" t="str">
        <f t="shared" si="14"/>
        <v/>
      </c>
    </row>
    <row r="289" spans="1:19" ht="24" customHeight="1" x14ac:dyDescent="0.45">
      <c r="A289" s="237" t="str">
        <f>IFERROR(IF(Base_de_donnée_clients!A289="","",Base_de_donnée_clients!A289),"")</f>
        <v/>
      </c>
      <c r="B289" s="226" t="str">
        <f>IFERROR(IF(Base_de_donnée_clients!B289="","",Base_de_donnée_clients!B289),"")</f>
        <v/>
      </c>
      <c r="C289" s="226" t="str">
        <f>IFERROR(IF(Base_de_donnée_clients!C289="","",Base_de_donnée_clients!C289),"")</f>
        <v/>
      </c>
      <c r="D289" s="238" t="str">
        <f>IFERROR(IF(OR(Synthese_Programme!M289="Réservé",Synthese_Programme!M289="Acté",Synthese_Programme!M289="réservé",Synthese_Programme!M289="acté"),Synthese_Programme!K289,""),"")</f>
        <v/>
      </c>
      <c r="E289" s="239" t="str">
        <f>IFERROR(IF(OR(Synthese_Programme!M289="Réservé",Synthese_Programme!M289="Acté",Synthese_Programme!M289="réservé",Synthese_Programme!M289="acté"),$D289*Parametres!E2,""),"")</f>
        <v/>
      </c>
      <c r="F289" s="240" t="str">
        <f>IFERROR(IF(Base_de_donnée_clients!J289="","",Base_de_donnée_clients!J289),"")</f>
        <v/>
      </c>
      <c r="G289" s="239" t="str">
        <f>IF($C289="","",IF(AND(Parametres!F3&lt;&gt;"",Synthese_Programme!M289="Acté"),$D289*Parametres!E3,""))</f>
        <v/>
      </c>
      <c r="H289" s="240"/>
      <c r="I289" s="239" t="str">
        <f>IF($C289="","",IF(AND(Parametres!F4&lt;&gt;"",Synthese_Programme!M289="Acté"),$D289*Parametres!E4,""))</f>
        <v/>
      </c>
      <c r="J289" s="240"/>
      <c r="K289" s="239" t="str">
        <f>IF($C289="","",IF(AND(Parametres!F5&lt;&gt;"",Synthese_Programme!M289="Acté"),$D289*Parametres!E5,""))</f>
        <v/>
      </c>
      <c r="L289" s="240"/>
      <c r="M289" s="239" t="str">
        <f>IF($C289="","",IF(AND(Parametres!F6&lt;&gt;"",Synthese_Programme!M289="Acté"),$D289*Parametres!E6,""))</f>
        <v/>
      </c>
      <c r="N289" s="240"/>
      <c r="O289" s="239" t="str">
        <f>IF($C289="","",IF(AND(Parametres!F7&lt;&gt;"",Synthese_Programme!M289="Acté"),$D289*Parametres!E7,""))</f>
        <v/>
      </c>
      <c r="P289" s="240"/>
      <c r="Q289" s="226" t="str">
        <f t="shared" si="12"/>
        <v/>
      </c>
      <c r="R289" s="226" t="str">
        <f t="shared" si="13"/>
        <v/>
      </c>
      <c r="S289" s="226" t="str">
        <f t="shared" si="14"/>
        <v/>
      </c>
    </row>
    <row r="290" spans="1:19" ht="24" customHeight="1" x14ac:dyDescent="0.45">
      <c r="A290" s="237" t="str">
        <f>IFERROR(IF(Base_de_donnée_clients!A290="","",Base_de_donnée_clients!A290),"")</f>
        <v/>
      </c>
      <c r="B290" s="226" t="str">
        <f>IFERROR(IF(Base_de_donnée_clients!B290="","",Base_de_donnée_clients!B290),"")</f>
        <v/>
      </c>
      <c r="C290" s="226" t="str">
        <f>IFERROR(IF(Base_de_donnée_clients!C290="","",Base_de_donnée_clients!C290),"")</f>
        <v/>
      </c>
      <c r="D290" s="238" t="str">
        <f>IFERROR(IF(OR(Synthese_Programme!M290="Réservé",Synthese_Programme!M290="Acté",Synthese_Programme!M290="réservé",Synthese_Programme!M290="acté"),Synthese_Programme!K290,""),"")</f>
        <v/>
      </c>
      <c r="E290" s="239" t="str">
        <f>IFERROR(IF(OR(Synthese_Programme!M290="Réservé",Synthese_Programme!M290="Acté",Synthese_Programme!M290="réservé",Synthese_Programme!M290="acté"),$D290*Parametres!E2,""),"")</f>
        <v/>
      </c>
      <c r="F290" s="240" t="str">
        <f>IFERROR(IF(Base_de_donnée_clients!J290="","",Base_de_donnée_clients!J290),"")</f>
        <v/>
      </c>
      <c r="G290" s="239" t="str">
        <f>IF($C290="","",IF(AND(Parametres!F3&lt;&gt;"",Synthese_Programme!M290="Acté"),$D290*Parametres!E3,""))</f>
        <v/>
      </c>
      <c r="H290" s="240"/>
      <c r="I290" s="239" t="str">
        <f>IF($C290="","",IF(AND(Parametres!F4&lt;&gt;"",Synthese_Programme!M290="Acté"),$D290*Parametres!E4,""))</f>
        <v/>
      </c>
      <c r="J290" s="240"/>
      <c r="K290" s="239" t="str">
        <f>IF($C290="","",IF(AND(Parametres!F5&lt;&gt;"",Synthese_Programme!M290="Acté"),$D290*Parametres!E5,""))</f>
        <v/>
      </c>
      <c r="L290" s="240"/>
      <c r="M290" s="239" t="str">
        <f>IF($C290="","",IF(AND(Parametres!F6&lt;&gt;"",Synthese_Programme!M290="Acté"),$D290*Parametres!E6,""))</f>
        <v/>
      </c>
      <c r="N290" s="240"/>
      <c r="O290" s="239" t="str">
        <f>IF($C290="","",IF(AND(Parametres!F7&lt;&gt;"",Synthese_Programme!M290="Acté"),$D290*Parametres!E7,""))</f>
        <v/>
      </c>
      <c r="P290" s="240"/>
      <c r="Q290" s="226" t="str">
        <f t="shared" si="12"/>
        <v/>
      </c>
      <c r="R290" s="226" t="str">
        <f t="shared" si="13"/>
        <v/>
      </c>
      <c r="S290" s="226" t="str">
        <f t="shared" si="14"/>
        <v/>
      </c>
    </row>
    <row r="291" spans="1:19" ht="24" customHeight="1" x14ac:dyDescent="0.45">
      <c r="A291" s="237" t="str">
        <f>IFERROR(IF(Base_de_donnée_clients!A291="","",Base_de_donnée_clients!A291),"")</f>
        <v/>
      </c>
      <c r="B291" s="226" t="str">
        <f>IFERROR(IF(Base_de_donnée_clients!B291="","",Base_de_donnée_clients!B291),"")</f>
        <v/>
      </c>
      <c r="C291" s="226" t="str">
        <f>IFERROR(IF(Base_de_donnée_clients!C291="","",Base_de_donnée_clients!C291),"")</f>
        <v/>
      </c>
      <c r="D291" s="238" t="str">
        <f>IFERROR(IF(OR(Synthese_Programme!M291="Réservé",Synthese_Programme!M291="Acté",Synthese_Programme!M291="réservé",Synthese_Programme!M291="acté"),Synthese_Programme!K291,""),"")</f>
        <v/>
      </c>
      <c r="E291" s="239" t="str">
        <f>IFERROR(IF(OR(Synthese_Programme!M291="Réservé",Synthese_Programme!M291="Acté",Synthese_Programme!M291="réservé",Synthese_Programme!M291="acté"),$D291*Parametres!E2,""),"")</f>
        <v/>
      </c>
      <c r="F291" s="240" t="str">
        <f>IFERROR(IF(Base_de_donnée_clients!J291="","",Base_de_donnée_clients!J291),"")</f>
        <v/>
      </c>
      <c r="G291" s="239" t="str">
        <f>IF($C291="","",IF(AND(Parametres!F3&lt;&gt;"",Synthese_Programme!M291="Acté"),$D291*Parametres!E3,""))</f>
        <v/>
      </c>
      <c r="H291" s="240"/>
      <c r="I291" s="239" t="str">
        <f>IF($C291="","",IF(AND(Parametres!F4&lt;&gt;"",Synthese_Programme!M291="Acté"),$D291*Parametres!E4,""))</f>
        <v/>
      </c>
      <c r="J291" s="240"/>
      <c r="K291" s="239" t="str">
        <f>IF($C291="","",IF(AND(Parametres!F5&lt;&gt;"",Synthese_Programme!M291="Acté"),$D291*Parametres!E5,""))</f>
        <v/>
      </c>
      <c r="L291" s="240"/>
      <c r="M291" s="239" t="str">
        <f>IF($C291="","",IF(AND(Parametres!F6&lt;&gt;"",Synthese_Programme!M291="Acté"),$D291*Parametres!E6,""))</f>
        <v/>
      </c>
      <c r="N291" s="240"/>
      <c r="O291" s="239" t="str">
        <f>IF($C291="","",IF(AND(Parametres!F7&lt;&gt;"",Synthese_Programme!M291="Acté"),$D291*Parametres!E7,""))</f>
        <v/>
      </c>
      <c r="P291" s="240"/>
      <c r="Q291" s="226" t="str">
        <f t="shared" si="12"/>
        <v/>
      </c>
      <c r="R291" s="226" t="str">
        <f t="shared" si="13"/>
        <v/>
      </c>
      <c r="S291" s="226" t="str">
        <f t="shared" si="14"/>
        <v/>
      </c>
    </row>
    <row r="292" spans="1:19" ht="24" customHeight="1" x14ac:dyDescent="0.45">
      <c r="A292" s="237" t="str">
        <f>IFERROR(IF(Base_de_donnée_clients!A292="","",Base_de_donnée_clients!A292),"")</f>
        <v/>
      </c>
      <c r="B292" s="226" t="str">
        <f>IFERROR(IF(Base_de_donnée_clients!B292="","",Base_de_donnée_clients!B292),"")</f>
        <v/>
      </c>
      <c r="C292" s="226" t="str">
        <f>IFERROR(IF(Base_de_donnée_clients!C292="","",Base_de_donnée_clients!C292),"")</f>
        <v/>
      </c>
      <c r="D292" s="238" t="str">
        <f>IFERROR(IF(OR(Synthese_Programme!M292="Réservé",Synthese_Programme!M292="Acté",Synthese_Programme!M292="réservé",Synthese_Programme!M292="acté"),Synthese_Programme!K292,""),"")</f>
        <v/>
      </c>
      <c r="E292" s="239" t="str">
        <f>IFERROR(IF(OR(Synthese_Programme!M292="Réservé",Synthese_Programme!M292="Acté",Synthese_Programme!M292="réservé",Synthese_Programme!M292="acté"),$D292*Parametres!E2,""),"")</f>
        <v/>
      </c>
      <c r="F292" s="240" t="str">
        <f>IFERROR(IF(Base_de_donnée_clients!J292="","",Base_de_donnée_clients!J292),"")</f>
        <v/>
      </c>
      <c r="G292" s="239" t="str">
        <f>IF($C292="","",IF(AND(Parametres!F3&lt;&gt;"",Synthese_Programme!M292="Acté"),$D292*Parametres!E3,""))</f>
        <v/>
      </c>
      <c r="H292" s="240"/>
      <c r="I292" s="239" t="str">
        <f>IF($C292="","",IF(AND(Parametres!F4&lt;&gt;"",Synthese_Programme!M292="Acté"),$D292*Parametres!E4,""))</f>
        <v/>
      </c>
      <c r="J292" s="240"/>
      <c r="K292" s="239" t="str">
        <f>IF($C292="","",IF(AND(Parametres!F5&lt;&gt;"",Synthese_Programme!M292="Acté"),$D292*Parametres!E5,""))</f>
        <v/>
      </c>
      <c r="L292" s="240"/>
      <c r="M292" s="239" t="str">
        <f>IF($C292="","",IF(AND(Parametres!F6&lt;&gt;"",Synthese_Programme!M292="Acté"),$D292*Parametres!E6,""))</f>
        <v/>
      </c>
      <c r="N292" s="240"/>
      <c r="O292" s="239" t="str">
        <f>IF($C292="","",IF(AND(Parametres!F7&lt;&gt;"",Synthese_Programme!M292="Acté"),$D292*Parametres!E7,""))</f>
        <v/>
      </c>
      <c r="P292" s="240"/>
      <c r="Q292" s="226" t="str">
        <f t="shared" si="12"/>
        <v/>
      </c>
      <c r="R292" s="226" t="str">
        <f t="shared" si="13"/>
        <v/>
      </c>
      <c r="S292" s="226" t="str">
        <f t="shared" si="14"/>
        <v/>
      </c>
    </row>
    <row r="293" spans="1:19" ht="24" customHeight="1" x14ac:dyDescent="0.45">
      <c r="A293" s="237" t="str">
        <f>IFERROR(IF(Base_de_donnée_clients!A293="","",Base_de_donnée_clients!A293),"")</f>
        <v/>
      </c>
      <c r="B293" s="226" t="str">
        <f>IFERROR(IF(Base_de_donnée_clients!B293="","",Base_de_donnée_clients!B293),"")</f>
        <v/>
      </c>
      <c r="C293" s="226" t="str">
        <f>IFERROR(IF(Base_de_donnée_clients!C293="","",Base_de_donnée_clients!C293),"")</f>
        <v/>
      </c>
      <c r="D293" s="238" t="str">
        <f>IFERROR(IF(OR(Synthese_Programme!M293="Réservé",Synthese_Programme!M293="Acté",Synthese_Programme!M293="réservé",Synthese_Programme!M293="acté"),Synthese_Programme!K293,""),"")</f>
        <v/>
      </c>
      <c r="E293" s="239" t="str">
        <f>IFERROR(IF(OR(Synthese_Programme!M293="Réservé",Synthese_Programme!M293="Acté",Synthese_Programme!M293="réservé",Synthese_Programme!M293="acté"),$D293*Parametres!E2,""),"")</f>
        <v/>
      </c>
      <c r="F293" s="240" t="str">
        <f>IFERROR(IF(Base_de_donnée_clients!J293="","",Base_de_donnée_clients!J293),"")</f>
        <v/>
      </c>
      <c r="G293" s="239" t="str">
        <f>IF($C293="","",IF(AND(Parametres!F3&lt;&gt;"",Synthese_Programme!M293="Acté"),$D293*Parametres!E3,""))</f>
        <v/>
      </c>
      <c r="H293" s="240"/>
      <c r="I293" s="239" t="str">
        <f>IF($C293="","",IF(AND(Parametres!F4&lt;&gt;"",Synthese_Programme!M293="Acté"),$D293*Parametres!E4,""))</f>
        <v/>
      </c>
      <c r="J293" s="240"/>
      <c r="K293" s="239" t="str">
        <f>IF($C293="","",IF(AND(Parametres!F5&lt;&gt;"",Synthese_Programme!M293="Acté"),$D293*Parametres!E5,""))</f>
        <v/>
      </c>
      <c r="L293" s="240"/>
      <c r="M293" s="239" t="str">
        <f>IF($C293="","",IF(AND(Parametres!F6&lt;&gt;"",Synthese_Programme!M293="Acté"),$D293*Parametres!E6,""))</f>
        <v/>
      </c>
      <c r="N293" s="240"/>
      <c r="O293" s="239" t="str">
        <f>IF($C293="","",IF(AND(Parametres!F7&lt;&gt;"",Synthese_Programme!M293="Acté"),$D293*Parametres!E7,""))</f>
        <v/>
      </c>
      <c r="P293" s="240"/>
      <c r="Q293" s="226" t="str">
        <f t="shared" si="12"/>
        <v/>
      </c>
      <c r="R293" s="226" t="str">
        <f t="shared" si="13"/>
        <v/>
      </c>
      <c r="S293" s="226" t="str">
        <f t="shared" si="14"/>
        <v/>
      </c>
    </row>
    <row r="294" spans="1:19" ht="24" customHeight="1" x14ac:dyDescent="0.45">
      <c r="A294" s="226" t="str">
        <f>IFERROR(IF(Base_de_donnée_clients!#REF!="","",Base_de_donnée_clients!#REF!),"")</f>
        <v/>
      </c>
      <c r="B294" s="226" t="str">
        <f>IFERROR(IF(Base_de_donnée_clients!#REF!="","",Base_de_donnée_clients!#REF!),"")</f>
        <v/>
      </c>
      <c r="C294" s="226" t="str">
        <f>IFERROR(IF(Base_de_donnée_clients!#REF!="","",Base_de_donnée_clients!#REF!),"")</f>
        <v/>
      </c>
      <c r="D294" s="238" t="str">
        <f>IFERROR(IF(OR(Synthese_Programme!#REF!="Réservé",Synthese_Programme!#REF!="Acté",Synthese_Programme!#REF!="réservé",Synthese_Programme!#REF!="acté"),Synthese_Programme!#REF!,""),"")</f>
        <v/>
      </c>
      <c r="E294" s="226"/>
      <c r="F294" s="241"/>
      <c r="G294" s="226"/>
      <c r="H294" s="241"/>
      <c r="I294" s="226"/>
      <c r="J294" s="241"/>
      <c r="K294" s="238"/>
      <c r="L294" s="241"/>
      <c r="M294" s="238"/>
      <c r="N294" s="241"/>
      <c r="O294" s="226"/>
      <c r="P294" s="241"/>
      <c r="Q294" s="226"/>
      <c r="R294" s="226"/>
      <c r="S294" s="226"/>
    </row>
    <row r="295" spans="1:19" ht="24" customHeight="1" x14ac:dyDescent="0.45">
      <c r="A295" s="226" t="str">
        <f>IFERROR(IF(Base_de_donnée_clients!#REF!="","",Base_de_donnée_clients!#REF!),"")</f>
        <v/>
      </c>
      <c r="B295" s="226" t="str">
        <f>IFERROR(IF(Base_de_donnée_clients!#REF!="","",Base_de_donnée_clients!#REF!),"")</f>
        <v/>
      </c>
      <c r="C295" s="226" t="str">
        <f>IFERROR(IF(Base_de_donnée_clients!#REF!="","",Base_de_donnée_clients!#REF!),"")</f>
        <v/>
      </c>
      <c r="D295" s="238" t="str">
        <f>IFERROR(IF(OR(Synthese_Programme!#REF!="Réservé",Synthese_Programme!#REF!="Acté",Synthese_Programme!#REF!="réservé",Synthese_Programme!#REF!="acté"),Synthese_Programme!#REF!,""),"")</f>
        <v/>
      </c>
      <c r="E295" s="226"/>
      <c r="F295" s="241"/>
      <c r="G295" s="226"/>
      <c r="H295" s="241"/>
      <c r="I295" s="226"/>
      <c r="J295" s="241"/>
      <c r="K295" s="238"/>
      <c r="L295" s="241"/>
      <c r="M295" s="238"/>
      <c r="N295" s="241"/>
      <c r="O295" s="226"/>
      <c r="P295" s="241"/>
      <c r="Q295" s="226"/>
      <c r="R295" s="226"/>
      <c r="S295" s="226"/>
    </row>
    <row r="296" spans="1:19" ht="24" customHeight="1" x14ac:dyDescent="0.45">
      <c r="A296" s="226" t="str">
        <f>IFERROR(IF(Base_de_donnée_clients!#REF!="","",Base_de_donnée_clients!#REF!),"")</f>
        <v/>
      </c>
      <c r="B296" s="226" t="str">
        <f>IFERROR(IF(Base_de_donnée_clients!#REF!="","",Base_de_donnée_clients!#REF!),"")</f>
        <v/>
      </c>
      <c r="C296" s="226" t="str">
        <f>IFERROR(IF(Base_de_donnée_clients!#REF!="","",Base_de_donnée_clients!#REF!),"")</f>
        <v/>
      </c>
      <c r="D296" s="238" t="str">
        <f>IFERROR(IF(OR(Synthese_Programme!#REF!="Réservé",Synthese_Programme!#REF!="Acté",Synthese_Programme!#REF!="réservé",Synthese_Programme!#REF!="acté"),Synthese_Programme!#REF!,""),"")</f>
        <v/>
      </c>
      <c r="E296" s="226"/>
      <c r="F296" s="241"/>
      <c r="G296" s="226"/>
      <c r="H296" s="241"/>
      <c r="I296" s="226"/>
      <c r="J296" s="241"/>
      <c r="K296" s="238"/>
      <c r="L296" s="241"/>
      <c r="M296" s="238"/>
      <c r="N296" s="241"/>
      <c r="O296" s="226"/>
      <c r="P296" s="241"/>
      <c r="Q296" s="226"/>
      <c r="R296" s="226"/>
      <c r="S296" s="226"/>
    </row>
    <row r="297" spans="1:19" ht="24" customHeight="1" x14ac:dyDescent="0.45">
      <c r="A297" s="226" t="str">
        <f>IFERROR(IF(Base_de_donnée_clients!#REF!="","",Base_de_donnée_clients!#REF!),"")</f>
        <v/>
      </c>
      <c r="B297" s="226" t="str">
        <f>IFERROR(IF(Base_de_donnée_clients!#REF!="","",Base_de_donnée_clients!#REF!),"")</f>
        <v/>
      </c>
      <c r="C297" s="226" t="str">
        <f>IFERROR(IF(Base_de_donnée_clients!#REF!="","",Base_de_donnée_clients!#REF!),"")</f>
        <v/>
      </c>
      <c r="D297" s="238" t="str">
        <f>IFERROR(IF(OR(Synthese_Programme!#REF!="Réservé",Synthese_Programme!#REF!="Acté",Synthese_Programme!#REF!="réservé",Synthese_Programme!#REF!="acté"),Synthese_Programme!#REF!,""),"")</f>
        <v/>
      </c>
      <c r="E297" s="226"/>
      <c r="F297" s="241"/>
      <c r="G297" s="226"/>
      <c r="H297" s="241"/>
      <c r="I297" s="226"/>
      <c r="J297" s="241"/>
      <c r="K297" s="238"/>
      <c r="L297" s="241"/>
      <c r="M297" s="238"/>
      <c r="N297" s="241"/>
      <c r="O297" s="226"/>
      <c r="P297" s="241"/>
      <c r="Q297" s="226"/>
      <c r="R297" s="226"/>
      <c r="S297" s="226"/>
    </row>
    <row r="298" spans="1:19" ht="24" customHeight="1" x14ac:dyDescent="0.45">
      <c r="A298" s="226" t="str">
        <f>IFERROR(IF(Base_de_donnée_clients!#REF!="","",Base_de_donnée_clients!#REF!),"")</f>
        <v/>
      </c>
      <c r="B298" s="226" t="str">
        <f>IFERROR(IF(Base_de_donnée_clients!#REF!="","",Base_de_donnée_clients!#REF!),"")</f>
        <v/>
      </c>
      <c r="C298" s="226" t="str">
        <f>IFERROR(IF(Base_de_donnée_clients!#REF!="","",Base_de_donnée_clients!#REF!),"")</f>
        <v/>
      </c>
      <c r="D298" s="238" t="str">
        <f>IFERROR(IF(OR(Synthese_Programme!#REF!="Réservé",Synthese_Programme!#REF!="Acté",Synthese_Programme!#REF!="réservé",Synthese_Programme!#REF!="acté"),Synthese_Programme!#REF!,""),"")</f>
        <v/>
      </c>
      <c r="E298" s="226"/>
      <c r="F298" s="241"/>
      <c r="G298" s="226"/>
      <c r="H298" s="241"/>
      <c r="I298" s="226"/>
      <c r="J298" s="241"/>
      <c r="K298" s="238"/>
      <c r="L298" s="241"/>
      <c r="M298" s="238"/>
      <c r="N298" s="241"/>
      <c r="O298" s="226"/>
      <c r="P298" s="241"/>
      <c r="Q298" s="226"/>
      <c r="R298" s="226"/>
      <c r="S298" s="226"/>
    </row>
    <row r="299" spans="1:19" ht="24" customHeight="1" thickBot="1" x14ac:dyDescent="0.5">
      <c r="A299" s="226" t="str">
        <f>IFERROR(IF(Base_de_donnée_clients!#REF!="","",Base_de_donnée_clients!#REF!),"")</f>
        <v/>
      </c>
      <c r="B299" s="226" t="str">
        <f>IFERROR(IF(Base_de_donnée_clients!#REF!="","",Base_de_donnée_clients!#REF!),"")</f>
        <v/>
      </c>
      <c r="C299" s="226" t="str">
        <f>IFERROR(IF(Base_de_donnée_clients!#REF!="","",Base_de_donnée_clients!#REF!),"")</f>
        <v/>
      </c>
      <c r="D299" s="238" t="str">
        <f>IFERROR(IF(OR(Synthese_Programme!#REF!="Réservé",Synthese_Programme!#REF!="Acté",Synthese_Programme!#REF!="réservé",Synthese_Programme!#REF!="acté"),Synthese_Programme!#REF!,""),"")</f>
        <v/>
      </c>
      <c r="E299" s="226"/>
      <c r="F299" s="241"/>
      <c r="G299" s="226"/>
      <c r="H299" s="241"/>
      <c r="I299" s="226"/>
      <c r="J299" s="241"/>
      <c r="K299" s="238"/>
      <c r="L299" s="241"/>
      <c r="M299" s="238"/>
      <c r="N299" s="241"/>
      <c r="O299" s="226"/>
      <c r="P299" s="241"/>
      <c r="Q299" s="226"/>
      <c r="R299" s="226"/>
      <c r="S299" s="226"/>
    </row>
    <row r="300" spans="1:19" ht="26" customHeight="1" x14ac:dyDescent="0.45">
      <c r="C300" s="232" t="s">
        <v>160</v>
      </c>
      <c r="D300" s="105">
        <v>2487000</v>
      </c>
      <c r="E300" s="105">
        <v>124350</v>
      </c>
      <c r="F300" s="233"/>
      <c r="G300" s="105">
        <v>312000</v>
      </c>
      <c r="H300" s="233"/>
      <c r="I300" s="105">
        <v>190000</v>
      </c>
      <c r="J300" s="233"/>
      <c r="K300" s="105">
        <v>117000</v>
      </c>
      <c r="L300" s="233"/>
      <c r="M300" s="105">
        <v>0</v>
      </c>
      <c r="N300" s="233"/>
      <c r="O300" s="105">
        <v>0</v>
      </c>
      <c r="P300" s="233"/>
      <c r="Q300" s="105">
        <v>1743650</v>
      </c>
      <c r="R300" s="105">
        <v>743350</v>
      </c>
      <c r="S300" s="236">
        <v>1743650</v>
      </c>
    </row>
    <row r="301" spans="1:19" ht="26" customHeight="1" x14ac:dyDescent="0.45">
      <c r="C301" s="231" t="s">
        <v>161</v>
      </c>
      <c r="D301" s="229">
        <v>497400</v>
      </c>
      <c r="E301" s="229">
        <v>24870</v>
      </c>
      <c r="F301" s="230"/>
      <c r="G301" s="229">
        <v>62400</v>
      </c>
      <c r="H301" s="230"/>
      <c r="I301" s="229">
        <v>38000</v>
      </c>
      <c r="J301" s="230"/>
      <c r="K301" s="229">
        <v>23400</v>
      </c>
      <c r="L301" s="230"/>
      <c r="M301" s="229">
        <v>0</v>
      </c>
      <c r="N301" s="230"/>
      <c r="O301" s="229">
        <v>0</v>
      </c>
      <c r="P301" s="230"/>
      <c r="Q301" s="229">
        <v>348730</v>
      </c>
      <c r="R301" s="229">
        <v>148670</v>
      </c>
      <c r="S301" s="138">
        <v>348730</v>
      </c>
    </row>
    <row r="302" spans="1:19" ht="26" customHeight="1" thickBot="1" x14ac:dyDescent="0.5">
      <c r="C302" s="234" t="s">
        <v>162</v>
      </c>
      <c r="D302" s="106">
        <v>1989600</v>
      </c>
      <c r="E302" s="106">
        <v>99480</v>
      </c>
      <c r="F302" s="235"/>
      <c r="G302" s="106">
        <v>249600</v>
      </c>
      <c r="H302" s="235"/>
      <c r="I302" s="106">
        <v>152000</v>
      </c>
      <c r="J302" s="235"/>
      <c r="K302" s="106">
        <v>93600</v>
      </c>
      <c r="L302" s="235"/>
      <c r="M302" s="106">
        <v>0</v>
      </c>
      <c r="N302" s="235"/>
      <c r="O302" s="106">
        <v>0</v>
      </c>
      <c r="P302" s="235"/>
      <c r="Q302" s="106">
        <v>1394920</v>
      </c>
      <c r="R302" s="106">
        <v>594680</v>
      </c>
      <c r="S302" s="139">
        <v>1394920</v>
      </c>
    </row>
  </sheetData>
  <sheetProtection algorithmName="SHA-512" hashValue="XBLFikfIGlMZtdD7z71IVek6bu9x4aX+qNItPs7czRJgcd8Lbg5ouLPAz5muIvByLb98inqM/BK2apzTIvPctA==" saltValue="+8AM+tQw1kKdsYsZCqiK9A==" spinCount="100000" sheet="1" objects="1" scenarios="1" sort="0" autoFilter="0"/>
  <mergeCells count="2">
    <mergeCell ref="A1:S1"/>
    <mergeCell ref="A2:S2"/>
  </mergeCells>
  <conditionalFormatting sqref="A8:S293">
    <cfRule type="expression" dxfId="24" priority="4">
      <formula>AND($S8=0,ROW()&lt;MATCH("Montant total TTC",$C:$C,0))</formula>
    </cfRule>
    <cfRule type="expression" dxfId="23" priority="5">
      <formula>MOD(ROW(),2)=0</formula>
    </cfRule>
  </conditionalFormatting>
  <conditionalFormatting sqref="F8:F293 H8:H293 J8:J293 L8:L293 N8:N293 P8:P293">
    <cfRule type="expression" dxfId="22" priority="1">
      <formula>AND(ROW()&lt;20,F8="",E8&lt;&gt;"")</formula>
    </cfRule>
  </conditionalFormatting>
  <printOptions horizontalCentered="1"/>
  <pageMargins left="0.39370078740157477" right="0.39370078740157477" top="0.39370078740157477" bottom="0.59055118110236215" header="0.19685039370078738" footer="0.31496062992125989"/>
  <pageSetup paperSize="9" scale="57" fitToHeight="0" orientation="landscape" horizontalDpi="0" verticalDpi="0" r:id="rId1"/>
  <headerFooter>
    <oddFooter>&amp;CDocument généré le 21/04/2026&amp;RPage 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PDF_AppelsDeFonds">
                <anchor moveWithCells="1" sizeWithCells="1">
                  <from>
                    <xdr:col>5</xdr:col>
                    <xdr:colOff>238125</xdr:colOff>
                    <xdr:row>2</xdr:row>
                    <xdr:rowOff>28575</xdr:rowOff>
                  </from>
                  <to>
                    <xdr:col>6</xdr:col>
                    <xdr:colOff>619125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pageSetUpPr fitToPage="1"/>
  </sheetPr>
  <dimension ref="A1:J178"/>
  <sheetViews>
    <sheetView topLeftCell="A13" zoomScaleNormal="100" workbookViewId="0">
      <selection activeCell="P9" sqref="P9"/>
    </sheetView>
  </sheetViews>
  <sheetFormatPr baseColWidth="10" defaultColWidth="9.06640625" defaultRowHeight="14.25" x14ac:dyDescent="0.45"/>
  <cols>
    <col min="1" max="1" width="22.59765625" customWidth="1"/>
    <col min="2" max="2" width="14.59765625" customWidth="1"/>
    <col min="3" max="3" width="22.59765625" customWidth="1"/>
    <col min="4" max="4" width="14.59765625" customWidth="1"/>
    <col min="5" max="5" width="22.59765625" customWidth="1"/>
    <col min="6" max="6" width="14.59765625" customWidth="1"/>
    <col min="7" max="7" width="22.59765625" customWidth="1"/>
    <col min="8" max="8" width="14.59765625" customWidth="1"/>
    <col min="9" max="9" width="9.86328125" customWidth="1"/>
    <col min="10" max="10" width="10.53125" customWidth="1"/>
  </cols>
  <sheetData>
    <row r="1" spans="1:10" s="2" customFormat="1" ht="40.15" customHeight="1" thickBot="1" x14ac:dyDescent="0.5">
      <c r="A1" s="164" t="s">
        <v>179</v>
      </c>
      <c r="B1" s="165"/>
      <c r="C1" s="165"/>
      <c r="D1" s="165"/>
      <c r="E1" s="165"/>
      <c r="F1" s="165"/>
      <c r="G1" s="165"/>
      <c r="H1" s="165"/>
      <c r="I1" s="165"/>
      <c r="J1" s="166"/>
    </row>
    <row r="2" spans="1:10" ht="80" customHeight="1" x14ac:dyDescent="0.45">
      <c r="A2" s="151" t="s">
        <v>190</v>
      </c>
      <c r="B2" s="151"/>
      <c r="C2" s="151"/>
      <c r="D2" s="151"/>
      <c r="E2" s="151"/>
      <c r="F2" s="151"/>
      <c r="G2" s="151"/>
      <c r="H2" s="151"/>
      <c r="I2" s="151"/>
      <c r="J2" s="151"/>
    </row>
    <row r="3" spans="1:10" ht="26" customHeight="1" x14ac:dyDescent="0.45">
      <c r="A3" s="107" t="s">
        <v>158</v>
      </c>
      <c r="B3" s="108" t="s">
        <v>196</v>
      </c>
      <c r="C3" s="109" t="s">
        <v>2</v>
      </c>
      <c r="D3" s="110">
        <v>12</v>
      </c>
      <c r="E3" s="18"/>
      <c r="F3" s="18"/>
      <c r="G3" s="44"/>
      <c r="I3" s="124"/>
      <c r="J3" s="116"/>
    </row>
    <row r="4" spans="1:10" ht="26" customHeight="1" x14ac:dyDescent="0.45">
      <c r="A4" s="117" t="s">
        <v>0</v>
      </c>
      <c r="B4" s="108" t="s">
        <v>153</v>
      </c>
      <c r="C4" s="109" t="s">
        <v>3</v>
      </c>
      <c r="D4" s="118">
        <v>46112</v>
      </c>
      <c r="E4" s="119"/>
      <c r="F4" s="18"/>
      <c r="G4" s="120"/>
      <c r="I4" s="124"/>
      <c r="J4" s="125"/>
    </row>
    <row r="5" spans="1:10" ht="26" customHeight="1" x14ac:dyDescent="0.45">
      <c r="A5" s="117" t="s">
        <v>1</v>
      </c>
      <c r="B5" s="108" t="s">
        <v>5</v>
      </c>
      <c r="C5" s="44"/>
      <c r="D5" s="44"/>
      <c r="E5" s="18"/>
      <c r="F5" s="18"/>
      <c r="G5" s="18"/>
      <c r="I5" s="18"/>
      <c r="J5" s="124"/>
    </row>
    <row r="6" spans="1:10" ht="26" customHeight="1" x14ac:dyDescent="0.45">
      <c r="A6" s="140"/>
      <c r="B6" s="141"/>
      <c r="C6" s="142"/>
      <c r="D6" s="142"/>
      <c r="E6" s="141"/>
      <c r="F6" s="141"/>
      <c r="G6" s="141"/>
      <c r="H6" s="143"/>
      <c r="I6" s="141"/>
      <c r="J6" s="141"/>
    </row>
    <row r="7" spans="1:10" ht="26" customHeight="1" x14ac:dyDescent="0.45">
      <c r="A7" s="167" t="s">
        <v>178</v>
      </c>
      <c r="B7" s="167"/>
      <c r="C7" s="167"/>
      <c r="D7" s="167"/>
      <c r="E7" s="167"/>
      <c r="F7" s="167"/>
      <c r="G7" s="167"/>
      <c r="H7" s="167"/>
      <c r="I7" s="167"/>
      <c r="J7" s="167"/>
    </row>
    <row r="8" spans="1:10" s="73" customFormat="1" ht="36.4" customHeight="1" x14ac:dyDescent="0.45">
      <c r="A8" s="70" t="s">
        <v>186</v>
      </c>
      <c r="B8" s="71"/>
      <c r="C8" s="70" t="s">
        <v>187</v>
      </c>
      <c r="D8" s="45"/>
      <c r="E8" s="72" t="s">
        <v>188</v>
      </c>
      <c r="F8" s="45"/>
      <c r="G8" s="72" t="s">
        <v>189</v>
      </c>
      <c r="I8" s="45"/>
      <c r="J8" s="45"/>
    </row>
    <row r="9" spans="1:10" s="73" customFormat="1" ht="26" customHeight="1" x14ac:dyDescent="0.45">
      <c r="A9" s="74">
        <f>(
SUMIFS(Synthese_Programme!K:K,Synthese_Programme!M:M,"Acté")
+
SUMIFS(Synthese_Programme!K:K,Synthese_Programme!M:M,"Réservé")
)
/
SUM(
SUMIFS(Synthese_Programme!K:K,Synthese_Programme!M:M,"Acté"),
SUMIFS(Synthese_Programme!K:K,Synthese_Programme!M:M,"Réservé"),
SUMIFS(Synthese_Programme!K:K,Synthese_Programme!M:M,"Option"),
SUMIFS(Synthese_Programme!K:K,Synthese_Programme!M:M,"Libre")
)</f>
        <v>0.58628005657708626</v>
      </c>
      <c r="B9" s="45"/>
      <c r="C9" s="75">
        <f>SUMIF(Synthese_Programme!M:M,"Acté",Synthese_Programme!K:K)</f>
        <v>1040000</v>
      </c>
      <c r="D9" s="45"/>
      <c r="E9" s="45">
        <f>COUNTIF(Synthese_Programme!M:M,"Libre")</f>
        <v>4</v>
      </c>
      <c r="F9" s="45"/>
      <c r="G9" s="45">
        <f>COUNTIF(Synthese_Programme!M:M,"Acté")</f>
        <v>3</v>
      </c>
      <c r="I9" s="45"/>
      <c r="J9" s="45"/>
    </row>
    <row r="10" spans="1:10" ht="13.15" customHeight="1" x14ac:dyDescent="0.45">
      <c r="A10" s="69"/>
      <c r="B10" s="18"/>
      <c r="C10" s="44"/>
      <c r="D10" s="44"/>
      <c r="E10" s="18"/>
      <c r="F10" s="18"/>
      <c r="G10" s="18"/>
      <c r="I10" s="18"/>
      <c r="J10" s="18"/>
    </row>
    <row r="11" spans="1:10" ht="26" customHeight="1" x14ac:dyDescent="0.45">
      <c r="A11" s="167" t="s">
        <v>168</v>
      </c>
      <c r="B11" s="167"/>
      <c r="C11" s="167"/>
      <c r="D11" s="167"/>
      <c r="E11" s="167"/>
      <c r="F11" s="167"/>
      <c r="G11" s="167"/>
      <c r="H11" s="167"/>
      <c r="I11" s="167"/>
      <c r="J11" s="167"/>
    </row>
    <row r="12" spans="1:10" s="73" customFormat="1" ht="26" customHeight="1" x14ac:dyDescent="0.45">
      <c r="A12" s="70" t="s">
        <v>180</v>
      </c>
      <c r="B12" s="71"/>
      <c r="C12" s="70" t="s">
        <v>181</v>
      </c>
      <c r="D12" s="45"/>
      <c r="E12" s="72" t="s">
        <v>182</v>
      </c>
      <c r="F12" s="45"/>
      <c r="G12" s="72" t="s">
        <v>170</v>
      </c>
      <c r="I12" s="45"/>
      <c r="J12" s="45"/>
    </row>
    <row r="13" spans="1:10" s="73" customFormat="1" ht="26" customHeight="1" x14ac:dyDescent="0.45">
      <c r="A13" s="76">
        <f>SUMIFS(Synthese_Programme!K:K,Synthese_Programme!M:M,"Acté")</f>
        <v>1040000</v>
      </c>
      <c r="B13" s="45"/>
      <c r="C13" s="76">
        <f>SUMIFS(Synthese_Programme!K:K,Synthese_Programme!M:M,"Réservé")</f>
        <v>1447000</v>
      </c>
      <c r="D13" s="45"/>
      <c r="E13" s="76">
        <f>SUMIFS(Synthese_Programme!K:K,Synthese_Programme!M:M,"Option")</f>
        <v>280000</v>
      </c>
      <c r="F13" s="45"/>
      <c r="G13" s="76">
        <f>SUMIFS(Synthese_Programme!K:K,Synthese_Programme!M:M,"Libre")</f>
        <v>1475000</v>
      </c>
      <c r="I13" s="45"/>
      <c r="J13" s="45"/>
    </row>
    <row r="14" spans="1:10" ht="13.9" customHeight="1" x14ac:dyDescent="0.45">
      <c r="A14" s="69"/>
      <c r="B14" s="18"/>
      <c r="C14" s="44"/>
      <c r="D14" s="44"/>
      <c r="E14" s="18"/>
      <c r="F14" s="18"/>
      <c r="G14" s="18"/>
      <c r="I14" s="18"/>
      <c r="J14" s="18"/>
    </row>
    <row r="15" spans="1:10" ht="26" customHeight="1" x14ac:dyDescent="0.45">
      <c r="A15" s="167" t="s">
        <v>169</v>
      </c>
      <c r="B15" s="167"/>
      <c r="C15" s="167"/>
      <c r="D15" s="167"/>
      <c r="E15" s="167"/>
      <c r="F15" s="167"/>
      <c r="G15" s="167"/>
      <c r="H15" s="167"/>
      <c r="I15" s="167"/>
      <c r="J15" s="167"/>
    </row>
    <row r="16" spans="1:10" s="73" customFormat="1" ht="28.9" customHeight="1" x14ac:dyDescent="0.45">
      <c r="A16" s="70" t="s">
        <v>185</v>
      </c>
      <c r="B16" s="71"/>
      <c r="C16" s="70" t="s">
        <v>184</v>
      </c>
      <c r="D16" s="45"/>
      <c r="E16" s="72" t="s">
        <v>183</v>
      </c>
      <c r="F16" s="45"/>
      <c r="G16" s="72"/>
      <c r="I16" s="45"/>
      <c r="J16" s="45"/>
    </row>
    <row r="17" spans="1:10" s="73" customFormat="1" ht="26" customHeight="1" x14ac:dyDescent="0.45">
      <c r="A17" s="77">
        <f>1 - (
SUMIFS(Synthese_Programme!K:K,Synthese_Programme!M:M,"Acté")
/
(
SUMIFS(Synthese_Programme!K:K,Synthese_Programme!M:M,"Libre")
+
SUMIFS(Synthese_Programme!K:K,Synthese_Programme!M:M,"Option")
+
SUMIFS(Synthese_Programme!K:K,Synthese_Programme!M:M,"Réservé")
+
SUMIFS(Synthese_Programme!K:K,Synthese_Programme!M:M,"Acté")
)
)</f>
        <v>0.75483262611975488</v>
      </c>
      <c r="B17" s="45"/>
      <c r="C17" s="76">
        <f>SUM(
SUMIFS(Synthese_Programme!K:K,Synthese_Programme!M:M,"Option"),
SUMIFS(Synthese_Programme!K:K,Synthese_Programme!M:M,"Réservé")
)</f>
        <v>1727000</v>
      </c>
      <c r="D17" s="45"/>
      <c r="E17" s="45">
        <f>COUNTIF(Synthese_Programme!M:M,"Option")
+COUNTIF(Synthese_Programme!M:M,"Réservé")</f>
        <v>5</v>
      </c>
      <c r="F17" s="45"/>
      <c r="G17" s="45"/>
      <c r="I17" s="45"/>
      <c r="J17" s="45"/>
    </row>
    <row r="18" spans="1:10" ht="12.4" customHeight="1" x14ac:dyDescent="0.45">
      <c r="A18" s="69"/>
      <c r="B18" s="18"/>
      <c r="C18" s="44"/>
      <c r="D18" s="44"/>
      <c r="E18" s="18"/>
      <c r="F18" s="18"/>
      <c r="G18" s="18"/>
      <c r="I18" s="18"/>
      <c r="J18" s="18"/>
    </row>
    <row r="19" spans="1:10" ht="26" customHeight="1" x14ac:dyDescent="0.45">
      <c r="A19" s="167" t="s">
        <v>171</v>
      </c>
      <c r="B19" s="167"/>
      <c r="C19" s="167"/>
      <c r="D19" s="167"/>
      <c r="E19" s="167"/>
      <c r="F19" s="167"/>
      <c r="G19" s="167"/>
      <c r="H19" s="167"/>
      <c r="I19" s="167"/>
      <c r="J19" s="167"/>
    </row>
    <row r="20" spans="1:10" s="73" customFormat="1" ht="26" customHeight="1" x14ac:dyDescent="0.45">
      <c r="A20" s="72" t="s">
        <v>40</v>
      </c>
      <c r="B20" s="72" t="s">
        <v>176</v>
      </c>
      <c r="C20" s="72"/>
      <c r="D20" s="72" t="s">
        <v>172</v>
      </c>
      <c r="E20" s="72"/>
      <c r="F20" s="72" t="s">
        <v>173</v>
      </c>
      <c r="G20" s="72"/>
      <c r="I20" s="45"/>
      <c r="J20" s="45"/>
    </row>
    <row r="21" spans="1:10" s="73" customFormat="1" ht="26" customHeight="1" x14ac:dyDescent="0.45">
      <c r="A21" s="78" t="s">
        <v>174</v>
      </c>
      <c r="B21" s="78">
        <f>COUNTIF(Synthese_Programme!M:M,"Libre")
+COUNTIF(Synthese_Programme!M:M,"Option")
+COUNTIF(Synthese_Programme!M:M,"Réservé")
+COUNTIF(Synthese_Programme!M:M,"Acté")</f>
        <v>12</v>
      </c>
      <c r="C21" s="78"/>
      <c r="D21" s="79">
        <f>SUM(
SUMIFS(Synthese_Programme!K:K,Synthese_Programme!M:M,"Libre"),
SUMIFS(Synthese_Programme!K:K,Synthese_Programme!M:M,"Option"),
SUMIFS(Synthese_Programme!K:K,Synthese_Programme!M:M,"Réservé"),
SUMIFS(Synthese_Programme!K:K,Synthese_Programme!M:M,"Acté")
)</f>
        <v>4242000</v>
      </c>
      <c r="E21" s="80"/>
      <c r="F21" s="80">
        <v>1</v>
      </c>
      <c r="G21" s="80"/>
      <c r="I21" s="45"/>
      <c r="J21" s="45"/>
    </row>
    <row r="22" spans="1:10" s="73" customFormat="1" ht="26" customHeight="1" x14ac:dyDescent="0.45">
      <c r="A22" s="45" t="s">
        <v>67</v>
      </c>
      <c r="B22" s="45">
        <f>COUNTIF(Synthese_Programme!M:M,"Libre")</f>
        <v>4</v>
      </c>
      <c r="C22" s="45"/>
      <c r="D22" s="76">
        <f>SUMIFS(Synthese_Programme!K:K,Synthese_Programme!M:M,"Libre")</f>
        <v>1475000</v>
      </c>
      <c r="E22" s="77"/>
      <c r="F22" s="77">
        <f>SUMIFS(Synthese_Programme!K:K,Synthese_Programme!M:M,"Libre")
/
SUM(
SUMIFS(Synthese_Programme!K:K,Synthese_Programme!M:M,"Libre"),
SUMIFS(Synthese_Programme!K:K,Synthese_Programme!M:M,"Option"),
SUMIFS(Synthese_Programme!K:K,Synthese_Programme!M:M,"Réservé"),
SUMIFS(Synthese_Programme!K:K,Synthese_Programme!M:M,"Acté")
)</f>
        <v>0.34771334276284771</v>
      </c>
      <c r="G22" s="77"/>
      <c r="I22" s="45"/>
      <c r="J22" s="45"/>
    </row>
    <row r="23" spans="1:10" s="73" customFormat="1" ht="26" customHeight="1" x14ac:dyDescent="0.45">
      <c r="A23" s="45" t="s">
        <v>74</v>
      </c>
      <c r="B23" s="45">
        <f>COUNTIF(Synthese_Programme!M:M,"Option")</f>
        <v>1</v>
      </c>
      <c r="C23" s="45"/>
      <c r="D23" s="76">
        <f>SUMIFS(Synthese_Programme!K:K,Synthese_Programme!M:M,"Option")</f>
        <v>280000</v>
      </c>
      <c r="E23" s="77"/>
      <c r="F23" s="77">
        <f>SUMIFS(Synthese_Programme!K:K,Synthese_Programme!M:M,"Option")
/
SUM(
SUMIFS(Synthese_Programme!K:K,Synthese_Programme!M:M,"Libre"),
SUMIFS(Synthese_Programme!K:K,Synthese_Programme!M:M,"Option"),
SUMIFS(Synthese_Programme!K:K,Synthese_Programme!M:M,"Réservé"),
SUMIFS(Synthese_Programme!K:K,Synthese_Programme!M:M,"Acté")
)</f>
        <v>6.6006600660066E-2</v>
      </c>
      <c r="G23" s="77"/>
      <c r="I23" s="45"/>
      <c r="J23" s="45"/>
    </row>
    <row r="24" spans="1:10" s="73" customFormat="1" ht="26" customHeight="1" x14ac:dyDescent="0.45">
      <c r="A24" s="45" t="s">
        <v>51</v>
      </c>
      <c r="B24" s="45">
        <f>COUNTIF(Synthese_Programme!M:M,"Réservé")</f>
        <v>4</v>
      </c>
      <c r="C24" s="45"/>
      <c r="D24" s="76">
        <f>SUMIFS(Synthese_Programme!K:K,Synthese_Programme!M:M,"Réservé")</f>
        <v>1447000</v>
      </c>
      <c r="E24" s="77"/>
      <c r="F24" s="77">
        <f>SUMIFS(Synthese_Programme!K:K,Synthese_Programme!M:M,"Réservé")
/
SUM(
SUMIFS(Synthese_Programme!K:K,Synthese_Programme!M:M,"Libre"),
SUMIFS(Synthese_Programme!K:K,Synthese_Programme!M:M,"Option"),
SUMIFS(Synthese_Programme!K:K,Synthese_Programme!M:M,"Réservé"),
SUMIFS(Synthese_Programme!K:K,Synthese_Programme!M:M,"Acté")
)</f>
        <v>0.34111268269684109</v>
      </c>
      <c r="G24" s="77"/>
      <c r="I24" s="45"/>
      <c r="J24" s="45"/>
    </row>
    <row r="25" spans="1:10" s="73" customFormat="1" ht="26" customHeight="1" x14ac:dyDescent="0.45">
      <c r="A25" s="45" t="s">
        <v>60</v>
      </c>
      <c r="B25" s="45">
        <f>COUNTIF(Synthese_Programme!M:M,"Acté")</f>
        <v>3</v>
      </c>
      <c r="C25" s="45"/>
      <c r="D25" s="76">
        <f>SUMIFS(Synthese_Programme!K:K,Synthese_Programme!M:M,"Acté")</f>
        <v>1040000</v>
      </c>
      <c r="E25" s="77"/>
      <c r="F25" s="77">
        <f>SUMIFS(Synthese_Programme!K:K,Synthese_Programme!M:M,"Acté")
/
SUM(
SUMIFS(Synthese_Programme!K:K,Synthese_Programme!M:M,"Libre"),
SUMIFS(Synthese_Programme!K:K,Synthese_Programme!M:M,"Option"),
SUMIFS(Synthese_Programme!K:K,Synthese_Programme!M:M,"Réservé"),
SUMIFS(Synthese_Programme!K:K,Synthese_Programme!M:M,"Acté")
)</f>
        <v>0.24516737388024518</v>
      </c>
      <c r="G25" s="77"/>
      <c r="I25" s="45"/>
      <c r="J25" s="45"/>
    </row>
    <row r="26" spans="1:10" ht="13.9" customHeight="1" x14ac:dyDescent="0.45">
      <c r="A26" s="69"/>
      <c r="B26" s="18"/>
      <c r="C26" s="44"/>
      <c r="D26" s="44"/>
      <c r="E26" s="18"/>
      <c r="F26" s="18"/>
      <c r="G26" s="18"/>
      <c r="I26" s="18"/>
      <c r="J26" s="18"/>
    </row>
    <row r="27" spans="1:10" ht="10.9" customHeight="1" x14ac:dyDescent="0.45">
      <c r="A27" s="45"/>
      <c r="B27" s="18"/>
      <c r="C27" s="45" t="str">
        <f>IF(A27="","",COUNTIFS(Synthese_Programme!D14:D860,A27,Synthese_Programme!M14:M860,"Libre")
+COUNTIFS(Synthese_Programme!D14:D860,A27,Synthese_Programme!M14:M860,"Option")
+COUNTIFS(Synthese_Programme!D14:D860,A27,Synthese_Programme!M14:M860,"Réservé")
+COUNTIFS(Synthese_Programme!D14:D860,A27,Synthese_Programme!M14:M860,"Acté"))</f>
        <v/>
      </c>
      <c r="D27" s="77"/>
      <c r="E27" s="76" t="str">
        <f>IF(A27="","",SUMIFS(
Synthese_Programme!K8:K860,
Synthese_Programme!D8:D860,A27
))</f>
        <v/>
      </c>
      <c r="F27" s="77"/>
      <c r="G27" s="76" t="str">
        <f>IF(A27="","",SUMIFS(
Synthese_Programme!K8:K860,
Synthese_Programme!D8:D860,A27,
Synthese_Programme!M8:M860,"Acté"
))</f>
        <v/>
      </c>
      <c r="H27" s="85"/>
      <c r="I27" s="18"/>
      <c r="J27" s="18"/>
    </row>
    <row r="28" spans="1:10" ht="26" customHeight="1" x14ac:dyDescent="0.45">
      <c r="A28" s="167" t="s">
        <v>175</v>
      </c>
      <c r="B28" s="167"/>
      <c r="C28" s="167"/>
      <c r="D28" s="167"/>
      <c r="E28" s="167"/>
      <c r="F28" s="167"/>
      <c r="G28" s="167"/>
      <c r="H28" s="167"/>
      <c r="I28" s="167"/>
      <c r="J28" s="167"/>
    </row>
    <row r="29" spans="1:10" ht="19.899999999999999" customHeight="1" x14ac:dyDescent="0.45">
      <c r="A29" s="163"/>
      <c r="B29" s="163"/>
      <c r="C29" s="163"/>
      <c r="D29" s="163"/>
      <c r="E29" s="163"/>
      <c r="F29" s="163"/>
      <c r="G29" s="163"/>
      <c r="H29" s="163"/>
      <c r="I29" s="18"/>
      <c r="J29" s="18"/>
    </row>
    <row r="30" spans="1:10" ht="26" customHeight="1" x14ac:dyDescent="0.45">
      <c r="A30" s="72" t="s">
        <v>177</v>
      </c>
      <c r="B30" s="72" t="s">
        <v>174</v>
      </c>
      <c r="C30" s="72"/>
      <c r="D30" s="72" t="s">
        <v>67</v>
      </c>
      <c r="E30" s="72" t="s">
        <v>74</v>
      </c>
      <c r="F30" s="72" t="s">
        <v>51</v>
      </c>
      <c r="G30" s="72" t="s">
        <v>60</v>
      </c>
      <c r="H30" s="82"/>
      <c r="I30" s="18"/>
      <c r="J30" s="18"/>
    </row>
    <row r="31" spans="1:10" ht="26" customHeight="1" x14ac:dyDescent="0.45">
      <c r="A31" s="72" t="str" cm="1">
        <f t="array" ref="A31:A34">_xlfn._xlws.SORT(
_xlfn.UNIQUE(
_xlfn._xlws.FILTER(
TRIM(UPPER(Synthese_Programme!D8:D854)),
(Synthese_Programme!D8:D854&lt;&gt;"")*
(
(Synthese_Programme!M8:M854="Libre")+
(Synthese_Programme!M8:M854="Option")+
(Synthese_Programme!M8:M854="Réservé")+
(Synthese_Programme!M8:M854="Acté")
)
)
)
)</f>
        <v>T1</v>
      </c>
      <c r="B31" s="88">
        <f>IF(A31="","",COUNTIF(
Synthese_Programme!D8:D854,A31
))</f>
        <v>1</v>
      </c>
      <c r="C31" s="86"/>
      <c r="D31" s="86">
        <f>IF(A31="","",COUNTIFS(
Synthese_Programme!D8:D854,A31,
Synthese_Programme!M8:M854,"Libre"
))</f>
        <v>0</v>
      </c>
      <c r="E31" s="86">
        <f>IF(A31="","",COUNTIFS(
Synthese_Programme!D8:D854,A31,
Synthese_Programme!M8:M854,"Option"
))</f>
        <v>0</v>
      </c>
      <c r="F31" s="86">
        <f>IF(A31="","",COUNTIFS(
Synthese_Programme!D8:D854,A31,
Synthese_Programme!M8:M854,"Réservé"
))</f>
        <v>1</v>
      </c>
      <c r="G31" s="86">
        <f>IF(A31="","",COUNTIFS(
Synthese_Programme!D8:D854,A31,
Synthese_Programme!M8:M854,"Acté"
))</f>
        <v>0</v>
      </c>
      <c r="H31" s="84"/>
      <c r="I31" s="18"/>
      <c r="J31" s="81" t="str">
        <f>IF(AND(D19="T3",M19="Acté"),K19,"")</f>
        <v/>
      </c>
    </row>
    <row r="32" spans="1:10" ht="26" customHeight="1" x14ac:dyDescent="0.45">
      <c r="A32" s="72" t="str">
        <v>T2</v>
      </c>
      <c r="B32" s="88">
        <f>IF(A32="","",COUNTIF(
Synthese_Programme!D8:D854,A32
))</f>
        <v>5</v>
      </c>
      <c r="C32" s="86"/>
      <c r="D32" s="86">
        <f>IF(A32="","",COUNTIFS(
Synthese_Programme!D8:D855,A32,
Synthese_Programme!M8:M855,"Libre"
))</f>
        <v>2</v>
      </c>
      <c r="E32" s="86">
        <f>IF(A32="","",COUNTIFS(
Synthese_Programme!D8:D855,A32,
Synthese_Programme!M8:M855,"Option"
))</f>
        <v>1</v>
      </c>
      <c r="F32" s="86">
        <f>IF(A32="","",COUNTIFS(
Synthese_Programme!D8:D855,A32,
Synthese_Programme!M8:M855,"Réservé"
))</f>
        <v>1</v>
      </c>
      <c r="G32" s="86">
        <f>IF(A32="","",COUNTIFS(
Synthese_Programme!D8:D855,A32,
Synthese_Programme!M8:M855,"Acté"
))</f>
        <v>1</v>
      </c>
      <c r="H32" s="84"/>
      <c r="I32" s="18"/>
      <c r="J32" s="18" t="str">
        <f t="shared" ref="J32:J34" si="0">IF(AND(D20="T3",M20="Acté"),K20,"")</f>
        <v/>
      </c>
    </row>
    <row r="33" spans="1:10" ht="26" customHeight="1" x14ac:dyDescent="0.45">
      <c r="A33" s="72" t="str">
        <v>T3</v>
      </c>
      <c r="B33" s="88">
        <f>IF(A33="","",COUNTIF(
Synthese_Programme!D8:D854,A33
))</f>
        <v>4</v>
      </c>
      <c r="C33" s="86"/>
      <c r="D33" s="86">
        <f>IF(A33="","",COUNTIFS(
Synthese_Programme!D8:D856,A33,
Synthese_Programme!M8:M856,"Libre"
))</f>
        <v>1</v>
      </c>
      <c r="E33" s="86">
        <f>IF(A33="","",COUNTIFS(
Synthese_Programme!D8:D856,A33,
Synthese_Programme!M8:M856,"Option"
))</f>
        <v>0</v>
      </c>
      <c r="F33" s="86">
        <f>IF(A33="","",COUNTIFS(
Synthese_Programme!D8:D856,A33,
Synthese_Programme!M8:M856,"Réservé"
))</f>
        <v>1</v>
      </c>
      <c r="G33" s="86">
        <f>IF(A33="","",COUNTIFS(
Synthese_Programme!D8:D856,A33,
Synthese_Programme!M8:M856,"Acté"
))</f>
        <v>2</v>
      </c>
      <c r="H33" s="84"/>
      <c r="I33" s="18"/>
      <c r="J33" s="18" t="str">
        <f t="shared" si="0"/>
        <v/>
      </c>
    </row>
    <row r="34" spans="1:10" ht="26" customHeight="1" x14ac:dyDescent="0.45">
      <c r="A34" s="72" t="str">
        <v>T4</v>
      </c>
      <c r="B34" s="88">
        <f>IF(A34="","",COUNTIF(
Synthese_Programme!D8:D854,A34
))</f>
        <v>2</v>
      </c>
      <c r="C34" s="86"/>
      <c r="D34" s="86">
        <f>IF(A34="","",COUNTIFS(
Synthese_Programme!D8:D857,A34,
Synthese_Programme!M8:M857,"Libre"
))</f>
        <v>1</v>
      </c>
      <c r="E34" s="86">
        <f>IF(A34="","",COUNTIFS(
Synthese_Programme!D8:D857,A34,
Synthese_Programme!M8:M857,"Option"
))</f>
        <v>0</v>
      </c>
      <c r="F34" s="86">
        <f>IF(A34="","",COUNTIFS(
Synthese_Programme!D8:D857,A34,
Synthese_Programme!M8:M857,"Réservé"
))</f>
        <v>1</v>
      </c>
      <c r="G34" s="86">
        <f>IF(A34="","",COUNTIFS(
Synthese_Programme!D8:D857,A34,
Synthese_Programme!M8:M857,"Acté"
))</f>
        <v>0</v>
      </c>
      <c r="H34" s="84"/>
      <c r="I34" s="18"/>
      <c r="J34" s="18" t="str">
        <f t="shared" si="0"/>
        <v/>
      </c>
    </row>
    <row r="35" spans="1:10" ht="26" customHeight="1" x14ac:dyDescent="0.45">
      <c r="A35" s="72"/>
      <c r="B35" s="88" t="str">
        <f>IF(A35="","",COUNTIF(
Synthese_Programme!D8:D854,A35
))</f>
        <v/>
      </c>
      <c r="C35" s="86"/>
      <c r="D35" s="86" t="str">
        <f>IF(A35="","",COUNTIFS(
Synthese_Programme!D8:D858,A35,
Synthese_Programme!M8:M858,"Libre"
))</f>
        <v/>
      </c>
      <c r="E35" s="86" t="str">
        <f>IF(A35="","",COUNTIFS(
Synthese_Programme!D8:D858,A35,
Synthese_Programme!M8:M858,"Option"
))</f>
        <v/>
      </c>
      <c r="F35" s="86" t="str">
        <f>IF(A35="","",COUNTIFS(
Synthese_Programme!D8:D858,A35,
Synthese_Programme!M8:M858,"Réservé"
))</f>
        <v/>
      </c>
      <c r="G35" s="86" t="str">
        <f>IF(A35="","",COUNTIFS(
Synthese_Programme!D8:D858,A35,
Synthese_Programme!M8:M858,"Acté"
))</f>
        <v/>
      </c>
      <c r="H35" s="84"/>
      <c r="I35" s="18"/>
      <c r="J35" s="18"/>
    </row>
    <row r="36" spans="1:10" ht="26" customHeight="1" x14ac:dyDescent="0.45">
      <c r="A36" s="72"/>
      <c r="B36" s="88" t="str">
        <f>IF(A36="","",COUNTIF(
Synthese_Programme!D8:D854,A36
))</f>
        <v/>
      </c>
      <c r="C36" s="86"/>
      <c r="D36" s="86" t="str">
        <f>IF(A36="","",COUNTIFS(
Synthese_Programme!D8:D859,A36,
Synthese_Programme!M8:M859,"Libre"
))</f>
        <v/>
      </c>
      <c r="E36" s="86" t="str">
        <f>IF(A36="","",COUNTIFS(
Synthese_Programme!D8:D859,A36,
Synthese_Programme!M8:M859,"Option"
))</f>
        <v/>
      </c>
      <c r="F36" s="86" t="str">
        <f>IF(A36="","",COUNTIFS(
Synthese_Programme!D8:D859,A36,
Synthese_Programme!M8:M859,"Réservé"
))</f>
        <v/>
      </c>
      <c r="G36" s="86" t="str">
        <f>IF(A36="","",COUNTIFS(
Synthese_Programme!D8:D859,A36,
Synthese_Programme!M8:M859,"Acté"
))</f>
        <v/>
      </c>
      <c r="H36" s="84"/>
      <c r="I36" s="18"/>
      <c r="J36" s="18"/>
    </row>
    <row r="37" spans="1:10" ht="26" customHeight="1" x14ac:dyDescent="0.45">
      <c r="A37" s="72"/>
      <c r="B37" s="88" t="str">
        <f>IF(A37="","",COUNTIF(
Synthese_Programme!D8:D854,A37
))</f>
        <v/>
      </c>
      <c r="C37" s="86"/>
      <c r="D37" s="86" t="str">
        <f>IF(A37="","",COUNTIFS(
Synthese_Programme!D8:D860,A37,
Synthese_Programme!M8:M860,"Libre"
))</f>
        <v/>
      </c>
      <c r="E37" s="86" t="str">
        <f>IF(A37="","",COUNTIFS(
Synthese_Programme!D8:D860,A37,
Synthese_Programme!M8:M860,"Option"
))</f>
        <v/>
      </c>
      <c r="F37" s="86" t="str">
        <f>IF(A37="","",COUNTIFS(
Synthese_Programme!D8:D860,A37,
Synthese_Programme!M8:M860,"Réservé"
))</f>
        <v/>
      </c>
      <c r="G37" s="86" t="str">
        <f>IF(A37="","",COUNTIFS(
Synthese_Programme!D8:D860,A37,
Synthese_Programme!M8:M860,"Acté"
))</f>
        <v/>
      </c>
      <c r="H37" s="85"/>
      <c r="I37" s="18"/>
      <c r="J37" s="18"/>
    </row>
    <row r="38" spans="1:10" ht="26" customHeight="1" x14ac:dyDescent="0.45">
      <c r="A38" s="72"/>
      <c r="B38" s="88" t="str">
        <f>IF(A38="","",COUNTIF(
Synthese_Programme!D8:D854,A38
))</f>
        <v/>
      </c>
      <c r="C38" s="86"/>
      <c r="D38" s="86" t="str">
        <f>IF(A38="","",COUNTIFS(
Synthese_Programme!D8:D861,A38,
Synthese_Programme!M8:M861,"Libre"
))</f>
        <v/>
      </c>
      <c r="E38" s="86" t="str">
        <f>IF(A38="","",COUNTIFS(
Synthese_Programme!D8:D861,A38,
Synthese_Programme!M8:M861,"Option"
))</f>
        <v/>
      </c>
      <c r="F38" s="86" t="str">
        <f>IF(A38="","",COUNTIFS(
Synthese_Programme!D8:D861,A38,
Synthese_Programme!M8:M861,"Réservé"
))</f>
        <v/>
      </c>
      <c r="G38" s="86" t="str">
        <f>IF(A38="","",COUNTIFS(
Synthese_Programme!D8:D861,A38,
Synthese_Programme!M8:M861,"Acté"
))</f>
        <v/>
      </c>
      <c r="H38" s="85"/>
      <c r="I38" s="18"/>
      <c r="J38" s="18"/>
    </row>
    <row r="39" spans="1:10" s="5" customFormat="1" ht="28.9" customHeight="1" x14ac:dyDescent="0.45">
      <c r="A39" s="90"/>
      <c r="B39" s="89" t="str">
        <f>IF(A39="","",COUNTIF(
Synthese_Programme!D8:D854,A39
))</f>
        <v/>
      </c>
      <c r="C39" s="86"/>
      <c r="D39" s="86" t="str">
        <f>IF(A39="","",COUNTIFS(
Synthese_Programme!D8:D862,A39,
Synthese_Programme!M8:M862,"Libre"
))</f>
        <v/>
      </c>
      <c r="E39" s="86" t="str">
        <f>IF(A39="","",COUNTIFS(
Synthese_Programme!D8:D862,A39,
Synthese_Programme!M8:M862,"Option"
))</f>
        <v/>
      </c>
      <c r="F39" s="86" t="str">
        <f>IF(A39="","",COUNTIFS(
Synthese_Programme!D8:D862,A39,
Synthese_Programme!M8:M862,"Réservé"
))</f>
        <v/>
      </c>
      <c r="G39" s="86" t="str">
        <f>IF(A39="","",COUNTIFS(
Synthese_Programme!D8:D862,A39,
Synthese_Programme!M8:M862,"Acté"
))</f>
        <v/>
      </c>
      <c r="H39" s="83"/>
    </row>
    <row r="40" spans="1:10" x14ac:dyDescent="0.45">
      <c r="B40" s="87"/>
      <c r="C40" s="86" t="str">
        <f>IF(A40="","",COUNTIFS(Synthese_Programme!D18:D864,A40,Synthese_Programme!M18:M864,"Libre")
+COUNTIFS(Synthese_Programme!D18:D864,A40,Synthese_Programme!M18:M864,"Option")
+COUNTIFS(Synthese_Programme!D18:D864,A40,Synthese_Programme!M18:M864,"Réservé")
+COUNTIFS(Synthese_Programme!D18:D864,A40,Synthese_Programme!M18:M864,"Acté"))</f>
        <v/>
      </c>
      <c r="D40" s="86"/>
      <c r="E40" s="86" t="str">
        <f>IF(A40="","",SUMIFS(
Synthese_Programme!K8:K864,
Synthese_Programme!D8:D864,A40
))</f>
        <v/>
      </c>
      <c r="F40" s="86"/>
      <c r="G40" s="76"/>
      <c r="H40" s="85"/>
    </row>
    <row r="41" spans="1:10" x14ac:dyDescent="0.45">
      <c r="B41" s="87"/>
      <c r="C41" s="86" t="str">
        <f>IF(A41="","",COUNTIFS(Synthese_Programme!D19:D865,A41,Synthese_Programme!M19:M865,"Libre")
+COUNTIFS(Synthese_Programme!D19:D865,A41,Synthese_Programme!M19:M865,"Option")
+COUNTIFS(Synthese_Programme!D19:D865,A41,Synthese_Programme!M19:M865,"Réservé")
+COUNTIFS(Synthese_Programme!D19:D865,A41,Synthese_Programme!M19:M865,"Acté"))</f>
        <v/>
      </c>
      <c r="D41" s="86"/>
      <c r="E41" s="86" t="str">
        <f>IF(A41="","",SUMIFS(
Synthese_Programme!K8:K865,
Synthese_Programme!D8:D865,A41
))</f>
        <v/>
      </c>
      <c r="F41" s="86"/>
      <c r="G41" s="76"/>
      <c r="H41" s="85"/>
    </row>
    <row r="42" spans="1:10" x14ac:dyDescent="0.45">
      <c r="B42" s="87"/>
      <c r="C42" s="86" t="str">
        <f>IF(A42="","",COUNTIFS(Synthese_Programme!D20:D866,A42,Synthese_Programme!M20:M866,"Libre")
+COUNTIFS(Synthese_Programme!D20:D866,A42,Synthese_Programme!M20:M866,"Option")
+COUNTIFS(Synthese_Programme!D20:D866,A42,Synthese_Programme!M20:M866,"Réservé")
+COUNTIFS(Synthese_Programme!D20:D866,A42,Synthese_Programme!M20:M866,"Acté"))</f>
        <v/>
      </c>
      <c r="D42" s="86"/>
      <c r="E42" s="86" t="str">
        <f>IF(A42="","",SUMIFS(
Synthese_Programme!K8:K866,
Synthese_Programme!D8:D866,A42
))</f>
        <v/>
      </c>
      <c r="F42" s="86"/>
      <c r="G42" s="76"/>
      <c r="H42" s="85"/>
    </row>
    <row r="43" spans="1:10" x14ac:dyDescent="0.45">
      <c r="C43" s="45" t="str">
        <f>IF(A43="","",COUNTIFS(Synthese_Programme!D20:D867,A43,Synthese_Programme!M20:M867,"Libre")
+COUNTIFS(Synthese_Programme!D20:D867,A43,Synthese_Programme!M20:M867,"Option")
+COUNTIFS(Synthese_Programme!D20:D867,A43,Synthese_Programme!M20:M867,"Réservé")
+COUNTIFS(Synthese_Programme!D20:D867,A43,Synthese_Programme!M20:M867,"Acté"))</f>
        <v/>
      </c>
      <c r="D43" s="77"/>
      <c r="E43" s="76"/>
      <c r="F43" s="77"/>
      <c r="G43" s="76"/>
      <c r="H43" s="85"/>
    </row>
    <row r="44" spans="1:10" x14ac:dyDescent="0.45">
      <c r="C44" s="45" t="str">
        <f>IF(A44="","",COUNTIFS(Synthese_Programme!D20:D868,A44,Synthese_Programme!M20:M868,"Libre")
+COUNTIFS(Synthese_Programme!D20:D868,A44,Synthese_Programme!M20:M868,"Option")
+COUNTIFS(Synthese_Programme!D20:D868,A44,Synthese_Programme!M20:M868,"Réservé")
+COUNTIFS(Synthese_Programme!D20:D868,A44,Synthese_Programme!M20:M868,"Acté"))</f>
        <v/>
      </c>
      <c r="D44" s="77"/>
      <c r="E44" s="76"/>
      <c r="F44" s="77"/>
      <c r="G44" s="76"/>
      <c r="H44" s="85"/>
    </row>
    <row r="45" spans="1:10" x14ac:dyDescent="0.45">
      <c r="C45" s="45" t="str">
        <f>IF(A45="","",COUNTIFS(Synthese_Programme!D20:D869,A45,Synthese_Programme!M20:M869,"Libre")
+COUNTIFS(Synthese_Programme!D20:D869,A45,Synthese_Programme!M20:M869,"Option")
+COUNTIFS(Synthese_Programme!D20:D869,A45,Synthese_Programme!M20:M869,"Réservé")
+COUNTIFS(Synthese_Programme!D20:D869,A45,Synthese_Programme!M20:M869,"Acté"))</f>
        <v/>
      </c>
      <c r="D45" s="77"/>
      <c r="E45" s="76"/>
      <c r="F45" s="12"/>
      <c r="G45" s="76"/>
      <c r="H45" s="85"/>
    </row>
    <row r="46" spans="1:10" x14ac:dyDescent="0.45">
      <c r="C46" s="45" t="str">
        <f>IF(A46="","",COUNTIFS(Synthese_Programme!D21:D870,A46,Synthese_Programme!M21:M870,"Libre")
+COUNTIFS(Synthese_Programme!D21:D870,A46,Synthese_Programme!M21:M870,"Option")
+COUNTIFS(Synthese_Programme!D21:D870,A46,Synthese_Programme!M21:M870,"Réservé")
+COUNTIFS(Synthese_Programme!D21:D870,A46,Synthese_Programme!M21:M870,"Acté"))</f>
        <v/>
      </c>
      <c r="D46" s="77"/>
      <c r="E46" s="76"/>
      <c r="G46" s="76"/>
      <c r="H46" s="8"/>
    </row>
    <row r="47" spans="1:10" x14ac:dyDescent="0.45">
      <c r="D47" s="77"/>
      <c r="E47" s="76"/>
      <c r="G47" s="76"/>
    </row>
    <row r="48" spans="1:10" x14ac:dyDescent="0.45">
      <c r="D48" s="77"/>
      <c r="E48" s="76"/>
      <c r="G48" s="76"/>
    </row>
    <row r="49" spans="4:7" x14ac:dyDescent="0.45">
      <c r="D49" s="77"/>
      <c r="E49" s="76"/>
      <c r="G49" s="76"/>
    </row>
    <row r="50" spans="4:7" x14ac:dyDescent="0.45">
      <c r="D50" s="77"/>
      <c r="E50" s="76"/>
      <c r="G50" s="76"/>
    </row>
    <row r="51" spans="4:7" x14ac:dyDescent="0.45">
      <c r="D51" s="77"/>
      <c r="E51" s="76"/>
      <c r="G51" s="76"/>
    </row>
    <row r="52" spans="4:7" x14ac:dyDescent="0.45">
      <c r="E52" s="76"/>
      <c r="G52" s="76"/>
    </row>
    <row r="53" spans="4:7" x14ac:dyDescent="0.45">
      <c r="E53" s="76"/>
      <c r="G53" s="76"/>
    </row>
    <row r="54" spans="4:7" x14ac:dyDescent="0.45">
      <c r="E54" s="76"/>
      <c r="G54" s="76"/>
    </row>
    <row r="55" spans="4:7" x14ac:dyDescent="0.45">
      <c r="E55" s="76"/>
      <c r="G55" s="76"/>
    </row>
    <row r="56" spans="4:7" x14ac:dyDescent="0.45">
      <c r="E56" s="76"/>
      <c r="G56" s="76"/>
    </row>
    <row r="57" spans="4:7" x14ac:dyDescent="0.45">
      <c r="E57" s="76"/>
      <c r="G57" s="76"/>
    </row>
    <row r="58" spans="4:7" x14ac:dyDescent="0.45">
      <c r="E58" s="76"/>
      <c r="G58" s="76"/>
    </row>
    <row r="59" spans="4:7" x14ac:dyDescent="0.45">
      <c r="E59" s="76"/>
      <c r="G59" s="76"/>
    </row>
    <row r="60" spans="4:7" x14ac:dyDescent="0.45">
      <c r="E60" s="76"/>
      <c r="G60" s="76"/>
    </row>
    <row r="61" spans="4:7" x14ac:dyDescent="0.45">
      <c r="E61" s="76"/>
      <c r="G61" s="76"/>
    </row>
    <row r="62" spans="4:7" x14ac:dyDescent="0.45">
      <c r="E62" s="76"/>
      <c r="G62" s="76"/>
    </row>
    <row r="63" spans="4:7" x14ac:dyDescent="0.45">
      <c r="E63" s="76"/>
      <c r="G63" s="76"/>
    </row>
    <row r="64" spans="4:7" x14ac:dyDescent="0.45">
      <c r="E64" s="76"/>
      <c r="G64" s="76"/>
    </row>
    <row r="65" spans="5:7" x14ac:dyDescent="0.45">
      <c r="E65" s="76"/>
      <c r="G65" s="76"/>
    </row>
    <row r="66" spans="5:7" x14ac:dyDescent="0.45">
      <c r="E66" s="76"/>
      <c r="G66" s="76"/>
    </row>
    <row r="67" spans="5:7" x14ac:dyDescent="0.45">
      <c r="E67" s="76"/>
      <c r="G67" s="76"/>
    </row>
    <row r="68" spans="5:7" x14ac:dyDescent="0.45">
      <c r="E68" s="76"/>
      <c r="G68" s="76"/>
    </row>
    <row r="69" spans="5:7" x14ac:dyDescent="0.45">
      <c r="E69" s="76"/>
      <c r="G69" s="76"/>
    </row>
    <row r="70" spans="5:7" x14ac:dyDescent="0.45">
      <c r="E70" s="76"/>
      <c r="G70" s="76"/>
    </row>
    <row r="71" spans="5:7" x14ac:dyDescent="0.45">
      <c r="E71" s="76"/>
      <c r="G71" s="76"/>
    </row>
    <row r="72" spans="5:7" x14ac:dyDescent="0.45">
      <c r="E72" s="76"/>
      <c r="G72" s="76"/>
    </row>
    <row r="73" spans="5:7" x14ac:dyDescent="0.45">
      <c r="E73" s="76"/>
      <c r="G73" s="76"/>
    </row>
    <row r="74" spans="5:7" x14ac:dyDescent="0.45">
      <c r="E74" s="76"/>
      <c r="G74" s="76"/>
    </row>
    <row r="75" spans="5:7" x14ac:dyDescent="0.45">
      <c r="E75" s="76"/>
      <c r="G75" s="76"/>
    </row>
    <row r="76" spans="5:7" x14ac:dyDescent="0.45">
      <c r="E76" s="76"/>
      <c r="G76" s="76"/>
    </row>
    <row r="77" spans="5:7" x14ac:dyDescent="0.45">
      <c r="E77" s="76"/>
      <c r="G77" s="76"/>
    </row>
    <row r="78" spans="5:7" x14ac:dyDescent="0.45">
      <c r="E78" s="76"/>
      <c r="G78" s="76"/>
    </row>
    <row r="79" spans="5:7" x14ac:dyDescent="0.45">
      <c r="E79" s="76"/>
      <c r="G79" s="76"/>
    </row>
    <row r="80" spans="5:7" x14ac:dyDescent="0.45">
      <c r="E80" s="76"/>
      <c r="G80" s="76"/>
    </row>
    <row r="81" spans="5:7" x14ac:dyDescent="0.45">
      <c r="E81" s="76"/>
      <c r="G81" s="76"/>
    </row>
    <row r="82" spans="5:7" x14ac:dyDescent="0.45">
      <c r="E82" s="76"/>
      <c r="G82" s="76"/>
    </row>
    <row r="83" spans="5:7" x14ac:dyDescent="0.45">
      <c r="E83" s="76"/>
      <c r="G83" s="76"/>
    </row>
    <row r="84" spans="5:7" x14ac:dyDescent="0.45">
      <c r="E84" s="76"/>
      <c r="G84" s="76"/>
    </row>
    <row r="85" spans="5:7" x14ac:dyDescent="0.45">
      <c r="E85" s="76"/>
      <c r="G85" s="76"/>
    </row>
    <row r="86" spans="5:7" x14ac:dyDescent="0.45">
      <c r="E86" s="76"/>
      <c r="G86" s="76"/>
    </row>
    <row r="87" spans="5:7" x14ac:dyDescent="0.45">
      <c r="E87" s="76"/>
      <c r="G87" s="76"/>
    </row>
    <row r="88" spans="5:7" x14ac:dyDescent="0.45">
      <c r="E88" s="76"/>
      <c r="G88" s="76"/>
    </row>
    <row r="89" spans="5:7" x14ac:dyDescent="0.45">
      <c r="E89" s="76"/>
      <c r="G89" s="76"/>
    </row>
    <row r="90" spans="5:7" x14ac:dyDescent="0.45">
      <c r="E90" s="76"/>
      <c r="G90" s="76"/>
    </row>
    <row r="91" spans="5:7" x14ac:dyDescent="0.45">
      <c r="E91" s="76"/>
      <c r="G91" s="76"/>
    </row>
    <row r="92" spans="5:7" x14ac:dyDescent="0.45">
      <c r="E92" s="76"/>
      <c r="G92" s="76"/>
    </row>
    <row r="93" spans="5:7" x14ac:dyDescent="0.45">
      <c r="E93" s="76"/>
      <c r="G93" s="76"/>
    </row>
    <row r="94" spans="5:7" x14ac:dyDescent="0.45">
      <c r="E94" s="76"/>
      <c r="G94" s="76"/>
    </row>
    <row r="95" spans="5:7" x14ac:dyDescent="0.45">
      <c r="E95" s="76"/>
      <c r="G95" s="76"/>
    </row>
    <row r="96" spans="5:7" x14ac:dyDescent="0.45">
      <c r="E96" s="76"/>
      <c r="G96" s="76"/>
    </row>
    <row r="97" spans="5:7" x14ac:dyDescent="0.45">
      <c r="E97" s="76"/>
      <c r="G97" s="76"/>
    </row>
    <row r="98" spans="5:7" x14ac:dyDescent="0.45">
      <c r="E98" s="76"/>
      <c r="G98" s="76"/>
    </row>
    <row r="99" spans="5:7" x14ac:dyDescent="0.45">
      <c r="E99" s="76"/>
      <c r="G99" s="76"/>
    </row>
    <row r="100" spans="5:7" x14ac:dyDescent="0.45">
      <c r="E100" s="76"/>
      <c r="G100" s="76"/>
    </row>
    <row r="101" spans="5:7" x14ac:dyDescent="0.45">
      <c r="E101" s="76"/>
      <c r="G101" s="76"/>
    </row>
    <row r="102" spans="5:7" x14ac:dyDescent="0.45">
      <c r="E102" s="76"/>
      <c r="G102" s="76"/>
    </row>
    <row r="103" spans="5:7" x14ac:dyDescent="0.45">
      <c r="E103" s="76"/>
      <c r="G103" s="76"/>
    </row>
    <row r="104" spans="5:7" x14ac:dyDescent="0.45">
      <c r="E104" s="76"/>
      <c r="G104" s="76"/>
    </row>
    <row r="105" spans="5:7" x14ac:dyDescent="0.45">
      <c r="E105" s="76"/>
      <c r="G105" s="76"/>
    </row>
    <row r="106" spans="5:7" x14ac:dyDescent="0.45">
      <c r="E106" s="76"/>
      <c r="G106" s="76"/>
    </row>
    <row r="107" spans="5:7" x14ac:dyDescent="0.45">
      <c r="E107" s="76"/>
      <c r="G107" s="76"/>
    </row>
    <row r="108" spans="5:7" x14ac:dyDescent="0.45">
      <c r="E108" s="76"/>
      <c r="G108" s="76"/>
    </row>
    <row r="109" spans="5:7" x14ac:dyDescent="0.45">
      <c r="E109" s="76"/>
      <c r="G109" s="76"/>
    </row>
    <row r="110" spans="5:7" x14ac:dyDescent="0.45">
      <c r="E110" s="76"/>
      <c r="G110" s="76"/>
    </row>
    <row r="111" spans="5:7" x14ac:dyDescent="0.45">
      <c r="E111" s="76"/>
      <c r="G111" s="76"/>
    </row>
    <row r="112" spans="5:7" x14ac:dyDescent="0.45">
      <c r="E112" s="76"/>
      <c r="G112" s="76"/>
    </row>
    <row r="113" spans="5:7" x14ac:dyDescent="0.45">
      <c r="E113" s="76"/>
      <c r="G113" s="76"/>
    </row>
    <row r="114" spans="5:7" x14ac:dyDescent="0.45">
      <c r="E114" s="76"/>
      <c r="G114" s="76"/>
    </row>
    <row r="115" spans="5:7" x14ac:dyDescent="0.45">
      <c r="E115" s="76"/>
      <c r="G115" s="76"/>
    </row>
    <row r="116" spans="5:7" x14ac:dyDescent="0.45">
      <c r="E116" s="76"/>
      <c r="G116" s="76"/>
    </row>
    <row r="117" spans="5:7" x14ac:dyDescent="0.45">
      <c r="E117" s="76"/>
      <c r="G117" s="76"/>
    </row>
    <row r="118" spans="5:7" x14ac:dyDescent="0.45">
      <c r="E118" s="76"/>
      <c r="G118" s="76"/>
    </row>
    <row r="119" spans="5:7" x14ac:dyDescent="0.45">
      <c r="E119" s="76"/>
      <c r="G119" s="76"/>
    </row>
    <row r="120" spans="5:7" x14ac:dyDescent="0.45">
      <c r="E120" s="76"/>
      <c r="G120" s="76"/>
    </row>
    <row r="121" spans="5:7" x14ac:dyDescent="0.45">
      <c r="E121" s="76"/>
      <c r="G121" s="76"/>
    </row>
    <row r="122" spans="5:7" x14ac:dyDescent="0.45">
      <c r="E122" s="76"/>
      <c r="G122" s="76"/>
    </row>
    <row r="123" spans="5:7" x14ac:dyDescent="0.45">
      <c r="E123" s="76"/>
      <c r="G123" s="76"/>
    </row>
    <row r="124" spans="5:7" x14ac:dyDescent="0.45">
      <c r="E124" s="76"/>
      <c r="G124" s="76"/>
    </row>
    <row r="125" spans="5:7" x14ac:dyDescent="0.45">
      <c r="E125" s="76"/>
      <c r="G125" s="76"/>
    </row>
    <row r="126" spans="5:7" x14ac:dyDescent="0.45">
      <c r="E126" s="76"/>
      <c r="G126" s="76"/>
    </row>
    <row r="127" spans="5:7" x14ac:dyDescent="0.45">
      <c r="E127" s="76"/>
      <c r="G127" s="76"/>
    </row>
    <row r="128" spans="5:7" x14ac:dyDescent="0.45">
      <c r="E128" s="76"/>
      <c r="G128" s="76"/>
    </row>
    <row r="129" spans="5:7" x14ac:dyDescent="0.45">
      <c r="E129" s="76"/>
      <c r="G129" s="76"/>
    </row>
    <row r="130" spans="5:7" x14ac:dyDescent="0.45">
      <c r="E130" s="76"/>
      <c r="G130" s="76"/>
    </row>
    <row r="131" spans="5:7" x14ac:dyDescent="0.45">
      <c r="E131" s="76"/>
      <c r="G131" s="76"/>
    </row>
    <row r="132" spans="5:7" x14ac:dyDescent="0.45">
      <c r="E132" s="76"/>
      <c r="G132" s="76"/>
    </row>
    <row r="133" spans="5:7" x14ac:dyDescent="0.45">
      <c r="E133" s="76"/>
      <c r="G133" s="76"/>
    </row>
    <row r="134" spans="5:7" x14ac:dyDescent="0.45">
      <c r="E134" s="76"/>
      <c r="G134" s="76"/>
    </row>
    <row r="135" spans="5:7" x14ac:dyDescent="0.45">
      <c r="E135" s="76"/>
      <c r="G135" s="76"/>
    </row>
    <row r="136" spans="5:7" x14ac:dyDescent="0.45">
      <c r="E136" s="76"/>
      <c r="G136" s="76"/>
    </row>
    <row r="137" spans="5:7" x14ac:dyDescent="0.45">
      <c r="E137" s="76"/>
      <c r="G137" s="76"/>
    </row>
    <row r="138" spans="5:7" x14ac:dyDescent="0.45">
      <c r="E138" s="76"/>
      <c r="G138" s="76"/>
    </row>
    <row r="139" spans="5:7" x14ac:dyDescent="0.45">
      <c r="E139" s="76"/>
      <c r="G139" s="76"/>
    </row>
    <row r="140" spans="5:7" x14ac:dyDescent="0.45">
      <c r="E140" s="76"/>
      <c r="G140" s="76"/>
    </row>
    <row r="141" spans="5:7" x14ac:dyDescent="0.45">
      <c r="E141" s="76"/>
      <c r="G141" s="76"/>
    </row>
    <row r="142" spans="5:7" x14ac:dyDescent="0.45">
      <c r="E142" s="76"/>
      <c r="G142" s="76"/>
    </row>
    <row r="143" spans="5:7" x14ac:dyDescent="0.45">
      <c r="E143" s="76"/>
      <c r="G143" s="76"/>
    </row>
    <row r="144" spans="5:7" x14ac:dyDescent="0.45">
      <c r="E144" s="76"/>
      <c r="G144" s="76"/>
    </row>
    <row r="145" spans="5:7" x14ac:dyDescent="0.45">
      <c r="E145" s="76"/>
      <c r="G145" s="76"/>
    </row>
    <row r="146" spans="5:7" x14ac:dyDescent="0.45">
      <c r="E146" s="76"/>
      <c r="G146" s="76"/>
    </row>
    <row r="147" spans="5:7" x14ac:dyDescent="0.45">
      <c r="E147" s="76"/>
      <c r="G147" s="76"/>
    </row>
    <row r="148" spans="5:7" x14ac:dyDescent="0.45">
      <c r="E148" s="76"/>
      <c r="G148" s="76"/>
    </row>
    <row r="149" spans="5:7" x14ac:dyDescent="0.45">
      <c r="E149" s="76"/>
      <c r="G149" s="76"/>
    </row>
    <row r="150" spans="5:7" x14ac:dyDescent="0.45">
      <c r="E150" s="76"/>
      <c r="G150" s="76"/>
    </row>
    <row r="151" spans="5:7" x14ac:dyDescent="0.45">
      <c r="E151" s="76"/>
      <c r="G151" s="76"/>
    </row>
    <row r="152" spans="5:7" x14ac:dyDescent="0.45">
      <c r="E152" s="76"/>
      <c r="G152" s="76"/>
    </row>
    <row r="153" spans="5:7" x14ac:dyDescent="0.45">
      <c r="E153" s="76"/>
      <c r="G153" s="76"/>
    </row>
    <row r="154" spans="5:7" x14ac:dyDescent="0.45">
      <c r="E154" s="76"/>
      <c r="G154" s="76"/>
    </row>
    <row r="155" spans="5:7" x14ac:dyDescent="0.45">
      <c r="E155" s="76"/>
      <c r="G155" s="76"/>
    </row>
    <row r="156" spans="5:7" x14ac:dyDescent="0.45">
      <c r="E156" s="76"/>
      <c r="G156" s="76"/>
    </row>
    <row r="157" spans="5:7" x14ac:dyDescent="0.45">
      <c r="E157" s="76"/>
      <c r="G157" s="76"/>
    </row>
    <row r="158" spans="5:7" x14ac:dyDescent="0.45">
      <c r="E158" s="76"/>
      <c r="G158" s="76"/>
    </row>
    <row r="159" spans="5:7" x14ac:dyDescent="0.45">
      <c r="E159" s="76"/>
      <c r="G159" s="76"/>
    </row>
    <row r="160" spans="5:7" x14ac:dyDescent="0.45">
      <c r="E160" s="76"/>
      <c r="G160" s="76"/>
    </row>
    <row r="161" spans="5:7" x14ac:dyDescent="0.45">
      <c r="E161" s="76"/>
      <c r="G161" s="76"/>
    </row>
    <row r="162" spans="5:7" x14ac:dyDescent="0.45">
      <c r="E162" s="76"/>
      <c r="G162" s="76"/>
    </row>
    <row r="163" spans="5:7" x14ac:dyDescent="0.45">
      <c r="E163" s="76"/>
      <c r="G163" s="76"/>
    </row>
    <row r="164" spans="5:7" x14ac:dyDescent="0.45">
      <c r="E164" s="76"/>
      <c r="G164" s="76"/>
    </row>
    <row r="165" spans="5:7" x14ac:dyDescent="0.45">
      <c r="E165" s="76"/>
      <c r="G165" s="76"/>
    </row>
    <row r="166" spans="5:7" x14ac:dyDescent="0.45">
      <c r="E166" s="76"/>
      <c r="G166" s="76"/>
    </row>
    <row r="167" spans="5:7" x14ac:dyDescent="0.45">
      <c r="E167" s="76"/>
      <c r="G167" s="76"/>
    </row>
    <row r="168" spans="5:7" x14ac:dyDescent="0.45">
      <c r="E168" s="76"/>
      <c r="G168" s="76"/>
    </row>
    <row r="169" spans="5:7" x14ac:dyDescent="0.45">
      <c r="E169" s="76"/>
      <c r="G169" s="76"/>
    </row>
    <row r="170" spans="5:7" x14ac:dyDescent="0.45">
      <c r="E170" s="76"/>
      <c r="G170" s="76"/>
    </row>
    <row r="171" spans="5:7" x14ac:dyDescent="0.45">
      <c r="E171" s="76"/>
      <c r="G171" s="76"/>
    </row>
    <row r="172" spans="5:7" x14ac:dyDescent="0.45">
      <c r="E172" s="76"/>
      <c r="G172" s="76"/>
    </row>
    <row r="173" spans="5:7" x14ac:dyDescent="0.45">
      <c r="E173" s="76"/>
      <c r="G173" s="76"/>
    </row>
    <row r="174" spans="5:7" x14ac:dyDescent="0.45">
      <c r="E174" s="76"/>
      <c r="G174" s="76"/>
    </row>
    <row r="175" spans="5:7" x14ac:dyDescent="0.45">
      <c r="E175" s="76"/>
      <c r="G175" s="76"/>
    </row>
    <row r="176" spans="5:7" x14ac:dyDescent="0.45">
      <c r="E176" s="76"/>
      <c r="G176" s="76"/>
    </row>
    <row r="177" spans="5:7" x14ac:dyDescent="0.45">
      <c r="E177" s="76"/>
      <c r="G177" s="76"/>
    </row>
    <row r="178" spans="5:7" x14ac:dyDescent="0.45">
      <c r="E178" s="76"/>
      <c r="G178" s="76"/>
    </row>
  </sheetData>
  <sheetProtection algorithmName="SHA-512" hashValue="3pVP920Hu4wqEnLtf5Sdq/y0bPDf/t6ZHNMwM15Ibf6dGQkplFH3SjUhPeJVtZt9kqIDr13+cNlUnI36QDXO0A==" saltValue="CCSuIbdIn0iIkM5zFFY8YA==" spinCount="100000" sheet="1" objects="1" scenarios="1"/>
  <mergeCells count="8">
    <mergeCell ref="A29:H29"/>
    <mergeCell ref="A2:J2"/>
    <mergeCell ref="A1:J1"/>
    <mergeCell ref="A7:J7"/>
    <mergeCell ref="A11:J11"/>
    <mergeCell ref="A15:J15"/>
    <mergeCell ref="A19:J19"/>
    <mergeCell ref="A28:J28"/>
  </mergeCells>
  <printOptions horizontalCentered="1"/>
  <pageMargins left="0.39370078740157477" right="0.39370078740157477" top="0.39370078740157477" bottom="0.39370078740157477" header="0.5" footer="0.5"/>
  <pageSetup paperSize="9" scale="56" fitToHeight="0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/>
  <dimension ref="A1:R98"/>
  <sheetViews>
    <sheetView workbookViewId="0">
      <selection activeCell="F16" sqref="F16"/>
    </sheetView>
  </sheetViews>
  <sheetFormatPr baseColWidth="10" defaultColWidth="9.06640625" defaultRowHeight="14.25" x14ac:dyDescent="0.45"/>
  <cols>
    <col min="1" max="3" width="18" customWidth="1"/>
    <col min="4" max="4" width="25.73046875" customWidth="1"/>
    <col min="5" max="5" width="19.19921875" style="12" customWidth="1"/>
    <col min="6" max="6" width="25.06640625" style="10" customWidth="1"/>
    <col min="7" max="7" width="25.06640625" customWidth="1"/>
    <col min="9" max="9" width="23.86328125" customWidth="1"/>
    <col min="11" max="15" width="20" customWidth="1"/>
    <col min="16" max="16" width="15.59765625" customWidth="1"/>
    <col min="17" max="17" width="18.265625" customWidth="1"/>
    <col min="18" max="18" width="12.9296875" customWidth="1"/>
  </cols>
  <sheetData>
    <row r="1" spans="1:18" x14ac:dyDescent="0.45">
      <c r="A1" s="1" t="s">
        <v>97</v>
      </c>
      <c r="B1" s="1" t="s">
        <v>98</v>
      </c>
      <c r="C1" s="1" t="s">
        <v>99</v>
      </c>
      <c r="D1" s="1" t="s">
        <v>100</v>
      </c>
      <c r="E1" s="11" t="s">
        <v>101</v>
      </c>
      <c r="F1" s="13" t="s">
        <v>102</v>
      </c>
    </row>
    <row r="2" spans="1:18" x14ac:dyDescent="0.45">
      <c r="A2" s="61" t="s">
        <v>67</v>
      </c>
      <c r="B2" s="61" t="s">
        <v>103</v>
      </c>
      <c r="C2" s="61" t="s">
        <v>104</v>
      </c>
      <c r="D2" s="62" t="s">
        <v>105</v>
      </c>
      <c r="E2" s="62">
        <v>0.05</v>
      </c>
      <c r="F2" s="66"/>
      <c r="K2" s="3"/>
      <c r="L2" s="4"/>
      <c r="M2" s="2"/>
      <c r="N2" s="2"/>
      <c r="O2" s="3"/>
      <c r="P2" s="4"/>
      <c r="Q2" s="2"/>
      <c r="R2" s="2"/>
    </row>
    <row r="3" spans="1:18" x14ac:dyDescent="0.45">
      <c r="A3" s="61" t="s">
        <v>74</v>
      </c>
      <c r="B3" s="61" t="s">
        <v>106</v>
      </c>
      <c r="C3" s="61" t="s">
        <v>45</v>
      </c>
      <c r="D3" s="62" t="s">
        <v>107</v>
      </c>
      <c r="E3" s="62">
        <v>0.3</v>
      </c>
      <c r="F3" s="66">
        <v>45881</v>
      </c>
      <c r="I3" s="63" t="s">
        <v>164</v>
      </c>
      <c r="K3" s="3"/>
      <c r="L3" s="4"/>
      <c r="M3" s="7"/>
      <c r="N3" s="7"/>
      <c r="O3" s="3"/>
      <c r="P3" s="4"/>
      <c r="Q3" s="2"/>
      <c r="R3" s="2"/>
    </row>
    <row r="4" spans="1:18" x14ac:dyDescent="0.45">
      <c r="A4" s="61" t="s">
        <v>51</v>
      </c>
      <c r="B4" s="61" t="s">
        <v>46</v>
      </c>
      <c r="C4" s="61" t="s">
        <v>77</v>
      </c>
      <c r="D4" s="62" t="s">
        <v>198</v>
      </c>
      <c r="E4" s="62">
        <v>0.25</v>
      </c>
      <c r="F4" s="66">
        <v>45950</v>
      </c>
      <c r="I4" s="64" t="s">
        <v>165</v>
      </c>
      <c r="K4" s="5"/>
      <c r="L4" s="5"/>
      <c r="M4" s="5"/>
      <c r="N4" s="5"/>
      <c r="O4" s="5"/>
      <c r="P4" s="5"/>
      <c r="Q4" s="5"/>
      <c r="R4" s="5"/>
    </row>
    <row r="5" spans="1:18" x14ac:dyDescent="0.45">
      <c r="A5" s="61" t="s">
        <v>60</v>
      </c>
      <c r="B5" s="61" t="s">
        <v>108</v>
      </c>
      <c r="C5" s="61" t="s">
        <v>88</v>
      </c>
      <c r="D5" s="62" t="s">
        <v>109</v>
      </c>
      <c r="E5" s="62">
        <v>0.3</v>
      </c>
      <c r="F5" s="66">
        <v>45982</v>
      </c>
      <c r="I5" s="65" t="s">
        <v>167</v>
      </c>
      <c r="K5" s="5"/>
      <c r="L5" s="5"/>
      <c r="M5" s="5"/>
      <c r="N5" s="5"/>
      <c r="O5" s="5"/>
      <c r="P5" s="5"/>
      <c r="Q5" s="5"/>
      <c r="R5" s="5"/>
    </row>
    <row r="6" spans="1:18" x14ac:dyDescent="0.45">
      <c r="A6" s="61"/>
      <c r="B6" s="61" t="s">
        <v>54</v>
      </c>
      <c r="C6" s="61" t="s">
        <v>90</v>
      </c>
      <c r="D6" s="62" t="s">
        <v>110</v>
      </c>
      <c r="E6" s="62">
        <v>0.05</v>
      </c>
      <c r="F6" s="66"/>
      <c r="K6" s="5"/>
      <c r="L6" s="5"/>
      <c r="M6" s="5"/>
      <c r="N6" s="5"/>
      <c r="O6" s="5"/>
      <c r="P6" s="5"/>
      <c r="Q6" s="5"/>
      <c r="R6" s="5"/>
    </row>
    <row r="7" spans="1:18" x14ac:dyDescent="0.45">
      <c r="A7" s="61"/>
      <c r="B7" s="61" t="s">
        <v>111</v>
      </c>
      <c r="C7" s="61" t="s">
        <v>91</v>
      </c>
      <c r="D7" s="62" t="s">
        <v>112</v>
      </c>
      <c r="E7" s="62">
        <v>0.05</v>
      </c>
      <c r="F7" s="66"/>
      <c r="K7" s="5"/>
      <c r="L7" s="5"/>
      <c r="M7" s="5"/>
      <c r="N7" s="5"/>
      <c r="O7" s="5"/>
      <c r="P7" s="5"/>
      <c r="Q7" s="5"/>
      <c r="R7" s="5"/>
    </row>
    <row r="8" spans="1:18" x14ac:dyDescent="0.45">
      <c r="A8" s="61"/>
      <c r="B8" s="61" t="s">
        <v>89</v>
      </c>
      <c r="C8" s="61" t="s">
        <v>92</v>
      </c>
      <c r="D8" s="62"/>
      <c r="E8" s="62"/>
      <c r="F8" s="66"/>
      <c r="K8" s="5"/>
      <c r="L8" s="5"/>
      <c r="M8" s="6"/>
      <c r="N8" s="5"/>
      <c r="O8" s="5"/>
      <c r="P8" s="5"/>
      <c r="Q8" s="5"/>
      <c r="R8" s="5"/>
    </row>
    <row r="9" spans="1:18" x14ac:dyDescent="0.45">
      <c r="A9" s="61"/>
      <c r="B9" s="61" t="s">
        <v>113</v>
      </c>
      <c r="C9" s="61" t="s">
        <v>114</v>
      </c>
      <c r="D9" s="62"/>
      <c r="E9" s="62"/>
      <c r="F9" s="66"/>
      <c r="K9" s="5"/>
      <c r="L9" s="5"/>
      <c r="M9" s="6"/>
      <c r="N9" s="5"/>
      <c r="O9" s="5"/>
      <c r="P9" s="5"/>
      <c r="Q9" s="5"/>
      <c r="R9" s="5"/>
    </row>
    <row r="10" spans="1:18" x14ac:dyDescent="0.45">
      <c r="A10" s="61"/>
      <c r="B10" s="61" t="s">
        <v>115</v>
      </c>
      <c r="C10" s="61" t="s">
        <v>116</v>
      </c>
      <c r="D10" s="62"/>
      <c r="E10" s="62"/>
      <c r="F10" s="66"/>
      <c r="K10" s="5"/>
      <c r="L10" s="5"/>
      <c r="M10" s="6"/>
      <c r="N10" s="5"/>
      <c r="O10" s="5"/>
      <c r="P10" s="5"/>
      <c r="Q10" s="5"/>
      <c r="R10" s="5"/>
    </row>
    <row r="11" spans="1:18" x14ac:dyDescent="0.45">
      <c r="A11" s="61"/>
      <c r="B11" s="61" t="s">
        <v>117</v>
      </c>
      <c r="C11" s="61" t="s">
        <v>118</v>
      </c>
      <c r="D11" s="62"/>
      <c r="E11" s="62"/>
      <c r="F11" s="66"/>
      <c r="K11" s="5"/>
      <c r="L11" s="5"/>
      <c r="M11" s="6"/>
      <c r="N11" s="5"/>
      <c r="O11" s="5"/>
      <c r="P11" s="5"/>
      <c r="Q11" s="5"/>
      <c r="R11" s="5"/>
    </row>
    <row r="12" spans="1:18" x14ac:dyDescent="0.45">
      <c r="A12" s="61"/>
      <c r="B12" s="61"/>
      <c r="C12" s="61" t="s">
        <v>119</v>
      </c>
      <c r="D12" s="62"/>
      <c r="E12" s="62"/>
      <c r="F12" s="66"/>
    </row>
    <row r="13" spans="1:18" x14ac:dyDescent="0.45">
      <c r="A13" s="61"/>
      <c r="B13" s="61"/>
      <c r="C13" s="61" t="s">
        <v>120</v>
      </c>
      <c r="D13" s="62"/>
      <c r="E13" s="62"/>
      <c r="F13" s="66"/>
    </row>
    <row r="14" spans="1:18" x14ac:dyDescent="0.45">
      <c r="A14" s="61"/>
      <c r="B14" s="61"/>
      <c r="C14" s="61"/>
      <c r="D14" s="62"/>
      <c r="E14" s="62"/>
      <c r="F14" s="66"/>
    </row>
    <row r="15" spans="1:18" x14ac:dyDescent="0.45">
      <c r="A15" s="61"/>
      <c r="B15" s="61"/>
      <c r="C15" s="61"/>
      <c r="D15" s="62"/>
      <c r="E15" s="62"/>
      <c r="F15" s="66"/>
    </row>
    <row r="16" spans="1:18" x14ac:dyDescent="0.45">
      <c r="A16" s="61"/>
      <c r="B16" s="61"/>
      <c r="C16" s="61"/>
      <c r="D16" s="62"/>
      <c r="E16" s="62"/>
      <c r="F16" s="66"/>
    </row>
    <row r="17" spans="1:6" x14ac:dyDescent="0.45">
      <c r="A17" s="61"/>
      <c r="B17" s="61"/>
      <c r="C17" s="61"/>
      <c r="D17" s="62"/>
      <c r="E17" s="62"/>
      <c r="F17" s="66"/>
    </row>
    <row r="18" spans="1:6" x14ac:dyDescent="0.45">
      <c r="A18" s="61"/>
      <c r="B18" s="61"/>
      <c r="C18" s="61"/>
      <c r="D18" s="62"/>
      <c r="E18" s="62"/>
      <c r="F18" s="66"/>
    </row>
    <row r="19" spans="1:6" x14ac:dyDescent="0.45">
      <c r="A19" s="61"/>
      <c r="B19" s="61"/>
      <c r="C19" s="61"/>
      <c r="D19" s="62"/>
      <c r="E19" s="62"/>
      <c r="F19" s="66"/>
    </row>
    <row r="20" spans="1:6" x14ac:dyDescent="0.45">
      <c r="A20" s="61"/>
      <c r="B20" s="61"/>
      <c r="C20" s="61"/>
      <c r="D20" s="62"/>
      <c r="E20" s="62"/>
      <c r="F20" s="66"/>
    </row>
    <row r="21" spans="1:6" x14ac:dyDescent="0.45">
      <c r="A21" s="61"/>
      <c r="B21" s="61"/>
      <c r="C21" s="61"/>
      <c r="D21" s="62"/>
      <c r="E21" s="62"/>
      <c r="F21" s="66"/>
    </row>
    <row r="22" spans="1:6" x14ac:dyDescent="0.45">
      <c r="A22" s="61"/>
      <c r="B22" s="61"/>
      <c r="C22" s="61"/>
      <c r="D22" s="62"/>
      <c r="E22" s="62"/>
      <c r="F22" s="66"/>
    </row>
    <row r="23" spans="1:6" x14ac:dyDescent="0.45">
      <c r="A23" s="61"/>
      <c r="B23" s="61"/>
      <c r="C23" s="61"/>
      <c r="D23" s="62"/>
      <c r="E23" s="62"/>
      <c r="F23" s="66"/>
    </row>
    <row r="24" spans="1:6" x14ac:dyDescent="0.45">
      <c r="A24" s="61"/>
      <c r="B24" s="61"/>
      <c r="C24" s="61"/>
      <c r="D24" s="62"/>
      <c r="E24" s="62"/>
      <c r="F24" s="66"/>
    </row>
    <row r="25" spans="1:6" x14ac:dyDescent="0.45">
      <c r="A25" s="61"/>
      <c r="B25" s="61"/>
      <c r="C25" s="61"/>
      <c r="D25" s="62"/>
      <c r="E25" s="62"/>
      <c r="F25" s="66"/>
    </row>
    <row r="26" spans="1:6" x14ac:dyDescent="0.45">
      <c r="A26" s="61"/>
      <c r="B26" s="61"/>
      <c r="C26" s="61"/>
      <c r="D26" s="62"/>
      <c r="E26" s="62"/>
      <c r="F26" s="66"/>
    </row>
    <row r="27" spans="1:6" x14ac:dyDescent="0.45">
      <c r="A27" s="61"/>
      <c r="B27" s="61"/>
      <c r="C27" s="61"/>
      <c r="D27" s="62"/>
      <c r="E27" s="62"/>
      <c r="F27" s="66"/>
    </row>
    <row r="28" spans="1:6" x14ac:dyDescent="0.45">
      <c r="A28" s="61"/>
      <c r="B28" s="61"/>
      <c r="C28" s="61"/>
      <c r="D28" s="62"/>
      <c r="E28" s="62"/>
      <c r="F28" s="66"/>
    </row>
    <row r="29" spans="1:6" x14ac:dyDescent="0.45">
      <c r="A29" s="61"/>
      <c r="B29" s="61"/>
      <c r="C29" s="61"/>
      <c r="D29" s="62"/>
      <c r="E29" s="62"/>
      <c r="F29" s="66"/>
    </row>
    <row r="30" spans="1:6" x14ac:dyDescent="0.45">
      <c r="A30" s="61"/>
      <c r="B30" s="61"/>
      <c r="C30" s="61"/>
      <c r="D30" s="62"/>
      <c r="E30" s="62"/>
      <c r="F30" s="66"/>
    </row>
    <row r="31" spans="1:6" x14ac:dyDescent="0.45">
      <c r="A31" s="61"/>
      <c r="B31" s="61"/>
      <c r="C31" s="61"/>
      <c r="D31" s="62"/>
      <c r="E31" s="62"/>
      <c r="F31" s="66"/>
    </row>
    <row r="32" spans="1:6" x14ac:dyDescent="0.45">
      <c r="A32" s="61"/>
      <c r="B32" s="61"/>
      <c r="C32" s="61"/>
      <c r="D32" s="62"/>
      <c r="E32" s="62"/>
      <c r="F32" s="66"/>
    </row>
    <row r="33" spans="1:6" x14ac:dyDescent="0.45">
      <c r="A33" s="61"/>
      <c r="B33" s="61"/>
      <c r="C33" s="61"/>
      <c r="D33" s="62"/>
      <c r="E33" s="62"/>
      <c r="F33" s="66"/>
    </row>
    <row r="34" spans="1:6" x14ac:dyDescent="0.45">
      <c r="A34" s="61"/>
      <c r="B34" s="61"/>
      <c r="C34" s="61"/>
      <c r="D34" s="62"/>
      <c r="E34" s="62"/>
      <c r="F34" s="66"/>
    </row>
    <row r="35" spans="1:6" x14ac:dyDescent="0.45">
      <c r="A35" s="61"/>
      <c r="B35" s="61"/>
      <c r="C35" s="61"/>
      <c r="D35" s="62"/>
      <c r="E35" s="62"/>
      <c r="F35" s="66"/>
    </row>
    <row r="36" spans="1:6" x14ac:dyDescent="0.45">
      <c r="A36" s="61"/>
      <c r="B36" s="61"/>
      <c r="C36" s="61"/>
      <c r="D36" s="62"/>
      <c r="E36" s="62"/>
      <c r="F36" s="66"/>
    </row>
    <row r="37" spans="1:6" x14ac:dyDescent="0.45">
      <c r="A37" s="61"/>
      <c r="B37" s="61"/>
      <c r="C37" s="61"/>
      <c r="D37" s="62"/>
      <c r="E37" s="62"/>
      <c r="F37" s="66"/>
    </row>
    <row r="38" spans="1:6" x14ac:dyDescent="0.45">
      <c r="A38" s="61"/>
      <c r="B38" s="61"/>
      <c r="C38" s="61"/>
      <c r="D38" s="62"/>
      <c r="E38" s="62"/>
      <c r="F38" s="66"/>
    </row>
    <row r="39" spans="1:6" x14ac:dyDescent="0.45">
      <c r="A39" s="61"/>
      <c r="B39" s="61"/>
      <c r="C39" s="61"/>
      <c r="D39" s="62"/>
      <c r="E39" s="62"/>
      <c r="F39" s="66"/>
    </row>
    <row r="40" spans="1:6" x14ac:dyDescent="0.45">
      <c r="A40" s="61"/>
      <c r="B40" s="61"/>
      <c r="C40" s="61"/>
      <c r="D40" s="62"/>
      <c r="E40" s="62"/>
      <c r="F40" s="66"/>
    </row>
    <row r="41" spans="1:6" x14ac:dyDescent="0.45">
      <c r="A41" s="61"/>
      <c r="B41" s="61"/>
      <c r="C41" s="61"/>
      <c r="D41" s="62"/>
      <c r="E41" s="62"/>
      <c r="F41" s="66"/>
    </row>
    <row r="42" spans="1:6" x14ac:dyDescent="0.45">
      <c r="A42" s="61"/>
      <c r="B42" s="61"/>
      <c r="C42" s="61"/>
      <c r="D42" s="62"/>
      <c r="E42" s="62"/>
      <c r="F42" s="66"/>
    </row>
    <row r="43" spans="1:6" x14ac:dyDescent="0.45">
      <c r="A43" s="61"/>
      <c r="B43" s="61"/>
      <c r="C43" s="61"/>
      <c r="D43" s="62"/>
      <c r="E43" s="62"/>
      <c r="F43" s="66"/>
    </row>
    <row r="44" spans="1:6" x14ac:dyDescent="0.45">
      <c r="A44" s="61"/>
      <c r="B44" s="61"/>
      <c r="C44" s="61"/>
      <c r="D44" s="62"/>
      <c r="E44" s="62"/>
      <c r="F44" s="66"/>
    </row>
    <row r="45" spans="1:6" x14ac:dyDescent="0.45">
      <c r="A45" s="61"/>
      <c r="B45" s="61"/>
      <c r="C45" s="61"/>
      <c r="D45" s="62"/>
      <c r="E45" s="62"/>
      <c r="F45" s="66"/>
    </row>
    <row r="46" spans="1:6" x14ac:dyDescent="0.45">
      <c r="A46" s="61"/>
      <c r="B46" s="61"/>
      <c r="C46" s="61"/>
      <c r="D46" s="62"/>
      <c r="E46" s="62"/>
      <c r="F46" s="66"/>
    </row>
    <row r="47" spans="1:6" x14ac:dyDescent="0.45">
      <c r="A47" s="61"/>
      <c r="B47" s="61"/>
      <c r="C47" s="61"/>
      <c r="D47" s="62"/>
      <c r="E47" s="62"/>
      <c r="F47" s="66"/>
    </row>
    <row r="48" spans="1:6" x14ac:dyDescent="0.45">
      <c r="A48" s="61"/>
      <c r="B48" s="61"/>
      <c r="C48" s="61"/>
      <c r="D48" s="62"/>
      <c r="E48" s="62"/>
      <c r="F48" s="66"/>
    </row>
    <row r="49" spans="1:6" x14ac:dyDescent="0.45">
      <c r="A49" s="61"/>
      <c r="B49" s="61"/>
      <c r="C49" s="61"/>
      <c r="D49" s="62"/>
      <c r="E49" s="62"/>
      <c r="F49" s="66"/>
    </row>
    <row r="50" spans="1:6" x14ac:dyDescent="0.45">
      <c r="A50" s="61"/>
      <c r="B50" s="61"/>
      <c r="C50" s="61"/>
      <c r="D50" s="62"/>
      <c r="E50" s="62"/>
      <c r="F50" s="66"/>
    </row>
    <row r="51" spans="1:6" x14ac:dyDescent="0.45">
      <c r="A51" s="61"/>
      <c r="B51" s="61"/>
      <c r="C51" s="61"/>
      <c r="D51" s="62"/>
      <c r="E51" s="62"/>
      <c r="F51" s="66"/>
    </row>
    <row r="52" spans="1:6" x14ac:dyDescent="0.45">
      <c r="A52" s="61"/>
      <c r="B52" s="61"/>
      <c r="C52" s="61"/>
      <c r="D52" s="62"/>
      <c r="E52" s="62"/>
      <c r="F52" s="66"/>
    </row>
    <row r="53" spans="1:6" x14ac:dyDescent="0.45">
      <c r="A53" s="61"/>
      <c r="B53" s="61"/>
      <c r="C53" s="61"/>
      <c r="D53" s="62"/>
      <c r="E53" s="62"/>
      <c r="F53" s="66"/>
    </row>
    <row r="54" spans="1:6" x14ac:dyDescent="0.45">
      <c r="A54" s="61"/>
      <c r="B54" s="61"/>
      <c r="C54" s="61"/>
      <c r="D54" s="62"/>
      <c r="E54" s="62"/>
      <c r="F54" s="66"/>
    </row>
    <row r="55" spans="1:6" x14ac:dyDescent="0.45">
      <c r="A55" s="61"/>
      <c r="B55" s="61"/>
      <c r="C55" s="61"/>
      <c r="D55" s="62"/>
      <c r="E55" s="62"/>
      <c r="F55" s="66"/>
    </row>
    <row r="56" spans="1:6" x14ac:dyDescent="0.45">
      <c r="A56" s="61"/>
      <c r="B56" s="61"/>
      <c r="C56" s="61"/>
      <c r="D56" s="62"/>
      <c r="E56" s="62"/>
      <c r="F56" s="66"/>
    </row>
    <row r="57" spans="1:6" x14ac:dyDescent="0.45">
      <c r="A57" s="61"/>
      <c r="B57" s="61"/>
      <c r="C57" s="61"/>
      <c r="D57" s="62"/>
      <c r="E57" s="62"/>
      <c r="F57" s="66"/>
    </row>
    <row r="58" spans="1:6" x14ac:dyDescent="0.45">
      <c r="A58" s="61"/>
      <c r="B58" s="61"/>
      <c r="C58" s="61"/>
      <c r="D58" s="62"/>
      <c r="E58" s="62"/>
      <c r="F58" s="66"/>
    </row>
    <row r="59" spans="1:6" x14ac:dyDescent="0.45">
      <c r="A59" s="61"/>
      <c r="B59" s="61"/>
      <c r="C59" s="61"/>
      <c r="D59" s="62"/>
      <c r="E59" s="62"/>
      <c r="F59" s="66"/>
    </row>
    <row r="60" spans="1:6" x14ac:dyDescent="0.45">
      <c r="A60" s="61"/>
      <c r="B60" s="61"/>
      <c r="C60" s="61"/>
      <c r="D60" s="62"/>
      <c r="E60" s="62"/>
      <c r="F60" s="66"/>
    </row>
    <row r="61" spans="1:6" x14ac:dyDescent="0.45">
      <c r="A61" s="61"/>
      <c r="B61" s="61"/>
      <c r="C61" s="61"/>
      <c r="D61" s="62"/>
      <c r="E61" s="62"/>
      <c r="F61" s="66"/>
    </row>
    <row r="62" spans="1:6" x14ac:dyDescent="0.45">
      <c r="A62" s="61"/>
      <c r="B62" s="61"/>
      <c r="C62" s="61"/>
      <c r="D62" s="62"/>
      <c r="E62" s="62"/>
      <c r="F62" s="66"/>
    </row>
    <row r="63" spans="1:6" x14ac:dyDescent="0.45">
      <c r="A63" s="61"/>
      <c r="B63" s="61"/>
      <c r="C63" s="61"/>
      <c r="D63" s="62"/>
      <c r="E63" s="62"/>
      <c r="F63" s="66"/>
    </row>
    <row r="64" spans="1:6" x14ac:dyDescent="0.45">
      <c r="A64" s="61"/>
      <c r="B64" s="61"/>
      <c r="C64" s="61"/>
      <c r="D64" s="62"/>
      <c r="E64" s="62"/>
      <c r="F64" s="66"/>
    </row>
    <row r="65" spans="1:6" x14ac:dyDescent="0.45">
      <c r="A65" s="61"/>
      <c r="B65" s="61"/>
      <c r="C65" s="61"/>
      <c r="D65" s="62"/>
      <c r="E65" s="62"/>
      <c r="F65" s="66"/>
    </row>
    <row r="66" spans="1:6" x14ac:dyDescent="0.45">
      <c r="A66" s="61"/>
      <c r="B66" s="61"/>
      <c r="C66" s="61"/>
      <c r="D66" s="62"/>
      <c r="E66" s="62"/>
      <c r="F66" s="66"/>
    </row>
    <row r="67" spans="1:6" x14ac:dyDescent="0.45">
      <c r="A67" s="61"/>
      <c r="B67" s="61"/>
      <c r="C67" s="61"/>
      <c r="D67" s="62"/>
      <c r="E67" s="62"/>
      <c r="F67" s="66"/>
    </row>
    <row r="68" spans="1:6" x14ac:dyDescent="0.45">
      <c r="A68" s="61"/>
      <c r="B68" s="61"/>
      <c r="C68" s="61"/>
      <c r="D68" s="62"/>
      <c r="E68" s="62"/>
      <c r="F68" s="66"/>
    </row>
    <row r="69" spans="1:6" x14ac:dyDescent="0.45">
      <c r="A69" s="61"/>
      <c r="B69" s="61"/>
      <c r="C69" s="61"/>
      <c r="D69" s="62"/>
      <c r="E69" s="62"/>
      <c r="F69" s="66"/>
    </row>
    <row r="70" spans="1:6" x14ac:dyDescent="0.45">
      <c r="A70" s="61"/>
      <c r="B70" s="61"/>
      <c r="C70" s="61"/>
      <c r="D70" s="62"/>
      <c r="E70" s="62"/>
      <c r="F70" s="66"/>
    </row>
    <row r="71" spans="1:6" x14ac:dyDescent="0.45">
      <c r="A71" s="61"/>
      <c r="B71" s="61"/>
      <c r="C71" s="61"/>
      <c r="D71" s="62"/>
      <c r="E71" s="62"/>
      <c r="F71" s="66"/>
    </row>
    <row r="72" spans="1:6" x14ac:dyDescent="0.45">
      <c r="A72" s="61"/>
      <c r="B72" s="61"/>
      <c r="C72" s="61"/>
      <c r="D72" s="62"/>
      <c r="E72" s="62"/>
      <c r="F72" s="66"/>
    </row>
    <row r="73" spans="1:6" x14ac:dyDescent="0.45">
      <c r="A73" s="61"/>
      <c r="B73" s="61"/>
      <c r="C73" s="61"/>
      <c r="D73" s="62"/>
      <c r="E73" s="62"/>
      <c r="F73" s="66"/>
    </row>
    <row r="74" spans="1:6" x14ac:dyDescent="0.45">
      <c r="A74" s="61"/>
      <c r="B74" s="61"/>
      <c r="C74" s="61"/>
      <c r="D74" s="62"/>
      <c r="E74" s="62"/>
      <c r="F74" s="66"/>
    </row>
    <row r="75" spans="1:6" x14ac:dyDescent="0.45">
      <c r="A75" s="61"/>
      <c r="B75" s="61"/>
      <c r="C75" s="61"/>
      <c r="D75" s="62"/>
      <c r="E75" s="62"/>
      <c r="F75" s="66"/>
    </row>
    <row r="76" spans="1:6" x14ac:dyDescent="0.45">
      <c r="A76" s="61"/>
      <c r="B76" s="61"/>
      <c r="C76" s="61"/>
      <c r="D76" s="62"/>
      <c r="E76" s="62"/>
      <c r="F76" s="66"/>
    </row>
    <row r="77" spans="1:6" x14ac:dyDescent="0.45">
      <c r="A77" s="61"/>
      <c r="B77" s="61"/>
      <c r="C77" s="61"/>
      <c r="D77" s="62"/>
      <c r="E77" s="62"/>
      <c r="F77" s="66"/>
    </row>
    <row r="78" spans="1:6" x14ac:dyDescent="0.45">
      <c r="A78" s="61"/>
      <c r="B78" s="61"/>
      <c r="C78" s="61"/>
      <c r="D78" s="62"/>
      <c r="E78" s="62"/>
      <c r="F78" s="66"/>
    </row>
    <row r="79" spans="1:6" x14ac:dyDescent="0.45">
      <c r="A79" s="61"/>
      <c r="B79" s="61"/>
      <c r="C79" s="61"/>
      <c r="D79" s="62"/>
      <c r="E79" s="62"/>
      <c r="F79" s="66"/>
    </row>
    <row r="80" spans="1:6" x14ac:dyDescent="0.45">
      <c r="A80" s="61"/>
      <c r="B80" s="61"/>
      <c r="C80" s="61"/>
      <c r="D80" s="62"/>
      <c r="E80" s="62"/>
      <c r="F80" s="66"/>
    </row>
    <row r="81" spans="1:6" x14ac:dyDescent="0.45">
      <c r="A81" s="61"/>
      <c r="B81" s="61"/>
      <c r="C81" s="61"/>
      <c r="D81" s="62"/>
      <c r="E81" s="62"/>
      <c r="F81" s="66"/>
    </row>
    <row r="82" spans="1:6" x14ac:dyDescent="0.45">
      <c r="A82" s="61"/>
      <c r="B82" s="61"/>
      <c r="C82" s="61"/>
      <c r="D82" s="62"/>
      <c r="E82" s="62"/>
      <c r="F82" s="66"/>
    </row>
    <row r="83" spans="1:6" x14ac:dyDescent="0.45">
      <c r="A83" s="61"/>
      <c r="B83" s="61"/>
      <c r="C83" s="61"/>
      <c r="D83" s="62"/>
      <c r="E83" s="62"/>
      <c r="F83" s="66"/>
    </row>
    <row r="84" spans="1:6" x14ac:dyDescent="0.45">
      <c r="A84" s="61"/>
      <c r="B84" s="61"/>
      <c r="C84" s="61"/>
      <c r="D84" s="62"/>
      <c r="E84" s="62"/>
      <c r="F84" s="66"/>
    </row>
    <row r="85" spans="1:6" x14ac:dyDescent="0.45">
      <c r="A85" s="61"/>
      <c r="B85" s="61"/>
      <c r="C85" s="61"/>
      <c r="D85" s="62"/>
      <c r="E85" s="62"/>
      <c r="F85" s="66"/>
    </row>
    <row r="86" spans="1:6" x14ac:dyDescent="0.45">
      <c r="A86" s="61"/>
      <c r="B86" s="61"/>
      <c r="C86" s="61"/>
      <c r="D86" s="62"/>
      <c r="E86" s="62"/>
      <c r="F86" s="66"/>
    </row>
    <row r="87" spans="1:6" x14ac:dyDescent="0.45">
      <c r="A87" s="61"/>
      <c r="B87" s="61"/>
      <c r="C87" s="61"/>
      <c r="D87" s="62"/>
      <c r="E87" s="62"/>
      <c r="F87" s="66"/>
    </row>
    <row r="88" spans="1:6" x14ac:dyDescent="0.45">
      <c r="A88" s="61"/>
      <c r="B88" s="61"/>
      <c r="C88" s="61"/>
      <c r="D88" s="62"/>
      <c r="E88" s="62"/>
      <c r="F88" s="66"/>
    </row>
    <row r="89" spans="1:6" x14ac:dyDescent="0.45">
      <c r="A89" s="61"/>
      <c r="B89" s="61"/>
      <c r="C89" s="61"/>
      <c r="D89" s="62"/>
      <c r="E89" s="62"/>
      <c r="F89" s="66"/>
    </row>
    <row r="90" spans="1:6" x14ac:dyDescent="0.45">
      <c r="A90" s="61"/>
      <c r="B90" s="61"/>
      <c r="C90" s="61"/>
      <c r="D90" s="62"/>
      <c r="E90" s="62"/>
      <c r="F90" s="66"/>
    </row>
    <row r="91" spans="1:6" x14ac:dyDescent="0.45">
      <c r="A91" s="61"/>
      <c r="B91" s="61"/>
      <c r="C91" s="61"/>
      <c r="D91" s="62"/>
      <c r="E91" s="62"/>
      <c r="F91" s="66"/>
    </row>
    <row r="92" spans="1:6" x14ac:dyDescent="0.45">
      <c r="A92" s="61"/>
      <c r="B92" s="61"/>
      <c r="C92" s="61"/>
      <c r="D92" s="62"/>
      <c r="E92" s="62"/>
      <c r="F92" s="66"/>
    </row>
    <row r="93" spans="1:6" x14ac:dyDescent="0.45">
      <c r="A93" s="61"/>
      <c r="B93" s="61"/>
      <c r="C93" s="61"/>
      <c r="D93" s="62"/>
      <c r="E93" s="62"/>
      <c r="F93" s="66"/>
    </row>
    <row r="94" spans="1:6" x14ac:dyDescent="0.45">
      <c r="A94" s="61"/>
      <c r="B94" s="61"/>
      <c r="C94" s="61"/>
      <c r="D94" s="62"/>
      <c r="E94" s="62"/>
      <c r="F94" s="66"/>
    </row>
    <row r="95" spans="1:6" x14ac:dyDescent="0.45">
      <c r="A95" s="61"/>
      <c r="B95" s="61"/>
      <c r="C95" s="61"/>
      <c r="D95" s="62"/>
      <c r="E95" s="62"/>
      <c r="F95" s="66"/>
    </row>
    <row r="96" spans="1:6" x14ac:dyDescent="0.45">
      <c r="A96" s="61"/>
      <c r="B96" s="61"/>
      <c r="C96" s="61"/>
      <c r="D96" s="62"/>
      <c r="E96" s="62"/>
      <c r="F96" s="66"/>
    </row>
    <row r="97" spans="1:6" x14ac:dyDescent="0.45">
      <c r="A97" s="61"/>
      <c r="B97" s="61"/>
      <c r="C97" s="61"/>
      <c r="D97" s="62"/>
      <c r="E97" s="62"/>
      <c r="F97" s="66"/>
    </row>
    <row r="98" spans="1:6" x14ac:dyDescent="0.45">
      <c r="A98" s="61"/>
      <c r="B98" s="61"/>
      <c r="C98" s="61"/>
      <c r="D98" s="62"/>
      <c r="E98" s="62"/>
      <c r="F98" s="66"/>
    </row>
  </sheetData>
  <sheetProtection algorithmName="SHA-512" hashValue="q85Cn7jv+vou1SiIBABpfgOYSYOeUR7q26VK6mcfoRpK2eGZ705gEBO/Fq+DnZm0nk0myl4fu8v1X9PtW/ZQyQ==" saltValue="kYvs03YUkDrPN2FK94zIww==" spinCount="100000" sheet="1" objects="1" scenarios="1" selectLockedCells="1"/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6</vt:i4>
      </vt:variant>
    </vt:vector>
  </HeadingPairs>
  <TitlesOfParts>
    <vt:vector size="11" baseType="lpstr">
      <vt:lpstr>Base_de_donnée_clients</vt:lpstr>
      <vt:lpstr>Synthese_Programme</vt:lpstr>
      <vt:lpstr>EXPORT</vt:lpstr>
      <vt:lpstr>EXPORT_Synthese_programme</vt:lpstr>
      <vt:lpstr>Parametres</vt:lpstr>
      <vt:lpstr>Appels_de_Fonds!Zone_d_impression</vt:lpstr>
      <vt:lpstr>EXPORT_Synthese_programme!Zone_d_impression</vt:lpstr>
      <vt:lpstr>Listing_Acquéreurs!Zone_d_impression</vt:lpstr>
      <vt:lpstr>Suivi_Prêt_et_Notaire!Zone_d_impression</vt:lpstr>
      <vt:lpstr>Synthese_Programme!Zone_d_impression</vt:lpstr>
      <vt:lpstr>Tableau_Commercial!Zone_d_impression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nicolas.cazalis@gmail.com</cp:lastModifiedBy>
  <cp:lastPrinted>2026-04-21T11:19:23Z</cp:lastPrinted>
  <dcterms:created xsi:type="dcterms:W3CDTF">2026-03-12T13:54:02Z</dcterms:created>
  <dcterms:modified xsi:type="dcterms:W3CDTF">2026-04-21T11:37:58Z</dcterms:modified>
</cp:coreProperties>
</file>