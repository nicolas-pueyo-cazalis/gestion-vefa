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02 - PRO\07 - MISSIONS SUPP\Docs types\TABLEAU SUIVI VEFA\TMA\"/>
    </mc:Choice>
  </mc:AlternateContent>
  <xr:revisionPtr revIDLastSave="0" documentId="13_ncr:1_{6166F7B5-62C4-4A4F-89A5-5890BEB8D457}" xr6:coauthVersionLast="47" xr6:coauthVersionMax="47" xr10:uidLastSave="{00000000-0000-0000-0000-000000000000}"/>
  <bookViews>
    <workbookView xWindow="71880" yWindow="-120" windowWidth="29040" windowHeight="15720" activeTab="4" xr2:uid="{00000000-000D-0000-FFFF-FFFF00000000}"/>
  </bookViews>
  <sheets>
    <sheet name="LOTS_ENTREPRISES" sheetId="7" r:id="rId1"/>
    <sheet name="Suivi_TMA" sheetId="2" r:id="rId2"/>
    <sheet name="TMA_Entreprises" sheetId="5" r:id="rId3"/>
    <sheet name="EXPORT" sheetId="15" r:id="rId4"/>
    <sheet name="EXPORT_ENTREPRISE" sheetId="19" r:id="rId5"/>
    <sheet name="EXPORT_CLIENT_V2" sheetId="13" state="hidden" r:id="rId6"/>
    <sheet name="EXPORT_MO" sheetId="18" state="hidden" r:id="rId7"/>
    <sheet name="EXPORT_MOE" sheetId="16" state="hidden" r:id="rId8"/>
    <sheet name="EXPORT_DEVIS_CLIENT" sheetId="21" state="hidden" r:id="rId9"/>
    <sheet name="DASHBOARD_V2" sheetId="12" state="hidden" r:id="rId10"/>
    <sheet name="TMA_DB" sheetId="10" state="hidden" r:id="rId11"/>
    <sheet name="REF_CLIENTS" sheetId="11" state="hidden" r:id="rId12"/>
    <sheet name="REF_LOTS" sheetId="17" state="hidden" r:id="rId13"/>
    <sheet name="REF_ENTREPRISES" sheetId="20" state="hidden" r:id="rId14"/>
    <sheet name="Paramètres" sheetId="8" state="hidden" r:id="rId15"/>
  </sheets>
  <functionGroups builtInGroupCount="19"/>
  <definedNames>
    <definedName name="_xlnm._FilterDatabase" localSheetId="9" hidden="1">DASHBOARD_V2!$M$25:$Q$25</definedName>
    <definedName name="_xlnm._FilterDatabase" localSheetId="10" hidden="1">TMA_DB!$A$1:$S$500</definedName>
    <definedName name="_xlnm._FilterDatabase" localSheetId="2" hidden="1">TMA_Entreprises!$A$11:$M$11</definedName>
    <definedName name="_xlpm.x" hidden="1" xlm="1">#NAME?</definedName>
    <definedName name="_xlnm.Print_Titles" localSheetId="5">EXPORT_CLIENT_V2!$6:$6</definedName>
    <definedName name="_xlnm.Print_Titles" localSheetId="4">EXPORT_ENTREPRISE!$6:$6</definedName>
    <definedName name="_xlnm.Print_Titles" localSheetId="6">EXPORT_MO!$6:$6</definedName>
    <definedName name="_xlnm.Print_Titles" localSheetId="7">EXPORT_MOE!$6:$6</definedName>
    <definedName name="Liste_Lots">LOTS_ENTREPRISES!$A$2:$A$21</definedName>
    <definedName name="ListeTypes">Paramètres!$B$2:$B$14</definedName>
    <definedName name="_xlnm.Print_Area" localSheetId="9">DASHBOARD_V2!$A$1:$I$40</definedName>
    <definedName name="_xlnm.Print_Area" localSheetId="5">EXPORT_CLIENT_V2!$A$1:$T$23</definedName>
    <definedName name="_xlnm.Print_Area" localSheetId="8">EXPORT_DEVIS_CLIENT!$A$1:$D$28</definedName>
    <definedName name="_xlnm.Print_Area" localSheetId="4">EXPORT_ENTREPRISE!$A$1:$P$34</definedName>
    <definedName name="_xlnm.Print_Area" localSheetId="6">EXPORT_MO!$A$1:$T$23</definedName>
    <definedName name="_xlnm.Print_Area" localSheetId="7">EXPORT_MOE!$A$1:$L$18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3" l="1"/>
  <c r="F3" i="13"/>
  <c r="D3" i="13"/>
  <c r="B4" i="13"/>
  <c r="A2" i="13"/>
  <c r="A2" i="19"/>
  <c r="F4" i="19"/>
  <c r="F3" i="19"/>
  <c r="B4" i="19"/>
  <c r="D3" i="19"/>
  <c r="S12" i="2"/>
  <c r="S18" i="2"/>
  <c r="S19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K12" i="2"/>
  <c r="K15" i="2"/>
  <c r="S15" i="2" s="1"/>
  <c r="K17" i="2"/>
  <c r="S17" i="2" s="1"/>
  <c r="N24" i="5" s="1"/>
  <c r="E24" i="5" s="1"/>
  <c r="O24" i="5" s="1"/>
  <c r="K18" i="2"/>
  <c r="K19" i="2"/>
  <c r="K20" i="2"/>
  <c r="S20" i="2" s="1"/>
  <c r="K21" i="2"/>
  <c r="S21" i="2" s="1"/>
  <c r="N30" i="5" s="1"/>
  <c r="K22" i="2"/>
  <c r="S22" i="2" s="1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Q13" i="2"/>
  <c r="Q14" i="2"/>
  <c r="Q15" i="2"/>
  <c r="Q16" i="2"/>
  <c r="Q17" i="2"/>
  <c r="D4" i="12"/>
  <c r="D3" i="12"/>
  <c r="B5" i="12"/>
  <c r="B4" i="12"/>
  <c r="B3" i="12"/>
  <c r="D22" i="21"/>
  <c r="D21" i="21"/>
  <c r="D20" i="21"/>
  <c r="M27" i="12" a="1"/>
  <c r="C24" i="12"/>
  <c r="A9" i="12"/>
  <c r="I49" i="12"/>
  <c r="G49" i="12"/>
  <c r="E49" i="12"/>
  <c r="C49" i="12"/>
  <c r="A49" i="12"/>
  <c r="H13" i="5"/>
  <c r="I13" i="5" s="1"/>
  <c r="M13" i="5" s="1"/>
  <c r="H14" i="5"/>
  <c r="I14" i="5" s="1"/>
  <c r="M14" i="5" s="1"/>
  <c r="H15" i="5"/>
  <c r="H16" i="5"/>
  <c r="H17" i="5"/>
  <c r="I17" i="5" s="1"/>
  <c r="M17" i="5" s="1"/>
  <c r="H18" i="5"/>
  <c r="I18" i="5" s="1"/>
  <c r="M18" i="5" s="1"/>
  <c r="H19" i="5"/>
  <c r="I19" i="5" s="1"/>
  <c r="M19" i="5" s="1"/>
  <c r="H20" i="5"/>
  <c r="I20" i="5" s="1"/>
  <c r="M20" i="5" s="1"/>
  <c r="H21" i="5"/>
  <c r="I21" i="5" s="1"/>
  <c r="M21" i="5" s="1"/>
  <c r="H22" i="5"/>
  <c r="I22" i="5" s="1"/>
  <c r="M22" i="5" s="1"/>
  <c r="H23" i="5"/>
  <c r="I23" i="5" s="1"/>
  <c r="M23" i="5" s="1"/>
  <c r="H24" i="5"/>
  <c r="I24" i="5" s="1"/>
  <c r="M24" i="5" s="1"/>
  <c r="H25" i="5"/>
  <c r="I25" i="5" s="1"/>
  <c r="M25" i="5" s="1"/>
  <c r="H26" i="5"/>
  <c r="I26" i="5" s="1"/>
  <c r="M26" i="5" s="1"/>
  <c r="H27" i="5"/>
  <c r="I27" i="5" s="1"/>
  <c r="M27" i="5" s="1"/>
  <c r="H28" i="5"/>
  <c r="I28" i="5" s="1"/>
  <c r="M28" i="5" s="1"/>
  <c r="H29" i="5"/>
  <c r="I29" i="5" s="1"/>
  <c r="M29" i="5" s="1"/>
  <c r="H30" i="5"/>
  <c r="I30" i="5" s="1"/>
  <c r="M30" i="5" s="1"/>
  <c r="H31" i="5"/>
  <c r="I31" i="5" s="1"/>
  <c r="M31" i="5" s="1"/>
  <c r="H32" i="5"/>
  <c r="I32" i="5" s="1"/>
  <c r="M32" i="5" s="1"/>
  <c r="H33" i="5"/>
  <c r="I33" i="5" s="1"/>
  <c r="M33" i="5" s="1"/>
  <c r="H34" i="5"/>
  <c r="I34" i="5" s="1"/>
  <c r="M34" i="5" s="1"/>
  <c r="H35" i="5"/>
  <c r="I35" i="5" s="1"/>
  <c r="M35" i="5" s="1"/>
  <c r="H36" i="5"/>
  <c r="I36" i="5" s="1"/>
  <c r="H37" i="5"/>
  <c r="I37" i="5" s="1"/>
  <c r="H38" i="5"/>
  <c r="I38" i="5" s="1"/>
  <c r="H39" i="5"/>
  <c r="I39" i="5" s="1"/>
  <c r="H40" i="5"/>
  <c r="I40" i="5" s="1"/>
  <c r="H41" i="5"/>
  <c r="I41" i="5" s="1"/>
  <c r="H42" i="5"/>
  <c r="I42" i="5" s="1"/>
  <c r="H43" i="5"/>
  <c r="I43" i="5" s="1"/>
  <c r="H44" i="5"/>
  <c r="I44" i="5" s="1"/>
  <c r="H45" i="5"/>
  <c r="I45" i="5" s="1"/>
  <c r="H46" i="5"/>
  <c r="I46" i="5" s="1"/>
  <c r="H47" i="5"/>
  <c r="I47" i="5" s="1"/>
  <c r="H48" i="5"/>
  <c r="I48" i="5" s="1"/>
  <c r="H49" i="5"/>
  <c r="I49" i="5" s="1"/>
  <c r="H50" i="5"/>
  <c r="I50" i="5" s="1"/>
  <c r="H51" i="5"/>
  <c r="I51" i="5" s="1"/>
  <c r="H52" i="5"/>
  <c r="I52" i="5" s="1"/>
  <c r="H53" i="5"/>
  <c r="I53" i="5" s="1"/>
  <c r="H54" i="5"/>
  <c r="I54" i="5" s="1"/>
  <c r="H55" i="5"/>
  <c r="I55" i="5" s="1"/>
  <c r="H56" i="5"/>
  <c r="I56" i="5" s="1"/>
  <c r="H57" i="5"/>
  <c r="I57" i="5" s="1"/>
  <c r="H58" i="5"/>
  <c r="I58" i="5" s="1"/>
  <c r="H59" i="5"/>
  <c r="I59" i="5" s="1"/>
  <c r="H60" i="5"/>
  <c r="I60" i="5" s="1"/>
  <c r="H61" i="5"/>
  <c r="I61" i="5" s="1"/>
  <c r="H62" i="5"/>
  <c r="I62" i="5" s="1"/>
  <c r="H63" i="5"/>
  <c r="I63" i="5" s="1"/>
  <c r="H64" i="5"/>
  <c r="I64" i="5" s="1"/>
  <c r="H65" i="5"/>
  <c r="I65" i="5" s="1"/>
  <c r="H66" i="5"/>
  <c r="I66" i="5" s="1"/>
  <c r="H67" i="5"/>
  <c r="I67" i="5" s="1"/>
  <c r="H68" i="5"/>
  <c r="I68" i="5" s="1"/>
  <c r="H69" i="5"/>
  <c r="I69" i="5" s="1"/>
  <c r="H70" i="5"/>
  <c r="I70" i="5" s="1"/>
  <c r="H71" i="5"/>
  <c r="I71" i="5" s="1"/>
  <c r="H72" i="5"/>
  <c r="I72" i="5" s="1"/>
  <c r="H73" i="5"/>
  <c r="I73" i="5" s="1"/>
  <c r="H74" i="5"/>
  <c r="I74" i="5" s="1"/>
  <c r="H75" i="5"/>
  <c r="I75" i="5" s="1"/>
  <c r="H76" i="5"/>
  <c r="I76" i="5" s="1"/>
  <c r="H77" i="5"/>
  <c r="I77" i="5" s="1"/>
  <c r="H78" i="5"/>
  <c r="I78" i="5" s="1"/>
  <c r="H79" i="5"/>
  <c r="I79" i="5" s="1"/>
  <c r="H80" i="5"/>
  <c r="I80" i="5" s="1"/>
  <c r="H81" i="5"/>
  <c r="I81" i="5" s="1"/>
  <c r="H82" i="5"/>
  <c r="I82" i="5" s="1"/>
  <c r="H83" i="5"/>
  <c r="I83" i="5" s="1"/>
  <c r="H84" i="5"/>
  <c r="I84" i="5" s="1"/>
  <c r="H85" i="5"/>
  <c r="I85" i="5" s="1"/>
  <c r="H86" i="5"/>
  <c r="I86" i="5" s="1"/>
  <c r="H87" i="5"/>
  <c r="I87" i="5" s="1"/>
  <c r="H88" i="5"/>
  <c r="I88" i="5" s="1"/>
  <c r="H89" i="5"/>
  <c r="I89" i="5" s="1"/>
  <c r="H90" i="5"/>
  <c r="I90" i="5" s="1"/>
  <c r="H91" i="5"/>
  <c r="I91" i="5" s="1"/>
  <c r="H92" i="5"/>
  <c r="I92" i="5" s="1"/>
  <c r="H93" i="5"/>
  <c r="I93" i="5" s="1"/>
  <c r="H94" i="5"/>
  <c r="I94" i="5" s="1"/>
  <c r="H95" i="5"/>
  <c r="I95" i="5" s="1"/>
  <c r="H96" i="5"/>
  <c r="I96" i="5" s="1"/>
  <c r="H97" i="5"/>
  <c r="I97" i="5" s="1"/>
  <c r="H98" i="5"/>
  <c r="I98" i="5" s="1"/>
  <c r="H99" i="5"/>
  <c r="I99" i="5" s="1"/>
  <c r="H100" i="5"/>
  <c r="I100" i="5" s="1"/>
  <c r="H101" i="5"/>
  <c r="I101" i="5" s="1"/>
  <c r="H102" i="5"/>
  <c r="I102" i="5" s="1"/>
  <c r="H103" i="5"/>
  <c r="I103" i="5" s="1"/>
  <c r="H104" i="5"/>
  <c r="I104" i="5" s="1"/>
  <c r="H105" i="5"/>
  <c r="I105" i="5" s="1"/>
  <c r="H106" i="5"/>
  <c r="I106" i="5" s="1"/>
  <c r="H107" i="5"/>
  <c r="I107" i="5" s="1"/>
  <c r="H108" i="5"/>
  <c r="I108" i="5" s="1"/>
  <c r="H109" i="5"/>
  <c r="I109" i="5" s="1"/>
  <c r="H110" i="5"/>
  <c r="I110" i="5" s="1"/>
  <c r="H111" i="5"/>
  <c r="I111" i="5" s="1"/>
  <c r="H112" i="5"/>
  <c r="I112" i="5" s="1"/>
  <c r="H113" i="5"/>
  <c r="I113" i="5" s="1"/>
  <c r="H114" i="5"/>
  <c r="I114" i="5" s="1"/>
  <c r="H115" i="5"/>
  <c r="I115" i="5" s="1"/>
  <c r="H116" i="5"/>
  <c r="I116" i="5" s="1"/>
  <c r="H117" i="5"/>
  <c r="I117" i="5" s="1"/>
  <c r="H118" i="5"/>
  <c r="I118" i="5" s="1"/>
  <c r="H119" i="5"/>
  <c r="I119" i="5" s="1"/>
  <c r="H120" i="5"/>
  <c r="I120" i="5" s="1"/>
  <c r="H121" i="5"/>
  <c r="I121" i="5" s="1"/>
  <c r="H122" i="5"/>
  <c r="I122" i="5" s="1"/>
  <c r="H123" i="5"/>
  <c r="I123" i="5" s="1"/>
  <c r="H124" i="5"/>
  <c r="I124" i="5" s="1"/>
  <c r="H125" i="5"/>
  <c r="I125" i="5" s="1"/>
  <c r="H126" i="5"/>
  <c r="I126" i="5" s="1"/>
  <c r="H127" i="5"/>
  <c r="I127" i="5" s="1"/>
  <c r="H128" i="5"/>
  <c r="I128" i="5" s="1"/>
  <c r="H129" i="5"/>
  <c r="I129" i="5" s="1"/>
  <c r="H130" i="5"/>
  <c r="I130" i="5" s="1"/>
  <c r="H131" i="5"/>
  <c r="I131" i="5" s="1"/>
  <c r="H132" i="5"/>
  <c r="I132" i="5" s="1"/>
  <c r="H133" i="5"/>
  <c r="I133" i="5" s="1"/>
  <c r="H134" i="5"/>
  <c r="I134" i="5" s="1"/>
  <c r="H135" i="5"/>
  <c r="I135" i="5" s="1"/>
  <c r="H136" i="5"/>
  <c r="I136" i="5" s="1"/>
  <c r="H137" i="5"/>
  <c r="I137" i="5" s="1"/>
  <c r="H138" i="5"/>
  <c r="I138" i="5" s="1"/>
  <c r="H139" i="5"/>
  <c r="I139" i="5" s="1"/>
  <c r="H140" i="5"/>
  <c r="I140" i="5" s="1"/>
  <c r="H141" i="5"/>
  <c r="I141" i="5" s="1"/>
  <c r="H142" i="5"/>
  <c r="I142" i="5" s="1"/>
  <c r="H143" i="5"/>
  <c r="I143" i="5" s="1"/>
  <c r="H144" i="5"/>
  <c r="I144" i="5" s="1"/>
  <c r="H145" i="5"/>
  <c r="I145" i="5" s="1"/>
  <c r="H146" i="5"/>
  <c r="I146" i="5" s="1"/>
  <c r="H147" i="5"/>
  <c r="I147" i="5" s="1"/>
  <c r="H148" i="5"/>
  <c r="I148" i="5" s="1"/>
  <c r="H149" i="5"/>
  <c r="I149" i="5" s="1"/>
  <c r="H150" i="5"/>
  <c r="I150" i="5" s="1"/>
  <c r="H151" i="5"/>
  <c r="I151" i="5" s="1"/>
  <c r="H152" i="5"/>
  <c r="I152" i="5" s="1"/>
  <c r="H153" i="5"/>
  <c r="I153" i="5" s="1"/>
  <c r="H154" i="5"/>
  <c r="I154" i="5" s="1"/>
  <c r="H155" i="5"/>
  <c r="I155" i="5" s="1"/>
  <c r="H156" i="5"/>
  <c r="I156" i="5" s="1"/>
  <c r="H157" i="5"/>
  <c r="I157" i="5" s="1"/>
  <c r="H158" i="5"/>
  <c r="I158" i="5" s="1"/>
  <c r="H159" i="5"/>
  <c r="I159" i="5" s="1"/>
  <c r="H160" i="5"/>
  <c r="I160" i="5" s="1"/>
  <c r="H161" i="5"/>
  <c r="I161" i="5" s="1"/>
  <c r="H162" i="5"/>
  <c r="I162" i="5" s="1"/>
  <c r="H163" i="5"/>
  <c r="I163" i="5" s="1"/>
  <c r="H164" i="5"/>
  <c r="I164" i="5" s="1"/>
  <c r="H165" i="5"/>
  <c r="I165" i="5" s="1"/>
  <c r="H166" i="5"/>
  <c r="I166" i="5" s="1"/>
  <c r="H167" i="5"/>
  <c r="I167" i="5" s="1"/>
  <c r="H168" i="5"/>
  <c r="I168" i="5" s="1"/>
  <c r="H169" i="5"/>
  <c r="I169" i="5" s="1"/>
  <c r="H170" i="5"/>
  <c r="I170" i="5" s="1"/>
  <c r="H171" i="5"/>
  <c r="I171" i="5" s="1"/>
  <c r="H172" i="5"/>
  <c r="I172" i="5" s="1"/>
  <c r="H173" i="5"/>
  <c r="I173" i="5" s="1"/>
  <c r="H174" i="5"/>
  <c r="I174" i="5" s="1"/>
  <c r="H175" i="5"/>
  <c r="I175" i="5" s="1"/>
  <c r="H176" i="5"/>
  <c r="I176" i="5" s="1"/>
  <c r="H177" i="5"/>
  <c r="I177" i="5" s="1"/>
  <c r="H178" i="5"/>
  <c r="I178" i="5" s="1"/>
  <c r="H179" i="5"/>
  <c r="I179" i="5" s="1"/>
  <c r="H180" i="5"/>
  <c r="I180" i="5" s="1"/>
  <c r="H181" i="5"/>
  <c r="I181" i="5" s="1"/>
  <c r="H182" i="5"/>
  <c r="I182" i="5" s="1"/>
  <c r="H183" i="5"/>
  <c r="I183" i="5" s="1"/>
  <c r="H184" i="5"/>
  <c r="I184" i="5" s="1"/>
  <c r="H185" i="5"/>
  <c r="I185" i="5" s="1"/>
  <c r="H186" i="5"/>
  <c r="I186" i="5" s="1"/>
  <c r="H187" i="5"/>
  <c r="I187" i="5" s="1"/>
  <c r="H188" i="5"/>
  <c r="I188" i="5" s="1"/>
  <c r="H189" i="5"/>
  <c r="I189" i="5" s="1"/>
  <c r="H190" i="5"/>
  <c r="I190" i="5" s="1"/>
  <c r="H191" i="5"/>
  <c r="I191" i="5" s="1"/>
  <c r="H192" i="5"/>
  <c r="I192" i="5" s="1"/>
  <c r="H193" i="5"/>
  <c r="I193" i="5" s="1"/>
  <c r="H194" i="5"/>
  <c r="I194" i="5" s="1"/>
  <c r="H195" i="5"/>
  <c r="I195" i="5" s="1"/>
  <c r="H196" i="5"/>
  <c r="I196" i="5" s="1"/>
  <c r="H197" i="5"/>
  <c r="I197" i="5" s="1"/>
  <c r="H198" i="5"/>
  <c r="I198" i="5" s="1"/>
  <c r="H199" i="5"/>
  <c r="I199" i="5" s="1"/>
  <c r="H200" i="5"/>
  <c r="I200" i="5" s="1"/>
  <c r="H201" i="5"/>
  <c r="I201" i="5" s="1"/>
  <c r="H202" i="5"/>
  <c r="I202" i="5" s="1"/>
  <c r="H203" i="5"/>
  <c r="I203" i="5" s="1"/>
  <c r="H204" i="5"/>
  <c r="I204" i="5" s="1"/>
  <c r="H205" i="5"/>
  <c r="I205" i="5" s="1"/>
  <c r="H206" i="5"/>
  <c r="I206" i="5" s="1"/>
  <c r="H207" i="5"/>
  <c r="I207" i="5" s="1"/>
  <c r="H208" i="5"/>
  <c r="I208" i="5" s="1"/>
  <c r="H209" i="5"/>
  <c r="I209" i="5" s="1"/>
  <c r="H210" i="5"/>
  <c r="I210" i="5" s="1"/>
  <c r="H211" i="5"/>
  <c r="I211" i="5" s="1"/>
  <c r="H212" i="5"/>
  <c r="I212" i="5" s="1"/>
  <c r="H213" i="5"/>
  <c r="I213" i="5" s="1"/>
  <c r="H214" i="5"/>
  <c r="I214" i="5" s="1"/>
  <c r="H215" i="5"/>
  <c r="I215" i="5" s="1"/>
  <c r="H216" i="5"/>
  <c r="I216" i="5" s="1"/>
  <c r="H217" i="5"/>
  <c r="I217" i="5" s="1"/>
  <c r="H218" i="5"/>
  <c r="I218" i="5" s="1"/>
  <c r="H219" i="5"/>
  <c r="I219" i="5" s="1"/>
  <c r="H220" i="5"/>
  <c r="I220" i="5" s="1"/>
  <c r="H12" i="5"/>
  <c r="I12" i="5" s="1"/>
  <c r="N12" i="5"/>
  <c r="E12" i="5" s="1"/>
  <c r="N13" i="5"/>
  <c r="E13" i="5" s="1"/>
  <c r="N25" i="5"/>
  <c r="N26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D7" i="21"/>
  <c r="B10" i="21"/>
  <c r="B7" i="21"/>
  <c r="B9" i="21"/>
  <c r="D2" i="21"/>
  <c r="A3" i="17" a="1"/>
  <c r="D4" i="19"/>
  <c r="D4" i="18"/>
  <c r="B4" i="18"/>
  <c r="D3" i="18"/>
  <c r="D4" i="16"/>
  <c r="B4" i="16"/>
  <c r="D3" i="16"/>
  <c r="D4" i="13"/>
  <c r="A2" i="11" a="1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12" i="5"/>
  <c r="J13" i="5"/>
  <c r="J14" i="5"/>
  <c r="J15" i="5"/>
  <c r="J16" i="5"/>
  <c r="J17" i="5"/>
  <c r="J18" i="5"/>
  <c r="J19" i="5"/>
  <c r="J20" i="5"/>
  <c r="J21" i="5"/>
  <c r="J22" i="5"/>
  <c r="J23" i="5"/>
  <c r="K16" i="2" s="1"/>
  <c r="S16" i="2" s="1"/>
  <c r="N23" i="5" s="1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B12" i="5"/>
  <c r="C12" i="5"/>
  <c r="G12" i="5"/>
  <c r="B13" i="5"/>
  <c r="C13" i="5"/>
  <c r="G13" i="5"/>
  <c r="A3" i="5"/>
  <c r="B14" i="5"/>
  <c r="C14" i="5"/>
  <c r="G14" i="5"/>
  <c r="A4" i="5"/>
  <c r="C4" i="5"/>
  <c r="B15" i="5"/>
  <c r="C15" i="5"/>
  <c r="G15" i="5"/>
  <c r="A5" i="5"/>
  <c r="C5" i="5"/>
  <c r="B16" i="5"/>
  <c r="C16" i="5"/>
  <c r="G16" i="5"/>
  <c r="A6" i="5"/>
  <c r="C6" i="5"/>
  <c r="B17" i="5"/>
  <c r="C17" i="5"/>
  <c r="G17" i="5"/>
  <c r="A7" i="5"/>
  <c r="C7" i="5"/>
  <c r="B18" i="5"/>
  <c r="C18" i="5"/>
  <c r="G18" i="5"/>
  <c r="A8" i="5"/>
  <c r="C8" i="5"/>
  <c r="B19" i="5"/>
  <c r="C19" i="5"/>
  <c r="G19" i="5"/>
  <c r="A9" i="5"/>
  <c r="C3" i="2"/>
  <c r="C3" i="5" s="1"/>
  <c r="R20" i="2"/>
  <c r="R22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14" i="2"/>
  <c r="R15" i="2"/>
  <c r="R16" i="2"/>
  <c r="Q12" i="2"/>
  <c r="R12" i="2" s="1"/>
  <c r="R17" i="2"/>
  <c r="Q19" i="2"/>
  <c r="R19" i="2" s="1"/>
  <c r="Q20" i="2"/>
  <c r="Q21" i="2"/>
  <c r="R21" i="2" s="1"/>
  <c r="Q22" i="2"/>
  <c r="Q23" i="2"/>
  <c r="R23" i="2" s="1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L29" i="2"/>
  <c r="N29" i="2" s="1"/>
  <c r="L30" i="2"/>
  <c r="N30" i="2" s="1"/>
  <c r="L31" i="2"/>
  <c r="N31" i="2" s="1"/>
  <c r="L32" i="2"/>
  <c r="N32" i="2" s="1"/>
  <c r="L33" i="2"/>
  <c r="N33" i="2" s="1"/>
  <c r="L34" i="2"/>
  <c r="N34" i="2" s="1"/>
  <c r="L35" i="2"/>
  <c r="N35" i="2" s="1"/>
  <c r="L36" i="2"/>
  <c r="N36" i="2" s="1"/>
  <c r="L37" i="2"/>
  <c r="N37" i="2" s="1"/>
  <c r="L38" i="2"/>
  <c r="N38" i="2" s="1"/>
  <c r="L39" i="2"/>
  <c r="N39" i="2" s="1"/>
  <c r="L40" i="2"/>
  <c r="N40" i="2" s="1"/>
  <c r="L41" i="2"/>
  <c r="N41" i="2" s="1"/>
  <c r="L42" i="2"/>
  <c r="N42" i="2" s="1"/>
  <c r="L43" i="2"/>
  <c r="N43" i="2" s="1"/>
  <c r="L44" i="2"/>
  <c r="N44" i="2" s="1"/>
  <c r="L45" i="2"/>
  <c r="N45" i="2" s="1"/>
  <c r="L46" i="2"/>
  <c r="N46" i="2" s="1"/>
  <c r="L47" i="2"/>
  <c r="N47" i="2" s="1"/>
  <c r="L48" i="2"/>
  <c r="N48" i="2" s="1"/>
  <c r="L49" i="2"/>
  <c r="N49" i="2" s="1"/>
  <c r="L50" i="2"/>
  <c r="N50" i="2" s="1"/>
  <c r="L51" i="2"/>
  <c r="N51" i="2" s="1"/>
  <c r="L52" i="2"/>
  <c r="N52" i="2" s="1"/>
  <c r="L53" i="2"/>
  <c r="N53" i="2" s="1"/>
  <c r="L54" i="2"/>
  <c r="N54" i="2" s="1"/>
  <c r="L55" i="2"/>
  <c r="N55" i="2" s="1"/>
  <c r="L56" i="2"/>
  <c r="N56" i="2" s="1"/>
  <c r="L57" i="2"/>
  <c r="N57" i="2" s="1"/>
  <c r="L58" i="2"/>
  <c r="N58" i="2" s="1"/>
  <c r="L59" i="2"/>
  <c r="N59" i="2" s="1"/>
  <c r="L60" i="2"/>
  <c r="N60" i="2" s="1"/>
  <c r="L61" i="2"/>
  <c r="N61" i="2" s="1"/>
  <c r="L62" i="2"/>
  <c r="N62" i="2" s="1"/>
  <c r="L63" i="2"/>
  <c r="N63" i="2" s="1"/>
  <c r="L64" i="2"/>
  <c r="N64" i="2" s="1"/>
  <c r="L65" i="2"/>
  <c r="N65" i="2" s="1"/>
  <c r="L66" i="2"/>
  <c r="N66" i="2" s="1"/>
  <c r="L67" i="2"/>
  <c r="N67" i="2" s="1"/>
  <c r="L68" i="2"/>
  <c r="N68" i="2" s="1"/>
  <c r="L69" i="2"/>
  <c r="N69" i="2" s="1"/>
  <c r="L70" i="2"/>
  <c r="N70" i="2" s="1"/>
  <c r="L71" i="2"/>
  <c r="N71" i="2" s="1"/>
  <c r="L72" i="2"/>
  <c r="N72" i="2" s="1"/>
  <c r="L73" i="2"/>
  <c r="N73" i="2" s="1"/>
  <c r="L74" i="2"/>
  <c r="N74" i="2" s="1"/>
  <c r="L75" i="2"/>
  <c r="N75" i="2" s="1"/>
  <c r="L76" i="2"/>
  <c r="N76" i="2" s="1"/>
  <c r="L77" i="2"/>
  <c r="N77" i="2" s="1"/>
  <c r="L78" i="2"/>
  <c r="N78" i="2" s="1"/>
  <c r="L79" i="2"/>
  <c r="N79" i="2" s="1"/>
  <c r="L80" i="2"/>
  <c r="N80" i="2" s="1"/>
  <c r="L81" i="2"/>
  <c r="N81" i="2" s="1"/>
  <c r="L82" i="2"/>
  <c r="N82" i="2" s="1"/>
  <c r="L83" i="2"/>
  <c r="N83" i="2" s="1"/>
  <c r="L84" i="2"/>
  <c r="N84" i="2" s="1"/>
  <c r="L85" i="2"/>
  <c r="N85" i="2" s="1"/>
  <c r="L86" i="2"/>
  <c r="N86" i="2" s="1"/>
  <c r="L87" i="2"/>
  <c r="N87" i="2" s="1"/>
  <c r="L88" i="2"/>
  <c r="N88" i="2" s="1"/>
  <c r="L89" i="2"/>
  <c r="N89" i="2" s="1"/>
  <c r="L90" i="2"/>
  <c r="N90" i="2" s="1"/>
  <c r="L91" i="2"/>
  <c r="N91" i="2" s="1"/>
  <c r="L92" i="2"/>
  <c r="N92" i="2" s="1"/>
  <c r="L93" i="2"/>
  <c r="N93" i="2" s="1"/>
  <c r="L94" i="2"/>
  <c r="N94" i="2" s="1"/>
  <c r="L95" i="2"/>
  <c r="N95" i="2" s="1"/>
  <c r="L96" i="2"/>
  <c r="N96" i="2" s="1"/>
  <c r="L97" i="2"/>
  <c r="N97" i="2" s="1"/>
  <c r="L98" i="2"/>
  <c r="N98" i="2" s="1"/>
  <c r="L99" i="2"/>
  <c r="N99" i="2" s="1"/>
  <c r="L100" i="2"/>
  <c r="N100" i="2" s="1"/>
  <c r="L101" i="2"/>
  <c r="N101" i="2" s="1"/>
  <c r="L102" i="2"/>
  <c r="N102" i="2" s="1"/>
  <c r="L103" i="2"/>
  <c r="N103" i="2" s="1"/>
  <c r="L104" i="2"/>
  <c r="N104" i="2" s="1"/>
  <c r="L105" i="2"/>
  <c r="N105" i="2" s="1"/>
  <c r="L106" i="2"/>
  <c r="N106" i="2" s="1"/>
  <c r="L107" i="2"/>
  <c r="N107" i="2" s="1"/>
  <c r="L108" i="2"/>
  <c r="N108" i="2" s="1"/>
  <c r="L109" i="2"/>
  <c r="N109" i="2" s="1"/>
  <c r="L110" i="2"/>
  <c r="N110" i="2" s="1"/>
  <c r="L111" i="2"/>
  <c r="N111" i="2" s="1"/>
  <c r="L112" i="2"/>
  <c r="N112" i="2" s="1"/>
  <c r="L113" i="2"/>
  <c r="N113" i="2" s="1"/>
  <c r="L114" i="2"/>
  <c r="N114" i="2" s="1"/>
  <c r="L115" i="2"/>
  <c r="N115" i="2" s="1"/>
  <c r="L116" i="2"/>
  <c r="N116" i="2" s="1"/>
  <c r="L117" i="2"/>
  <c r="N117" i="2" s="1"/>
  <c r="L118" i="2"/>
  <c r="N118" i="2" s="1"/>
  <c r="L119" i="2"/>
  <c r="N119" i="2" s="1"/>
  <c r="L120" i="2"/>
  <c r="N120" i="2" s="1"/>
  <c r="L121" i="2"/>
  <c r="N121" i="2" s="1"/>
  <c r="L122" i="2"/>
  <c r="N122" i="2" s="1"/>
  <c r="L123" i="2"/>
  <c r="N123" i="2" s="1"/>
  <c r="L124" i="2"/>
  <c r="N124" i="2" s="1"/>
  <c r="L125" i="2"/>
  <c r="N125" i="2" s="1"/>
  <c r="L126" i="2"/>
  <c r="N126" i="2" s="1"/>
  <c r="L127" i="2"/>
  <c r="N127" i="2" s="1"/>
  <c r="L128" i="2"/>
  <c r="N128" i="2" s="1"/>
  <c r="L129" i="2"/>
  <c r="N129" i="2" s="1"/>
  <c r="L130" i="2"/>
  <c r="N130" i="2" s="1"/>
  <c r="L131" i="2"/>
  <c r="N131" i="2" s="1"/>
  <c r="L132" i="2"/>
  <c r="N132" i="2" s="1"/>
  <c r="L133" i="2"/>
  <c r="N133" i="2" s="1"/>
  <c r="L134" i="2"/>
  <c r="N134" i="2" s="1"/>
  <c r="L135" i="2"/>
  <c r="N135" i="2" s="1"/>
  <c r="L136" i="2"/>
  <c r="N136" i="2" s="1"/>
  <c r="L137" i="2"/>
  <c r="N137" i="2" s="1"/>
  <c r="L138" i="2"/>
  <c r="N138" i="2" s="1"/>
  <c r="L139" i="2"/>
  <c r="N139" i="2" s="1"/>
  <c r="L140" i="2"/>
  <c r="N140" i="2" s="1"/>
  <c r="L141" i="2"/>
  <c r="N141" i="2" s="1"/>
  <c r="L142" i="2"/>
  <c r="N142" i="2" s="1"/>
  <c r="L143" i="2"/>
  <c r="N143" i="2" s="1"/>
  <c r="L144" i="2"/>
  <c r="N144" i="2" s="1"/>
  <c r="L145" i="2"/>
  <c r="N145" i="2" s="1"/>
  <c r="L146" i="2"/>
  <c r="N146" i="2" s="1"/>
  <c r="L147" i="2"/>
  <c r="N147" i="2" s="1"/>
  <c r="L148" i="2"/>
  <c r="N148" i="2" s="1"/>
  <c r="L149" i="2"/>
  <c r="N149" i="2" s="1"/>
  <c r="L150" i="2"/>
  <c r="N150" i="2" s="1"/>
  <c r="L151" i="2"/>
  <c r="N151" i="2" s="1"/>
  <c r="L152" i="2"/>
  <c r="N152" i="2" s="1"/>
  <c r="L153" i="2"/>
  <c r="N153" i="2" s="1"/>
  <c r="L154" i="2"/>
  <c r="N154" i="2" s="1"/>
  <c r="L155" i="2"/>
  <c r="N155" i="2" s="1"/>
  <c r="L156" i="2"/>
  <c r="N156" i="2" s="1"/>
  <c r="L157" i="2"/>
  <c r="N157" i="2" s="1"/>
  <c r="L158" i="2"/>
  <c r="N158" i="2" s="1"/>
  <c r="L159" i="2"/>
  <c r="N159" i="2" s="1"/>
  <c r="L160" i="2"/>
  <c r="N160" i="2" s="1"/>
  <c r="L161" i="2"/>
  <c r="N161" i="2" s="1"/>
  <c r="L162" i="2"/>
  <c r="N162" i="2" s="1"/>
  <c r="L163" i="2"/>
  <c r="N163" i="2" s="1"/>
  <c r="L164" i="2"/>
  <c r="N164" i="2" s="1"/>
  <c r="L165" i="2"/>
  <c r="N165" i="2" s="1"/>
  <c r="L166" i="2"/>
  <c r="N166" i="2" s="1"/>
  <c r="L167" i="2"/>
  <c r="N167" i="2" s="1"/>
  <c r="L168" i="2"/>
  <c r="N168" i="2" s="1"/>
  <c r="L169" i="2"/>
  <c r="N169" i="2" s="1"/>
  <c r="L170" i="2"/>
  <c r="N170" i="2" s="1"/>
  <c r="L171" i="2"/>
  <c r="N171" i="2" s="1"/>
  <c r="L172" i="2"/>
  <c r="N172" i="2" s="1"/>
  <c r="L173" i="2"/>
  <c r="N173" i="2" s="1"/>
  <c r="L174" i="2"/>
  <c r="N174" i="2" s="1"/>
  <c r="L175" i="2"/>
  <c r="N175" i="2" s="1"/>
  <c r="L176" i="2"/>
  <c r="N176" i="2" s="1"/>
  <c r="L177" i="2"/>
  <c r="N177" i="2" s="1"/>
  <c r="L178" i="2"/>
  <c r="N178" i="2" s="1"/>
  <c r="L179" i="2"/>
  <c r="N179" i="2" s="1"/>
  <c r="L180" i="2"/>
  <c r="N180" i="2" s="1"/>
  <c r="L181" i="2"/>
  <c r="N181" i="2" s="1"/>
  <c r="L182" i="2"/>
  <c r="N182" i="2" s="1"/>
  <c r="L183" i="2"/>
  <c r="N183" i="2" s="1"/>
  <c r="L184" i="2"/>
  <c r="N184" i="2" s="1"/>
  <c r="L185" i="2"/>
  <c r="N185" i="2" s="1"/>
  <c r="L186" i="2"/>
  <c r="N186" i="2" s="1"/>
  <c r="L187" i="2"/>
  <c r="N187" i="2" s="1"/>
  <c r="L188" i="2"/>
  <c r="N188" i="2" s="1"/>
  <c r="L189" i="2"/>
  <c r="N189" i="2" s="1"/>
  <c r="L190" i="2"/>
  <c r="N190" i="2" s="1"/>
  <c r="L191" i="2"/>
  <c r="N191" i="2" s="1"/>
  <c r="L192" i="2"/>
  <c r="N192" i="2" s="1"/>
  <c r="L193" i="2"/>
  <c r="N193" i="2" s="1"/>
  <c r="L194" i="2"/>
  <c r="N194" i="2" s="1"/>
  <c r="L195" i="2"/>
  <c r="N195" i="2" s="1"/>
  <c r="L196" i="2"/>
  <c r="N196" i="2" s="1"/>
  <c r="L197" i="2"/>
  <c r="N197" i="2" s="1"/>
  <c r="L198" i="2"/>
  <c r="N198" i="2" s="1"/>
  <c r="L199" i="2"/>
  <c r="N199" i="2" s="1"/>
  <c r="L200" i="2"/>
  <c r="N200" i="2" s="1"/>
  <c r="L201" i="2"/>
  <c r="N201" i="2" s="1"/>
  <c r="L202" i="2"/>
  <c r="N202" i="2" s="1"/>
  <c r="L203" i="2"/>
  <c r="N203" i="2" s="1"/>
  <c r="L204" i="2"/>
  <c r="N204" i="2" s="1"/>
  <c r="L205" i="2"/>
  <c r="N205" i="2" s="1"/>
  <c r="L206" i="2"/>
  <c r="N206" i="2" s="1"/>
  <c r="L207" i="2"/>
  <c r="N207" i="2" s="1"/>
  <c r="L208" i="2"/>
  <c r="N208" i="2" s="1"/>
  <c r="L209" i="2"/>
  <c r="N209" i="2" s="1"/>
  <c r="L210" i="2"/>
  <c r="N210" i="2" s="1"/>
  <c r="L211" i="2"/>
  <c r="N211" i="2" s="1"/>
  <c r="L212" i="2"/>
  <c r="N212" i="2" s="1"/>
  <c r="L213" i="2"/>
  <c r="N213" i="2" s="1"/>
  <c r="L214" i="2"/>
  <c r="N214" i="2" s="1"/>
  <c r="L215" i="2"/>
  <c r="N215" i="2" s="1"/>
  <c r="L216" i="2"/>
  <c r="N216" i="2" s="1"/>
  <c r="L217" i="2"/>
  <c r="N217" i="2" s="1"/>
  <c r="L218" i="2"/>
  <c r="N218" i="2" s="1"/>
  <c r="L219" i="2"/>
  <c r="N219" i="2" s="1"/>
  <c r="L220" i="2"/>
  <c r="N220" i="2" s="1"/>
  <c r="J20" i="2" a="1"/>
  <c r="J20" i="2" s="1"/>
  <c r="J21" i="2" a="1"/>
  <c r="J21" i="2" s="1"/>
  <c r="J22" i="2" a="1"/>
  <c r="J22" i="2" s="1"/>
  <c r="J23" i="2" a="1"/>
  <c r="J23" i="2" s="1"/>
  <c r="J24" i="2" a="1"/>
  <c r="J24" i="2" s="1"/>
  <c r="J25" i="2" a="1"/>
  <c r="J25" i="2" s="1"/>
  <c r="J26" i="2" a="1"/>
  <c r="J26" i="2" s="1"/>
  <c r="J27" i="2" a="1"/>
  <c r="J27" i="2" s="1"/>
  <c r="J28" i="2" a="1"/>
  <c r="J28" i="2" s="1"/>
  <c r="J29" i="2" a="1"/>
  <c r="J29" i="2" s="1"/>
  <c r="J30" i="2" a="1"/>
  <c r="J30" i="2" s="1"/>
  <c r="J31" i="2" a="1"/>
  <c r="J31" i="2" s="1"/>
  <c r="J32" i="2" a="1"/>
  <c r="J32" i="2" s="1"/>
  <c r="J33" i="2" a="1"/>
  <c r="J33" i="2" s="1"/>
  <c r="J34" i="2" a="1"/>
  <c r="J34" i="2" s="1"/>
  <c r="J35" i="2" a="1"/>
  <c r="J35" i="2" s="1"/>
  <c r="J36" i="2" a="1"/>
  <c r="J36" i="2" s="1"/>
  <c r="J37" i="2" a="1"/>
  <c r="J37" i="2" s="1"/>
  <c r="J38" i="2" a="1"/>
  <c r="J38" i="2" s="1"/>
  <c r="J39" i="2" a="1"/>
  <c r="J39" i="2" s="1"/>
  <c r="J40" i="2" a="1"/>
  <c r="J40" i="2" s="1"/>
  <c r="J41" i="2" a="1"/>
  <c r="J41" i="2" s="1"/>
  <c r="J42" i="2" a="1"/>
  <c r="J42" i="2" s="1"/>
  <c r="J43" i="2" a="1"/>
  <c r="J43" i="2" s="1"/>
  <c r="J44" i="2" a="1"/>
  <c r="J44" i="2" s="1"/>
  <c r="J45" i="2" a="1"/>
  <c r="J45" i="2" s="1"/>
  <c r="J46" i="2" a="1"/>
  <c r="J46" i="2" s="1"/>
  <c r="J47" i="2" a="1"/>
  <c r="J47" i="2" s="1"/>
  <c r="J48" i="2" a="1"/>
  <c r="J48" i="2" s="1"/>
  <c r="J49" i="2" a="1"/>
  <c r="J49" i="2" s="1"/>
  <c r="J50" i="2" a="1"/>
  <c r="J50" i="2" s="1"/>
  <c r="J51" i="2" a="1"/>
  <c r="J51" i="2" s="1"/>
  <c r="J52" i="2" a="1"/>
  <c r="J52" i="2" s="1"/>
  <c r="J53" i="2" a="1"/>
  <c r="J53" i="2" s="1"/>
  <c r="J54" i="2" a="1"/>
  <c r="J54" i="2" s="1"/>
  <c r="J55" i="2" a="1"/>
  <c r="J55" i="2" s="1"/>
  <c r="J56" i="2" a="1"/>
  <c r="J56" i="2" s="1"/>
  <c r="J57" i="2" a="1"/>
  <c r="J57" i="2" s="1"/>
  <c r="J58" i="2" a="1"/>
  <c r="J58" i="2" s="1"/>
  <c r="J59" i="2" a="1"/>
  <c r="J59" i="2" s="1"/>
  <c r="J60" i="2" a="1"/>
  <c r="J60" i="2" s="1"/>
  <c r="J61" i="2" a="1"/>
  <c r="J61" i="2" s="1"/>
  <c r="J62" i="2" a="1"/>
  <c r="J62" i="2" s="1"/>
  <c r="J63" i="2" a="1"/>
  <c r="J63" i="2" s="1"/>
  <c r="J64" i="2" a="1"/>
  <c r="J64" i="2" s="1"/>
  <c r="J65" i="2" a="1"/>
  <c r="J65" i="2" s="1"/>
  <c r="J66" i="2" a="1"/>
  <c r="J66" i="2" s="1"/>
  <c r="J67" i="2" a="1"/>
  <c r="J67" i="2" s="1"/>
  <c r="J68" i="2" a="1"/>
  <c r="J68" i="2" s="1"/>
  <c r="J69" i="2" a="1"/>
  <c r="J69" i="2" s="1"/>
  <c r="J70" i="2" a="1"/>
  <c r="J70" i="2" s="1"/>
  <c r="J71" i="2" a="1"/>
  <c r="J71" i="2" s="1"/>
  <c r="J72" i="2" a="1"/>
  <c r="J72" i="2" s="1"/>
  <c r="J73" i="2" a="1"/>
  <c r="J73" i="2" s="1"/>
  <c r="J74" i="2" a="1"/>
  <c r="J74" i="2" s="1"/>
  <c r="J75" i="2" a="1"/>
  <c r="J75" i="2" s="1"/>
  <c r="J76" i="2" a="1"/>
  <c r="J76" i="2" s="1"/>
  <c r="J77" i="2" a="1"/>
  <c r="J77" i="2" s="1"/>
  <c r="J78" i="2" a="1"/>
  <c r="J78" i="2" s="1"/>
  <c r="J79" i="2" a="1"/>
  <c r="J79" i="2" s="1"/>
  <c r="J80" i="2" a="1"/>
  <c r="J80" i="2" s="1"/>
  <c r="J81" i="2" a="1"/>
  <c r="J81" i="2" s="1"/>
  <c r="J82" i="2" a="1"/>
  <c r="J82" i="2" s="1"/>
  <c r="J83" i="2" a="1"/>
  <c r="J83" i="2" s="1"/>
  <c r="J84" i="2" a="1"/>
  <c r="J84" i="2" s="1"/>
  <c r="J85" i="2" a="1"/>
  <c r="J85" i="2" s="1"/>
  <c r="J86" i="2" a="1"/>
  <c r="J86" i="2" s="1"/>
  <c r="J87" i="2" a="1"/>
  <c r="J87" i="2" s="1"/>
  <c r="J88" i="2" a="1"/>
  <c r="J88" i="2" s="1"/>
  <c r="J89" i="2" a="1"/>
  <c r="J89" i="2" s="1"/>
  <c r="J90" i="2" a="1"/>
  <c r="J90" i="2" s="1"/>
  <c r="J91" i="2" a="1"/>
  <c r="J91" i="2" s="1"/>
  <c r="J92" i="2" a="1"/>
  <c r="J92" i="2" s="1"/>
  <c r="J93" i="2" a="1"/>
  <c r="J93" i="2" s="1"/>
  <c r="J94" i="2" a="1"/>
  <c r="J94" i="2" s="1"/>
  <c r="J95" i="2" a="1"/>
  <c r="J95" i="2" s="1"/>
  <c r="J96" i="2" a="1"/>
  <c r="J96" i="2" s="1"/>
  <c r="J97" i="2" a="1"/>
  <c r="J97" i="2" s="1"/>
  <c r="J98" i="2" a="1"/>
  <c r="J98" i="2" s="1"/>
  <c r="J99" i="2" a="1"/>
  <c r="J99" i="2" s="1"/>
  <c r="J100" i="2" a="1"/>
  <c r="J100" i="2" s="1"/>
  <c r="J101" i="2" a="1"/>
  <c r="J101" i="2" s="1"/>
  <c r="J102" i="2" a="1"/>
  <c r="J102" i="2" s="1"/>
  <c r="J103" i="2" a="1"/>
  <c r="J103" i="2" s="1"/>
  <c r="J104" i="2" a="1"/>
  <c r="J104" i="2" s="1"/>
  <c r="J105" i="2" a="1"/>
  <c r="J105" i="2" s="1"/>
  <c r="J106" i="2" a="1"/>
  <c r="J106" i="2" s="1"/>
  <c r="J107" i="2" a="1"/>
  <c r="J107" i="2" s="1"/>
  <c r="J108" i="2" a="1"/>
  <c r="J108" i="2" s="1"/>
  <c r="J109" i="2" a="1"/>
  <c r="J109" i="2" s="1"/>
  <c r="J110" i="2" a="1"/>
  <c r="J110" i="2" s="1"/>
  <c r="J111" i="2" a="1"/>
  <c r="J111" i="2" s="1"/>
  <c r="J112" i="2" a="1"/>
  <c r="J112" i="2" s="1"/>
  <c r="J113" i="2" a="1"/>
  <c r="J113" i="2" s="1"/>
  <c r="J114" i="2" a="1"/>
  <c r="J114" i="2" s="1"/>
  <c r="J115" i="2" a="1"/>
  <c r="J115" i="2" s="1"/>
  <c r="J116" i="2" a="1"/>
  <c r="J116" i="2" s="1"/>
  <c r="J117" i="2" a="1"/>
  <c r="J117" i="2" s="1"/>
  <c r="J118" i="2" a="1"/>
  <c r="J118" i="2" s="1"/>
  <c r="J119" i="2" a="1"/>
  <c r="J119" i="2" s="1"/>
  <c r="J120" i="2" a="1"/>
  <c r="J120" i="2" s="1"/>
  <c r="J121" i="2" a="1"/>
  <c r="J121" i="2" s="1"/>
  <c r="J122" i="2" a="1"/>
  <c r="J122" i="2" s="1"/>
  <c r="J123" i="2" a="1"/>
  <c r="J123" i="2" s="1"/>
  <c r="J124" i="2" a="1"/>
  <c r="J124" i="2" s="1"/>
  <c r="J125" i="2" a="1"/>
  <c r="J125" i="2" s="1"/>
  <c r="J126" i="2" a="1"/>
  <c r="J126" i="2" s="1"/>
  <c r="J127" i="2" a="1"/>
  <c r="J127" i="2" s="1"/>
  <c r="J128" i="2" a="1"/>
  <c r="J128" i="2" s="1"/>
  <c r="J129" i="2" a="1"/>
  <c r="J129" i="2" s="1"/>
  <c r="J130" i="2" a="1"/>
  <c r="J130" i="2" s="1"/>
  <c r="J131" i="2" a="1"/>
  <c r="J131" i="2" s="1"/>
  <c r="J132" i="2" a="1"/>
  <c r="J132" i="2" s="1"/>
  <c r="J133" i="2" a="1"/>
  <c r="J133" i="2" s="1"/>
  <c r="J134" i="2" a="1"/>
  <c r="J134" i="2" s="1"/>
  <c r="J135" i="2" a="1"/>
  <c r="J135" i="2" s="1"/>
  <c r="J136" i="2" a="1"/>
  <c r="J136" i="2" s="1"/>
  <c r="J137" i="2" a="1"/>
  <c r="J137" i="2" s="1"/>
  <c r="J138" i="2" a="1"/>
  <c r="J138" i="2" s="1"/>
  <c r="J139" i="2" a="1"/>
  <c r="J139" i="2" s="1"/>
  <c r="J140" i="2" a="1"/>
  <c r="J140" i="2" s="1"/>
  <c r="J141" i="2" a="1"/>
  <c r="J141" i="2" s="1"/>
  <c r="J142" i="2" a="1"/>
  <c r="J142" i="2" s="1"/>
  <c r="J143" i="2" a="1"/>
  <c r="J143" i="2" s="1"/>
  <c r="J144" i="2" a="1"/>
  <c r="J144" i="2" s="1"/>
  <c r="J145" i="2" a="1"/>
  <c r="J145" i="2" s="1"/>
  <c r="J146" i="2" a="1"/>
  <c r="J146" i="2" s="1"/>
  <c r="J147" i="2" a="1"/>
  <c r="J147" i="2" s="1"/>
  <c r="J148" i="2" a="1"/>
  <c r="J148" i="2" s="1"/>
  <c r="J149" i="2" a="1"/>
  <c r="J149" i="2" s="1"/>
  <c r="J150" i="2" a="1"/>
  <c r="J150" i="2" s="1"/>
  <c r="J151" i="2" a="1"/>
  <c r="J151" i="2" s="1"/>
  <c r="J152" i="2" a="1"/>
  <c r="J152" i="2" s="1"/>
  <c r="J153" i="2" a="1"/>
  <c r="J153" i="2" s="1"/>
  <c r="J154" i="2" a="1"/>
  <c r="J154" i="2" s="1"/>
  <c r="J155" i="2" a="1"/>
  <c r="J155" i="2" s="1"/>
  <c r="J156" i="2" a="1"/>
  <c r="J156" i="2" s="1"/>
  <c r="J157" i="2" a="1"/>
  <c r="J157" i="2" s="1"/>
  <c r="J158" i="2" a="1"/>
  <c r="J158" i="2" s="1"/>
  <c r="J159" i="2" a="1"/>
  <c r="J159" i="2" s="1"/>
  <c r="J160" i="2" a="1"/>
  <c r="J160" i="2" s="1"/>
  <c r="J161" i="2" a="1"/>
  <c r="J161" i="2" s="1"/>
  <c r="J162" i="2" a="1"/>
  <c r="J162" i="2" s="1"/>
  <c r="J163" i="2" a="1"/>
  <c r="J163" i="2" s="1"/>
  <c r="J164" i="2" a="1"/>
  <c r="J164" i="2" s="1"/>
  <c r="J165" i="2" a="1"/>
  <c r="J165" i="2" s="1"/>
  <c r="J166" i="2" a="1"/>
  <c r="J166" i="2" s="1"/>
  <c r="J167" i="2" a="1"/>
  <c r="J167" i="2" s="1"/>
  <c r="J168" i="2" a="1"/>
  <c r="J168" i="2" s="1"/>
  <c r="J169" i="2" a="1"/>
  <c r="J169" i="2" s="1"/>
  <c r="J170" i="2" a="1"/>
  <c r="J170" i="2" s="1"/>
  <c r="J171" i="2" a="1"/>
  <c r="J171" i="2" s="1"/>
  <c r="J172" i="2" a="1"/>
  <c r="J172" i="2" s="1"/>
  <c r="J173" i="2" a="1"/>
  <c r="J173" i="2" s="1"/>
  <c r="J174" i="2" a="1"/>
  <c r="J174" i="2" s="1"/>
  <c r="J175" i="2" a="1"/>
  <c r="J175" i="2" s="1"/>
  <c r="J176" i="2" a="1"/>
  <c r="J176" i="2" s="1"/>
  <c r="J177" i="2" a="1"/>
  <c r="J177" i="2" s="1"/>
  <c r="J178" i="2" a="1"/>
  <c r="J178" i="2" s="1"/>
  <c r="J179" i="2" a="1"/>
  <c r="J179" i="2" s="1"/>
  <c r="J180" i="2" a="1"/>
  <c r="J180" i="2" s="1"/>
  <c r="J181" i="2" a="1"/>
  <c r="J181" i="2" s="1"/>
  <c r="J182" i="2" a="1"/>
  <c r="J182" i="2" s="1"/>
  <c r="J183" i="2" a="1"/>
  <c r="J183" i="2" s="1"/>
  <c r="J184" i="2" a="1"/>
  <c r="J184" i="2" s="1"/>
  <c r="J185" i="2" a="1"/>
  <c r="J185" i="2" s="1"/>
  <c r="J186" i="2" a="1"/>
  <c r="J186" i="2" s="1"/>
  <c r="J187" i="2" a="1"/>
  <c r="J187" i="2" s="1"/>
  <c r="J188" i="2" a="1"/>
  <c r="J188" i="2" s="1"/>
  <c r="J189" i="2" a="1"/>
  <c r="J189" i="2" s="1"/>
  <c r="J190" i="2" a="1"/>
  <c r="J190" i="2" s="1"/>
  <c r="J191" i="2" a="1"/>
  <c r="J191" i="2" s="1"/>
  <c r="J192" i="2" a="1"/>
  <c r="J192" i="2" s="1"/>
  <c r="J193" i="2" a="1"/>
  <c r="J193" i="2" s="1"/>
  <c r="J194" i="2" a="1"/>
  <c r="J194" i="2" s="1"/>
  <c r="J195" i="2" a="1"/>
  <c r="J195" i="2" s="1"/>
  <c r="J196" i="2" a="1"/>
  <c r="J196" i="2" s="1"/>
  <c r="J197" i="2" a="1"/>
  <c r="J197" i="2" s="1"/>
  <c r="J198" i="2" a="1"/>
  <c r="J198" i="2" s="1"/>
  <c r="J199" i="2" a="1"/>
  <c r="J199" i="2" s="1"/>
  <c r="J200" i="2" a="1"/>
  <c r="J200" i="2" s="1"/>
  <c r="J201" i="2" a="1"/>
  <c r="J201" i="2" s="1"/>
  <c r="J202" i="2" a="1"/>
  <c r="J202" i="2" s="1"/>
  <c r="J203" i="2" a="1"/>
  <c r="J203" i="2" s="1"/>
  <c r="J204" i="2" a="1"/>
  <c r="J204" i="2" s="1"/>
  <c r="J205" i="2" a="1"/>
  <c r="J205" i="2" s="1"/>
  <c r="J206" i="2" a="1"/>
  <c r="J207" i="2" a="1"/>
  <c r="J207" i="2" s="1"/>
  <c r="J208" i="2" a="1"/>
  <c r="J208" i="2" s="1"/>
  <c r="J209" i="2" a="1"/>
  <c r="J209" i="2" s="1"/>
  <c r="J210" i="2" a="1"/>
  <c r="J210" i="2" s="1"/>
  <c r="J211" i="2" a="1"/>
  <c r="J211" i="2" s="1"/>
  <c r="J212" i="2" a="1"/>
  <c r="J212" i="2" s="1"/>
  <c r="J213" i="2" a="1"/>
  <c r="J213" i="2" s="1"/>
  <c r="J214" i="2" a="1"/>
  <c r="J214" i="2" s="1"/>
  <c r="J215" i="2" a="1"/>
  <c r="J215" i="2" s="1"/>
  <c r="J216" i="2" a="1"/>
  <c r="J216" i="2" s="1"/>
  <c r="J217" i="2" a="1"/>
  <c r="J217" i="2" s="1"/>
  <c r="J218" i="2" a="1"/>
  <c r="J218" i="2" s="1"/>
  <c r="J219" i="2" a="1"/>
  <c r="J219" i="2" s="1"/>
  <c r="J220" i="2" a="1"/>
  <c r="J220" i="2" s="1"/>
  <c r="M220" i="5"/>
  <c r="G220" i="5"/>
  <c r="M219" i="5"/>
  <c r="G219" i="5"/>
  <c r="M218" i="5"/>
  <c r="G218" i="5"/>
  <c r="M217" i="5"/>
  <c r="G217" i="5"/>
  <c r="M216" i="5"/>
  <c r="G216" i="5"/>
  <c r="M215" i="5"/>
  <c r="G215" i="5"/>
  <c r="M214" i="5"/>
  <c r="G214" i="5"/>
  <c r="M213" i="5"/>
  <c r="G213" i="5"/>
  <c r="M212" i="5"/>
  <c r="G212" i="5"/>
  <c r="M211" i="5"/>
  <c r="G211" i="5"/>
  <c r="M210" i="5"/>
  <c r="G210" i="5"/>
  <c r="M209" i="5"/>
  <c r="G209" i="5"/>
  <c r="M208" i="5"/>
  <c r="G208" i="5"/>
  <c r="M207" i="5"/>
  <c r="G207" i="5"/>
  <c r="M206" i="5"/>
  <c r="G206" i="5"/>
  <c r="M205" i="5"/>
  <c r="G205" i="5"/>
  <c r="M204" i="5"/>
  <c r="G204" i="5"/>
  <c r="M203" i="5"/>
  <c r="G203" i="5"/>
  <c r="M202" i="5"/>
  <c r="G202" i="5"/>
  <c r="M201" i="5"/>
  <c r="G201" i="5"/>
  <c r="M200" i="5"/>
  <c r="G200" i="5"/>
  <c r="M199" i="5"/>
  <c r="G199" i="5"/>
  <c r="M198" i="5"/>
  <c r="G198" i="5"/>
  <c r="M197" i="5"/>
  <c r="G197" i="5"/>
  <c r="M196" i="5"/>
  <c r="G196" i="5"/>
  <c r="M195" i="5"/>
  <c r="G195" i="5"/>
  <c r="M194" i="5"/>
  <c r="G194" i="5"/>
  <c r="M193" i="5"/>
  <c r="G193" i="5"/>
  <c r="M192" i="5"/>
  <c r="G192" i="5"/>
  <c r="M191" i="5"/>
  <c r="G191" i="5"/>
  <c r="M190" i="5"/>
  <c r="G190" i="5"/>
  <c r="M189" i="5"/>
  <c r="G189" i="5"/>
  <c r="M188" i="5"/>
  <c r="G188" i="5"/>
  <c r="M187" i="5"/>
  <c r="G187" i="5"/>
  <c r="M186" i="5"/>
  <c r="G186" i="5"/>
  <c r="M185" i="5"/>
  <c r="G185" i="5"/>
  <c r="M184" i="5"/>
  <c r="G184" i="5"/>
  <c r="M183" i="5"/>
  <c r="G183" i="5"/>
  <c r="M182" i="5"/>
  <c r="G182" i="5"/>
  <c r="M181" i="5"/>
  <c r="G181" i="5"/>
  <c r="M180" i="5"/>
  <c r="G180" i="5"/>
  <c r="M179" i="5"/>
  <c r="G179" i="5"/>
  <c r="M178" i="5"/>
  <c r="G178" i="5"/>
  <c r="M177" i="5"/>
  <c r="G177" i="5"/>
  <c r="M176" i="5"/>
  <c r="G176" i="5"/>
  <c r="M175" i="5"/>
  <c r="G175" i="5"/>
  <c r="M174" i="5"/>
  <c r="G174" i="5"/>
  <c r="M173" i="5"/>
  <c r="G173" i="5"/>
  <c r="M172" i="5"/>
  <c r="G172" i="5"/>
  <c r="M171" i="5"/>
  <c r="G171" i="5"/>
  <c r="M170" i="5"/>
  <c r="G170" i="5"/>
  <c r="M169" i="5"/>
  <c r="G169" i="5"/>
  <c r="M168" i="5"/>
  <c r="G168" i="5"/>
  <c r="M167" i="5"/>
  <c r="G167" i="5"/>
  <c r="M166" i="5"/>
  <c r="G166" i="5"/>
  <c r="M165" i="5"/>
  <c r="G165" i="5"/>
  <c r="M164" i="5"/>
  <c r="G164" i="5"/>
  <c r="M163" i="5"/>
  <c r="G163" i="5"/>
  <c r="M162" i="5"/>
  <c r="G162" i="5"/>
  <c r="M161" i="5"/>
  <c r="G161" i="5"/>
  <c r="M160" i="5"/>
  <c r="G160" i="5"/>
  <c r="M159" i="5"/>
  <c r="G159" i="5"/>
  <c r="M158" i="5"/>
  <c r="G158" i="5"/>
  <c r="M157" i="5"/>
  <c r="G157" i="5"/>
  <c r="M156" i="5"/>
  <c r="G156" i="5"/>
  <c r="M155" i="5"/>
  <c r="G155" i="5"/>
  <c r="M154" i="5"/>
  <c r="G154" i="5"/>
  <c r="M153" i="5"/>
  <c r="G153" i="5"/>
  <c r="M152" i="5"/>
  <c r="G152" i="5"/>
  <c r="M151" i="5"/>
  <c r="G151" i="5"/>
  <c r="M150" i="5"/>
  <c r="G150" i="5"/>
  <c r="M149" i="5"/>
  <c r="G149" i="5"/>
  <c r="M148" i="5"/>
  <c r="G148" i="5"/>
  <c r="M147" i="5"/>
  <c r="G147" i="5"/>
  <c r="M146" i="5"/>
  <c r="G146" i="5"/>
  <c r="M145" i="5"/>
  <c r="G145" i="5"/>
  <c r="M144" i="5"/>
  <c r="G144" i="5"/>
  <c r="M143" i="5"/>
  <c r="G143" i="5"/>
  <c r="M142" i="5"/>
  <c r="G142" i="5"/>
  <c r="M141" i="5"/>
  <c r="G141" i="5"/>
  <c r="M140" i="5"/>
  <c r="G140" i="5"/>
  <c r="M139" i="5"/>
  <c r="G139" i="5"/>
  <c r="M138" i="5"/>
  <c r="G138" i="5"/>
  <c r="M137" i="5"/>
  <c r="G137" i="5"/>
  <c r="M136" i="5"/>
  <c r="G136" i="5"/>
  <c r="M135" i="5"/>
  <c r="G135" i="5"/>
  <c r="M134" i="5"/>
  <c r="G134" i="5"/>
  <c r="M133" i="5"/>
  <c r="G133" i="5"/>
  <c r="M132" i="5"/>
  <c r="G132" i="5"/>
  <c r="M131" i="5"/>
  <c r="G131" i="5"/>
  <c r="M130" i="5"/>
  <c r="G130" i="5"/>
  <c r="M129" i="5"/>
  <c r="G129" i="5"/>
  <c r="M128" i="5"/>
  <c r="G128" i="5"/>
  <c r="M127" i="5"/>
  <c r="G127" i="5"/>
  <c r="M126" i="5"/>
  <c r="G126" i="5"/>
  <c r="M125" i="5"/>
  <c r="G125" i="5"/>
  <c r="M124" i="5"/>
  <c r="G124" i="5"/>
  <c r="M123" i="5"/>
  <c r="G123" i="5"/>
  <c r="M122" i="5"/>
  <c r="G122" i="5"/>
  <c r="M121" i="5"/>
  <c r="G121" i="5"/>
  <c r="M120" i="5"/>
  <c r="G120" i="5"/>
  <c r="M119" i="5"/>
  <c r="G119" i="5"/>
  <c r="M118" i="5"/>
  <c r="G118" i="5"/>
  <c r="M117" i="5"/>
  <c r="G117" i="5"/>
  <c r="M116" i="5"/>
  <c r="G116" i="5"/>
  <c r="M115" i="5"/>
  <c r="G115" i="5"/>
  <c r="M114" i="5"/>
  <c r="G114" i="5"/>
  <c r="M113" i="5"/>
  <c r="G113" i="5"/>
  <c r="M112" i="5"/>
  <c r="G112" i="5"/>
  <c r="M111" i="5"/>
  <c r="G111" i="5"/>
  <c r="M110" i="5"/>
  <c r="G110" i="5"/>
  <c r="M109" i="5"/>
  <c r="G109" i="5"/>
  <c r="M108" i="5"/>
  <c r="G108" i="5"/>
  <c r="M107" i="5"/>
  <c r="G107" i="5"/>
  <c r="M106" i="5"/>
  <c r="G106" i="5"/>
  <c r="M105" i="5"/>
  <c r="G105" i="5"/>
  <c r="M104" i="5"/>
  <c r="G104" i="5"/>
  <c r="M103" i="5"/>
  <c r="G103" i="5"/>
  <c r="M102" i="5"/>
  <c r="G102" i="5"/>
  <c r="M101" i="5"/>
  <c r="G101" i="5"/>
  <c r="M100" i="5"/>
  <c r="G100" i="5"/>
  <c r="M99" i="5"/>
  <c r="G99" i="5"/>
  <c r="M98" i="5"/>
  <c r="G98" i="5"/>
  <c r="M97" i="5"/>
  <c r="G97" i="5"/>
  <c r="M96" i="5"/>
  <c r="G96" i="5"/>
  <c r="M95" i="5"/>
  <c r="G95" i="5"/>
  <c r="M94" i="5"/>
  <c r="G94" i="5"/>
  <c r="M93" i="5"/>
  <c r="G93" i="5"/>
  <c r="M92" i="5"/>
  <c r="G92" i="5"/>
  <c r="M91" i="5"/>
  <c r="G91" i="5"/>
  <c r="M90" i="5"/>
  <c r="G90" i="5"/>
  <c r="M89" i="5"/>
  <c r="G89" i="5"/>
  <c r="M88" i="5"/>
  <c r="G88" i="5"/>
  <c r="M87" i="5"/>
  <c r="G87" i="5"/>
  <c r="M86" i="5"/>
  <c r="G86" i="5"/>
  <c r="M85" i="5"/>
  <c r="G85" i="5"/>
  <c r="M84" i="5"/>
  <c r="G84" i="5"/>
  <c r="M83" i="5"/>
  <c r="G83" i="5"/>
  <c r="M82" i="5"/>
  <c r="G82" i="5"/>
  <c r="M81" i="5"/>
  <c r="G81" i="5"/>
  <c r="M80" i="5"/>
  <c r="G80" i="5"/>
  <c r="M79" i="5"/>
  <c r="G79" i="5"/>
  <c r="M78" i="5"/>
  <c r="G78" i="5"/>
  <c r="M77" i="5"/>
  <c r="G77" i="5"/>
  <c r="M76" i="5"/>
  <c r="G76" i="5"/>
  <c r="M75" i="5"/>
  <c r="G75" i="5"/>
  <c r="M74" i="5"/>
  <c r="G74" i="5"/>
  <c r="M73" i="5"/>
  <c r="G73" i="5"/>
  <c r="M72" i="5"/>
  <c r="G72" i="5"/>
  <c r="M71" i="5"/>
  <c r="G71" i="5"/>
  <c r="M70" i="5"/>
  <c r="G70" i="5"/>
  <c r="M69" i="5"/>
  <c r="G69" i="5"/>
  <c r="M68" i="5"/>
  <c r="G68" i="5"/>
  <c r="M67" i="5"/>
  <c r="G67" i="5"/>
  <c r="M66" i="5"/>
  <c r="G66" i="5"/>
  <c r="M65" i="5"/>
  <c r="G65" i="5"/>
  <c r="M64" i="5"/>
  <c r="G64" i="5"/>
  <c r="M63" i="5"/>
  <c r="G63" i="5"/>
  <c r="M62" i="5"/>
  <c r="G62" i="5"/>
  <c r="M61" i="5"/>
  <c r="G61" i="5"/>
  <c r="M60" i="5"/>
  <c r="G60" i="5"/>
  <c r="M59" i="5"/>
  <c r="G59" i="5"/>
  <c r="M58" i="5"/>
  <c r="G58" i="5"/>
  <c r="M57" i="5"/>
  <c r="G57" i="5"/>
  <c r="M56" i="5"/>
  <c r="G56" i="5"/>
  <c r="M55" i="5"/>
  <c r="G55" i="5"/>
  <c r="M54" i="5"/>
  <c r="G54" i="5"/>
  <c r="M53" i="5"/>
  <c r="G53" i="5"/>
  <c r="M52" i="5"/>
  <c r="G52" i="5"/>
  <c r="M51" i="5"/>
  <c r="G51" i="5"/>
  <c r="M50" i="5"/>
  <c r="G50" i="5"/>
  <c r="M49" i="5"/>
  <c r="G49" i="5"/>
  <c r="M48" i="5"/>
  <c r="G48" i="5"/>
  <c r="M47" i="5"/>
  <c r="G47" i="5"/>
  <c r="M46" i="5"/>
  <c r="G46" i="5"/>
  <c r="M45" i="5"/>
  <c r="G45" i="5"/>
  <c r="M44" i="5"/>
  <c r="G44" i="5"/>
  <c r="M43" i="5"/>
  <c r="G43" i="5"/>
  <c r="M42" i="5"/>
  <c r="G42" i="5"/>
  <c r="M41" i="5"/>
  <c r="G41" i="5"/>
  <c r="M40" i="5"/>
  <c r="G40" i="5"/>
  <c r="M39" i="5"/>
  <c r="G39" i="5"/>
  <c r="M38" i="5"/>
  <c r="G38" i="5"/>
  <c r="M37" i="5"/>
  <c r="G37" i="5"/>
  <c r="M36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K14" i="2" l="1"/>
  <c r="S14" i="2" s="1"/>
  <c r="K13" i="2"/>
  <c r="S13" i="2" s="1"/>
  <c r="N16" i="5" s="1"/>
  <c r="E16" i="5" s="1"/>
  <c r="O16" i="5" s="1"/>
  <c r="N21" i="5"/>
  <c r="N22" i="5"/>
  <c r="N20" i="5"/>
  <c r="N27" i="5"/>
  <c r="E27" i="5" s="1"/>
  <c r="O27" i="5" s="1"/>
  <c r="N28" i="5"/>
  <c r="N29" i="5"/>
  <c r="E29" i="5" s="1"/>
  <c r="O29" i="5" s="1"/>
  <c r="N32" i="5"/>
  <c r="E32" i="5" s="1"/>
  <c r="O32" i="5" s="1"/>
  <c r="N31" i="5"/>
  <c r="E31" i="5" s="1"/>
  <c r="O31" i="5" s="1"/>
  <c r="N15" i="5"/>
  <c r="E15" i="5" s="1"/>
  <c r="O15" i="5" s="1"/>
  <c r="E9" i="12"/>
  <c r="C9" i="12"/>
  <c r="C17" i="12"/>
  <c r="G9" i="12"/>
  <c r="C22" i="12"/>
  <c r="C23" i="12"/>
  <c r="C21" i="12"/>
  <c r="A17" i="12"/>
  <c r="I15" i="5"/>
  <c r="M15" i="5" s="1"/>
  <c r="I16" i="5"/>
  <c r="M16" i="5" s="1"/>
  <c r="E58" i="5"/>
  <c r="O58" i="5" s="1"/>
  <c r="E59" i="5"/>
  <c r="O59" i="5" s="1"/>
  <c r="E60" i="5"/>
  <c r="O60" i="5" s="1"/>
  <c r="E61" i="5"/>
  <c r="O61" i="5" s="1"/>
  <c r="E62" i="5"/>
  <c r="O62" i="5" s="1"/>
  <c r="E63" i="5"/>
  <c r="O63" i="5" s="1"/>
  <c r="E64" i="5"/>
  <c r="O64" i="5" s="1"/>
  <c r="E65" i="5"/>
  <c r="O65" i="5" s="1"/>
  <c r="E66" i="5"/>
  <c r="O66" i="5" s="1"/>
  <c r="E25" i="5"/>
  <c r="O25" i="5" s="1"/>
  <c r="E23" i="5"/>
  <c r="O23" i="5" s="1"/>
  <c r="E26" i="5"/>
  <c r="O26" i="5" s="1"/>
  <c r="E33" i="5"/>
  <c r="O33" i="5" s="1"/>
  <c r="E35" i="5"/>
  <c r="O35" i="5" s="1"/>
  <c r="E36" i="5"/>
  <c r="O36" i="5" s="1"/>
  <c r="E38" i="5"/>
  <c r="O38" i="5" s="1"/>
  <c r="E39" i="5"/>
  <c r="O39" i="5" s="1"/>
  <c r="E41" i="5"/>
  <c r="O41" i="5" s="1"/>
  <c r="E42" i="5"/>
  <c r="O42" i="5" s="1"/>
  <c r="E44" i="5"/>
  <c r="O44" i="5" s="1"/>
  <c r="E45" i="5"/>
  <c r="O45" i="5" s="1"/>
  <c r="E47" i="5"/>
  <c r="O47" i="5" s="1"/>
  <c r="E48" i="5"/>
  <c r="O48" i="5" s="1"/>
  <c r="E49" i="5"/>
  <c r="O49" i="5" s="1"/>
  <c r="E51" i="5"/>
  <c r="O51" i="5" s="1"/>
  <c r="E53" i="5"/>
  <c r="O53" i="5" s="1"/>
  <c r="E55" i="5"/>
  <c r="O55" i="5" s="1"/>
  <c r="E57" i="5"/>
  <c r="O57" i="5" s="1"/>
  <c r="E30" i="5"/>
  <c r="O30" i="5" s="1"/>
  <c r="E34" i="5"/>
  <c r="O34" i="5" s="1"/>
  <c r="E37" i="5"/>
  <c r="O37" i="5" s="1"/>
  <c r="E40" i="5"/>
  <c r="O40" i="5" s="1"/>
  <c r="E43" i="5"/>
  <c r="O43" i="5" s="1"/>
  <c r="E46" i="5"/>
  <c r="O46" i="5" s="1"/>
  <c r="E50" i="5"/>
  <c r="O50" i="5" s="1"/>
  <c r="E52" i="5"/>
  <c r="O52" i="5" s="1"/>
  <c r="E54" i="5"/>
  <c r="O54" i="5" s="1"/>
  <c r="E56" i="5"/>
  <c r="O56" i="5" s="1"/>
  <c r="E67" i="5"/>
  <c r="O67" i="5" s="1"/>
  <c r="E68" i="5"/>
  <c r="O68" i="5" s="1"/>
  <c r="E69" i="5"/>
  <c r="O69" i="5" s="1"/>
  <c r="E70" i="5"/>
  <c r="O70" i="5" s="1"/>
  <c r="E71" i="5"/>
  <c r="O71" i="5" s="1"/>
  <c r="E72" i="5"/>
  <c r="O72" i="5" s="1"/>
  <c r="E73" i="5"/>
  <c r="O73" i="5" s="1"/>
  <c r="E74" i="5"/>
  <c r="O74" i="5" s="1"/>
  <c r="E75" i="5"/>
  <c r="O75" i="5" s="1"/>
  <c r="E76" i="5"/>
  <c r="O76" i="5" s="1"/>
  <c r="E22" i="5"/>
  <c r="O22" i="5" s="1"/>
  <c r="E21" i="5"/>
  <c r="O21" i="5" s="1"/>
  <c r="E105" i="5"/>
  <c r="O105" i="5" s="1"/>
  <c r="E106" i="5"/>
  <c r="O106" i="5" s="1"/>
  <c r="E107" i="5"/>
  <c r="O107" i="5" s="1"/>
  <c r="E108" i="5"/>
  <c r="O108" i="5" s="1"/>
  <c r="E109" i="5"/>
  <c r="O109" i="5" s="1"/>
  <c r="E110" i="5"/>
  <c r="O110" i="5" s="1"/>
  <c r="E111" i="5"/>
  <c r="O111" i="5" s="1"/>
  <c r="E112" i="5"/>
  <c r="O112" i="5" s="1"/>
  <c r="E113" i="5"/>
  <c r="O113" i="5" s="1"/>
  <c r="E114" i="5"/>
  <c r="O114" i="5" s="1"/>
  <c r="E115" i="5"/>
  <c r="O115" i="5" s="1"/>
  <c r="E116" i="5"/>
  <c r="O116" i="5" s="1"/>
  <c r="E117" i="5"/>
  <c r="O117" i="5" s="1"/>
  <c r="E118" i="5"/>
  <c r="O118" i="5" s="1"/>
  <c r="E119" i="5"/>
  <c r="O119" i="5" s="1"/>
  <c r="E120" i="5"/>
  <c r="O120" i="5" s="1"/>
  <c r="E121" i="5"/>
  <c r="O121" i="5" s="1"/>
  <c r="E122" i="5"/>
  <c r="O122" i="5" s="1"/>
  <c r="E123" i="5"/>
  <c r="O123" i="5" s="1"/>
  <c r="E124" i="5"/>
  <c r="O124" i="5" s="1"/>
  <c r="E125" i="5"/>
  <c r="O125" i="5" s="1"/>
  <c r="E126" i="5"/>
  <c r="O126" i="5" s="1"/>
  <c r="E127" i="5"/>
  <c r="O127" i="5" s="1"/>
  <c r="E128" i="5"/>
  <c r="O128" i="5" s="1"/>
  <c r="E129" i="5"/>
  <c r="O129" i="5" s="1"/>
  <c r="E130" i="5"/>
  <c r="O130" i="5" s="1"/>
  <c r="E131" i="5"/>
  <c r="O131" i="5" s="1"/>
  <c r="E132" i="5"/>
  <c r="O132" i="5" s="1"/>
  <c r="E133" i="5"/>
  <c r="O133" i="5" s="1"/>
  <c r="E134" i="5"/>
  <c r="O134" i="5" s="1"/>
  <c r="E135" i="5"/>
  <c r="O135" i="5" s="1"/>
  <c r="E136" i="5"/>
  <c r="O136" i="5" s="1"/>
  <c r="E137" i="5"/>
  <c r="O137" i="5" s="1"/>
  <c r="E138" i="5"/>
  <c r="O138" i="5" s="1"/>
  <c r="E139" i="5"/>
  <c r="O139" i="5" s="1"/>
  <c r="E140" i="5"/>
  <c r="O140" i="5" s="1"/>
  <c r="E141" i="5"/>
  <c r="O141" i="5" s="1"/>
  <c r="E142" i="5"/>
  <c r="O142" i="5" s="1"/>
  <c r="E143" i="5"/>
  <c r="O143" i="5" s="1"/>
  <c r="E144" i="5"/>
  <c r="O144" i="5" s="1"/>
  <c r="E145" i="5"/>
  <c r="O145" i="5" s="1"/>
  <c r="E146" i="5"/>
  <c r="O146" i="5" s="1"/>
  <c r="E147" i="5"/>
  <c r="O147" i="5" s="1"/>
  <c r="E148" i="5"/>
  <c r="O148" i="5" s="1"/>
  <c r="E149" i="5"/>
  <c r="O149" i="5" s="1"/>
  <c r="E150" i="5"/>
  <c r="O150" i="5" s="1"/>
  <c r="E151" i="5"/>
  <c r="O151" i="5" s="1"/>
  <c r="E152" i="5"/>
  <c r="O152" i="5" s="1"/>
  <c r="E153" i="5"/>
  <c r="O153" i="5" s="1"/>
  <c r="E154" i="5"/>
  <c r="O154" i="5" s="1"/>
  <c r="E155" i="5"/>
  <c r="O155" i="5" s="1"/>
  <c r="E156" i="5"/>
  <c r="O156" i="5" s="1"/>
  <c r="E157" i="5"/>
  <c r="O157" i="5" s="1"/>
  <c r="E158" i="5"/>
  <c r="O158" i="5" s="1"/>
  <c r="E159" i="5"/>
  <c r="O159" i="5" s="1"/>
  <c r="E160" i="5"/>
  <c r="O160" i="5" s="1"/>
  <c r="E215" i="5"/>
  <c r="O215" i="5" s="1"/>
  <c r="E216" i="5"/>
  <c r="O216" i="5" s="1"/>
  <c r="E217" i="5"/>
  <c r="O217" i="5" s="1"/>
  <c r="E218" i="5"/>
  <c r="O218" i="5" s="1"/>
  <c r="E219" i="5"/>
  <c r="O219" i="5" s="1"/>
  <c r="E220" i="5"/>
  <c r="O220" i="5" s="1"/>
  <c r="E77" i="5"/>
  <c r="O77" i="5" s="1"/>
  <c r="E78" i="5"/>
  <c r="O78" i="5" s="1"/>
  <c r="E79" i="5"/>
  <c r="O79" i="5" s="1"/>
  <c r="E80" i="5"/>
  <c r="O80" i="5" s="1"/>
  <c r="E81" i="5"/>
  <c r="O81" i="5" s="1"/>
  <c r="E82" i="5"/>
  <c r="O82" i="5" s="1"/>
  <c r="E83" i="5"/>
  <c r="O83" i="5" s="1"/>
  <c r="E84" i="5"/>
  <c r="O84" i="5" s="1"/>
  <c r="E85" i="5"/>
  <c r="O85" i="5" s="1"/>
  <c r="E97" i="5"/>
  <c r="O97" i="5" s="1"/>
  <c r="E98" i="5"/>
  <c r="O98" i="5" s="1"/>
  <c r="E99" i="5"/>
  <c r="O99" i="5" s="1"/>
  <c r="E100" i="5"/>
  <c r="O100" i="5" s="1"/>
  <c r="E101" i="5"/>
  <c r="O101" i="5" s="1"/>
  <c r="E102" i="5"/>
  <c r="O102" i="5" s="1"/>
  <c r="E103" i="5"/>
  <c r="O103" i="5" s="1"/>
  <c r="E104" i="5"/>
  <c r="O104" i="5" s="1"/>
  <c r="E172" i="5"/>
  <c r="O172" i="5" s="1"/>
  <c r="E173" i="5"/>
  <c r="O173" i="5" s="1"/>
  <c r="E174" i="5"/>
  <c r="O174" i="5" s="1"/>
  <c r="E175" i="5"/>
  <c r="O175" i="5" s="1"/>
  <c r="E176" i="5"/>
  <c r="O176" i="5" s="1"/>
  <c r="E177" i="5"/>
  <c r="O177" i="5" s="1"/>
  <c r="E178" i="5"/>
  <c r="O178" i="5" s="1"/>
  <c r="E179" i="5"/>
  <c r="O179" i="5" s="1"/>
  <c r="E180" i="5"/>
  <c r="O180" i="5" s="1"/>
  <c r="E181" i="5"/>
  <c r="O181" i="5" s="1"/>
  <c r="E182" i="5"/>
  <c r="O182" i="5" s="1"/>
  <c r="E183" i="5"/>
  <c r="O183" i="5" s="1"/>
  <c r="E184" i="5"/>
  <c r="O184" i="5" s="1"/>
  <c r="E185" i="5"/>
  <c r="O185" i="5" s="1"/>
  <c r="E186" i="5"/>
  <c r="O186" i="5" s="1"/>
  <c r="E187" i="5"/>
  <c r="O187" i="5" s="1"/>
  <c r="E188" i="5"/>
  <c r="O188" i="5" s="1"/>
  <c r="E189" i="5"/>
  <c r="O189" i="5" s="1"/>
  <c r="E190" i="5"/>
  <c r="O190" i="5" s="1"/>
  <c r="E191" i="5"/>
  <c r="O191" i="5" s="1"/>
  <c r="E192" i="5"/>
  <c r="O192" i="5" s="1"/>
  <c r="E193" i="5"/>
  <c r="O193" i="5" s="1"/>
  <c r="E194" i="5"/>
  <c r="O194" i="5" s="1"/>
  <c r="E195" i="5"/>
  <c r="O195" i="5" s="1"/>
  <c r="E196" i="5"/>
  <c r="O196" i="5" s="1"/>
  <c r="E197" i="5"/>
  <c r="O197" i="5" s="1"/>
  <c r="E198" i="5"/>
  <c r="O198" i="5" s="1"/>
  <c r="E199" i="5"/>
  <c r="O199" i="5" s="1"/>
  <c r="E200" i="5"/>
  <c r="O200" i="5" s="1"/>
  <c r="E201" i="5"/>
  <c r="O201" i="5" s="1"/>
  <c r="E202" i="5"/>
  <c r="O202" i="5" s="1"/>
  <c r="E203" i="5"/>
  <c r="O203" i="5" s="1"/>
  <c r="E204" i="5"/>
  <c r="O204" i="5" s="1"/>
  <c r="E205" i="5"/>
  <c r="O205" i="5" s="1"/>
  <c r="E206" i="5"/>
  <c r="O206" i="5" s="1"/>
  <c r="E207" i="5"/>
  <c r="O207" i="5" s="1"/>
  <c r="E208" i="5"/>
  <c r="O208" i="5" s="1"/>
  <c r="E209" i="5"/>
  <c r="O209" i="5" s="1"/>
  <c r="E210" i="5"/>
  <c r="O210" i="5" s="1"/>
  <c r="E211" i="5"/>
  <c r="O211" i="5" s="1"/>
  <c r="E212" i="5"/>
  <c r="O212" i="5" s="1"/>
  <c r="E213" i="5"/>
  <c r="O213" i="5" s="1"/>
  <c r="E214" i="5"/>
  <c r="O214" i="5" s="1"/>
  <c r="E86" i="5"/>
  <c r="O86" i="5" s="1"/>
  <c r="E87" i="5"/>
  <c r="O87" i="5" s="1"/>
  <c r="E88" i="5"/>
  <c r="O88" i="5" s="1"/>
  <c r="E89" i="5"/>
  <c r="O89" i="5" s="1"/>
  <c r="E90" i="5"/>
  <c r="O90" i="5" s="1"/>
  <c r="E91" i="5"/>
  <c r="O91" i="5" s="1"/>
  <c r="E92" i="5"/>
  <c r="O92" i="5" s="1"/>
  <c r="E93" i="5"/>
  <c r="O93" i="5" s="1"/>
  <c r="E94" i="5"/>
  <c r="O94" i="5" s="1"/>
  <c r="E95" i="5"/>
  <c r="O95" i="5" s="1"/>
  <c r="E96" i="5"/>
  <c r="O96" i="5" s="1"/>
  <c r="E161" i="5"/>
  <c r="O161" i="5" s="1"/>
  <c r="E162" i="5"/>
  <c r="O162" i="5" s="1"/>
  <c r="E163" i="5"/>
  <c r="O163" i="5" s="1"/>
  <c r="E164" i="5"/>
  <c r="O164" i="5" s="1"/>
  <c r="E165" i="5"/>
  <c r="O165" i="5" s="1"/>
  <c r="E166" i="5"/>
  <c r="O166" i="5" s="1"/>
  <c r="E167" i="5"/>
  <c r="O167" i="5" s="1"/>
  <c r="E168" i="5"/>
  <c r="O168" i="5" s="1"/>
  <c r="E169" i="5"/>
  <c r="O169" i="5" s="1"/>
  <c r="E170" i="5"/>
  <c r="O170" i="5" s="1"/>
  <c r="E171" i="5"/>
  <c r="O171" i="5" s="1"/>
  <c r="O12" i="5"/>
  <c r="A3" i="17"/>
  <c r="M27" i="12"/>
  <c r="N33" i="12" a="1"/>
  <c r="N33" i="12" s="1"/>
  <c r="C35" i="12" s="1"/>
  <c r="A35" i="12"/>
  <c r="P34" i="12"/>
  <c r="G36" i="12" s="1"/>
  <c r="O34" i="12"/>
  <c r="E36" i="12" s="1"/>
  <c r="Q34" i="12"/>
  <c r="I36" i="12" s="1"/>
  <c r="N34" i="12" a="1"/>
  <c r="N34" i="12" s="1"/>
  <c r="C36" i="12" s="1"/>
  <c r="A36" i="12"/>
  <c r="P35" i="12"/>
  <c r="G37" i="12" s="1"/>
  <c r="O35" i="12"/>
  <c r="E37" i="12" s="1"/>
  <c r="Q35" i="12"/>
  <c r="I37" i="12" s="1"/>
  <c r="A37" i="12"/>
  <c r="N35" i="12" a="1"/>
  <c r="N35" i="12" s="1"/>
  <c r="C37" i="12" s="1"/>
  <c r="O36" i="12"/>
  <c r="E38" i="12" s="1"/>
  <c r="Q36" i="12"/>
  <c r="I38" i="12" s="1"/>
  <c r="A38" i="12"/>
  <c r="N36" i="12" a="1"/>
  <c r="N36" i="12" s="1"/>
  <c r="C38" i="12" s="1"/>
  <c r="P36" i="12"/>
  <c r="G38" i="12" s="1"/>
  <c r="N37" i="12" a="1"/>
  <c r="N37" i="12" s="1"/>
  <c r="C39" i="12" s="1"/>
  <c r="P37" i="12"/>
  <c r="G39" i="12" s="1"/>
  <c r="Q37" i="12"/>
  <c r="I39" i="12" s="1"/>
  <c r="O37" i="12"/>
  <c r="E39" i="12" s="1"/>
  <c r="A39" i="12"/>
  <c r="O38" i="12"/>
  <c r="E40" i="12" s="1"/>
  <c r="P38" i="12"/>
  <c r="G40" i="12" s="1"/>
  <c r="N38" i="12" a="1"/>
  <c r="N38" i="12" s="1"/>
  <c r="C40" i="12" s="1"/>
  <c r="Q38" i="12"/>
  <c r="I40" i="12" s="1"/>
  <c r="A40" i="12"/>
  <c r="N39" i="12" a="1"/>
  <c r="N39" i="12" s="1"/>
  <c r="C41" i="12" s="1"/>
  <c r="P39" i="12"/>
  <c r="G41" i="12" s="1"/>
  <c r="A41" i="12"/>
  <c r="O39" i="12"/>
  <c r="E41" i="12" s="1"/>
  <c r="Q39" i="12"/>
  <c r="I41" i="12" s="1"/>
  <c r="P40" i="12"/>
  <c r="G42" i="12" s="1"/>
  <c r="N40" i="12" a="1"/>
  <c r="N40" i="12" s="1"/>
  <c r="C42" i="12" s="1"/>
  <c r="Q40" i="12"/>
  <c r="I42" i="12" s="1"/>
  <c r="O40" i="12"/>
  <c r="E42" i="12" s="1"/>
  <c r="A42" i="12"/>
  <c r="P41" i="12"/>
  <c r="G43" i="12" s="1"/>
  <c r="Q41" i="12"/>
  <c r="I43" i="12" s="1"/>
  <c r="O41" i="12"/>
  <c r="E43" i="12" s="1"/>
  <c r="A43" i="12"/>
  <c r="N41" i="12" a="1"/>
  <c r="N41" i="12" s="1"/>
  <c r="C43" i="12" s="1"/>
  <c r="P42" i="12"/>
  <c r="G44" i="12" s="1"/>
  <c r="Q42" i="12"/>
  <c r="I44" i="12" s="1"/>
  <c r="O42" i="12"/>
  <c r="E44" i="12" s="1"/>
  <c r="N42" i="12" a="1"/>
  <c r="N42" i="12" s="1"/>
  <c r="C44" i="12" s="1"/>
  <c r="A44" i="12"/>
  <c r="A45" i="12"/>
  <c r="O43" i="12"/>
  <c r="E45" i="12" s="1"/>
  <c r="P43" i="12"/>
  <c r="G45" i="12" s="1"/>
  <c r="Q43" i="12"/>
  <c r="I45" i="12" s="1"/>
  <c r="N43" i="12" a="1"/>
  <c r="N43" i="12" s="1"/>
  <c r="C45" i="12" s="1"/>
  <c r="O44" i="12"/>
  <c r="E46" i="12" s="1"/>
  <c r="Q44" i="12"/>
  <c r="I46" i="12" s="1"/>
  <c r="N44" i="12" a="1"/>
  <c r="N44" i="12" s="1"/>
  <c r="C46" i="12" s="1"/>
  <c r="P44" i="12"/>
  <c r="G46" i="12" s="1"/>
  <c r="A46" i="12"/>
  <c r="N45" i="12" a="1"/>
  <c r="N45" i="12" s="1"/>
  <c r="C47" i="12" s="1"/>
  <c r="A47" i="12"/>
  <c r="Q45" i="12"/>
  <c r="I47" i="12" s="1"/>
  <c r="O45" i="12"/>
  <c r="E47" i="12" s="1"/>
  <c r="P45" i="12"/>
  <c r="G47" i="12" s="1"/>
  <c r="O46" i="12"/>
  <c r="E48" i="12" s="1"/>
  <c r="P46" i="12"/>
  <c r="G48" i="12" s="1"/>
  <c r="Q46" i="12"/>
  <c r="I48" i="12" s="1"/>
  <c r="N46" i="12" a="1"/>
  <c r="N46" i="12" s="1"/>
  <c r="C48" i="12" s="1"/>
  <c r="A48" i="12"/>
  <c r="N29" i="12" a="1"/>
  <c r="N29" i="12" s="1"/>
  <c r="C31" i="12" s="1"/>
  <c r="N28" i="12" a="1"/>
  <c r="N28" i="12" s="1"/>
  <c r="C30" i="12" s="1"/>
  <c r="N30" i="12" a="1"/>
  <c r="N30" i="12" s="1"/>
  <c r="C32" i="12" s="1"/>
  <c r="A31" i="12"/>
  <c r="A32" i="12"/>
  <c r="N32" i="12" a="1"/>
  <c r="N32" i="12" s="1"/>
  <c r="C34" i="12" s="1"/>
  <c r="A33" i="12"/>
  <c r="A34" i="12"/>
  <c r="N31" i="12" a="1"/>
  <c r="N31" i="12" s="1"/>
  <c r="C33" i="12" s="1"/>
  <c r="A30" i="12"/>
  <c r="O13" i="5"/>
  <c r="M12" i="5"/>
  <c r="J15" i="2" a="1"/>
  <c r="J15" i="2" s="1"/>
  <c r="L12" i="2"/>
  <c r="L15" i="2"/>
  <c r="N15" i="2" s="1"/>
  <c r="J19" i="2" a="1"/>
  <c r="J19" i="2" s="1"/>
  <c r="L18" i="2"/>
  <c r="N18" i="2" s="1"/>
  <c r="L16" i="2"/>
  <c r="N16" i="2" s="1"/>
  <c r="J16" i="2" a="1"/>
  <c r="J16" i="2" s="1"/>
  <c r="J12" i="2" a="1"/>
  <c r="J12" i="2" s="1"/>
  <c r="L13" i="2"/>
  <c r="N13" i="2" s="1"/>
  <c r="L14" i="2"/>
  <c r="N14" i="2" s="1"/>
  <c r="L17" i="2"/>
  <c r="N17" i="2" s="1"/>
  <c r="L19" i="2"/>
  <c r="N19" i="2" s="1"/>
  <c r="J17" i="2" a="1"/>
  <c r="J17" i="2" s="1"/>
  <c r="J18" i="2" a="1"/>
  <c r="J18" i="2" s="1"/>
  <c r="A2" i="20" a="1"/>
  <c r="J13" i="2" a="1"/>
  <c r="J13" i="2" s="1"/>
  <c r="J14" i="2" a="1"/>
  <c r="J14" i="2" s="1"/>
  <c r="A2" i="11"/>
  <c r="R13" i="2"/>
  <c r="C9" i="5"/>
  <c r="J206" i="2"/>
  <c r="N18" i="5" l="1"/>
  <c r="E18" i="5" s="1"/>
  <c r="O18" i="5" s="1"/>
  <c r="N19" i="5"/>
  <c r="E19" i="5" s="1"/>
  <c r="O19" i="5" s="1"/>
  <c r="N17" i="5"/>
  <c r="N14" i="5"/>
  <c r="E23" i="12"/>
  <c r="P33" i="12"/>
  <c r="G35" i="12" s="1"/>
  <c r="O33" i="12"/>
  <c r="E35" i="12" s="1"/>
  <c r="Q33" i="12"/>
  <c r="I35" i="12" s="1"/>
  <c r="E20" i="5"/>
  <c r="O20" i="5" s="1"/>
  <c r="Q32" i="12"/>
  <c r="I34" i="12" s="1"/>
  <c r="P32" i="12"/>
  <c r="G34" i="12" s="1"/>
  <c r="E28" i="5"/>
  <c r="O28" i="5" s="1"/>
  <c r="O32" i="12"/>
  <c r="E34" i="12" s="1"/>
  <c r="P28" i="12"/>
  <c r="G30" i="12" s="1"/>
  <c r="Q28" i="12"/>
  <c r="I30" i="12" s="1"/>
  <c r="Q31" i="12"/>
  <c r="I33" i="12" s="1"/>
  <c r="P31" i="12"/>
  <c r="G33" i="12" s="1"/>
  <c r="O31" i="12"/>
  <c r="E33" i="12" s="1"/>
  <c r="Q30" i="12"/>
  <c r="I32" i="12" s="1"/>
  <c r="P30" i="12"/>
  <c r="G32" i="12" s="1"/>
  <c r="O30" i="12"/>
  <c r="E32" i="12" s="1"/>
  <c r="P27" i="12"/>
  <c r="G29" i="12" s="1"/>
  <c r="Q27" i="12"/>
  <c r="I29" i="12" s="1"/>
  <c r="O27" i="12"/>
  <c r="E29" i="12" s="1"/>
  <c r="N12" i="2"/>
  <c r="E22" i="12" s="1"/>
  <c r="C13" i="12"/>
  <c r="E17" i="12"/>
  <c r="N27" i="12" a="1"/>
  <c r="N27" i="12" s="1"/>
  <c r="C29" i="12" s="1"/>
  <c r="A29" i="12"/>
  <c r="A2" i="20"/>
  <c r="E17" i="5" l="1"/>
  <c r="O17" i="5" s="1"/>
  <c r="O28" i="12"/>
  <c r="E30" i="12" s="1"/>
  <c r="E14" i="5"/>
  <c r="O14" i="5" s="1"/>
  <c r="P29" i="12"/>
  <c r="G31" i="12" s="1"/>
  <c r="Q29" i="12"/>
  <c r="I31" i="12" s="1"/>
  <c r="O29" i="12"/>
  <c r="E31" i="12" s="1"/>
  <c r="E21" i="12"/>
  <c r="E24" i="12"/>
  <c r="A13" i="12"/>
  <c r="E13" i="12" s="1"/>
  <c r="G1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<sst xmlns="http://schemas.openxmlformats.org/spreadsheetml/2006/main" count="2429" uniqueCount="284">
  <si>
    <t>ID TMA</t>
  </si>
  <si>
    <t>Lot</t>
  </si>
  <si>
    <t>Type</t>
  </si>
  <si>
    <t>Client</t>
  </si>
  <si>
    <t>Localisation</t>
  </si>
  <si>
    <t>Description</t>
  </si>
  <si>
    <t>Statut</t>
  </si>
  <si>
    <t>Priorité</t>
  </si>
  <si>
    <t>Date demande</t>
  </si>
  <si>
    <t>Date limite</t>
  </si>
  <si>
    <t>Phase</t>
  </si>
  <si>
    <t>Retard</t>
  </si>
  <si>
    <t>Nb entreprises</t>
  </si>
  <si>
    <t>A01</t>
  </si>
  <si>
    <t>Chambre 1</t>
  </si>
  <si>
    <t>Parquet à la place de carrelage</t>
  </si>
  <si>
    <t>Étude</t>
  </si>
  <si>
    <t>Moyenne</t>
  </si>
  <si>
    <t>A02</t>
  </si>
  <si>
    <t>Séjour</t>
  </si>
  <si>
    <t>Validé</t>
  </si>
  <si>
    <t>Basse</t>
  </si>
  <si>
    <t>A03</t>
  </si>
  <si>
    <t>Haute</t>
  </si>
  <si>
    <t>A05</t>
  </si>
  <si>
    <t>T2</t>
  </si>
  <si>
    <t>T3</t>
  </si>
  <si>
    <t>T4</t>
  </si>
  <si>
    <t>T5</t>
  </si>
  <si>
    <t>Désignation</t>
  </si>
  <si>
    <t>Lot de travaux</t>
  </si>
  <si>
    <t>Entreprise</t>
  </si>
  <si>
    <t>Date limite retour (10 jours)</t>
  </si>
  <si>
    <t>Date retour</t>
  </si>
  <si>
    <t>Montant TTC (€)</t>
  </si>
  <si>
    <t>Reçu</t>
  </si>
  <si>
    <t>CARRELAGE</t>
  </si>
  <si>
    <t>SOLS SOUPLES</t>
  </si>
  <si>
    <t>PEINTURES</t>
  </si>
  <si>
    <t>GROS OEUVRE</t>
  </si>
  <si>
    <t>CHARPENTE - COUVERTURE</t>
  </si>
  <si>
    <t>ZINGUERIE</t>
  </si>
  <si>
    <t>ENDUITS EXTERIEURS</t>
  </si>
  <si>
    <t>MENUISERIES EXTERIEURES</t>
  </si>
  <si>
    <t>EEE</t>
  </si>
  <si>
    <t>MENUISERIES INTERIEURES</t>
  </si>
  <si>
    <t>ISOLATION - CLOISONS - DOUBLAGES</t>
  </si>
  <si>
    <t>SERRURERIE</t>
  </si>
  <si>
    <t>PORTE DE GARAGE</t>
  </si>
  <si>
    <t>ELECTRICITE</t>
  </si>
  <si>
    <t>PLOMBERIE</t>
  </si>
  <si>
    <t>ASCENSEUR</t>
  </si>
  <si>
    <t>Cuisine</t>
  </si>
  <si>
    <t>SDB</t>
  </si>
  <si>
    <t>WC</t>
  </si>
  <si>
    <t>Chambre 2</t>
  </si>
  <si>
    <t>Entrée</t>
  </si>
  <si>
    <t>Dégagement</t>
  </si>
  <si>
    <t>Balcon</t>
  </si>
  <si>
    <t>Terrasse</t>
  </si>
  <si>
    <t>T1</t>
  </si>
  <si>
    <t>T1bis</t>
  </si>
  <si>
    <t>T2bis</t>
  </si>
  <si>
    <t>T3bis</t>
  </si>
  <si>
    <t>T4bis</t>
  </si>
  <si>
    <t>T5bis</t>
  </si>
  <si>
    <t>T6</t>
  </si>
  <si>
    <t>T6bis</t>
  </si>
  <si>
    <t>T7</t>
  </si>
  <si>
    <t>Date :</t>
  </si>
  <si>
    <t>Maître d'ouvrage</t>
  </si>
  <si>
    <t>Adresse :</t>
  </si>
  <si>
    <t>Commune :</t>
  </si>
  <si>
    <t>Nombre de logements :</t>
  </si>
  <si>
    <t>Date de livraison :</t>
  </si>
  <si>
    <t>Date envoi entreprises</t>
  </si>
  <si>
    <t>Montant total TTC entreprises (€)</t>
  </si>
  <si>
    <t>Date envoi facture client</t>
  </si>
  <si>
    <t>Date retour client</t>
  </si>
  <si>
    <t>Retour entreprises</t>
  </si>
  <si>
    <t>Réponse</t>
  </si>
  <si>
    <t>Montant total TTC clients (€)</t>
  </si>
  <si>
    <t>Nom du programme</t>
  </si>
  <si>
    <t>XXX</t>
  </si>
  <si>
    <t>12 avenue Jean JAURES</t>
  </si>
  <si>
    <t>CIBOURE (64500)</t>
  </si>
  <si>
    <t>12</t>
  </si>
  <si>
    <t>Tableau de suivi des TMA</t>
  </si>
  <si>
    <t>Résidence LES JOLIETTES</t>
  </si>
  <si>
    <t>Tableau de suivi TMA entreprises détaillé</t>
  </si>
  <si>
    <t>Date de la demande</t>
  </si>
  <si>
    <t>STATUT</t>
  </si>
  <si>
    <t>LOT</t>
  </si>
  <si>
    <t>TYPE</t>
  </si>
  <si>
    <t>CLIENTS</t>
  </si>
  <si>
    <t>LOCALISATION</t>
  </si>
  <si>
    <t>DESCRIPTION</t>
  </si>
  <si>
    <t>PHASE</t>
  </si>
  <si>
    <t>DATE ENVOI ENTREPRISES</t>
  </si>
  <si>
    <t>NB ENTREPRISES</t>
  </si>
  <si>
    <t>RETOUR ENTREPRISES</t>
  </si>
  <si>
    <t>MONTANT TOTAL TTC ENTREPRISES (€)</t>
  </si>
  <si>
    <t>PRIORITÉ</t>
  </si>
  <si>
    <t>DATE ENVOI FACTURE CLIENTS</t>
  </si>
  <si>
    <t>DATE RETOURS CLIENTS</t>
  </si>
  <si>
    <t>DATE LIMITE</t>
  </si>
  <si>
    <t>RETARD</t>
  </si>
  <si>
    <t/>
  </si>
  <si>
    <t>Non</t>
  </si>
  <si>
    <t>Oui</t>
  </si>
  <si>
    <t>SDFJ</t>
  </si>
  <si>
    <t>TOUS</t>
  </si>
  <si>
    <t>Clients :</t>
  </si>
  <si>
    <t>Programme :</t>
  </si>
  <si>
    <t>Refusé</t>
  </si>
  <si>
    <t>Montant HT</t>
  </si>
  <si>
    <t>TVA (20%)</t>
  </si>
  <si>
    <t>Montant TTC</t>
  </si>
  <si>
    <t>Lot :</t>
  </si>
  <si>
    <t>A06</t>
  </si>
  <si>
    <t>CLIENT</t>
  </si>
  <si>
    <t>DATE DEMANDE</t>
  </si>
  <si>
    <t>MONTANT TOTAL TTC CLIENTS (€)</t>
  </si>
  <si>
    <t>DATE ENVOI FACTURE CLIENT</t>
  </si>
  <si>
    <t>DATE RETOUR CLIENTS</t>
  </si>
  <si>
    <t>Entreprises :</t>
  </si>
  <si>
    <t>ENTREPRISE</t>
  </si>
  <si>
    <t>DÉSIGNATION</t>
  </si>
  <si>
    <t>LOT DE TRAVAUX</t>
  </si>
  <si>
    <t>DATE LIMITE RETOUR</t>
  </si>
  <si>
    <t>RÉPONSE</t>
  </si>
  <si>
    <t>DATE RETOUR</t>
  </si>
  <si>
    <t>MONTANT TTC (€)</t>
  </si>
  <si>
    <t>Chiffré</t>
  </si>
  <si>
    <t>ENTREPRISES SANS RÉPONSE</t>
  </si>
  <si>
    <t>STATUT_GLOBAL</t>
  </si>
  <si>
    <t>MONTANT_VALIDE</t>
  </si>
  <si>
    <t>DEVIS - TRAVAUX MODIFICATIFS ACQUÉREURS (TMA)</t>
  </si>
  <si>
    <t>Devis n° :</t>
  </si>
  <si>
    <t>1. INFORMATIONS GÉNÉRALES</t>
  </si>
  <si>
    <t>Client (acquéreur)</t>
  </si>
  <si>
    <t>2. OBJET DU DEVIS</t>
  </si>
  <si>
    <t>Travaux modificatifs demandés par l’acquéreur dans le cadre de l’opération en VEFA, conformément aux plans et descriptifs initiaux.</t>
  </si>
  <si>
    <t>Nom :</t>
  </si>
  <si>
    <t xml:space="preserve">Maître d'ouvrage </t>
  </si>
  <si>
    <t>Total TTC</t>
  </si>
  <si>
    <t>Total HT</t>
  </si>
  <si>
    <t>Validation du devis</t>
  </si>
  <si>
    <t>Signature :</t>
  </si>
  <si>
    <t>N°TMA</t>
  </si>
  <si>
    <t>STATUT GLOBAL</t>
  </si>
  <si>
    <t>MONTANT TTC VALIDÉ (€)</t>
  </si>
  <si>
    <t>RAPPORT DE TRAVAUX MODIFICATIFS ACQUÉREURS (TMA) - CLIENTS</t>
  </si>
  <si>
    <t>RAPPORT DE TRAVAUX MODIFICATIFS ACQUÉREURS (TMA) - MAITRE D'OUVRAGE</t>
  </si>
  <si>
    <t>RAPPORT DE TRAVAUX MODIFICATIFS ACQUÉREURS (TMA) - MAITRISE D'ŒUVRE</t>
  </si>
  <si>
    <t>RAPPORT DE TRAVAUX MODIFICATIFS ACQUÉREURS (TMA) - ENTREPRISES</t>
  </si>
  <si>
    <t>Date envoi entreprise</t>
  </si>
  <si>
    <t>Légende :</t>
  </si>
  <si>
    <t>Saisi obligatoire</t>
  </si>
  <si>
    <t>Verrouillé - Ne pas toucher</t>
  </si>
  <si>
    <t>TMA validée</t>
  </si>
  <si>
    <t>TMA refusée</t>
  </si>
  <si>
    <t>Si TMA refusée, noter "NON" dans cette colonne</t>
  </si>
  <si>
    <t>Partiel</t>
  </si>
  <si>
    <t>NON</t>
  </si>
  <si>
    <t>TYPE D'EXPORT :</t>
  </si>
  <si>
    <t>AVANCEMENT</t>
  </si>
  <si>
    <t>Nb total de TMA :</t>
  </si>
  <si>
    <t>Marge TTC (€)</t>
  </si>
  <si>
    <t>RISQUE</t>
  </si>
  <si>
    <t>% TMA non validés</t>
  </si>
  <si>
    <t>Nombre de TMA à traiter</t>
  </si>
  <si>
    <t>Montant TTC en attente</t>
  </si>
  <si>
    <t>RÉPARTION</t>
  </si>
  <si>
    <t>Nb de TMA validés :</t>
  </si>
  <si>
    <t>Nb de TMA en attente :</t>
  </si>
  <si>
    <t>Nb de TMA refusés :</t>
  </si>
  <si>
    <t>Nb de TMA</t>
  </si>
  <si>
    <t xml:space="preserve">Montant TTC </t>
  </si>
  <si>
    <t>Attente</t>
  </si>
  <si>
    <t>Nom de l'entreprise</t>
  </si>
  <si>
    <t>TMA validés - Montant TTC entreprise</t>
  </si>
  <si>
    <t>TMA en attente - Montant TTC entreprise</t>
  </si>
  <si>
    <t>TMA refusés - Montant TTC entreprise</t>
  </si>
  <si>
    <t>RÉPARTION PAR LOT DE TRAVAUX</t>
  </si>
  <si>
    <t>Taux de marge</t>
  </si>
  <si>
    <t>Total</t>
  </si>
  <si>
    <t>Total hors TMA refusés</t>
  </si>
  <si>
    <t>CHIFFRE D'AFFAIRE (TMA VALIDÉS OU EN ATTENTE)</t>
  </si>
  <si>
    <t>RAPPORT DE TRAVAUX MODIFICATIFS ACQUÉREURS (TMA) - DASHBOARD</t>
  </si>
  <si>
    <t>TMA-2026-005</t>
  </si>
  <si>
    <t>Maitre d'ouvrage :</t>
  </si>
  <si>
    <t>Adresse du programme :</t>
  </si>
  <si>
    <t>LAPIX</t>
  </si>
  <si>
    <t>ITOIZ</t>
  </si>
  <si>
    <t>LOPEPE</t>
  </si>
  <si>
    <t>BERTRAND</t>
  </si>
  <si>
    <t>SOLUTEC</t>
  </si>
  <si>
    <t>EMA</t>
  </si>
  <si>
    <t>PVN</t>
  </si>
  <si>
    <t>SAMET BESSONART</t>
  </si>
  <si>
    <t>DOITRAND</t>
  </si>
  <si>
    <t>APC</t>
  </si>
  <si>
    <t>MORLAES</t>
  </si>
  <si>
    <t>SANICLIM</t>
  </si>
  <si>
    <t>ORONA</t>
  </si>
  <si>
    <t>M. et Mme LOPITAN</t>
  </si>
  <si>
    <t>Remplacement du parquet par du carrelage</t>
  </si>
  <si>
    <t>Suppression du parquet</t>
  </si>
  <si>
    <t>Mise en œuvre du carrelage</t>
  </si>
  <si>
    <t>M. et Mme GUIREAU</t>
  </si>
  <si>
    <t>Ouverture dans mur béton entre séjour et cuisine</t>
  </si>
  <si>
    <t>Ouverture dans mur béton</t>
  </si>
  <si>
    <t>Suppression peinture (murs et plinthes)</t>
  </si>
  <si>
    <t>Suppression plinthes</t>
  </si>
  <si>
    <t>Ajout carrelage</t>
  </si>
  <si>
    <t>29/02/2025</t>
  </si>
  <si>
    <t>Général</t>
  </si>
  <si>
    <t>Remplacement de la gouttelette par de la peinture lisse sur les murs</t>
  </si>
  <si>
    <t>Supression gouttelette sur murs</t>
  </si>
  <si>
    <t>Mise en œuvre peinture lisse sur murs</t>
  </si>
  <si>
    <t xml:space="preserve">Chambre </t>
  </si>
  <si>
    <t>Chambre 3</t>
  </si>
  <si>
    <t>Chambre 4</t>
  </si>
  <si>
    <t>Chambre 5</t>
  </si>
  <si>
    <t>Jardin</t>
  </si>
  <si>
    <t>Bureau</t>
  </si>
  <si>
    <t>Mezzanine</t>
  </si>
  <si>
    <t>SDB 1</t>
  </si>
  <si>
    <t>SDB 2</t>
  </si>
  <si>
    <t>SDB 3</t>
  </si>
  <si>
    <t xml:space="preserve">SDE </t>
  </si>
  <si>
    <t>SDE 1</t>
  </si>
  <si>
    <t>SDE 2</t>
  </si>
  <si>
    <t>SDE 3</t>
  </si>
  <si>
    <t xml:space="preserve">WC 1 </t>
  </si>
  <si>
    <t>WC 2</t>
  </si>
  <si>
    <t>WC 3</t>
  </si>
  <si>
    <t>Dégagement 1</t>
  </si>
  <si>
    <t>Dégagement 2</t>
  </si>
  <si>
    <t>Dégagement 3</t>
  </si>
  <si>
    <t>Dégagement 4</t>
  </si>
  <si>
    <t>Balcon 1</t>
  </si>
  <si>
    <t>Balcon 2</t>
  </si>
  <si>
    <t xml:space="preserve">Terrasse 1 </t>
  </si>
  <si>
    <t>Terrasse 2</t>
  </si>
  <si>
    <t>Remplacement du WC sur pied par un WC suspendu</t>
  </si>
  <si>
    <t>Suppression du WC sur pied</t>
  </si>
  <si>
    <t>Mise en œuvre d'un WC suspendu</t>
  </si>
  <si>
    <t>Réalisation d'un caisson de WC supendu</t>
  </si>
  <si>
    <t>Ajout oscillo-battant sur chaque fenêtre et porte fenêtre</t>
  </si>
  <si>
    <t>Ajout oscillo-battant sur chaque fenêtre et porte fenêtres</t>
  </si>
  <si>
    <t>Mme BLANC</t>
  </si>
  <si>
    <t>Ajout d'une paroi de douche fixe larg 70cm</t>
  </si>
  <si>
    <t>Ajout paroi fixe larg, 70cm</t>
  </si>
  <si>
    <t>A09</t>
  </si>
  <si>
    <t>M. JURAND</t>
  </si>
  <si>
    <t>Redisposition des l'ensemble des équipements électriques dans l'ensemble du logement</t>
  </si>
  <si>
    <t>Commentaire</t>
  </si>
  <si>
    <t>Non réalisable, chantier trop avancé</t>
  </si>
  <si>
    <t>A10</t>
  </si>
  <si>
    <t>M. et Mme JAUREGUI</t>
  </si>
  <si>
    <t>Remplacement de la gouttelette par de la peinture lisse sur les murs et plafonds</t>
  </si>
  <si>
    <t>A12</t>
  </si>
  <si>
    <t>M. VERGNE</t>
  </si>
  <si>
    <t>SDE</t>
  </si>
  <si>
    <t>Ajout d'une paroi de douche fixe + porte, larg 120cm</t>
  </si>
  <si>
    <t>Mise en œuvre d'une partoi fixe+porte larg 120cm</t>
  </si>
  <si>
    <t>M. et Mme DURANDEU</t>
  </si>
  <si>
    <t>Remplacement du carrelage par du parquet dans entrée/séjour/cuisine</t>
  </si>
  <si>
    <t>Suppression du carrelage</t>
  </si>
  <si>
    <t>Mise en œuvre du parquet</t>
  </si>
  <si>
    <t>COMMENTAIRES</t>
  </si>
  <si>
    <t>M. et Mme ROTAND</t>
  </si>
  <si>
    <t>A chiffrer</t>
  </si>
  <si>
    <t>EN RETARD</t>
  </si>
  <si>
    <t>1282,67 €</t>
  </si>
  <si>
    <t>213,78 €</t>
  </si>
  <si>
    <t>1068,89 €</t>
  </si>
  <si>
    <t>Replacement de la gouttelette par de la peinture lisse sur les murs</t>
  </si>
  <si>
    <t>Nb de logements :</t>
  </si>
  <si>
    <t>2877,59 €</t>
  </si>
  <si>
    <t>479,60 €</t>
  </si>
  <si>
    <t>2397,99 €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</si>
</sst>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164" formatCode="#,##0\ &quot;€&quot;"/>
    <numFmt numFmtId="165" formatCode="#,##0.00\ &quot;€&quot;"/>
    <numFmt numFmtId="166" formatCode="#\ ##0\ \€"/>
    <numFmt numFmtId="167" formatCode="#\ ##0.00\ \€"/>
  </numFmts>
  <fonts count="2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646464"/>
      <name val="Calibri"/>
      <family val="2"/>
      <scheme val="minor"/>
    </font>
    <font>
      <b/>
      <sz val="22"/>
      <color theme="0"/>
      <name val="Calibri"/>
      <family val="2"/>
    </font>
    <font>
      <b/>
      <sz val="11"/>
      <color rgb="FFFF0000"/>
      <name val="Calibri"/>
      <family val="2"/>
    </font>
    <font>
      <b/>
      <sz val="12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Calibri"/>
      <family val="2"/>
    </font>
    <font>
      <b/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5F5F5"/>
        <bgColor theme="4" tint="0.59999389629810485"/>
      </patternFill>
    </fill>
    <fill>
      <patternFill patternType="solid">
        <fgColor rgb="FFF5F5F5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theme="4" tint="0.59999389629810485"/>
      </patternFill>
    </fill>
    <fill>
      <patternFill patternType="solid">
        <fgColor rgb="FFFFF2CC"/>
        <bgColor theme="4" tint="0.79998168889431442"/>
      </patternFill>
    </fill>
    <fill>
      <patternFill patternType="solid">
        <fgColor rgb="FFF2F2F2"/>
        <bgColor theme="4" tint="0.59999389629810485"/>
      </patternFill>
    </fill>
    <fill>
      <patternFill patternType="solid">
        <fgColor rgb="FFF2F2F2"/>
        <bgColor theme="4" tint="0.79998168889431442"/>
      </patternFill>
    </fill>
    <fill>
      <patternFill patternType="solid">
        <fgColor theme="0" tint="-0.34998626667073579"/>
        <bgColor theme="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CF2CC"/>
        <bgColor indexed="64"/>
      </patternFill>
    </fill>
    <fill>
      <patternFill patternType="solid">
        <fgColor indexed="2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 style="thick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auto="1"/>
      </bottom>
      <diagonal/>
    </border>
    <border>
      <left/>
      <right style="thin">
        <color indexed="64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30">
    <xf numFmtId="0" fontId="0" fillId="0" borderId="0" xfId="0"/>
    <xf numFmtId="0" fontId="2" fillId="0" borderId="0" xfId="0" applyFont="1"/>
    <xf numFmtId="14" fontId="0" fillId="0" borderId="0" xfId="0" applyNumberFormat="1"/>
    <xf numFmtId="0" fontId="4" fillId="0" borderId="0" xfId="0" applyFont="1"/>
    <xf numFmtId="165" fontId="0" fillId="0" borderId="0" xfId="0" applyNumberFormat="1"/>
    <xf numFmtId="0" fontId="0" fillId="0" borderId="0" xfId="0" applyAlignment="1">
      <alignment vertical="center" wrapText="1"/>
    </xf>
    <xf numFmtId="16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2" borderId="13" xfId="0" applyFill="1" applyBorder="1" applyAlignment="1">
      <alignment wrapTex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right" vertical="center" wrapText="1"/>
    </xf>
    <xf numFmtId="14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left" vertical="center" wrapText="1"/>
    </xf>
    <xf numFmtId="165" fontId="7" fillId="4" borderId="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 applyAlignment="1">
      <alignment wrapText="1"/>
    </xf>
    <xf numFmtId="165" fontId="0" fillId="2" borderId="14" xfId="0" applyNumberFormat="1" applyFill="1" applyBorder="1" applyAlignment="1">
      <alignment wrapText="1"/>
    </xf>
    <xf numFmtId="0" fontId="0" fillId="5" borderId="15" xfId="0" applyFill="1" applyBorder="1" applyAlignment="1">
      <alignment horizontal="left" wrapText="1"/>
    </xf>
    <xf numFmtId="0" fontId="0" fillId="5" borderId="15" xfId="0" applyFill="1" applyBorder="1" applyAlignment="1">
      <alignment wrapText="1"/>
    </xf>
    <xf numFmtId="14" fontId="0" fillId="5" borderId="15" xfId="0" applyNumberFormat="1" applyFill="1" applyBorder="1" applyAlignment="1">
      <alignment horizontal="center" wrapText="1"/>
    </xf>
    <xf numFmtId="14" fontId="0" fillId="5" borderId="15" xfId="0" applyNumberFormat="1" applyFill="1" applyBorder="1" applyAlignment="1">
      <alignment wrapText="1"/>
    </xf>
    <xf numFmtId="165" fontId="0" fillId="5" borderId="15" xfId="0" applyNumberFormat="1" applyFill="1" applyBorder="1" applyAlignment="1">
      <alignment wrapText="1"/>
    </xf>
    <xf numFmtId="0" fontId="0" fillId="5" borderId="10" xfId="0" applyFill="1" applyBorder="1" applyAlignment="1">
      <alignment horizontal="left" wrapText="1"/>
    </xf>
    <xf numFmtId="0" fontId="0" fillId="5" borderId="11" xfId="0" applyFill="1" applyBorder="1" applyAlignment="1">
      <alignment wrapText="1"/>
    </xf>
    <xf numFmtId="0" fontId="10" fillId="8" borderId="16" xfId="0" applyFont="1" applyFill="1" applyBorder="1" applyAlignment="1">
      <alignment horizontal="center" vertical="center" wrapText="1"/>
    </xf>
    <xf numFmtId="14" fontId="10" fillId="8" borderId="16" xfId="0" applyNumberFormat="1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166" fontId="10" fillId="8" borderId="16" xfId="0" applyNumberFormat="1" applyFont="1" applyFill="1" applyBorder="1" applyAlignment="1">
      <alignment horizontal="center" vertical="center" wrapText="1"/>
    </xf>
    <xf numFmtId="167" fontId="0" fillId="5" borderId="15" xfId="0" applyNumberFormat="1" applyFill="1" applyBorder="1" applyAlignment="1">
      <alignment horizontal="right" wrapText="1"/>
    </xf>
    <xf numFmtId="49" fontId="7" fillId="0" borderId="0" xfId="0" applyNumberFormat="1" applyFont="1" applyAlignment="1">
      <alignment vertical="center" wrapText="1"/>
    </xf>
    <xf numFmtId="0" fontId="0" fillId="5" borderId="19" xfId="0" applyFill="1" applyBorder="1" applyAlignment="1">
      <alignment horizontal="left" wrapText="1"/>
    </xf>
    <xf numFmtId="0" fontId="0" fillId="5" borderId="18" xfId="0" applyFill="1" applyBorder="1" applyAlignment="1">
      <alignment horizontal="left" wrapText="1"/>
    </xf>
    <xf numFmtId="0" fontId="0" fillId="5" borderId="18" xfId="0" applyFill="1" applyBorder="1" applyAlignment="1">
      <alignment wrapText="1"/>
    </xf>
    <xf numFmtId="14" fontId="0" fillId="5" borderId="18" xfId="0" applyNumberFormat="1" applyFill="1" applyBorder="1" applyAlignment="1">
      <alignment horizontal="center" wrapText="1"/>
    </xf>
    <xf numFmtId="14" fontId="0" fillId="5" borderId="18" xfId="0" applyNumberFormat="1" applyFill="1" applyBorder="1" applyAlignment="1">
      <alignment wrapText="1"/>
    </xf>
    <xf numFmtId="14" fontId="0" fillId="0" borderId="0" xfId="0" applyNumberFormat="1" applyAlignment="1">
      <alignment wrapText="1"/>
    </xf>
    <xf numFmtId="0" fontId="7" fillId="0" borderId="0" xfId="0" applyFont="1" applyAlignment="1" applyProtection="1">
      <alignment vertical="center" wrapText="1"/>
      <protection locked="0"/>
    </xf>
    <xf numFmtId="165" fontId="0" fillId="5" borderId="18" xfId="0" applyNumberFormat="1" applyFill="1" applyBorder="1" applyAlignment="1">
      <alignment wrapText="1"/>
    </xf>
    <xf numFmtId="0" fontId="0" fillId="5" borderId="21" xfId="0" applyFill="1" applyBorder="1" applyAlignment="1">
      <alignment horizontal="left" wrapText="1"/>
    </xf>
    <xf numFmtId="14" fontId="0" fillId="5" borderId="21" xfId="0" applyNumberFormat="1" applyFill="1" applyBorder="1" applyAlignment="1">
      <alignment wrapText="1"/>
    </xf>
    <xf numFmtId="14" fontId="0" fillId="5" borderId="21" xfId="0" applyNumberFormat="1" applyFill="1" applyBorder="1" applyAlignment="1">
      <alignment horizontal="center" wrapText="1"/>
    </xf>
    <xf numFmtId="0" fontId="0" fillId="5" borderId="21" xfId="0" applyFill="1" applyBorder="1" applyAlignment="1">
      <alignment wrapText="1"/>
    </xf>
    <xf numFmtId="0" fontId="0" fillId="5" borderId="22" xfId="0" applyFill="1" applyBorder="1" applyAlignment="1">
      <alignment horizontal="left" wrapText="1"/>
    </xf>
    <xf numFmtId="167" fontId="0" fillId="5" borderId="17" xfId="0" applyNumberFormat="1" applyFill="1" applyBorder="1" applyAlignment="1">
      <alignment horizontal="right" wrapText="1"/>
    </xf>
    <xf numFmtId="0" fontId="0" fillId="0" borderId="0" xfId="0" applyAlignment="1">
      <alignment horizontal="center" wrapText="1"/>
    </xf>
    <xf numFmtId="0" fontId="0" fillId="5" borderId="23" xfId="0" applyFill="1" applyBorder="1" applyAlignment="1">
      <alignment horizontal="left" wrapText="1"/>
    </xf>
    <xf numFmtId="14" fontId="0" fillId="5" borderId="23" xfId="0" applyNumberFormat="1" applyFill="1" applyBorder="1" applyAlignment="1">
      <alignment wrapText="1"/>
    </xf>
    <xf numFmtId="14" fontId="0" fillId="5" borderId="23" xfId="0" applyNumberFormat="1" applyFill="1" applyBorder="1" applyAlignment="1">
      <alignment horizontal="center" wrapText="1"/>
    </xf>
    <xf numFmtId="0" fontId="0" fillId="5" borderId="23" xfId="0" applyFill="1" applyBorder="1" applyAlignment="1">
      <alignment wrapText="1"/>
    </xf>
    <xf numFmtId="165" fontId="0" fillId="5" borderId="23" xfId="0" applyNumberFormat="1" applyFill="1" applyBorder="1" applyAlignment="1">
      <alignment wrapText="1"/>
    </xf>
    <xf numFmtId="0" fontId="0" fillId="5" borderId="10" xfId="0" applyFill="1" applyBorder="1" applyAlignment="1">
      <alignment horizontal="left" vertical="center" wrapText="1"/>
    </xf>
    <xf numFmtId="0" fontId="0" fillId="5" borderId="23" xfId="0" applyFill="1" applyBorder="1" applyAlignment="1">
      <alignment horizontal="left" vertical="center" wrapText="1"/>
    </xf>
    <xf numFmtId="14" fontId="0" fillId="5" borderId="23" xfId="0" applyNumberFormat="1" applyFill="1" applyBorder="1" applyAlignment="1">
      <alignment vertical="center" wrapText="1"/>
    </xf>
    <xf numFmtId="14" fontId="0" fillId="5" borderId="23" xfId="0" applyNumberFormat="1" applyFill="1" applyBorder="1" applyAlignment="1">
      <alignment horizontal="center" vertical="center" wrapText="1"/>
    </xf>
    <xf numFmtId="0" fontId="0" fillId="5" borderId="11" xfId="0" applyFill="1" applyBorder="1" applyAlignment="1">
      <alignment vertical="center" wrapText="1"/>
    </xf>
    <xf numFmtId="165" fontId="0" fillId="5" borderId="15" xfId="0" applyNumberFormat="1" applyFill="1" applyBorder="1" applyAlignment="1">
      <alignment vertical="center" wrapText="1"/>
    </xf>
    <xf numFmtId="0" fontId="0" fillId="5" borderId="15" xfId="0" applyFill="1" applyBorder="1" applyAlignment="1">
      <alignment vertical="center" wrapText="1"/>
    </xf>
    <xf numFmtId="167" fontId="0" fillId="5" borderId="15" xfId="0" applyNumberFormat="1" applyFill="1" applyBorder="1" applyAlignment="1">
      <alignment horizontal="right" vertical="center" wrapText="1"/>
    </xf>
    <xf numFmtId="14" fontId="0" fillId="5" borderId="15" xfId="0" applyNumberFormat="1" applyFill="1" applyBorder="1" applyAlignment="1">
      <alignment horizontal="center" vertical="center" wrapText="1"/>
    </xf>
    <xf numFmtId="165" fontId="0" fillId="2" borderId="14" xfId="0" applyNumberFormat="1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5" borderId="15" xfId="0" applyFill="1" applyBorder="1" applyAlignment="1">
      <alignment horizontal="left" vertical="center" wrapText="1"/>
    </xf>
    <xf numFmtId="14" fontId="0" fillId="5" borderId="15" xfId="0" applyNumberFormat="1" applyFill="1" applyBorder="1" applyAlignment="1">
      <alignment vertical="center" wrapText="1"/>
    </xf>
    <xf numFmtId="0" fontId="0" fillId="5" borderId="23" xfId="0" applyFill="1" applyBorder="1" applyAlignment="1">
      <alignment vertical="center" wrapText="1"/>
    </xf>
    <xf numFmtId="165" fontId="0" fillId="5" borderId="23" xfId="0" applyNumberFormat="1" applyFill="1" applyBorder="1" applyAlignment="1">
      <alignment vertical="center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wrapText="1"/>
    </xf>
    <xf numFmtId="165" fontId="0" fillId="0" borderId="0" xfId="0" applyNumberFormat="1" applyAlignment="1">
      <alignment vertical="center" wrapText="1"/>
    </xf>
    <xf numFmtId="49" fontId="0" fillId="0" borderId="0" xfId="0" applyNumberFormat="1"/>
    <xf numFmtId="0" fontId="0" fillId="12" borderId="0" xfId="0" applyFill="1"/>
    <xf numFmtId="0" fontId="0" fillId="7" borderId="0" xfId="0" applyFill="1"/>
    <xf numFmtId="0" fontId="7" fillId="12" borderId="0" xfId="0" applyFont="1" applyFill="1"/>
    <xf numFmtId="164" fontId="0" fillId="7" borderId="0" xfId="0" applyNumberFormat="1" applyFill="1"/>
    <xf numFmtId="164" fontId="0" fillId="0" borderId="0" xfId="0" applyNumberFormat="1" applyAlignment="1">
      <alignment wrapText="1"/>
    </xf>
    <xf numFmtId="164" fontId="0" fillId="11" borderId="0" xfId="0" applyNumberFormat="1" applyFill="1"/>
    <xf numFmtId="0" fontId="15" fillId="0" borderId="0" xfId="0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10" fillId="8" borderId="26" xfId="0" applyFont="1" applyFill="1" applyBorder="1" applyAlignment="1">
      <alignment horizontal="center" vertical="center" wrapText="1"/>
    </xf>
    <xf numFmtId="0" fontId="0" fillId="5" borderId="27" xfId="0" applyFill="1" applyBorder="1" applyAlignment="1">
      <alignment horizontal="left" vertical="center" wrapText="1"/>
    </xf>
    <xf numFmtId="167" fontId="0" fillId="5" borderId="17" xfId="0" applyNumberFormat="1" applyFill="1" applyBorder="1" applyAlignment="1">
      <alignment horizontal="right" vertical="center" wrapText="1"/>
    </xf>
    <xf numFmtId="167" fontId="7" fillId="5" borderId="23" xfId="0" applyNumberFormat="1" applyFont="1" applyFill="1" applyBorder="1" applyAlignment="1">
      <alignment wrapText="1"/>
    </xf>
    <xf numFmtId="0" fontId="0" fillId="5" borderId="28" xfId="0" applyFill="1" applyBorder="1" applyAlignment="1">
      <alignment vertical="center" wrapText="1"/>
    </xf>
    <xf numFmtId="0" fontId="0" fillId="5" borderId="28" xfId="0" applyFill="1" applyBorder="1" applyAlignment="1">
      <alignment wrapText="1"/>
    </xf>
    <xf numFmtId="167" fontId="0" fillId="5" borderId="18" xfId="0" applyNumberFormat="1" applyFill="1" applyBorder="1" applyAlignment="1">
      <alignment horizontal="right" wrapText="1"/>
    </xf>
    <xf numFmtId="0" fontId="0" fillId="5" borderId="30" xfId="0" applyFill="1" applyBorder="1" applyAlignment="1">
      <alignment wrapText="1"/>
    </xf>
    <xf numFmtId="167" fontId="7" fillId="5" borderId="21" xfId="0" applyNumberFormat="1" applyFont="1" applyFill="1" applyBorder="1" applyAlignment="1">
      <alignment wrapText="1"/>
    </xf>
    <xf numFmtId="0" fontId="0" fillId="5" borderId="31" xfId="0" applyFill="1" applyBorder="1" applyAlignment="1">
      <alignment wrapText="1"/>
    </xf>
    <xf numFmtId="0" fontId="0" fillId="5" borderId="32" xfId="0" applyFill="1" applyBorder="1" applyAlignment="1">
      <alignment wrapText="1"/>
    </xf>
    <xf numFmtId="167" fontId="0" fillId="5" borderId="33" xfId="0" applyNumberFormat="1" applyFill="1" applyBorder="1" applyAlignment="1">
      <alignment horizontal="right" wrapText="1"/>
    </xf>
    <xf numFmtId="167" fontId="0" fillId="5" borderId="34" xfId="0" applyNumberFormat="1" applyFill="1" applyBorder="1" applyAlignment="1">
      <alignment horizontal="right" wrapText="1"/>
    </xf>
    <xf numFmtId="0" fontId="0" fillId="5" borderId="27" xfId="0" applyFill="1" applyBorder="1" applyAlignment="1">
      <alignment horizontal="left" wrapText="1"/>
    </xf>
    <xf numFmtId="14" fontId="0" fillId="5" borderId="36" xfId="0" applyNumberFormat="1" applyFill="1" applyBorder="1" applyAlignment="1">
      <alignment horizontal="center" wrapText="1"/>
    </xf>
    <xf numFmtId="0" fontId="0" fillId="5" borderId="36" xfId="0" applyFill="1" applyBorder="1" applyAlignment="1">
      <alignment wrapText="1"/>
    </xf>
    <xf numFmtId="0" fontId="0" fillId="5" borderId="37" xfId="0" applyFill="1" applyBorder="1" applyAlignment="1">
      <alignment wrapText="1"/>
    </xf>
    <xf numFmtId="167" fontId="0" fillId="5" borderId="38" xfId="0" applyNumberFormat="1" applyFill="1" applyBorder="1" applyAlignment="1">
      <alignment horizontal="right" wrapText="1"/>
    </xf>
    <xf numFmtId="167" fontId="0" fillId="5" borderId="33" xfId="0" applyNumberFormat="1" applyFill="1" applyBorder="1" applyAlignment="1">
      <alignment horizontal="right" vertical="center" wrapText="1"/>
    </xf>
    <xf numFmtId="14" fontId="0" fillId="5" borderId="39" xfId="0" applyNumberFormat="1" applyFill="1" applyBorder="1" applyAlignment="1">
      <alignment horizontal="center" vertical="center" wrapText="1"/>
    </xf>
    <xf numFmtId="0" fontId="0" fillId="5" borderId="39" xfId="0" applyFill="1" applyBorder="1" applyAlignment="1">
      <alignment vertical="center" wrapText="1"/>
    </xf>
    <xf numFmtId="0" fontId="0" fillId="5" borderId="40" xfId="0" applyFill="1" applyBorder="1" applyAlignment="1">
      <alignment vertical="center" wrapText="1"/>
    </xf>
    <xf numFmtId="14" fontId="0" fillId="5" borderId="41" xfId="0" applyNumberFormat="1" applyFill="1" applyBorder="1" applyAlignment="1">
      <alignment horizontal="center" vertical="center" wrapText="1"/>
    </xf>
    <xf numFmtId="0" fontId="0" fillId="5" borderId="41" xfId="0" applyFill="1" applyBorder="1" applyAlignment="1">
      <alignment vertical="center" wrapText="1"/>
    </xf>
    <xf numFmtId="0" fontId="10" fillId="8" borderId="35" xfId="0" applyFont="1" applyFill="1" applyBorder="1" applyAlignment="1">
      <alignment horizontal="center" vertical="center" wrapText="1"/>
    </xf>
    <xf numFmtId="14" fontId="0" fillId="5" borderId="17" xfId="0" applyNumberFormat="1" applyFill="1" applyBorder="1" applyAlignment="1">
      <alignment horizontal="center" vertical="center" wrapText="1"/>
    </xf>
    <xf numFmtId="14" fontId="10" fillId="8" borderId="29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4" fontId="0" fillId="5" borderId="41" xfId="0" applyNumberFormat="1" applyFill="1" applyBorder="1" applyAlignment="1">
      <alignment horizontal="right" vertical="center" wrapText="1"/>
    </xf>
    <xf numFmtId="14" fontId="0" fillId="5" borderId="39" xfId="0" applyNumberFormat="1" applyFill="1" applyBorder="1" applyAlignment="1">
      <alignment horizontal="right" vertical="center" wrapText="1"/>
    </xf>
    <xf numFmtId="14" fontId="0" fillId="5" borderId="23" xfId="0" applyNumberFormat="1" applyFill="1" applyBorder="1" applyAlignment="1">
      <alignment horizontal="right" wrapText="1"/>
    </xf>
    <xf numFmtId="14" fontId="0" fillId="5" borderId="36" xfId="0" applyNumberFormat="1" applyFill="1" applyBorder="1" applyAlignment="1">
      <alignment horizontal="right" wrapText="1"/>
    </xf>
    <xf numFmtId="14" fontId="0" fillId="5" borderId="18" xfId="0" applyNumberFormat="1" applyFill="1" applyBorder="1" applyAlignment="1">
      <alignment horizontal="right" wrapText="1"/>
    </xf>
    <xf numFmtId="14" fontId="0" fillId="5" borderId="21" xfId="0" applyNumberFormat="1" applyFill="1" applyBorder="1" applyAlignment="1">
      <alignment horizontal="right" wrapText="1"/>
    </xf>
    <xf numFmtId="14" fontId="0" fillId="5" borderId="15" xfId="0" applyNumberFormat="1" applyFill="1" applyBorder="1" applyAlignment="1">
      <alignment horizontal="right" wrapText="1"/>
    </xf>
    <xf numFmtId="0" fontId="0" fillId="0" borderId="0" xfId="0" applyAlignment="1">
      <alignment horizontal="right" wrapText="1"/>
    </xf>
    <xf numFmtId="14" fontId="0" fillId="0" borderId="0" xfId="0" applyNumberFormat="1" applyAlignment="1">
      <alignment horizontal="center" vertical="center" wrapText="1"/>
    </xf>
    <xf numFmtId="14" fontId="7" fillId="5" borderId="23" xfId="0" applyNumberFormat="1" applyFont="1" applyFill="1" applyBorder="1" applyAlignment="1">
      <alignment horizontal="center" wrapText="1"/>
    </xf>
    <xf numFmtId="14" fontId="7" fillId="5" borderId="21" xfId="0" applyNumberFormat="1" applyFont="1" applyFill="1" applyBorder="1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0" fillId="5" borderId="49" xfId="0" applyFill="1" applyBorder="1" applyAlignment="1">
      <alignment horizontal="left" wrapText="1"/>
    </xf>
    <xf numFmtId="0" fontId="0" fillId="5" borderId="49" xfId="0" applyFill="1" applyBorder="1" applyAlignment="1">
      <alignment wrapText="1"/>
    </xf>
    <xf numFmtId="14" fontId="0" fillId="5" borderId="49" xfId="0" applyNumberFormat="1" applyFill="1" applyBorder="1" applyAlignment="1">
      <alignment horizontal="center" wrapText="1"/>
    </xf>
    <xf numFmtId="0" fontId="0" fillId="6" borderId="49" xfId="0" applyFill="1" applyBorder="1" applyAlignment="1">
      <alignment horizontal="left" wrapText="1"/>
    </xf>
    <xf numFmtId="0" fontId="0" fillId="6" borderId="49" xfId="0" applyFill="1" applyBorder="1" applyAlignment="1">
      <alignment wrapText="1"/>
    </xf>
    <xf numFmtId="14" fontId="0" fillId="6" borderId="49" xfId="0" applyNumberFormat="1" applyFill="1" applyBorder="1" applyAlignment="1">
      <alignment horizontal="center" wrapText="1"/>
    </xf>
    <xf numFmtId="14" fontId="0" fillId="5" borderId="49" xfId="0" applyNumberFormat="1" applyFill="1" applyBorder="1" applyAlignment="1">
      <alignment wrapText="1"/>
    </xf>
    <xf numFmtId="165" fontId="0" fillId="5" borderId="49" xfId="0" applyNumberFormat="1" applyFill="1" applyBorder="1" applyAlignment="1">
      <alignment wrapText="1"/>
    </xf>
    <xf numFmtId="14" fontId="0" fillId="6" borderId="49" xfId="0" applyNumberFormat="1" applyFill="1" applyBorder="1" applyAlignment="1">
      <alignment wrapText="1"/>
    </xf>
    <xf numFmtId="165" fontId="0" fillId="6" borderId="49" xfId="0" applyNumberFormat="1" applyFill="1" applyBorder="1" applyAlignment="1">
      <alignment wrapText="1"/>
    </xf>
    <xf numFmtId="0" fontId="0" fillId="0" borderId="49" xfId="0" applyBorder="1" applyAlignment="1">
      <alignment wrapText="1"/>
    </xf>
    <xf numFmtId="14" fontId="6" fillId="0" borderId="0" xfId="0" applyNumberFormat="1" applyFont="1"/>
    <xf numFmtId="2" fontId="0" fillId="0" borderId="0" xfId="0" applyNumberFormat="1"/>
    <xf numFmtId="165" fontId="0" fillId="0" borderId="0" xfId="0" applyNumberFormat="1" applyAlignment="1">
      <alignment vertical="center"/>
    </xf>
    <xf numFmtId="0" fontId="5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64" fontId="0" fillId="0" borderId="0" xfId="0" applyNumberForma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vertical="center" wrapText="1"/>
      <protection locked="0"/>
    </xf>
    <xf numFmtId="49" fontId="5" fillId="13" borderId="0" xfId="0" applyNumberFormat="1" applyFont="1" applyFill="1" applyAlignment="1" applyProtection="1">
      <alignment horizontal="left" vertical="center" wrapText="1"/>
      <protection locked="0"/>
    </xf>
    <xf numFmtId="14" fontId="5" fillId="0" borderId="0" xfId="0" applyNumberFormat="1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vertical="center" wrapText="1"/>
      <protection locked="0"/>
    </xf>
    <xf numFmtId="164" fontId="5" fillId="13" borderId="0" xfId="0" applyNumberFormat="1" applyFont="1" applyFill="1" applyAlignment="1" applyProtection="1">
      <alignment horizontal="left" vertical="center" wrapText="1"/>
      <protection locked="0"/>
    </xf>
    <xf numFmtId="14" fontId="5" fillId="13" borderId="0" xfId="0" applyNumberFormat="1" applyFont="1" applyFill="1" applyAlignment="1" applyProtection="1">
      <alignment horizontal="left" vertical="center" wrapText="1"/>
      <protection locked="0"/>
    </xf>
    <xf numFmtId="17" fontId="5" fillId="0" borderId="0" xfId="0" applyNumberFormat="1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4" fontId="5" fillId="0" borderId="0" xfId="0" applyNumberFormat="1" applyFont="1" applyAlignment="1" applyProtection="1">
      <alignment horizontal="left" vertical="center" wrapText="1"/>
      <protection locked="0"/>
    </xf>
    <xf numFmtId="0" fontId="5" fillId="13" borderId="0" xfId="0" applyFont="1" applyFill="1" applyAlignment="1" applyProtection="1">
      <alignment vertical="center" wrapText="1"/>
      <protection locked="0"/>
    </xf>
    <xf numFmtId="0" fontId="14" fillId="4" borderId="0" xfId="0" applyFont="1" applyFill="1" applyAlignment="1">
      <alignment vertical="center"/>
    </xf>
    <xf numFmtId="0" fontId="14" fillId="19" borderId="0" xfId="0" applyFont="1" applyFill="1" applyAlignment="1" applyProtection="1">
      <alignment vertical="center"/>
      <protection locked="0"/>
    </xf>
    <xf numFmtId="0" fontId="14" fillId="19" borderId="3" xfId="0" applyFont="1" applyFill="1" applyBorder="1" applyAlignment="1">
      <alignment vertical="center"/>
    </xf>
    <xf numFmtId="0" fontId="14" fillId="19" borderId="3" xfId="0" applyFont="1" applyFill="1" applyBorder="1" applyAlignment="1" applyProtection="1">
      <alignment vertical="center"/>
      <protection locked="0"/>
    </xf>
    <xf numFmtId="0" fontId="14" fillId="19" borderId="3" xfId="0" applyFont="1" applyFill="1" applyBorder="1" applyAlignment="1" applyProtection="1">
      <alignment vertical="center" wrapText="1"/>
      <protection locked="0"/>
    </xf>
    <xf numFmtId="14" fontId="14" fillId="19" borderId="3" xfId="0" applyNumberFormat="1" applyFont="1" applyFill="1" applyBorder="1" applyAlignment="1">
      <alignment vertical="center"/>
    </xf>
    <xf numFmtId="164" fontId="14" fillId="19" borderId="3" xfId="0" applyNumberFormat="1" applyFont="1" applyFill="1" applyBorder="1" applyAlignment="1" applyProtection="1">
      <alignment vertical="center"/>
      <protection locked="0"/>
    </xf>
    <xf numFmtId="2" fontId="14" fillId="19" borderId="24" xfId="0" applyNumberFormat="1" applyFont="1" applyFill="1" applyBorder="1" applyAlignment="1">
      <alignment vertical="center"/>
    </xf>
    <xf numFmtId="165" fontId="14" fillId="19" borderId="24" xfId="0" applyNumberFormat="1" applyFont="1" applyFill="1" applyBorder="1" applyAlignment="1">
      <alignment vertical="center"/>
    </xf>
    <xf numFmtId="0" fontId="14" fillId="19" borderId="3" xfId="0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vertical="center" wrapText="1"/>
      <protection locked="0"/>
    </xf>
    <xf numFmtId="14" fontId="14" fillId="4" borderId="0" xfId="0" applyNumberFormat="1" applyFont="1" applyFill="1" applyAlignment="1" applyProtection="1">
      <alignment vertical="center" wrapText="1"/>
      <protection locked="0"/>
    </xf>
    <xf numFmtId="0" fontId="15" fillId="4" borderId="0" xfId="0" applyFont="1" applyFill="1" applyAlignment="1" applyProtection="1">
      <alignment vertical="center" wrapText="1"/>
      <protection locked="0"/>
    </xf>
    <xf numFmtId="165" fontId="15" fillId="4" borderId="0" xfId="0" applyNumberFormat="1" applyFont="1" applyFill="1" applyAlignment="1" applyProtection="1">
      <alignment vertical="center" wrapText="1"/>
      <protection locked="0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4" fontId="0" fillId="14" borderId="0" xfId="0" applyNumberFormat="1" applyFill="1" applyAlignment="1">
      <alignment horizontal="left" vertical="center"/>
    </xf>
    <xf numFmtId="0" fontId="0" fillId="13" borderId="0" xfId="0" applyFill="1" applyAlignment="1">
      <alignment vertical="center"/>
    </xf>
    <xf numFmtId="14" fontId="5" fillId="14" borderId="0" xfId="0" applyNumberFormat="1" applyFont="1" applyFill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5" fillId="13" borderId="0" xfId="0" applyFont="1" applyFill="1" applyAlignment="1">
      <alignment vertical="center" wrapText="1"/>
    </xf>
    <xf numFmtId="0" fontId="5" fillId="14" borderId="0" xfId="0" applyFont="1" applyFill="1" applyAlignment="1">
      <alignment vertical="center" wrapText="1"/>
    </xf>
    <xf numFmtId="0" fontId="0" fillId="20" borderId="0" xfId="0" applyFill="1" applyAlignment="1">
      <alignment vertical="center"/>
    </xf>
    <xf numFmtId="0" fontId="0" fillId="21" borderId="0" xfId="0" applyFill="1" applyAlignment="1">
      <alignment vertical="center"/>
    </xf>
    <xf numFmtId="14" fontId="0" fillId="0" borderId="43" xfId="0" applyNumberFormat="1" applyBorder="1" applyAlignment="1">
      <alignment horizontal="center"/>
    </xf>
    <xf numFmtId="0" fontId="0" fillId="0" borderId="43" xfId="0" applyBorder="1" applyAlignment="1">
      <alignment horizontal="left"/>
    </xf>
    <xf numFmtId="0" fontId="0" fillId="5" borderId="0" xfId="0" applyFill="1" applyAlignment="1">
      <alignment horizontal="left" vertical="center" wrapText="1"/>
    </xf>
    <xf numFmtId="14" fontId="0" fillId="5" borderId="0" xfId="0" applyNumberFormat="1" applyFill="1" applyAlignment="1">
      <alignment vertical="center" wrapText="1"/>
    </xf>
    <xf numFmtId="14" fontId="0" fillId="5" borderId="0" xfId="0" applyNumberFormat="1" applyFill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165" fontId="0" fillId="5" borderId="0" xfId="0" applyNumberFormat="1" applyFill="1" applyAlignment="1">
      <alignment vertical="center" wrapText="1"/>
    </xf>
    <xf numFmtId="167" fontId="0" fillId="5" borderId="0" xfId="0" applyNumberFormat="1" applyFill="1" applyAlignment="1">
      <alignment horizontal="right" vertical="center" wrapText="1"/>
    </xf>
    <xf numFmtId="166" fontId="21" fillId="22" borderId="26" xfId="0" applyNumberFormat="1" applyFont="1" applyFill="1" applyBorder="1" applyAlignment="1">
      <alignment horizontal="center" vertical="center" wrapText="1"/>
    </xf>
    <xf numFmtId="0" fontId="21" fillId="22" borderId="25" xfId="0" applyFont="1" applyFill="1" applyBorder="1" applyAlignment="1">
      <alignment horizontal="center" vertical="center" wrapText="1"/>
    </xf>
    <xf numFmtId="0" fontId="21" fillId="22" borderId="26" xfId="0" applyFont="1" applyFill="1" applyBorder="1" applyAlignment="1">
      <alignment horizontal="center" vertical="center" wrapText="1"/>
    </xf>
    <xf numFmtId="14" fontId="21" fillId="22" borderId="26" xfId="0" applyNumberFormat="1" applyFont="1" applyFill="1" applyBorder="1" applyAlignment="1">
      <alignment horizontal="center" vertical="center" wrapText="1"/>
    </xf>
    <xf numFmtId="165" fontId="21" fillId="22" borderId="26" xfId="0" applyNumberFormat="1" applyFont="1" applyFill="1" applyBorder="1" applyAlignment="1">
      <alignment horizontal="center" vertical="center" wrapText="1"/>
    </xf>
    <xf numFmtId="0" fontId="0" fillId="5" borderId="51" xfId="0" applyFill="1" applyBorder="1" applyAlignment="1">
      <alignment horizontal="left" vertical="center" wrapText="1"/>
    </xf>
    <xf numFmtId="0" fontId="0" fillId="5" borderId="41" xfId="0" applyFill="1" applyBorder="1" applyAlignment="1">
      <alignment horizontal="left" vertical="center" wrapText="1"/>
    </xf>
    <xf numFmtId="14" fontId="0" fillId="5" borderId="41" xfId="0" applyNumberFormat="1" applyFill="1" applyBorder="1" applyAlignment="1">
      <alignment vertical="center" wrapText="1"/>
    </xf>
    <xf numFmtId="0" fontId="0" fillId="0" borderId="56" xfId="0" applyBorder="1" applyAlignment="1">
      <alignment horizontal="left"/>
    </xf>
    <xf numFmtId="0" fontId="0" fillId="0" borderId="50" xfId="0" applyBorder="1" applyAlignment="1">
      <alignment horizontal="center"/>
    </xf>
    <xf numFmtId="166" fontId="0" fillId="0" borderId="57" xfId="0" applyNumberFormat="1" applyBorder="1" applyAlignment="1">
      <alignment horizontal="right"/>
    </xf>
    <xf numFmtId="0" fontId="7" fillId="8" borderId="55" xfId="0" applyFont="1" applyFill="1" applyBorder="1" applyAlignment="1">
      <alignment horizontal="center"/>
    </xf>
    <xf numFmtId="0" fontId="7" fillId="8" borderId="58" xfId="0" applyFont="1" applyFill="1" applyBorder="1" applyAlignment="1">
      <alignment horizontal="center"/>
    </xf>
    <xf numFmtId="0" fontId="7" fillId="8" borderId="59" xfId="0" applyFont="1" applyFill="1" applyBorder="1" applyAlignment="1">
      <alignment horizontal="center"/>
    </xf>
    <xf numFmtId="0" fontId="0" fillId="0" borderId="52" xfId="0" applyBorder="1" applyAlignment="1">
      <alignment horizontal="center"/>
    </xf>
    <xf numFmtId="166" fontId="0" fillId="0" borderId="54" xfId="0" applyNumberFormat="1" applyBorder="1" applyAlignment="1">
      <alignment horizontal="right"/>
    </xf>
    <xf numFmtId="0" fontId="13" fillId="13" borderId="60" xfId="0" applyFont="1" applyFill="1" applyBorder="1" applyAlignment="1">
      <alignment horizontal="left" vertical="center" wrapText="1"/>
    </xf>
    <xf numFmtId="0" fontId="7" fillId="0" borderId="0" xfId="0" applyFont="1" applyAlignment="1">
      <alignment vertical="center"/>
    </xf>
    <xf numFmtId="0" fontId="0" fillId="5" borderId="0" xfId="0" applyFill="1" applyAlignment="1">
      <alignment horizontal="center" vertical="center" wrapText="1"/>
    </xf>
    <xf numFmtId="0" fontId="12" fillId="0" borderId="0" xfId="0" applyFont="1" applyAlignment="1">
      <alignment horizontal="right" vertical="center" wrapText="1"/>
    </xf>
    <xf numFmtId="0" fontId="12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0" fillId="23" borderId="0" xfId="0" applyFont="1" applyFill="1" applyAlignment="1">
      <alignment wrapText="1"/>
    </xf>
    <xf numFmtId="0" fontId="10" fillId="23" borderId="3" xfId="0" applyFont="1" applyFill="1" applyBorder="1" applyAlignment="1">
      <alignment wrapText="1"/>
    </xf>
    <xf numFmtId="0" fontId="0" fillId="2" borderId="4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3" borderId="6" xfId="0" applyFill="1" applyBorder="1" applyAlignment="1">
      <alignment wrapText="1"/>
    </xf>
    <xf numFmtId="0" fontId="0" fillId="2" borderId="6" xfId="0" applyFill="1" applyBorder="1" applyAlignment="1">
      <alignment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wrapText="1"/>
    </xf>
    <xf numFmtId="165" fontId="7" fillId="0" borderId="0" xfId="0" applyNumberFormat="1" applyFont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10" fontId="7" fillId="0" borderId="0" xfId="0" applyNumberFormat="1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53" xfId="0" applyFill="1" applyBorder="1" applyAlignment="1">
      <alignment vertical="center" wrapText="1"/>
    </xf>
    <xf numFmtId="0" fontId="7" fillId="0" borderId="0" xfId="0" applyFont="1"/>
    <xf numFmtId="166" fontId="7" fillId="0" borderId="0" xfId="0" applyNumberFormat="1" applyFont="1"/>
    <xf numFmtId="0" fontId="7" fillId="0" borderId="0" xfId="0" applyFont="1" applyAlignment="1">
      <alignment horizontal="right"/>
    </xf>
    <xf numFmtId="14" fontId="0" fillId="0" borderId="56" xfId="0" applyNumberFormat="1" applyBorder="1" applyAlignment="1">
      <alignment horizontal="center"/>
    </xf>
    <xf numFmtId="0" fontId="7" fillId="0" borderId="0" xfId="0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0" fillId="13" borderId="0" xfId="0" applyFill="1" applyAlignment="1" applyProtection="1">
      <alignment horizontal="left" vertical="center" wrapText="1"/>
      <protection locked="0"/>
    </xf>
    <xf numFmtId="0" fontId="0" fillId="13" borderId="0" xfId="0" applyFill="1" applyAlignment="1" applyProtection="1">
      <alignment vertical="center" wrapText="1"/>
      <protection locked="0"/>
    </xf>
    <xf numFmtId="14" fontId="0" fillId="13" borderId="0" xfId="0" applyNumberFormat="1" applyFill="1" applyAlignment="1" applyProtection="1">
      <alignment horizontal="center" vertical="center" wrapText="1"/>
      <protection locked="0"/>
    </xf>
    <xf numFmtId="0" fontId="17" fillId="14" borderId="0" xfId="0" applyFont="1" applyFill="1" applyAlignment="1">
      <alignment horizontal="left" vertical="center" wrapText="1"/>
    </xf>
    <xf numFmtId="0" fontId="17" fillId="14" borderId="0" xfId="0" applyFont="1" applyFill="1" applyAlignment="1">
      <alignment vertical="center" wrapText="1"/>
    </xf>
    <xf numFmtId="165" fontId="17" fillId="14" borderId="0" xfId="0" applyNumberFormat="1" applyFont="1" applyFill="1" applyAlignment="1">
      <alignment vertical="center" wrapText="1"/>
    </xf>
    <xf numFmtId="0" fontId="17" fillId="14" borderId="0" xfId="0" applyFont="1" applyFill="1" applyAlignment="1" applyProtection="1">
      <alignment vertical="center" wrapText="1"/>
      <protection locked="0"/>
    </xf>
    <xf numFmtId="164" fontId="17" fillId="14" borderId="0" xfId="0" applyNumberFormat="1" applyFont="1" applyFill="1" applyAlignment="1">
      <alignment vertical="center" wrapText="1"/>
    </xf>
    <xf numFmtId="14" fontId="17" fillId="14" borderId="0" xfId="0" applyNumberFormat="1" applyFont="1" applyFill="1" applyAlignment="1">
      <alignment horizontal="center" vertical="center" wrapText="1"/>
    </xf>
    <xf numFmtId="0" fontId="0" fillId="13" borderId="0" xfId="0" applyFill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vertical="center" wrapText="1"/>
      <protection locked="0"/>
    </xf>
    <xf numFmtId="0" fontId="0" fillId="24" borderId="0" xfId="0" applyFill="1" applyAlignment="1" applyProtection="1">
      <alignment vertical="center" wrapText="1"/>
      <protection locked="0"/>
    </xf>
    <xf numFmtId="14" fontId="0" fillId="5" borderId="65" xfId="0" applyNumberFormat="1" applyFill="1" applyBorder="1" applyAlignment="1">
      <alignment horizontal="center" vertical="center" wrapText="1"/>
    </xf>
    <xf numFmtId="0" fontId="0" fillId="5" borderId="65" xfId="0" applyFill="1" applyBorder="1" applyAlignment="1">
      <alignment vertical="center" wrapText="1"/>
    </xf>
    <xf numFmtId="165" fontId="0" fillId="3" borderId="12" xfId="0" applyNumberFormat="1" applyFill="1" applyBorder="1" applyAlignment="1">
      <alignment vertical="center" wrapText="1"/>
    </xf>
    <xf numFmtId="165" fontId="0" fillId="2" borderId="12" xfId="0" applyNumberFormat="1" applyFill="1" applyBorder="1" applyAlignment="1">
      <alignment vertical="center" wrapText="1"/>
    </xf>
    <xf numFmtId="0" fontId="0" fillId="5" borderId="65" xfId="0" applyFill="1" applyBorder="1" applyAlignment="1">
      <alignment horizontal="left" vertical="center" wrapText="1"/>
    </xf>
    <xf numFmtId="0" fontId="0" fillId="5" borderId="66" xfId="0" applyFill="1" applyBorder="1" applyAlignment="1">
      <alignment horizontal="left" vertical="center" wrapText="1"/>
    </xf>
    <xf numFmtId="0" fontId="0" fillId="5" borderId="67" xfId="0" applyFill="1" applyBorder="1" applyAlignment="1">
      <alignment horizontal="left" vertical="center" wrapText="1"/>
    </xf>
    <xf numFmtId="0" fontId="0" fillId="5" borderId="67" xfId="0" applyFill="1" applyBorder="1" applyAlignment="1">
      <alignment vertical="center" wrapText="1"/>
    </xf>
    <xf numFmtId="14" fontId="0" fillId="5" borderId="67" xfId="0" applyNumberFormat="1" applyFill="1" applyBorder="1" applyAlignment="1">
      <alignment horizontal="center" vertical="center" wrapText="1"/>
    </xf>
    <xf numFmtId="14" fontId="0" fillId="5" borderId="67" xfId="0" applyNumberFormat="1" applyFill="1" applyBorder="1" applyAlignment="1">
      <alignment vertical="center" wrapText="1"/>
    </xf>
    <xf numFmtId="165" fontId="0" fillId="5" borderId="67" xfId="0" applyNumberFormat="1" applyFill="1" applyBorder="1" applyAlignment="1">
      <alignment vertical="center" wrapText="1"/>
    </xf>
    <xf numFmtId="167" fontId="0" fillId="5" borderId="67" xfId="0" applyNumberFormat="1" applyFill="1" applyBorder="1" applyAlignment="1">
      <alignment horizontal="right" vertical="center" wrapText="1"/>
    </xf>
    <xf numFmtId="14" fontId="7" fillId="5" borderId="65" xfId="0" applyNumberFormat="1" applyFont="1" applyFill="1" applyBorder="1" applyAlignment="1">
      <alignment horizontal="center" vertical="center" wrapText="1"/>
    </xf>
    <xf numFmtId="0" fontId="7" fillId="5" borderId="65" xfId="0" applyFont="1" applyFill="1" applyBorder="1" applyAlignment="1">
      <alignment vertical="center" wrapText="1"/>
    </xf>
    <xf numFmtId="167" fontId="7" fillId="5" borderId="65" xfId="0" applyNumberFormat="1" applyFont="1" applyFill="1" applyBorder="1" applyAlignment="1">
      <alignment horizontal="right" vertical="center" wrapText="1"/>
    </xf>
    <xf numFmtId="0" fontId="21" fillId="22" borderId="69" xfId="0" applyFont="1" applyFill="1" applyBorder="1" applyAlignment="1">
      <alignment horizontal="center" vertical="center" wrapText="1"/>
    </xf>
    <xf numFmtId="0" fontId="0" fillId="15" borderId="4" xfId="0" applyFill="1" applyBorder="1" applyAlignment="1" applyProtection="1">
      <alignment horizontal="left" vertical="center" wrapText="1"/>
      <protection locked="0"/>
    </xf>
    <xf numFmtId="0" fontId="17" fillId="17" borderId="5" xfId="0" applyFont="1" applyFill="1" applyBorder="1" applyAlignment="1">
      <alignment vertical="center" wrapText="1"/>
    </xf>
    <xf numFmtId="0" fontId="0" fillId="15" borderId="5" xfId="0" applyFill="1" applyBorder="1" applyAlignment="1" applyProtection="1">
      <alignment vertical="center" wrapText="1"/>
      <protection locked="0"/>
    </xf>
    <xf numFmtId="14" fontId="17" fillId="17" borderId="5" xfId="0" applyNumberFormat="1" applyFont="1" applyFill="1" applyBorder="1" applyAlignment="1">
      <alignment horizontal="center" vertical="center" wrapText="1"/>
    </xf>
    <xf numFmtId="0" fontId="17" fillId="18" borderId="7" xfId="0" applyFont="1" applyFill="1" applyBorder="1" applyAlignment="1">
      <alignment vertical="center" wrapText="1"/>
    </xf>
    <xf numFmtId="14" fontId="0" fillId="15" borderId="5" xfId="0" applyNumberFormat="1" applyFill="1" applyBorder="1" applyAlignment="1" applyProtection="1">
      <alignment horizontal="center" vertical="center" wrapText="1"/>
      <protection locked="0"/>
    </xf>
    <xf numFmtId="165" fontId="0" fillId="15" borderId="5" xfId="0" applyNumberFormat="1" applyFill="1" applyBorder="1" applyAlignment="1" applyProtection="1">
      <alignment vertical="center" wrapText="1"/>
      <protection locked="0"/>
    </xf>
    <xf numFmtId="2" fontId="17" fillId="14" borderId="0" xfId="0" applyNumberFormat="1" applyFont="1" applyFill="1" applyAlignment="1">
      <alignment vertical="center" wrapText="1"/>
    </xf>
    <xf numFmtId="0" fontId="0" fillId="16" borderId="6" xfId="0" applyFill="1" applyBorder="1" applyAlignment="1" applyProtection="1">
      <alignment horizontal="left" vertical="center" wrapText="1"/>
      <protection locked="0"/>
    </xf>
    <xf numFmtId="0" fontId="0" fillId="16" borderId="7" xfId="0" applyFill="1" applyBorder="1" applyAlignment="1" applyProtection="1">
      <alignment vertical="center" wrapText="1"/>
      <protection locked="0"/>
    </xf>
    <xf numFmtId="14" fontId="17" fillId="18" borderId="7" xfId="0" applyNumberFormat="1" applyFont="1" applyFill="1" applyBorder="1" applyAlignment="1">
      <alignment horizontal="center" vertical="center" wrapText="1"/>
    </xf>
    <xf numFmtId="14" fontId="0" fillId="16" borderId="7" xfId="0" applyNumberFormat="1" applyFill="1" applyBorder="1" applyAlignment="1" applyProtection="1">
      <alignment horizontal="center" vertical="center" wrapText="1"/>
      <protection locked="0"/>
    </xf>
    <xf numFmtId="165" fontId="0" fillId="16" borderId="7" xfId="0" applyNumberFormat="1" applyFill="1" applyBorder="1" applyAlignment="1" applyProtection="1">
      <alignment vertical="center" wrapText="1"/>
      <protection locked="0"/>
    </xf>
    <xf numFmtId="0" fontId="0" fillId="15" borderId="6" xfId="0" applyFill="1" applyBorder="1" applyAlignment="1" applyProtection="1">
      <alignment horizontal="left" vertical="center" wrapText="1"/>
      <protection locked="0"/>
    </xf>
    <xf numFmtId="0" fontId="17" fillId="17" borderId="7" xfId="0" applyFont="1" applyFill="1" applyBorder="1" applyAlignment="1">
      <alignment vertical="center" wrapText="1"/>
    </xf>
    <xf numFmtId="0" fontId="0" fillId="15" borderId="7" xfId="0" applyFill="1" applyBorder="1" applyAlignment="1" applyProtection="1">
      <alignment vertical="center" wrapText="1"/>
      <protection locked="0"/>
    </xf>
    <xf numFmtId="14" fontId="17" fillId="17" borderId="7" xfId="0" applyNumberFormat="1" applyFont="1" applyFill="1" applyBorder="1" applyAlignment="1">
      <alignment horizontal="center" vertical="center" wrapText="1"/>
    </xf>
    <xf numFmtId="0" fontId="0" fillId="15" borderId="7" xfId="0" applyFill="1" applyBorder="1" applyAlignment="1" applyProtection="1">
      <alignment horizontal="center" vertical="center" wrapText="1"/>
      <protection locked="0"/>
    </xf>
    <xf numFmtId="165" fontId="0" fillId="15" borderId="7" xfId="0" applyNumberFormat="1" applyFill="1" applyBorder="1" applyAlignment="1" applyProtection="1">
      <alignment vertical="center" wrapText="1"/>
      <protection locked="0"/>
    </xf>
    <xf numFmtId="0" fontId="0" fillId="16" borderId="7" xfId="0" applyFill="1" applyBorder="1" applyAlignment="1" applyProtection="1">
      <alignment horizontal="center" vertical="center" wrapText="1"/>
      <protection locked="0"/>
    </xf>
    <xf numFmtId="14" fontId="0" fillId="15" borderId="7" xfId="0" applyNumberFormat="1" applyFill="1" applyBorder="1" applyAlignment="1" applyProtection="1">
      <alignment horizontal="center" vertical="center" wrapText="1"/>
      <protection locked="0"/>
    </xf>
    <xf numFmtId="14" fontId="0" fillId="5" borderId="65" xfId="0" applyNumberFormat="1" applyFill="1" applyBorder="1" applyAlignment="1">
      <alignment vertical="center" wrapText="1"/>
    </xf>
    <xf numFmtId="165" fontId="0" fillId="5" borderId="65" xfId="0" applyNumberFormat="1" applyFill="1" applyBorder="1" applyAlignment="1">
      <alignment vertical="center" wrapText="1"/>
    </xf>
    <xf numFmtId="167" fontId="0" fillId="5" borderId="65" xfId="0" applyNumberFormat="1" applyFill="1" applyBorder="1" applyAlignment="1">
      <alignment horizontal="right" vertical="center" wrapText="1"/>
    </xf>
    <xf numFmtId="165" fontId="0" fillId="5" borderId="41" xfId="0" applyNumberFormat="1" applyFill="1" applyBorder="1" applyAlignment="1">
      <alignment vertical="center" wrapText="1"/>
    </xf>
    <xf numFmtId="0" fontId="0" fillId="5" borderId="72" xfId="0" applyFill="1" applyBorder="1" applyAlignment="1">
      <alignment horizontal="left" vertical="center" wrapText="1"/>
    </xf>
    <xf numFmtId="14" fontId="0" fillId="5" borderId="73" xfId="0" applyNumberFormat="1" applyFill="1" applyBorder="1" applyAlignment="1">
      <alignment horizontal="center" vertical="center" wrapText="1"/>
    </xf>
    <xf numFmtId="0" fontId="0" fillId="5" borderId="68" xfId="0" applyFill="1" applyBorder="1" applyAlignment="1">
      <alignment vertical="center" wrapText="1"/>
    </xf>
    <xf numFmtId="0" fontId="0" fillId="5" borderId="74" xfId="0" applyFill="1" applyBorder="1" applyAlignment="1">
      <alignment horizontal="left" vertical="center" wrapText="1"/>
    </xf>
    <xf numFmtId="14" fontId="0" fillId="5" borderId="65" xfId="0" applyNumberFormat="1" applyFill="1" applyBorder="1" applyAlignment="1">
      <alignment horizontal="right" vertical="center" wrapText="1"/>
    </xf>
    <xf numFmtId="14" fontId="0" fillId="5" borderId="67" xfId="0" applyNumberFormat="1" applyFill="1" applyBorder="1" applyAlignment="1">
      <alignment horizontal="right" vertical="center" wrapText="1"/>
    </xf>
    <xf numFmtId="14" fontId="21" fillId="8" borderId="64" xfId="0" applyNumberFormat="1" applyFont="1" applyFill="1" applyBorder="1" applyAlignment="1">
      <alignment horizontal="center" vertical="center" wrapText="1"/>
    </xf>
    <xf numFmtId="14" fontId="0" fillId="5" borderId="71" xfId="0" applyNumberFormat="1" applyFill="1" applyBorder="1" applyAlignment="1">
      <alignment horizontal="center" vertical="center" wrapText="1"/>
    </xf>
    <xf numFmtId="14" fontId="0" fillId="5" borderId="68" xfId="0" applyNumberFormat="1" applyFill="1" applyBorder="1" applyAlignment="1">
      <alignment horizontal="center" vertical="center" wrapText="1"/>
    </xf>
    <xf numFmtId="0" fontId="0" fillId="5" borderId="75" xfId="0" applyFill="1" applyBorder="1" applyAlignment="1">
      <alignment vertical="center" wrapText="1"/>
    </xf>
    <xf numFmtId="14" fontId="0" fillId="5" borderId="75" xfId="0" applyNumberFormat="1" applyFill="1" applyBorder="1" applyAlignment="1">
      <alignment horizontal="center" vertical="center" wrapText="1"/>
    </xf>
    <xf numFmtId="0" fontId="0" fillId="5" borderId="76" xfId="0" applyFill="1" applyBorder="1" applyAlignment="1">
      <alignment vertical="center" wrapText="1"/>
    </xf>
    <xf numFmtId="14" fontId="0" fillId="5" borderId="77" xfId="0" applyNumberFormat="1" applyFill="1" applyBorder="1" applyAlignment="1">
      <alignment horizontal="center" vertical="center" wrapText="1"/>
    </xf>
    <xf numFmtId="49" fontId="7" fillId="5" borderId="65" xfId="0" applyNumberFormat="1" applyFont="1" applyFill="1" applyBorder="1" applyAlignment="1">
      <alignment horizontal="right" vertical="center" wrapText="1"/>
    </xf>
    <xf numFmtId="0" fontId="0" fillId="5" borderId="47" xfId="0" applyFill="1" applyBorder="1" applyAlignment="1">
      <alignment vertical="center" wrapText="1"/>
    </xf>
    <xf numFmtId="0" fontId="0" fillId="5" borderId="76" xfId="0" applyFill="1" applyBorder="1" applyAlignment="1">
      <alignment horizontal="left" vertical="center" wrapText="1"/>
    </xf>
    <xf numFmtId="14" fontId="0" fillId="5" borderId="76" xfId="0" applyNumberFormat="1" applyFill="1" applyBorder="1" applyAlignment="1">
      <alignment vertical="center" wrapText="1"/>
    </xf>
    <xf numFmtId="14" fontId="0" fillId="5" borderId="76" xfId="0" applyNumberFormat="1" applyFill="1" applyBorder="1" applyAlignment="1">
      <alignment horizontal="center" vertical="center" wrapText="1"/>
    </xf>
    <xf numFmtId="14" fontId="7" fillId="5" borderId="76" xfId="0" applyNumberFormat="1" applyFont="1" applyFill="1" applyBorder="1" applyAlignment="1">
      <alignment horizontal="center" vertical="center" wrapText="1"/>
    </xf>
    <xf numFmtId="49" fontId="7" fillId="5" borderId="76" xfId="0" applyNumberFormat="1" applyFont="1" applyFill="1" applyBorder="1" applyAlignment="1">
      <alignment horizontal="right" vertical="center" wrapText="1"/>
    </xf>
    <xf numFmtId="0" fontId="7" fillId="5" borderId="76" xfId="0" applyFont="1" applyFill="1" applyBorder="1" applyAlignment="1">
      <alignment vertical="center" wrapText="1"/>
    </xf>
    <xf numFmtId="167" fontId="7" fillId="5" borderId="76" xfId="0" applyNumberFormat="1" applyFont="1" applyFill="1" applyBorder="1" applyAlignment="1">
      <alignment horizontal="right" vertical="center" wrapText="1"/>
    </xf>
    <xf numFmtId="0" fontId="0" fillId="5" borderId="65" xfId="0" applyFill="1" applyBorder="1" applyAlignment="1">
      <alignment horizontal="center" vertical="center" wrapText="1"/>
    </xf>
    <xf numFmtId="0" fontId="0" fillId="5" borderId="78" xfId="0" applyFill="1" applyBorder="1" applyAlignment="1">
      <alignment horizontal="left" vertical="center" wrapText="1"/>
    </xf>
    <xf numFmtId="0" fontId="0" fillId="5" borderId="47" xfId="0" applyFill="1" applyBorder="1" applyAlignment="1">
      <alignment horizontal="left" vertical="center" wrapText="1"/>
    </xf>
    <xf numFmtId="14" fontId="0" fillId="5" borderId="47" xfId="0" applyNumberFormat="1" applyFill="1" applyBorder="1" applyAlignment="1">
      <alignment vertical="center" wrapText="1"/>
    </xf>
    <xf numFmtId="14" fontId="0" fillId="5" borderId="47" xfId="0" applyNumberFormat="1" applyFill="1" applyBorder="1" applyAlignment="1">
      <alignment horizontal="center" vertical="center" wrapText="1"/>
    </xf>
    <xf numFmtId="0" fontId="0" fillId="5" borderId="47" xfId="0" applyFill="1" applyBorder="1" applyAlignment="1">
      <alignment horizontal="center" vertical="center" wrapText="1"/>
    </xf>
    <xf numFmtId="165" fontId="0" fillId="5" borderId="47" xfId="0" applyNumberFormat="1" applyFill="1" applyBorder="1" applyAlignment="1">
      <alignment vertical="center" wrapText="1"/>
    </xf>
    <xf numFmtId="167" fontId="0" fillId="5" borderId="47" xfId="0" applyNumberFormat="1" applyFill="1" applyBorder="1" applyAlignment="1">
      <alignment horizontal="right" vertical="center" wrapText="1"/>
    </xf>
    <xf numFmtId="0" fontId="0" fillId="5" borderId="51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14" fontId="0" fillId="5" borderId="41" xfId="0" applyNumberFormat="1" applyFill="1" applyBorder="1" applyAlignment="1">
      <alignment vertical="center"/>
    </xf>
    <xf numFmtId="14" fontId="0" fillId="5" borderId="41" xfId="0" applyNumberForma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7" fillId="5" borderId="41" xfId="0" applyFont="1" applyFill="1" applyBorder="1" applyAlignment="1">
      <alignment vertical="center"/>
    </xf>
    <xf numFmtId="167" fontId="7" fillId="5" borderId="41" xfId="0" applyNumberFormat="1" applyFont="1" applyFill="1" applyBorder="1" applyAlignment="1">
      <alignment vertical="center"/>
    </xf>
    <xf numFmtId="167" fontId="7" fillId="5" borderId="41" xfId="0" applyNumberFormat="1" applyFont="1" applyFill="1" applyBorder="1" applyAlignment="1">
      <alignment horizontal="right" vertical="center"/>
    </xf>
    <xf numFmtId="0" fontId="0" fillId="5" borderId="41" xfId="0" applyFill="1" applyBorder="1" applyAlignment="1">
      <alignment vertical="center"/>
    </xf>
    <xf numFmtId="0" fontId="0" fillId="5" borderId="72" xfId="0" applyFill="1" applyBorder="1" applyAlignment="1">
      <alignment horizontal="left" vertical="center"/>
    </xf>
    <xf numFmtId="0" fontId="0" fillId="5" borderId="65" xfId="0" applyFill="1" applyBorder="1" applyAlignment="1">
      <alignment horizontal="left" vertical="center"/>
    </xf>
    <xf numFmtId="14" fontId="0" fillId="5" borderId="65" xfId="0" applyNumberFormat="1" applyFill="1" applyBorder="1" applyAlignment="1">
      <alignment vertical="center"/>
    </xf>
    <xf numFmtId="14" fontId="0" fillId="5" borderId="65" xfId="0" applyNumberFormat="1" applyFill="1" applyBorder="1" applyAlignment="1">
      <alignment horizontal="center" vertical="center"/>
    </xf>
    <xf numFmtId="0" fontId="0" fillId="5" borderId="65" xfId="0" applyFill="1" applyBorder="1" applyAlignment="1">
      <alignment horizontal="center" vertical="center"/>
    </xf>
    <xf numFmtId="0" fontId="7" fillId="5" borderId="65" xfId="0" applyFont="1" applyFill="1" applyBorder="1" applyAlignment="1">
      <alignment vertical="center"/>
    </xf>
    <xf numFmtId="167" fontId="7" fillId="5" borderId="65" xfId="0" applyNumberFormat="1" applyFont="1" applyFill="1" applyBorder="1" applyAlignment="1">
      <alignment vertical="center"/>
    </xf>
    <xf numFmtId="167" fontId="7" fillId="5" borderId="65" xfId="0" applyNumberFormat="1" applyFont="1" applyFill="1" applyBorder="1" applyAlignment="1">
      <alignment horizontal="right" vertical="center"/>
    </xf>
    <xf numFmtId="0" fontId="0" fillId="5" borderId="65" xfId="0" applyFill="1" applyBorder="1" applyAlignment="1">
      <alignment vertical="center"/>
    </xf>
    <xf numFmtId="0" fontId="0" fillId="2" borderId="12" xfId="0" applyFill="1" applyBorder="1" applyAlignment="1">
      <alignment vertical="center" wrapText="1"/>
    </xf>
    <xf numFmtId="0" fontId="0" fillId="2" borderId="12" xfId="0" applyFill="1" applyBorder="1" applyAlignment="1">
      <alignment vertical="center"/>
    </xf>
    <xf numFmtId="0" fontId="0" fillId="0" borderId="71" xfId="0" applyBorder="1" applyAlignment="1">
      <alignment vertical="center" wrapText="1"/>
    </xf>
    <xf numFmtId="0" fontId="0" fillId="0" borderId="71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53" xfId="0" applyBorder="1" applyAlignment="1">
      <alignment vertical="center"/>
    </xf>
    <xf numFmtId="0" fontId="21" fillId="8" borderId="64" xfId="0" applyFont="1" applyFill="1" applyBorder="1" applyAlignment="1">
      <alignment horizontal="center" vertical="center" wrapText="1"/>
    </xf>
    <xf numFmtId="0" fontId="21" fillId="8" borderId="63" xfId="0" applyFont="1" applyFill="1" applyBorder="1" applyAlignment="1">
      <alignment horizontal="center" vertical="center" wrapText="1"/>
    </xf>
    <xf numFmtId="0" fontId="21" fillId="8" borderId="70" xfId="0" applyFont="1" applyFill="1" applyBorder="1" applyAlignment="1">
      <alignment horizontal="center" vertical="center" wrapText="1"/>
    </xf>
    <xf numFmtId="14" fontId="19" fillId="0" borderId="60" xfId="0" applyNumberFormat="1" applyFont="1" applyBorder="1" applyAlignment="1" applyProtection="1">
      <alignment vertical="center" wrapText="1"/>
      <protection locked="0"/>
    </xf>
    <xf numFmtId="0" fontId="5" fillId="13" borderId="79" xfId="0" applyFont="1" applyFill="1" applyBorder="1" applyAlignment="1">
      <alignment vertical="center" wrapText="1"/>
    </xf>
    <xf numFmtId="0" fontId="5" fillId="14" borderId="80" xfId="0" applyFont="1" applyFill="1" applyBorder="1" applyAlignment="1">
      <alignment vertical="center" wrapText="1"/>
    </xf>
    <xf numFmtId="0" fontId="5" fillId="20" borderId="80" xfId="0" applyFont="1" applyFill="1" applyBorder="1" applyAlignment="1">
      <alignment vertical="center" wrapText="1"/>
    </xf>
    <xf numFmtId="0" fontId="5" fillId="21" borderId="81" xfId="0" applyFont="1" applyFill="1" applyBorder="1" applyAlignment="1">
      <alignment vertical="center" wrapText="1"/>
    </xf>
    <xf numFmtId="0" fontId="0" fillId="5" borderId="82" xfId="0" applyFill="1" applyBorder="1" applyAlignment="1">
      <alignment horizontal="left" vertical="center" wrapText="1"/>
    </xf>
    <xf numFmtId="14" fontId="0" fillId="5" borderId="82" xfId="0" applyNumberFormat="1" applyFill="1" applyBorder="1" applyAlignment="1">
      <alignment vertical="center" wrapText="1"/>
    </xf>
    <xf numFmtId="14" fontId="0" fillId="5" borderId="82" xfId="0" applyNumberFormat="1" applyFill="1" applyBorder="1" applyAlignment="1">
      <alignment horizontal="center" vertical="center" wrapText="1"/>
    </xf>
    <xf numFmtId="0" fontId="0" fillId="5" borderId="82" xfId="0" applyFill="1" applyBorder="1" applyAlignment="1">
      <alignment vertical="center" wrapText="1"/>
    </xf>
    <xf numFmtId="0" fontId="0" fillId="5" borderId="83" xfId="0" applyFill="1" applyBorder="1" applyAlignment="1">
      <alignment horizontal="left" vertical="center" wrapText="1"/>
    </xf>
    <xf numFmtId="0" fontId="10" fillId="8" borderId="20" xfId="0" applyFont="1" applyFill="1" applyBorder="1" applyAlignment="1">
      <alignment horizontal="center" vertical="center" wrapText="1"/>
    </xf>
    <xf numFmtId="0" fontId="0" fillId="5" borderId="17" xfId="0" applyFill="1" applyBorder="1" applyAlignment="1">
      <alignment vertical="center" wrapText="1"/>
    </xf>
    <xf numFmtId="165" fontId="0" fillId="5" borderId="71" xfId="0" applyNumberFormat="1" applyFill="1" applyBorder="1" applyAlignment="1">
      <alignment vertical="center" wrapText="1"/>
    </xf>
    <xf numFmtId="165" fontId="0" fillId="5" borderId="84" xfId="0" applyNumberFormat="1" applyFill="1" applyBorder="1" applyAlignment="1">
      <alignment vertical="center" wrapText="1"/>
    </xf>
    <xf numFmtId="0" fontId="7" fillId="13" borderId="60" xfId="0" applyFont="1" applyFill="1" applyBorder="1" applyAlignment="1" applyProtection="1">
      <alignment vertical="center" wrapText="1"/>
      <protection locked="0"/>
    </xf>
    <xf numFmtId="49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left" vertical="center" wrapText="1"/>
    </xf>
    <xf numFmtId="14" fontId="7" fillId="5" borderId="82" xfId="0" applyNumberFormat="1" applyFont="1" applyFill="1" applyBorder="1" applyAlignment="1">
      <alignment horizontal="center" vertical="center" wrapText="1"/>
    </xf>
    <xf numFmtId="49" fontId="7" fillId="5" borderId="82" xfId="0" applyNumberFormat="1" applyFont="1" applyFill="1" applyBorder="1" applyAlignment="1">
      <alignment horizontal="right" vertical="center" wrapText="1"/>
    </xf>
    <xf numFmtId="0" fontId="7" fillId="5" borderId="82" xfId="0" applyFont="1" applyFill="1" applyBorder="1" applyAlignment="1">
      <alignment vertical="center" wrapText="1"/>
    </xf>
    <xf numFmtId="167" fontId="7" fillId="5" borderId="82" xfId="0" applyNumberFormat="1" applyFont="1" applyFill="1" applyBorder="1" applyAlignment="1">
      <alignment horizontal="right" vertical="center" wrapText="1"/>
    </xf>
    <xf numFmtId="14" fontId="0" fillId="5" borderId="84" xfId="0" applyNumberFormat="1" applyFill="1" applyBorder="1" applyAlignment="1">
      <alignment horizontal="center" vertical="center" wrapText="1"/>
    </xf>
    <xf numFmtId="14" fontId="7" fillId="9" borderId="65" xfId="0" applyNumberFormat="1" applyFont="1" applyFill="1" applyBorder="1" applyAlignment="1">
      <alignment horizontal="center" vertical="center" wrapText="1"/>
    </xf>
    <xf numFmtId="14" fontId="7" fillId="9" borderId="65" xfId="0" applyNumberFormat="1" applyFont="1" applyFill="1" applyBorder="1" applyAlignment="1">
      <alignment vertical="center" wrapText="1"/>
    </xf>
    <xf numFmtId="0" fontId="7" fillId="9" borderId="65" xfId="0" applyFont="1" applyFill="1" applyBorder="1" applyAlignment="1">
      <alignment vertical="center" wrapText="1"/>
    </xf>
    <xf numFmtId="165" fontId="7" fillId="9" borderId="65" xfId="0" applyNumberFormat="1" applyFont="1" applyFill="1" applyBorder="1" applyAlignment="1">
      <alignment vertical="center" wrapText="1"/>
    </xf>
    <xf numFmtId="167" fontId="12" fillId="9" borderId="65" xfId="0" applyNumberFormat="1" applyFont="1" applyFill="1" applyBorder="1" applyAlignment="1">
      <alignment horizontal="right" vertical="center" wrapText="1"/>
    </xf>
    <xf numFmtId="0" fontId="0" fillId="6" borderId="66" xfId="0" applyFill="1" applyBorder="1" applyAlignment="1">
      <alignment horizontal="left" vertical="center" wrapText="1"/>
    </xf>
    <xf numFmtId="0" fontId="0" fillId="6" borderId="67" xfId="0" applyFill="1" applyBorder="1" applyAlignment="1">
      <alignment horizontal="left" vertical="center" wrapText="1"/>
    </xf>
    <xf numFmtId="0" fontId="0" fillId="6" borderId="67" xfId="0" applyFill="1" applyBorder="1" applyAlignment="1">
      <alignment vertical="center" wrapText="1"/>
    </xf>
    <xf numFmtId="14" fontId="12" fillId="10" borderId="67" xfId="0" applyNumberFormat="1" applyFont="1" applyFill="1" applyBorder="1" applyAlignment="1">
      <alignment horizontal="center" vertical="center" wrapText="1"/>
    </xf>
    <xf numFmtId="14" fontId="7" fillId="10" borderId="67" xfId="0" applyNumberFormat="1" applyFont="1" applyFill="1" applyBorder="1" applyAlignment="1">
      <alignment vertical="center" wrapText="1"/>
    </xf>
    <xf numFmtId="0" fontId="7" fillId="10" borderId="67" xfId="0" applyFont="1" applyFill="1" applyBorder="1" applyAlignment="1">
      <alignment vertical="center" wrapText="1"/>
    </xf>
    <xf numFmtId="165" fontId="7" fillId="10" borderId="67" xfId="0" applyNumberFormat="1" applyFont="1" applyFill="1" applyBorder="1" applyAlignment="1">
      <alignment vertical="center" wrapText="1"/>
    </xf>
    <xf numFmtId="167" fontId="12" fillId="10" borderId="67" xfId="0" applyNumberFormat="1" applyFont="1" applyFill="1" applyBorder="1" applyAlignment="1">
      <alignment horizontal="right" vertical="center" wrapText="1"/>
    </xf>
    <xf numFmtId="14" fontId="0" fillId="6" borderId="67" xfId="0" applyNumberFormat="1" applyFill="1" applyBorder="1" applyAlignment="1">
      <alignment horizontal="center" vertical="center" wrapText="1"/>
    </xf>
    <xf numFmtId="165" fontId="0" fillId="3" borderId="68" xfId="0" applyNumberFormat="1" applyFill="1" applyBorder="1" applyAlignment="1">
      <alignment vertical="center" wrapText="1"/>
    </xf>
    <xf numFmtId="165" fontId="0" fillId="3" borderId="0" xfId="0" applyNumberFormat="1" applyFill="1" applyAlignment="1">
      <alignment vertical="center" wrapText="1"/>
    </xf>
    <xf numFmtId="165" fontId="0" fillId="2" borderId="0" xfId="0" applyNumberFormat="1" applyFill="1" applyAlignment="1">
      <alignment vertical="center" wrapText="1"/>
    </xf>
    <xf numFmtId="0" fontId="0" fillId="5" borderId="0" xfId="0" applyFill="1" applyAlignment="1">
      <alignment horizontal="left" wrapText="1"/>
    </xf>
    <xf numFmtId="0" fontId="0" fillId="5" borderId="0" xfId="0" applyFill="1" applyAlignment="1">
      <alignment wrapText="1"/>
    </xf>
    <xf numFmtId="14" fontId="0" fillId="5" borderId="0" xfId="0" applyNumberFormat="1" applyFill="1" applyAlignment="1">
      <alignment horizontal="center" wrapText="1"/>
    </xf>
    <xf numFmtId="0" fontId="0" fillId="6" borderId="0" xfId="0" applyFill="1" applyAlignment="1">
      <alignment horizontal="left" wrapText="1"/>
    </xf>
    <xf numFmtId="0" fontId="0" fillId="6" borderId="0" xfId="0" applyFill="1" applyAlignment="1">
      <alignment wrapText="1"/>
    </xf>
    <xf numFmtId="14" fontId="0" fillId="6" borderId="0" xfId="0" applyNumberFormat="1" applyFill="1" applyAlignment="1">
      <alignment horizontal="center" wrapText="1"/>
    </xf>
    <xf numFmtId="14" fontId="7" fillId="10" borderId="0" xfId="0" applyNumberFormat="1" applyFont="1" applyFill="1" applyAlignment="1">
      <alignment horizontal="center" wrapText="1"/>
    </xf>
    <xf numFmtId="14" fontId="7" fillId="10" borderId="0" xfId="0" applyNumberFormat="1" applyFont="1" applyFill="1" applyAlignment="1">
      <alignment wrapText="1"/>
    </xf>
    <xf numFmtId="0" fontId="7" fillId="10" borderId="0" xfId="0" applyFont="1" applyFill="1" applyAlignment="1">
      <alignment wrapText="1"/>
    </xf>
    <xf numFmtId="165" fontId="7" fillId="10" borderId="0" xfId="0" applyNumberFormat="1" applyFont="1" applyFill="1" applyAlignment="1">
      <alignment wrapText="1"/>
    </xf>
    <xf numFmtId="165" fontId="12" fillId="10" borderId="0" xfId="0" applyNumberFormat="1" applyFont="1" applyFill="1" applyAlignment="1">
      <alignment wrapText="1"/>
    </xf>
    <xf numFmtId="14" fontId="0" fillId="5" borderId="0" xfId="0" applyNumberFormat="1" applyFill="1" applyAlignment="1">
      <alignment wrapText="1"/>
    </xf>
    <xf numFmtId="165" fontId="0" fillId="5" borderId="0" xfId="0" applyNumberFormat="1" applyFill="1" applyAlignment="1">
      <alignment wrapText="1"/>
    </xf>
    <xf numFmtId="14" fontId="0" fillId="6" borderId="0" xfId="0" applyNumberFormat="1" applyFill="1" applyAlignment="1">
      <alignment wrapText="1"/>
    </xf>
    <xf numFmtId="165" fontId="0" fillId="6" borderId="0" xfId="0" applyNumberFormat="1" applyFill="1" applyAlignment="1">
      <alignment wrapText="1"/>
    </xf>
    <xf numFmtId="0" fontId="0" fillId="6" borderId="65" xfId="0" applyFill="1" applyBorder="1" applyAlignment="1">
      <alignment horizontal="left" vertical="center" wrapText="1"/>
    </xf>
    <xf numFmtId="0" fontId="0" fillId="6" borderId="65" xfId="0" applyFill="1" applyBorder="1" applyAlignment="1">
      <alignment vertical="center" wrapText="1"/>
    </xf>
    <xf numFmtId="14" fontId="0" fillId="6" borderId="65" xfId="0" applyNumberFormat="1" applyFill="1" applyBorder="1" applyAlignment="1">
      <alignment horizontal="center" vertical="center" wrapText="1"/>
    </xf>
    <xf numFmtId="14" fontId="0" fillId="6" borderId="65" xfId="0" applyNumberFormat="1" applyFill="1" applyBorder="1" applyAlignment="1">
      <alignment vertical="center" wrapText="1"/>
    </xf>
    <xf numFmtId="165" fontId="0" fillId="6" borderId="65" xfId="0" applyNumberFormat="1" applyFill="1" applyBorder="1" applyAlignment="1">
      <alignment vertical="center" wrapText="1"/>
    </xf>
    <xf numFmtId="167" fontId="0" fillId="6" borderId="65" xfId="0" applyNumberFormat="1" applyFill="1" applyBorder="1" applyAlignment="1">
      <alignment horizontal="right" vertical="center" wrapText="1"/>
    </xf>
    <xf numFmtId="14" fontId="0" fillId="9" borderId="65" xfId="0" applyNumberFormat="1" applyFill="1" applyBorder="1" applyAlignment="1">
      <alignment horizontal="center" vertical="center" wrapText="1"/>
    </xf>
    <xf numFmtId="14" fontId="0" fillId="9" borderId="65" xfId="0" applyNumberFormat="1" applyFill="1" applyBorder="1" applyAlignment="1">
      <alignment vertical="center" wrapText="1"/>
    </xf>
    <xf numFmtId="0" fontId="0" fillId="9" borderId="65" xfId="0" applyFill="1" applyBorder="1" applyAlignment="1">
      <alignment vertical="center" wrapText="1"/>
    </xf>
    <xf numFmtId="165" fontId="0" fillId="9" borderId="65" xfId="0" applyNumberFormat="1" applyFill="1" applyBorder="1" applyAlignment="1">
      <alignment vertical="center" wrapText="1"/>
    </xf>
    <xf numFmtId="167" fontId="0" fillId="9" borderId="65" xfId="0" applyNumberFormat="1" applyFill="1" applyBorder="1" applyAlignment="1">
      <alignment horizontal="right" vertical="center" wrapText="1"/>
    </xf>
    <xf numFmtId="14" fontId="0" fillId="10" borderId="65" xfId="0" applyNumberFormat="1" applyFill="1" applyBorder="1" applyAlignment="1">
      <alignment horizontal="center" vertical="center" wrapText="1"/>
    </xf>
    <xf numFmtId="14" fontId="0" fillId="10" borderId="65" xfId="0" applyNumberFormat="1" applyFill="1" applyBorder="1" applyAlignment="1">
      <alignment vertical="center" wrapText="1"/>
    </xf>
    <xf numFmtId="0" fontId="0" fillId="10" borderId="65" xfId="0" applyFill="1" applyBorder="1" applyAlignment="1">
      <alignment vertical="center" wrapText="1"/>
    </xf>
    <xf numFmtId="165" fontId="0" fillId="10" borderId="65" xfId="0" applyNumberFormat="1" applyFill="1" applyBorder="1" applyAlignment="1">
      <alignment vertical="center" wrapText="1"/>
    </xf>
    <xf numFmtId="167" fontId="0" fillId="10" borderId="65" xfId="0" applyNumberFormat="1" applyFill="1" applyBorder="1" applyAlignment="1">
      <alignment horizontal="right" vertical="center" wrapText="1"/>
    </xf>
    <xf numFmtId="0" fontId="0" fillId="6" borderId="65" xfId="0" applyFill="1" applyBorder="1" applyAlignment="1">
      <alignment horizontal="left"/>
    </xf>
    <xf numFmtId="0" fontId="0" fillId="6" borderId="65" xfId="0" applyFill="1" applyBorder="1"/>
    <xf numFmtId="14" fontId="7" fillId="10" borderId="65" xfId="0" applyNumberFormat="1" applyFont="1" applyFill="1" applyBorder="1" applyAlignment="1">
      <alignment horizontal="center" vertical="center"/>
    </xf>
    <xf numFmtId="14" fontId="7" fillId="10" borderId="65" xfId="0" applyNumberFormat="1" applyFont="1" applyFill="1" applyBorder="1" applyAlignment="1">
      <alignment vertical="center"/>
    </xf>
    <xf numFmtId="0" fontId="7" fillId="10" borderId="65" xfId="0" applyFont="1" applyFill="1" applyBorder="1" applyAlignment="1">
      <alignment vertical="center"/>
    </xf>
    <xf numFmtId="165" fontId="7" fillId="10" borderId="65" xfId="0" applyNumberFormat="1" applyFont="1" applyFill="1" applyBorder="1" applyAlignment="1">
      <alignment vertical="center"/>
    </xf>
    <xf numFmtId="167" fontId="7" fillId="10" borderId="65" xfId="0" applyNumberFormat="1" applyFont="1" applyFill="1" applyBorder="1" applyAlignment="1">
      <alignment horizontal="right" vertical="center"/>
    </xf>
    <xf numFmtId="14" fontId="0" fillId="6" borderId="65" xfId="0" applyNumberFormat="1" applyFill="1" applyBorder="1" applyAlignment="1">
      <alignment horizontal="center"/>
    </xf>
    <xf numFmtId="0" fontId="0" fillId="5" borderId="64" xfId="0" applyFill="1" applyBorder="1" applyAlignment="1">
      <alignment horizontal="left" vertical="center" wrapText="1"/>
    </xf>
    <xf numFmtId="0" fontId="0" fillId="5" borderId="64" xfId="0" applyFill="1" applyBorder="1" applyAlignment="1">
      <alignment vertical="center" wrapText="1"/>
    </xf>
    <xf numFmtId="14" fontId="0" fillId="5" borderId="64" xfId="0" applyNumberFormat="1" applyFill="1" applyBorder="1" applyAlignment="1">
      <alignment horizontal="center" vertical="center" wrapText="1"/>
    </xf>
    <xf numFmtId="14" fontId="0" fillId="5" borderId="64" xfId="0" applyNumberFormat="1" applyFill="1" applyBorder="1" applyAlignment="1">
      <alignment vertical="center" wrapText="1"/>
    </xf>
    <xf numFmtId="165" fontId="0" fillId="5" borderId="64" xfId="0" applyNumberFormat="1" applyFill="1" applyBorder="1" applyAlignment="1">
      <alignment vertical="center" wrapText="1"/>
    </xf>
    <xf numFmtId="167" fontId="0" fillId="5" borderId="64" xfId="0" applyNumberFormat="1" applyFill="1" applyBorder="1" applyAlignment="1">
      <alignment horizontal="right" vertical="center" wrapText="1"/>
    </xf>
    <xf numFmtId="0" fontId="0" fillId="5" borderId="82" xfId="0" applyFill="1" applyBorder="1" applyAlignment="1">
      <alignment horizontal="left"/>
    </xf>
    <xf numFmtId="0" fontId="0" fillId="5" borderId="82" xfId="0" applyFill="1" applyBorder="1"/>
    <xf numFmtId="14" fontId="7" fillId="9" borderId="82" xfId="0" applyNumberFormat="1" applyFont="1" applyFill="1" applyBorder="1" applyAlignment="1">
      <alignment horizontal="center" vertical="center"/>
    </xf>
    <xf numFmtId="14" fontId="7" fillId="9" borderId="82" xfId="0" applyNumberFormat="1" applyFont="1" applyFill="1" applyBorder="1" applyAlignment="1">
      <alignment vertical="center"/>
    </xf>
    <xf numFmtId="0" fontId="7" fillId="9" borderId="82" xfId="0" applyFont="1" applyFill="1" applyBorder="1" applyAlignment="1">
      <alignment vertical="center"/>
    </xf>
    <xf numFmtId="165" fontId="7" fillId="9" borderId="82" xfId="0" applyNumberFormat="1" applyFont="1" applyFill="1" applyBorder="1" applyAlignment="1">
      <alignment vertical="center"/>
    </xf>
    <xf numFmtId="167" fontId="7" fillId="9" borderId="82" xfId="0" applyNumberFormat="1" applyFont="1" applyFill="1" applyBorder="1" applyAlignment="1">
      <alignment vertical="center"/>
    </xf>
    <xf numFmtId="14" fontId="0" fillId="5" borderId="82" xfId="0" applyNumberFormat="1" applyFill="1" applyBorder="1" applyAlignment="1">
      <alignment horizontal="center"/>
    </xf>
    <xf numFmtId="0" fontId="0" fillId="5" borderId="63" xfId="0" applyFill="1" applyBorder="1" applyAlignment="1">
      <alignment horizontal="left" vertical="center" wrapText="1"/>
    </xf>
    <xf numFmtId="0" fontId="0" fillId="6" borderId="72" xfId="0" applyFill="1" applyBorder="1" applyAlignment="1">
      <alignment horizontal="left" vertical="center" wrapText="1"/>
    </xf>
    <xf numFmtId="0" fontId="0" fillId="6" borderId="72" xfId="0" applyFill="1" applyBorder="1" applyAlignment="1">
      <alignment horizontal="left"/>
    </xf>
    <xf numFmtId="0" fontId="0" fillId="5" borderId="83" xfId="0" applyFill="1" applyBorder="1" applyAlignment="1">
      <alignment horizontal="left"/>
    </xf>
    <xf numFmtId="165" fontId="0" fillId="5" borderId="70" xfId="0" applyNumberFormat="1" applyFill="1" applyBorder="1" applyAlignment="1">
      <alignment vertical="center" wrapText="1"/>
    </xf>
    <xf numFmtId="165" fontId="0" fillId="3" borderId="71" xfId="0" applyNumberFormat="1" applyFill="1" applyBorder="1" applyAlignment="1">
      <alignment vertical="center" wrapText="1"/>
    </xf>
    <xf numFmtId="165" fontId="0" fillId="2" borderId="71" xfId="0" applyNumberFormat="1" applyFill="1" applyBorder="1" applyAlignment="1">
      <alignment vertical="center" wrapText="1"/>
    </xf>
    <xf numFmtId="165" fontId="0" fillId="3" borderId="71" xfId="0" applyNumberFormat="1" applyFill="1" applyBorder="1" applyAlignment="1">
      <alignment vertical="center"/>
    </xf>
    <xf numFmtId="165" fontId="0" fillId="5" borderId="84" xfId="0" applyNumberFormat="1" applyFill="1" applyBorder="1" applyAlignment="1">
      <alignment vertical="center"/>
    </xf>
    <xf numFmtId="0" fontId="0" fillId="5" borderId="63" xfId="0" applyFill="1" applyBorder="1" applyAlignment="1">
      <alignment horizontal="left"/>
    </xf>
    <xf numFmtId="0" fontId="0" fillId="5" borderId="64" xfId="0" applyFill="1" applyBorder="1" applyAlignment="1">
      <alignment horizontal="left"/>
    </xf>
    <xf numFmtId="0" fontId="0" fillId="5" borderId="64" xfId="0" applyFill="1" applyBorder="1"/>
    <xf numFmtId="14" fontId="7" fillId="9" borderId="64" xfId="0" applyNumberFormat="1" applyFont="1" applyFill="1" applyBorder="1" applyAlignment="1">
      <alignment horizontal="center" vertical="center"/>
    </xf>
    <xf numFmtId="14" fontId="7" fillId="9" borderId="64" xfId="0" applyNumberFormat="1" applyFont="1" applyFill="1" applyBorder="1" applyAlignment="1">
      <alignment vertical="center"/>
    </xf>
    <xf numFmtId="0" fontId="7" fillId="9" borderId="64" xfId="0" applyFont="1" applyFill="1" applyBorder="1" applyAlignment="1">
      <alignment vertical="center"/>
    </xf>
    <xf numFmtId="165" fontId="7" fillId="9" borderId="64" xfId="0" applyNumberFormat="1" applyFont="1" applyFill="1" applyBorder="1" applyAlignment="1">
      <alignment vertical="center"/>
    </xf>
    <xf numFmtId="167" fontId="7" fillId="9" borderId="64" xfId="0" applyNumberFormat="1" applyFont="1" applyFill="1" applyBorder="1" applyAlignment="1">
      <alignment horizontal="right" vertical="center"/>
    </xf>
    <xf numFmtId="14" fontId="0" fillId="5" borderId="64" xfId="0" applyNumberFormat="1" applyFill="1" applyBorder="1" applyAlignment="1">
      <alignment horizontal="center"/>
    </xf>
    <xf numFmtId="165" fontId="0" fillId="5" borderId="70" xfId="0" applyNumberFormat="1" applyFill="1" applyBorder="1" applyAlignment="1">
      <alignment vertical="center"/>
    </xf>
    <xf numFmtId="0" fontId="7" fillId="13" borderId="65" xfId="0" applyFont="1" applyFill="1" applyBorder="1" applyAlignment="1" applyProtection="1">
      <alignment horizontal="left" vertical="center" wrapText="1"/>
      <protection locked="0"/>
    </xf>
    <xf numFmtId="0" fontId="11" fillId="4" borderId="1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49" fontId="26" fillId="7" borderId="61" xfId="0" applyNumberFormat="1" applyFont="1" applyFill="1" applyBorder="1" applyAlignment="1">
      <alignment horizontal="center" vertical="center" wrapText="1"/>
    </xf>
    <xf numFmtId="0" fontId="26" fillId="7" borderId="6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18" fillId="4" borderId="8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 applyProtection="1">
      <alignment horizontal="center" vertical="center"/>
      <protection locked="0"/>
    </xf>
    <xf numFmtId="0" fontId="18" fillId="4" borderId="2" xfId="0" applyFont="1" applyFill="1" applyBorder="1" applyAlignment="1" applyProtection="1">
      <alignment horizontal="center" vertical="center"/>
      <protection locked="0"/>
    </xf>
    <xf numFmtId="0" fontId="18" fillId="4" borderId="8" xfId="0" applyFont="1" applyFill="1" applyBorder="1" applyAlignment="1" applyProtection="1">
      <alignment horizontal="center" vertical="center"/>
      <protection locked="0"/>
    </xf>
    <xf numFmtId="0" fontId="11" fillId="4" borderId="8" xfId="0" applyFont="1" applyFill="1" applyBorder="1" applyAlignment="1">
      <alignment horizontal="center" vertical="center" wrapText="1"/>
    </xf>
    <xf numFmtId="49" fontId="26" fillId="0" borderId="61" xfId="0" applyNumberFormat="1" applyFont="1" applyBorder="1" applyAlignment="1">
      <alignment horizontal="center" vertical="center" wrapText="1"/>
    </xf>
    <xf numFmtId="0" fontId="26" fillId="0" borderId="61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4" fillId="12" borderId="62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 wrapText="1"/>
    </xf>
    <xf numFmtId="0" fontId="22" fillId="4" borderId="2" xfId="0" applyFont="1" applyFill="1" applyBorder="1" applyAlignment="1">
      <alignment horizontal="center" vertical="center" wrapText="1"/>
    </xf>
    <xf numFmtId="0" fontId="22" fillId="4" borderId="8" xfId="0" applyFont="1" applyFill="1" applyBorder="1" applyAlignment="1">
      <alignment horizontal="center" vertical="center" wrapText="1"/>
    </xf>
    <xf numFmtId="0" fontId="23" fillId="7" borderId="61" xfId="0" applyFont="1" applyFill="1" applyBorder="1" applyAlignment="1">
      <alignment horizontal="center" vertical="center" wrapText="1"/>
    </xf>
    <xf numFmtId="0" fontId="0" fillId="5" borderId="72" xfId="0" applyFont="1" applyFill="1" applyBorder="1" applyAlignment="1">
      <alignment horizontal="left" vertical="center" wrapText="1"/>
    </xf>
    <xf numFmtId="0" fontId="0" fillId="5" borderId="65" xfId="0" applyFont="1" applyFill="1" applyBorder="1" applyAlignment="1">
      <alignment horizontal="left" vertical="center" wrapText="1"/>
    </xf>
    <xf numFmtId="14" fontId="0" fillId="5" borderId="65" xfId="0" applyNumberFormat="1" applyFont="1" applyFill="1" applyBorder="1" applyAlignment="1">
      <alignment vertical="center" wrapText="1"/>
    </xf>
    <xf numFmtId="14" fontId="0" fillId="5" borderId="65" xfId="0" applyNumberFormat="1" applyFont="1" applyFill="1" applyBorder="1" applyAlignment="1">
      <alignment horizontal="center" vertical="center" wrapText="1"/>
    </xf>
    <xf numFmtId="0" fontId="0" fillId="5" borderId="65" xfId="0" applyFont="1" applyFill="1" applyBorder="1" applyAlignment="1">
      <alignment horizontal="center" vertical="center" wrapText="1"/>
    </xf>
    <xf numFmtId="0" fontId="0" fillId="5" borderId="65" xfId="0" applyFont="1" applyFill="1" applyBorder="1" applyAlignment="1">
      <alignment vertical="center" wrapText="1"/>
    </xf>
    <xf numFmtId="165" fontId="0" fillId="5" borderId="65" xfId="0" applyNumberFormat="1" applyFont="1" applyFill="1" applyBorder="1" applyAlignment="1">
      <alignment vertical="center" wrapText="1"/>
    </xf>
    <xf numFmtId="167" fontId="0" fillId="5" borderId="65" xfId="0" applyNumberFormat="1" applyFont="1" applyFill="1" applyBorder="1" applyAlignment="1">
      <alignment horizontal="right" vertical="center" wrapText="1"/>
    </xf>
    <xf numFmtId="167" fontId="0" fillId="5" borderId="65" xfId="0" applyNumberFormat="1" applyFont="1" applyFill="1" applyBorder="1" applyAlignment="1">
      <alignment vertical="center" wrapText="1"/>
    </xf>
    <xf numFmtId="0" fontId="0" fillId="5" borderId="82" xfId="0" applyFill="1" applyBorder="1" applyAlignment="1">
      <alignment horizontal="left" vertical="center"/>
    </xf>
    <xf numFmtId="14" fontId="0" fillId="5" borderId="82" xfId="0" applyNumberFormat="1" applyFill="1" applyBorder="1" applyAlignment="1">
      <alignment vertical="center"/>
    </xf>
    <xf numFmtId="14" fontId="0" fillId="5" borderId="82" xfId="0" applyNumberFormat="1" applyFill="1" applyBorder="1" applyAlignment="1">
      <alignment horizontal="center" vertical="center"/>
    </xf>
    <xf numFmtId="0" fontId="0" fillId="5" borderId="82" xfId="0" applyFill="1" applyBorder="1" applyAlignment="1">
      <alignment horizontal="center" vertical="center"/>
    </xf>
    <xf numFmtId="0" fontId="7" fillId="5" borderId="82" xfId="0" applyFont="1" applyFill="1" applyBorder="1" applyAlignment="1">
      <alignment vertical="center"/>
    </xf>
    <xf numFmtId="167" fontId="7" fillId="5" borderId="82" xfId="0" applyNumberFormat="1" applyFont="1" applyFill="1" applyBorder="1" applyAlignment="1">
      <alignment vertical="center"/>
    </xf>
    <xf numFmtId="167" fontId="7" fillId="5" borderId="82" xfId="0" applyNumberFormat="1" applyFont="1" applyFill="1" applyBorder="1" applyAlignment="1">
      <alignment horizontal="right" vertical="center"/>
    </xf>
    <xf numFmtId="0" fontId="0" fillId="5" borderId="82" xfId="0" applyFill="1" applyBorder="1" applyAlignment="1">
      <alignment vertical="center"/>
    </xf>
    <xf numFmtId="0" fontId="0" fillId="5" borderId="83" xfId="0" applyFill="1" applyBorder="1" applyAlignment="1">
      <alignment horizontal="left" vertical="center"/>
    </xf>
    <xf numFmtId="0" fontId="0" fillId="0" borderId="84" xfId="0" applyBorder="1" applyAlignment="1">
      <alignment vertical="center"/>
    </xf>
    <xf numFmtId="0" fontId="14" fillId="25" borderId="63" xfId="0" applyFont="1" applyFill="1" applyBorder="1" applyAlignment="1">
      <alignment horizontal="center" vertical="center" wrapText="1"/>
    </xf>
    <xf numFmtId="0" fontId="20" fillId="25" borderId="64" xfId="0" applyFont="1" applyFill="1" applyBorder="1" applyAlignment="1">
      <alignment horizontal="center" vertical="center" wrapText="1"/>
    </xf>
    <xf numFmtId="14" fontId="20" fillId="25" borderId="64" xfId="0" applyNumberFormat="1" applyFont="1" applyFill="1" applyBorder="1" applyAlignment="1">
      <alignment horizontal="center" vertical="center" wrapText="1"/>
    </xf>
    <xf numFmtId="0" fontId="21" fillId="25" borderId="64" xfId="0" applyFont="1" applyFill="1" applyBorder="1" applyAlignment="1">
      <alignment horizontal="center" vertical="center" wrapText="1"/>
    </xf>
    <xf numFmtId="165" fontId="21" fillId="25" borderId="64" xfId="0" applyNumberFormat="1" applyFont="1" applyFill="1" applyBorder="1" applyAlignment="1">
      <alignment horizontal="center" vertical="center" wrapText="1"/>
    </xf>
    <xf numFmtId="0" fontId="20" fillId="25" borderId="70" xfId="0" applyFont="1" applyFill="1" applyBorder="1" applyAlignment="1">
      <alignment horizontal="center" vertical="center" wrapText="1"/>
    </xf>
    <xf numFmtId="167" fontId="0" fillId="5" borderId="65" xfId="0" applyNumberFormat="1" applyFont="1" applyFill="1" applyBorder="1" applyAlignment="1">
      <alignment horizontal="left" vertical="center" wrapText="1"/>
    </xf>
    <xf numFmtId="7" fontId="0" fillId="5" borderId="65" xfId="0" applyNumberFormat="1" applyFont="1" applyFill="1" applyBorder="1" applyAlignment="1">
      <alignment horizontal="right" vertical="center" wrapText="1"/>
    </xf>
    <xf numFmtId="14" fontId="0" fillId="5" borderId="71" xfId="0" applyNumberFormat="1" applyFont="1" applyFill="1" applyBorder="1" applyAlignment="1">
      <alignment horizontal="center" vertical="center" wrapText="1"/>
    </xf>
    <xf numFmtId="14" fontId="0" fillId="5" borderId="17" xfId="0" applyNumberFormat="1" applyFont="1" applyFill="1" applyBorder="1" applyAlignment="1">
      <alignment horizontal="center" vertical="center" wrapText="1"/>
    </xf>
    <xf numFmtId="0" fontId="0" fillId="5" borderId="56" xfId="0" applyFont="1" applyFill="1" applyBorder="1" applyAlignment="1">
      <alignment vertical="center" wrapText="1"/>
    </xf>
    <xf numFmtId="14" fontId="0" fillId="5" borderId="65" xfId="0" applyNumberFormat="1" applyFont="1" applyFill="1" applyBorder="1" applyAlignment="1">
      <alignment horizontal="right" vertical="center" wrapText="1"/>
    </xf>
    <xf numFmtId="14" fontId="0" fillId="5" borderId="73" xfId="0" applyNumberFormat="1" applyFont="1" applyFill="1" applyBorder="1" applyAlignment="1">
      <alignment horizontal="center" vertical="center" wrapText="1"/>
    </xf>
    <xf numFmtId="0" fontId="0" fillId="5" borderId="67" xfId="0" applyFont="1" applyFill="1" applyBorder="1" applyAlignment="1">
      <alignment vertical="center" wrapText="1"/>
    </xf>
    <xf numFmtId="49" fontId="0" fillId="5" borderId="65" xfId="0" applyNumberFormat="1" applyFont="1" applyFill="1" applyBorder="1" applyAlignment="1">
      <alignment horizontal="right" vertical="center" wrapText="1"/>
    </xf>
    <xf numFmtId="14" fontId="0" fillId="5" borderId="77" xfId="0" applyNumberFormat="1" applyFont="1" applyFill="1" applyBorder="1" applyAlignment="1">
      <alignment horizontal="center" vertical="center" wrapText="1"/>
    </xf>
    <xf numFmtId="0" fontId="0" fillId="5" borderId="76" xfId="0" applyFont="1" applyFill="1" applyBorder="1" applyAlignment="1">
      <alignment vertical="center" wrapText="1"/>
    </xf>
    <xf numFmtId="7" fontId="0" fillId="5" borderId="65" xfId="0" applyNumberFormat="1" applyFont="1" applyFill="1" applyBorder="1" applyAlignment="1">
      <alignment vertical="center" wrapText="1"/>
    </xf>
    <xf numFmtId="0" fontId="0" fillId="5" borderId="39" xfId="0" applyFont="1" applyFill="1" applyBorder="1" applyAlignment="1">
      <alignment vertical="center" wrapText="1"/>
    </xf>
    <xf numFmtId="0" fontId="0" fillId="5" borderId="44" xfId="0" applyFont="1" applyFill="1" applyBorder="1" applyAlignment="1">
      <alignment vertical="center" wrapText="1"/>
    </xf>
    <xf numFmtId="14" fontId="0" fillId="5" borderId="38" xfId="0" applyNumberFormat="1" applyFont="1" applyFill="1" applyBorder="1" applyAlignment="1">
      <alignment horizontal="center" vertical="center" wrapText="1"/>
    </xf>
    <xf numFmtId="0" fontId="0" fillId="5" borderId="47" xfId="0" applyFont="1" applyFill="1" applyBorder="1" applyAlignment="1">
      <alignment vertical="center" wrapText="1"/>
    </xf>
    <xf numFmtId="0" fontId="0" fillId="5" borderId="48" xfId="0" applyFont="1" applyFill="1" applyBorder="1" applyAlignment="1">
      <alignment vertical="center" wrapText="1"/>
    </xf>
    <xf numFmtId="14" fontId="0" fillId="5" borderId="33" xfId="0" applyNumberFormat="1" applyFont="1" applyFill="1" applyBorder="1" applyAlignment="1">
      <alignment horizontal="center" vertical="center" wrapText="1"/>
    </xf>
    <xf numFmtId="0" fontId="0" fillId="5" borderId="41" xfId="0" applyFont="1" applyFill="1" applyBorder="1" applyAlignment="1">
      <alignment vertical="center" wrapText="1"/>
    </xf>
    <xf numFmtId="0" fontId="0" fillId="5" borderId="45" xfId="0" applyFont="1" applyFill="1" applyBorder="1" applyAlignment="1">
      <alignment vertical="center" wrapText="1"/>
    </xf>
    <xf numFmtId="14" fontId="0" fillId="5" borderId="34" xfId="0" applyNumberFormat="1" applyFont="1" applyFill="1" applyBorder="1" applyAlignment="1">
      <alignment horizontal="center" vertical="center" wrapText="1"/>
    </xf>
    <xf numFmtId="0" fontId="0" fillId="5" borderId="43" xfId="0" applyFont="1" applyFill="1" applyBorder="1" applyAlignment="1">
      <alignment vertical="center" wrapText="1"/>
    </xf>
    <xf numFmtId="0" fontId="0" fillId="5" borderId="46" xfId="0" applyFont="1" applyFill="1" applyBorder="1" applyAlignment="1">
      <alignment vertical="center" wrapText="1"/>
    </xf>
    <xf numFmtId="0" fontId="0" fillId="5" borderId="42" xfId="0" applyFont="1" applyFill="1" applyBorder="1" applyAlignment="1">
      <alignment vertical="center" wrapText="1"/>
    </xf>
    <xf numFmtId="0" fontId="0" fillId="5" borderId="40" xfId="0" applyFont="1" applyFill="1" applyBorder="1" applyAlignment="1">
      <alignment vertical="center" wrapText="1"/>
    </xf>
    <xf numFmtId="0" fontId="20" fillId="25" borderId="63" xfId="0" applyFont="1" applyFill="1" applyBorder="1" applyAlignment="1">
      <alignment horizontal="center" vertical="center"/>
    </xf>
    <xf numFmtId="0" fontId="20" fillId="25" borderId="64" xfId="0" applyFont="1" applyFill="1" applyBorder="1" applyAlignment="1">
      <alignment horizontal="center" vertical="center"/>
    </xf>
    <xf numFmtId="14" fontId="20" fillId="25" borderId="64" xfId="0" applyNumberFormat="1" applyFont="1" applyFill="1" applyBorder="1" applyAlignment="1">
      <alignment horizontal="center" vertical="center"/>
    </xf>
    <xf numFmtId="164" fontId="20" fillId="25" borderId="64" xfId="0" applyNumberFormat="1" applyFont="1" applyFill="1" applyBorder="1" applyAlignment="1">
      <alignment horizontal="center" vertical="center"/>
    </xf>
    <xf numFmtId="166" fontId="21" fillId="25" borderId="64" xfId="0" applyNumberFormat="1" applyFont="1" applyFill="1" applyBorder="1" applyAlignment="1">
      <alignment horizontal="center" vertical="center" wrapText="1"/>
    </xf>
    <xf numFmtId="14" fontId="21" fillId="25" borderId="64" xfId="0" applyNumberFormat="1" applyFont="1" applyFill="1" applyBorder="1" applyAlignment="1">
      <alignment horizontal="center" vertical="center" wrapText="1"/>
    </xf>
    <xf numFmtId="14" fontId="10" fillId="25" borderId="7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61">
    <dxf>
      <fill>
        <patternFill>
          <bgColor theme="0" tint="-4.9989318521683403E-2"/>
        </patternFill>
      </fill>
    </dxf>
    <dxf>
      <fill>
        <patternFill>
          <bgColor rgb="FFFF7C80"/>
        </patternFill>
      </fill>
    </dxf>
    <dxf>
      <fill>
        <patternFill>
          <bgColor rgb="FF99FF99"/>
        </patternFill>
      </fill>
    </dxf>
    <dxf>
      <fill>
        <patternFill>
          <bgColor theme="0" tint="-4.9989318521683403E-2"/>
        </patternFill>
      </fill>
    </dxf>
    <dxf>
      <fill>
        <patternFill>
          <bgColor rgb="FFFF7C80"/>
        </patternFill>
      </fill>
    </dxf>
    <dxf>
      <fill>
        <patternFill>
          <bgColor rgb="FF99FF99"/>
        </patternFill>
      </fill>
    </dxf>
    <dxf>
      <fill>
        <patternFill>
          <bgColor theme="0" tint="-4.9989318521683403E-2"/>
        </patternFill>
      </fill>
    </dxf>
    <dxf>
      <fill>
        <patternFill>
          <bgColor rgb="FFFF7C80"/>
        </patternFill>
      </fill>
    </dxf>
    <dxf>
      <fill>
        <patternFill>
          <bgColor rgb="FF99FF99"/>
        </patternFill>
      </fill>
    </dxf>
    <dxf>
      <font>
        <b/>
        <i val="0"/>
        <color rgb="FFFF0000"/>
      </font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165" formatCode="#,##0.00\ &quot;€&quot;"/>
      <fill>
        <patternFill>
          <bgColor rgb="FFF2F2F2"/>
        </patternFill>
      </fill>
      <alignment vertical="center" textRotation="0" wrapText="1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2" formatCode="0.00"/>
      <fill>
        <patternFill>
          <bgColor rgb="FFF2F2F2"/>
        </patternFill>
      </fill>
      <alignment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19" formatCode="dd/mm/yyyy"/>
      <fill>
        <patternFill patternType="solid">
          <fgColor theme="4" tint="0.59999389629810485"/>
          <bgColor rgb="FFF2F2F2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.00\ &quot;€&quot;"/>
      <fill>
        <patternFill patternType="solid">
          <fgColor theme="4" tint="0.59999389629810485"/>
          <bgColor rgb="FFFFF2CC"/>
        </patternFill>
      </fill>
      <alignment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rgb="FFFFF2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fill>
        <patternFill patternType="solid">
          <fgColor theme="4" tint="0.79998168889431442"/>
          <bgColor rgb="FFF2F2F2"/>
        </patternFill>
      </fill>
      <alignment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19" formatCode="dd/mm/yyyy"/>
      <fill>
        <patternFill patternType="solid">
          <fgColor theme="4" tint="0.59999389629810485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19" formatCode="dd/mm/yyyy"/>
      <fill>
        <patternFill patternType="solid">
          <fgColor theme="4" tint="0.59999389629810485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fill>
        <patternFill patternType="solid">
          <fgColor theme="4" tint="0.59999389629810485"/>
          <bgColor rgb="FFF2F2F2"/>
        </patternFill>
      </fill>
      <alignment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rgb="FFFFF2CC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rgb="FFFFF2CC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fill>
        <patternFill patternType="solid">
          <fgColor theme="4" tint="0.59999389629810485"/>
          <bgColor rgb="FFF2F2F2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fill>
        <patternFill patternType="solid">
          <fgColor theme="4" tint="0.59999389629810485"/>
          <bgColor rgb="FFF2F2F2"/>
        </patternFill>
      </fill>
      <alignment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rgb="FFFFF2CC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  <protection locked="0" hidden="0"/>
    </dxf>
    <dxf>
      <border outline="0">
        <bottom style="thin">
          <color theme="0"/>
        </bottom>
      </border>
    </dxf>
    <dxf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9" formatCode="dd/mm/yyyy"/>
      <fill>
        <patternFill patternType="solid">
          <fgColor theme="4"/>
          <bgColor theme="0" tint="-0.34998626667073579"/>
        </patternFill>
      </fill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/>
        <color rgb="FFFF0000"/>
      </font>
    </dxf>
    <dxf>
      <fill>
        <patternFill patternType="solid">
          <fgColor indexed="64"/>
          <bgColor rgb="FFFCF2CC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19" formatCode="dd/mm/yyyy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protection locked="1" hidden="0"/>
    </dxf>
    <dxf>
      <numFmt numFmtId="19" formatCode="dd/mm/yyyy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9" formatCode="dd/mm/yyyy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164" formatCode="#,##0\ &quot;€&quot;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165" formatCode="#,##0.00\ &quot;€&quot;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alignment vertical="center" textRotation="0" wrapText="1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646464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alignment horizontal="left" vertical="center" textRotation="0" wrapText="1" indent="0" justifyLastLine="0" shrinkToFit="0" readingOrder="0"/>
      <protection locked="1" hidden="0"/>
    </dxf>
    <dxf>
      <numFmt numFmtId="19" formatCode="dd/mm/yyyy"/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solid">
          <fgColor indexed="64"/>
          <bgColor rgb="FFFFF2CC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  <protection locked="0" hidden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  <protection locked="0" hidden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  <protection locked="0" hidden="0"/>
    </dxf>
    <dxf>
      <fill>
        <patternFill patternType="solid">
          <fgColor indexed="64"/>
          <bgColor rgb="FFFFF2CC"/>
        </patternFill>
      </fill>
      <alignment vertical="center" textRotation="0" wrapText="1" indent="0" justifyLastLine="0" shrinkToFit="0" readingOrder="0"/>
      <protection locked="0" hidden="0"/>
    </dxf>
    <dxf>
      <fill>
        <patternFill patternType="solid">
          <fgColor indexed="64"/>
          <bgColor rgb="FFFFF2CC"/>
        </patternFill>
      </fill>
      <alignment horizontal="left" vertical="center" textRotation="0" wrapText="1" indent="0" justifyLastLine="0" shrinkToFit="0" readingOrder="0"/>
      <protection locked="0" hidden="0"/>
    </dxf>
    <dxf>
      <alignment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protection locked="0" hidden="0"/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0" indent="0" justifyLastLine="0" shrinkToFit="0" readingOrder="0"/>
    </dxf>
    <dxf>
      <fill>
        <patternFill>
          <bgColor rgb="FFFF7C80"/>
        </patternFill>
      </fill>
    </dxf>
    <dxf>
      <fill>
        <patternFill>
          <bgColor rgb="FF99FF99"/>
        </patternFill>
      </fill>
    </dxf>
    <dxf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FFF2CC"/>
      <color rgb="FFFCF2CC"/>
      <color rgb="FFF2F2F2"/>
      <color rgb="FFC6EFCE"/>
      <color rgb="FFFFC7CE"/>
      <color rgb="FFFF5050"/>
      <color rgb="FF66FF66"/>
      <color rgb="FF646464"/>
      <color rgb="FFFF7C8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981075</xdr:colOff>
          <xdr:row>213</xdr:row>
          <xdr:rowOff>57150</xdr:rowOff>
        </xdr:from>
        <xdr:to>
          <xdr:col>1</xdr:col>
          <xdr:colOff>1019175</xdr:colOff>
          <xdr:row>215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A0A98E-BE50-43E8-832D-19462A98C34A}" name="Tableau6" displayName="Tableau6" ref="A1:B1048576" totalsRowShown="0" headerRowDxfId="57">
  <autoFilter ref="A1:B1048576" xr:uid="{EFA0A98E-BE50-43E8-832D-19462A98C34A}"/>
  <tableColumns count="2">
    <tableColumn id="1" xr3:uid="{E4ECE47C-09CA-4C36-98FA-F21827EA63DC}" name="Lot de travaux"/>
    <tableColumn id="2" xr3:uid="{74272FB3-246E-41CA-BC92-AE3193821D36}" name="Entrepris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A46523-B22C-47C8-AA6C-8EAB0E7ABFC3}" name="TMA" displayName="TMA" ref="A11:T220" totalsRowShown="0" headerRowDxfId="52" dataDxfId="51">
  <autoFilter ref="A11:T220" xr:uid="{BCA46523-B22C-47C8-AA6C-8EAB0E7ABFC3}"/>
  <sortState xmlns:xlrd2="http://schemas.microsoft.com/office/spreadsheetml/2017/richdata2" ref="A12:S220">
    <sortCondition ref="B11:B220"/>
  </sortState>
  <tableColumns count="20">
    <tableColumn id="1" xr3:uid="{3E9D4F9D-FAEC-4C77-8F94-1D659318BB73}" name="ID TMA" dataDxfId="50"/>
    <tableColumn id="2" xr3:uid="{DA7444D0-8515-4D6C-AA0B-B55642B4B2E0}" name="Lot" dataDxfId="49"/>
    <tableColumn id="3" xr3:uid="{CAA29F20-1D9D-40AA-9513-74D8260E9ED8}" name="Type" dataDxfId="48">
      <calculatedColumnFormula>IF($B12="","",IFERROR(_xlfn.XLOOKUP(B12,#REF!,#REF!),""))</calculatedColumnFormula>
    </tableColumn>
    <tableColumn id="4" xr3:uid="{71341B37-D6A6-45E1-BBF9-80095F374BEF}" name="Client" dataDxfId="47">
      <calculatedColumnFormula>IF(TMA[[#This Row],[Lot]]="","",IFERROR(_xlfn.XLOOKUP(TMA[[#This Row],[Lot]],#REF!,#REF!),""))</calculatedColumnFormula>
    </tableColumn>
    <tableColumn id="5" xr3:uid="{BAA6B4B3-3F34-4C90-8C8A-BB54A8C43DC4}" name="Localisation" dataDxfId="46"/>
    <tableColumn id="6" xr3:uid="{37F1989D-DA84-4224-9150-C333ED3DEFDE}" name="Description" dataDxfId="45"/>
    <tableColumn id="12" xr3:uid="{43DCA08C-FF19-4CDE-808E-860084AB7F64}" name="Phase" dataDxfId="44"/>
    <tableColumn id="10" xr3:uid="{6C2EB0A4-02C0-4472-A4A5-A0B18D2E29C2}" name="Date demande" dataDxfId="43"/>
    <tableColumn id="15" xr3:uid="{FE2761F7-84B4-43F9-B9AE-C9D1FBFA22E9}" name="Date envoi entreprises" dataDxfId="42"/>
    <tableColumn id="16" xr3:uid="{C886C994-74D6-4CFC-881E-C3EB2BBE86DB}" name="Nb entreprises" dataDxfId="41">
      <calculatedColumnFormula array="1">IF(A12="","",COUNTA(_xlfn.UNIQUE(_xlfn._xlws.FILTER(TMA_Entreprises!G:G,TMA_Entreprises!A:A=A12))))</calculatedColumnFormula>
    </tableColumn>
    <tableColumn id="13" xr3:uid="{A6DBB73C-6F63-49C8-8F0B-9D1F9E970C49}" name="Retour entreprises" dataDxfId="40">
      <calculatedColumnFormula>IF(A12="","",IF(
COUNTIFS(TMA_Entreprises!$A$12:$A$220,A12,TMA_Entreprises!$J$12:$J$220,"Oui")=0,"Non",
IF(
COUNTIFS(TMA_Entreprises!$A$12:$A$220,A12,TMA_Entreprises!$J$12:$J$220,"Oui")=
COUNTIF(TMA_Entreprises!$A$12:$A$220,A12),"Oui",
"Partiel")))</calculatedColumnFormula>
    </tableColumn>
    <tableColumn id="17" xr3:uid="{35D13CBD-65D5-4A19-B133-71C6FE6A9BF2}" name="Montant total TTC entreprises (€)" dataDxfId="39">
      <calculatedColumnFormula>IF(A12="","",SUMIF(TMA_Entreprises!A:A,A12,TMA_Entreprises!L:L))</calculatedColumnFormula>
    </tableColumn>
    <tableColumn id="8" xr3:uid="{E6615C6C-E34D-4CC6-ADEC-93051126EEAD}" name="Priorité" dataDxfId="38"/>
    <tableColumn id="9" xr3:uid="{479856DA-BDE3-46F5-ABBD-E7AD13D60850}" name="Montant total TTC clients (€)" dataDxfId="37">
      <calculatedColumnFormula>IF(L12="","",IF(L12&gt;0,L12*1.3,L12))</calculatedColumnFormula>
    </tableColumn>
    <tableColumn id="18" xr3:uid="{68EDC50F-D299-4602-A882-2A0364D9B11F}" name="Date envoi facture client" dataDxfId="36"/>
    <tableColumn id="19" xr3:uid="{C82C22A9-857C-4BCC-A7B9-F216E9895570}" name="Date retour client" dataDxfId="35"/>
    <tableColumn id="11" xr3:uid="{F88BE673-5FEE-4388-AA77-CECA0D0ABF84}" name="Date limite" dataDxfId="34">
      <calculatedColumnFormula>IF(O12="","",O12+15)</calculatedColumnFormula>
    </tableColumn>
    <tableColumn id="14" xr3:uid="{CC820DBA-8672-4627-A05F-3FE1CE4B6106}" name="Retard" dataDxfId="33">
      <calculatedColumnFormula>IF(A12="","",IF(AND(Q12&lt;TODAY(),P12=""),"Oui","Non"))</calculatedColumnFormula>
    </tableColumn>
    <tableColumn id="7" xr3:uid="{61AC46CF-B49B-4B5C-ABAC-D03B52365593}" name="Statut" dataDxfId="32">
      <calculatedColumnFormula>IF(A12="","",IF(P12&lt;&gt;"","Validé",IF(O12="NON","Refusé",IF(K12="Oui","Chiffré",IF(AND(I12&lt;&gt;"",K12&lt;&gt;"Oui"),"Étude",IF(AND(H12&lt;&gt;"",I12=""),"Demande",""))))))</calculatedColumnFormula>
    </tableColumn>
    <tableColumn id="20" xr3:uid="{3B87A0B8-47D8-4709-9049-B1EED0A327B5}" name="Commentaire" dataDxfId="3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E8BFCB-4780-4710-A3A6-FAFF86AFD8A7}" name="Tableau2" displayName="Tableau2" ref="A11:O220" totalsRowShown="0" headerRowDxfId="27" dataDxfId="26" tableBorderDxfId="25">
  <autoFilter ref="A11:O220" xr:uid="{8EE8BFCB-4780-4710-A3A6-FAFF86AFD8A7}"/>
  <tableColumns count="15">
    <tableColumn id="1" xr3:uid="{1540D1A1-E449-4DFD-A9A9-772F8DA76523}" name="ID TMA" dataDxfId="24"/>
    <tableColumn id="2" xr3:uid="{F32EC783-17E7-4C79-ADA3-D0017990BEA8}" name="Lot" dataDxfId="23"/>
    <tableColumn id="3" xr3:uid="{66E7901A-95C7-4110-AE67-622001BE0F05}" name="Localisation" dataDxfId="22"/>
    <tableColumn id="4" xr3:uid="{C55386FF-75DE-4FBD-B819-8F3EF2C7EAD1}" name="Désignation" dataDxfId="21"/>
    <tableColumn id="5" xr3:uid="{92541FF7-B566-43B8-BDAE-411A8161FBDA}" name="Statut" dataDxfId="20">
      <calculatedColumnFormula>IF(N12="Refusé","Refusé",
IF(N12="Validé","Validé",
IF(K12&lt;&gt;"","Reçu",
IF(H12&lt;&gt;"","A chiffrer",""))))</calculatedColumnFormula>
    </tableColumn>
    <tableColumn id="6" xr3:uid="{0EAA6FD6-B8A0-4B89-BDD0-DACFA6F122D5}" name="Lot de travaux" dataDxfId="19"/>
    <tableColumn id="7" xr3:uid="{0B9A7A40-0F73-4016-9FE4-D497536C0306}" name="Entreprise" dataDxfId="18"/>
    <tableColumn id="8" xr3:uid="{05649EB3-6CCF-4167-931B-C4D740CE1431}" name="Date envoi entreprise" dataDxfId="17">
      <calculatedColumnFormula>IF(A12="","",IFERROR(IF(_xlfn.XLOOKUP(A12,Suivi_TMA!A:A,Suivi_TMA!I:I)="","",_xlfn.XLOOKUP(A12,Suivi_TMA!A:A,Suivi_TMA!I:I)),""))</calculatedColumnFormula>
    </tableColumn>
    <tableColumn id="9" xr3:uid="{B820A777-A6B5-4BAB-A57A-65EA8392CC38}" name="Date limite retour (10 jours)" dataDxfId="16"/>
    <tableColumn id="10" xr3:uid="{C1D2DF30-14F8-4474-89B4-301C3B5EC217}" name="Réponse" dataDxfId="15">
      <calculatedColumnFormula>IF($A12="","",IF($K12="","Non","Oui"))</calculatedColumnFormula>
    </tableColumn>
    <tableColumn id="11" xr3:uid="{DB8A7594-7929-4B35-8D08-E3DF974BCF41}" name="Date retour" dataDxfId="14"/>
    <tableColumn id="12" xr3:uid="{4C79D96D-4AC0-4F6A-BD01-75C68FDCC764}" name="Montant TTC (€)" dataDxfId="13"/>
    <tableColumn id="13" xr3:uid="{AD158647-617E-4FCD-AE0E-7993CE0017EA}" name="Retard" dataDxfId="12"/>
    <tableColumn id="14" xr3:uid="{7DF84FE3-6F29-45B5-B115-CE4F1010487C}" name="STATUT_GLOBAL" dataDxfId="11">
      <calculatedColumnFormula>_xlfn.LET(_xlpm.x,_xlfn.XLOOKUP(A12,Suivi_TMA!A:A,Suivi_TMA!S:S,""),IF(OR(_xlpm.x="",_xlpm.x=0),"",_xlpm.x))</calculatedColumnFormula>
    </tableColumn>
    <tableColumn id="16" xr3:uid="{DF562C3D-B594-4B6B-ACBD-00B70AA27DE6}" name="MONTANT_VALIDE" dataDxfId="10">
      <calculatedColumnFormula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283287-51CA-41FF-AC27-0754F4B98A42}" name="Tableau7" displayName="Tableau7" ref="A1:B1048576" totalsRowShown="0">
  <autoFilter ref="A1:B1048576" xr:uid="{31283287-51CA-41FF-AC27-0754F4B98A42}"/>
  <tableColumns count="2">
    <tableColumn id="1" xr3:uid="{0B40C75A-C4B3-4F25-B55C-A9A886325045}" name="Localisation"/>
    <tableColumn id="2" xr3:uid="{50B9FA6D-974F-41DF-9510-1C9A6F61573F}" name="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1">
    <tabColor theme="8" tint="0.59999389629810485"/>
  </sheetPr>
  <dimension ref="A1:D1014"/>
  <sheetViews>
    <sheetView workbookViewId="0">
      <selection activeCell="L14" sqref="L14"/>
    </sheetView>
  </sheetViews>
  <sheetFormatPr baseColWidth="10" defaultColWidth="9.06640625" defaultRowHeight="14.25" x14ac:dyDescent="0.45"/>
  <cols>
    <col min="1" max="1" width="31.06640625" customWidth="1"/>
    <col min="2" max="2" width="18.796875" customWidth="1"/>
    <col min="4" max="4" width="14.6640625" customWidth="1"/>
  </cols>
  <sheetData>
    <row r="1" spans="1:4" ht="27" customHeight="1" x14ac:dyDescent="0.45">
      <c r="A1" s="154" t="s">
        <v>30</v>
      </c>
      <c r="B1" s="154" t="s">
        <v>31</v>
      </c>
    </row>
    <row r="2" spans="1:4" s="169" customFormat="1" ht="20" customHeight="1" x14ac:dyDescent="0.45">
      <c r="A2" s="172" t="s">
        <v>39</v>
      </c>
      <c r="B2" s="172" t="s">
        <v>193</v>
      </c>
      <c r="D2" s="79" t="s">
        <v>157</v>
      </c>
    </row>
    <row r="3" spans="1:4" s="169" customFormat="1" ht="20" customHeight="1" x14ac:dyDescent="0.45">
      <c r="A3" s="172" t="s">
        <v>40</v>
      </c>
      <c r="B3" s="172" t="s">
        <v>194</v>
      </c>
      <c r="D3" s="153" t="s">
        <v>158</v>
      </c>
    </row>
    <row r="4" spans="1:4" s="169" customFormat="1" ht="20" customHeight="1" x14ac:dyDescent="0.45">
      <c r="A4" s="172" t="s">
        <v>41</v>
      </c>
      <c r="B4" s="172" t="s">
        <v>195</v>
      </c>
    </row>
    <row r="5" spans="1:4" s="169" customFormat="1" ht="20" customHeight="1" x14ac:dyDescent="0.45">
      <c r="A5" s="172" t="s">
        <v>42</v>
      </c>
      <c r="B5" s="172" t="s">
        <v>196</v>
      </c>
    </row>
    <row r="6" spans="1:4" s="169" customFormat="1" ht="20" customHeight="1" x14ac:dyDescent="0.45">
      <c r="A6" s="172" t="s">
        <v>43</v>
      </c>
      <c r="B6" s="172" t="s">
        <v>197</v>
      </c>
    </row>
    <row r="7" spans="1:4" s="169" customFormat="1" ht="20" customHeight="1" x14ac:dyDescent="0.45">
      <c r="A7" s="172" t="s">
        <v>45</v>
      </c>
      <c r="B7" s="172" t="s">
        <v>198</v>
      </c>
    </row>
    <row r="8" spans="1:4" s="169" customFormat="1" ht="20" customHeight="1" x14ac:dyDescent="0.45">
      <c r="A8" s="172" t="s">
        <v>46</v>
      </c>
      <c r="B8" s="172" t="s">
        <v>199</v>
      </c>
    </row>
    <row r="9" spans="1:4" s="169" customFormat="1" ht="20" customHeight="1" x14ac:dyDescent="0.45">
      <c r="A9" s="172" t="s">
        <v>47</v>
      </c>
      <c r="B9" s="172" t="s">
        <v>200</v>
      </c>
    </row>
    <row r="10" spans="1:4" s="169" customFormat="1" ht="20" customHeight="1" x14ac:dyDescent="0.45">
      <c r="A10" s="172" t="s">
        <v>48</v>
      </c>
      <c r="B10" s="172" t="s">
        <v>201</v>
      </c>
    </row>
    <row r="11" spans="1:4" s="169" customFormat="1" ht="20" customHeight="1" x14ac:dyDescent="0.45">
      <c r="A11" s="172" t="s">
        <v>36</v>
      </c>
      <c r="B11" s="172" t="s">
        <v>202</v>
      </c>
    </row>
    <row r="12" spans="1:4" s="169" customFormat="1" ht="20" customHeight="1" x14ac:dyDescent="0.45">
      <c r="A12" s="172" t="s">
        <v>37</v>
      </c>
      <c r="B12" s="172" t="s">
        <v>202</v>
      </c>
    </row>
    <row r="13" spans="1:4" s="169" customFormat="1" ht="20" customHeight="1" x14ac:dyDescent="0.45">
      <c r="A13" s="172" t="s">
        <v>38</v>
      </c>
      <c r="B13" s="172" t="s">
        <v>203</v>
      </c>
    </row>
    <row r="14" spans="1:4" s="169" customFormat="1" ht="20" customHeight="1" x14ac:dyDescent="0.45">
      <c r="A14" s="172" t="s">
        <v>49</v>
      </c>
      <c r="B14" s="172" t="s">
        <v>44</v>
      </c>
    </row>
    <row r="15" spans="1:4" s="169" customFormat="1" ht="20" customHeight="1" x14ac:dyDescent="0.45">
      <c r="A15" s="172" t="s">
        <v>50</v>
      </c>
      <c r="B15" s="172" t="s">
        <v>204</v>
      </c>
    </row>
    <row r="16" spans="1:4" s="169" customFormat="1" ht="20" customHeight="1" x14ac:dyDescent="0.45">
      <c r="A16" s="172" t="s">
        <v>51</v>
      </c>
      <c r="B16" s="172" t="s">
        <v>205</v>
      </c>
    </row>
    <row r="17" spans="1:2" s="169" customFormat="1" ht="20" customHeight="1" x14ac:dyDescent="0.45">
      <c r="A17" s="172"/>
      <c r="B17" s="172"/>
    </row>
    <row r="18" spans="1:2" s="169" customFormat="1" ht="20" customHeight="1" x14ac:dyDescent="0.45">
      <c r="A18" s="172"/>
      <c r="B18" s="172"/>
    </row>
    <row r="19" spans="1:2" s="169" customFormat="1" ht="20" customHeight="1" x14ac:dyDescent="0.45">
      <c r="A19" s="172"/>
      <c r="B19" s="172"/>
    </row>
    <row r="20" spans="1:2" s="169" customFormat="1" ht="20" customHeight="1" x14ac:dyDescent="0.45">
      <c r="A20" s="172"/>
      <c r="B20" s="172"/>
    </row>
    <row r="21" spans="1:2" s="169" customFormat="1" ht="20" customHeight="1" x14ac:dyDescent="0.45">
      <c r="A21" s="172"/>
      <c r="B21" s="172"/>
    </row>
    <row r="22" spans="1:2" s="169" customFormat="1" ht="20" customHeight="1" x14ac:dyDescent="0.45">
      <c r="A22" s="172"/>
      <c r="B22" s="172"/>
    </row>
    <row r="23" spans="1:2" s="169" customFormat="1" ht="20" customHeight="1" x14ac:dyDescent="0.45">
      <c r="A23" s="172"/>
      <c r="B23" s="172"/>
    </row>
    <row r="24" spans="1:2" s="169" customFormat="1" ht="20" customHeight="1" x14ac:dyDescent="0.45">
      <c r="A24" s="172"/>
      <c r="B24" s="172"/>
    </row>
    <row r="25" spans="1:2" s="169" customFormat="1" ht="20" customHeight="1" x14ac:dyDescent="0.45">
      <c r="A25" s="172"/>
      <c r="B25" s="172"/>
    </row>
    <row r="26" spans="1:2" s="169" customFormat="1" ht="20" customHeight="1" x14ac:dyDescent="0.45">
      <c r="A26" s="172"/>
      <c r="B26" s="172"/>
    </row>
    <row r="27" spans="1:2" s="169" customFormat="1" ht="20" customHeight="1" x14ac:dyDescent="0.45">
      <c r="A27" s="172"/>
      <c r="B27" s="172"/>
    </row>
    <row r="28" spans="1:2" s="169" customFormat="1" ht="20" customHeight="1" x14ac:dyDescent="0.45">
      <c r="A28" s="172"/>
      <c r="B28" s="172"/>
    </row>
    <row r="29" spans="1:2" s="169" customFormat="1" ht="20" customHeight="1" x14ac:dyDescent="0.45">
      <c r="A29" s="172"/>
      <c r="B29" s="172"/>
    </row>
    <row r="30" spans="1:2" s="169" customFormat="1" ht="20" customHeight="1" x14ac:dyDescent="0.45">
      <c r="A30" s="172"/>
      <c r="B30" s="172"/>
    </row>
    <row r="31" spans="1:2" s="169" customFormat="1" ht="20" customHeight="1" x14ac:dyDescent="0.45">
      <c r="A31" s="172"/>
      <c r="B31" s="172"/>
    </row>
    <row r="32" spans="1:2" s="169" customFormat="1" ht="20" customHeight="1" x14ac:dyDescent="0.45">
      <c r="A32" s="172"/>
      <c r="B32" s="172"/>
    </row>
    <row r="33" spans="1:2" s="169" customFormat="1" ht="20" customHeight="1" x14ac:dyDescent="0.45">
      <c r="A33" s="172"/>
      <c r="B33" s="172"/>
    </row>
    <row r="34" spans="1:2" s="169" customFormat="1" ht="20" customHeight="1" x14ac:dyDescent="0.45">
      <c r="A34" s="172"/>
      <c r="B34" s="172"/>
    </row>
    <row r="35" spans="1:2" s="169" customFormat="1" ht="20" customHeight="1" x14ac:dyDescent="0.45">
      <c r="A35" s="172"/>
      <c r="B35" s="172"/>
    </row>
    <row r="36" spans="1:2" s="169" customFormat="1" ht="20" customHeight="1" x14ac:dyDescent="0.45">
      <c r="A36" s="172"/>
      <c r="B36" s="172"/>
    </row>
    <row r="37" spans="1:2" s="169" customFormat="1" ht="20" customHeight="1" x14ac:dyDescent="0.45">
      <c r="A37" s="172"/>
      <c r="B37" s="172"/>
    </row>
    <row r="38" spans="1:2" s="169" customFormat="1" ht="20" customHeight="1" x14ac:dyDescent="0.45">
      <c r="A38" s="172"/>
      <c r="B38" s="172"/>
    </row>
    <row r="39" spans="1:2" s="169" customFormat="1" ht="20" customHeight="1" x14ac:dyDescent="0.45">
      <c r="A39" s="172"/>
      <c r="B39" s="172"/>
    </row>
    <row r="40" spans="1:2" s="169" customFormat="1" ht="20" customHeight="1" x14ac:dyDescent="0.45">
      <c r="A40" s="172"/>
      <c r="B40" s="172"/>
    </row>
    <row r="41" spans="1:2" s="169" customFormat="1" ht="20" customHeight="1" x14ac:dyDescent="0.45">
      <c r="A41" s="172"/>
      <c r="B41" s="172"/>
    </row>
    <row r="42" spans="1:2" s="169" customFormat="1" ht="20" customHeight="1" x14ac:dyDescent="0.45">
      <c r="A42" s="172"/>
      <c r="B42" s="172"/>
    </row>
    <row r="43" spans="1:2" s="169" customFormat="1" ht="20" customHeight="1" x14ac:dyDescent="0.45">
      <c r="A43" s="172"/>
      <c r="B43" s="172"/>
    </row>
    <row r="44" spans="1:2" s="169" customFormat="1" ht="20" customHeight="1" x14ac:dyDescent="0.45">
      <c r="A44" s="172"/>
      <c r="B44" s="172"/>
    </row>
    <row r="45" spans="1:2" s="169" customFormat="1" ht="20" customHeight="1" x14ac:dyDescent="0.45">
      <c r="A45" s="172"/>
      <c r="B45" s="172"/>
    </row>
    <row r="46" spans="1:2" s="169" customFormat="1" ht="20" customHeight="1" x14ac:dyDescent="0.45">
      <c r="A46" s="172"/>
      <c r="B46" s="172"/>
    </row>
    <row r="47" spans="1:2" s="169" customFormat="1" ht="20" customHeight="1" x14ac:dyDescent="0.45">
      <c r="A47" s="172"/>
      <c r="B47" s="172"/>
    </row>
    <row r="48" spans="1:2" s="169" customFormat="1" ht="20" customHeight="1" x14ac:dyDescent="0.45">
      <c r="A48" s="172"/>
      <c r="B48" s="172"/>
    </row>
    <row r="49" spans="1:2" s="169" customFormat="1" ht="20" customHeight="1" x14ac:dyDescent="0.45">
      <c r="A49" s="172"/>
      <c r="B49" s="172"/>
    </row>
    <row r="50" spans="1:2" s="169" customFormat="1" ht="20" customHeight="1" x14ac:dyDescent="0.45">
      <c r="A50" s="172"/>
      <c r="B50" s="172"/>
    </row>
    <row r="51" spans="1:2" s="169" customFormat="1" ht="20" customHeight="1" x14ac:dyDescent="0.45">
      <c r="A51" s="172"/>
      <c r="B51" s="172"/>
    </row>
    <row r="52" spans="1:2" s="169" customFormat="1" ht="20" customHeight="1" x14ac:dyDescent="0.45">
      <c r="A52" s="172"/>
      <c r="B52" s="172"/>
    </row>
    <row r="53" spans="1:2" s="169" customFormat="1" ht="20" customHeight="1" x14ac:dyDescent="0.45">
      <c r="A53" s="172"/>
      <c r="B53" s="172"/>
    </row>
    <row r="54" spans="1:2" s="169" customFormat="1" ht="20" customHeight="1" x14ac:dyDescent="0.45">
      <c r="A54" s="172"/>
      <c r="B54" s="172"/>
    </row>
    <row r="55" spans="1:2" s="169" customFormat="1" ht="20" customHeight="1" x14ac:dyDescent="0.45">
      <c r="A55" s="172"/>
      <c r="B55" s="172"/>
    </row>
    <row r="56" spans="1:2" s="169" customFormat="1" ht="20" customHeight="1" x14ac:dyDescent="0.45">
      <c r="A56" s="172"/>
      <c r="B56" s="172"/>
    </row>
    <row r="57" spans="1:2" s="169" customFormat="1" ht="20" customHeight="1" x14ac:dyDescent="0.45">
      <c r="A57" s="172"/>
      <c r="B57" s="172"/>
    </row>
    <row r="58" spans="1:2" s="169" customFormat="1" ht="20" customHeight="1" x14ac:dyDescent="0.45">
      <c r="A58" s="172"/>
      <c r="B58" s="172"/>
    </row>
    <row r="59" spans="1:2" s="169" customFormat="1" ht="20" customHeight="1" x14ac:dyDescent="0.45">
      <c r="A59" s="172"/>
      <c r="B59" s="172"/>
    </row>
    <row r="60" spans="1:2" s="169" customFormat="1" ht="20" customHeight="1" x14ac:dyDescent="0.45">
      <c r="A60" s="172"/>
      <c r="B60" s="172"/>
    </row>
    <row r="61" spans="1:2" s="169" customFormat="1" ht="20" customHeight="1" x14ac:dyDescent="0.45">
      <c r="A61" s="172"/>
      <c r="B61" s="172"/>
    </row>
    <row r="62" spans="1:2" s="169" customFormat="1" ht="20" customHeight="1" x14ac:dyDescent="0.45">
      <c r="A62" s="172"/>
      <c r="B62" s="172"/>
    </row>
    <row r="63" spans="1:2" s="169" customFormat="1" ht="20" customHeight="1" x14ac:dyDescent="0.45">
      <c r="A63" s="172"/>
      <c r="B63" s="172"/>
    </row>
    <row r="64" spans="1:2" s="169" customFormat="1" ht="20" customHeight="1" x14ac:dyDescent="0.45">
      <c r="A64" s="172"/>
      <c r="B64" s="172"/>
    </row>
    <row r="65" spans="1:2" s="169" customFormat="1" ht="20" customHeight="1" x14ac:dyDescent="0.45">
      <c r="A65" s="172"/>
      <c r="B65" s="172"/>
    </row>
    <row r="66" spans="1:2" s="169" customFormat="1" ht="20" customHeight="1" x14ac:dyDescent="0.45">
      <c r="A66" s="172"/>
      <c r="B66" s="172"/>
    </row>
    <row r="67" spans="1:2" s="169" customFormat="1" ht="20" customHeight="1" x14ac:dyDescent="0.45">
      <c r="A67" s="172"/>
      <c r="B67" s="172"/>
    </row>
    <row r="68" spans="1:2" s="169" customFormat="1" ht="20" customHeight="1" x14ac:dyDescent="0.45">
      <c r="A68" s="172"/>
      <c r="B68" s="172"/>
    </row>
    <row r="69" spans="1:2" s="169" customFormat="1" ht="20" customHeight="1" x14ac:dyDescent="0.45">
      <c r="A69" s="172"/>
      <c r="B69" s="172"/>
    </row>
    <row r="70" spans="1:2" s="169" customFormat="1" ht="20" customHeight="1" x14ac:dyDescent="0.45">
      <c r="A70" s="172"/>
      <c r="B70" s="172"/>
    </row>
    <row r="71" spans="1:2" s="169" customFormat="1" ht="20" customHeight="1" x14ac:dyDescent="0.45">
      <c r="A71" s="172"/>
      <c r="B71" s="172"/>
    </row>
    <row r="72" spans="1:2" s="169" customFormat="1" ht="20" customHeight="1" x14ac:dyDescent="0.45">
      <c r="A72" s="172"/>
      <c r="B72" s="172"/>
    </row>
    <row r="73" spans="1:2" s="169" customFormat="1" ht="20" customHeight="1" x14ac:dyDescent="0.45">
      <c r="A73" s="172"/>
      <c r="B73" s="172"/>
    </row>
    <row r="74" spans="1:2" s="169" customFormat="1" ht="20" customHeight="1" x14ac:dyDescent="0.45">
      <c r="A74" s="172"/>
      <c r="B74" s="172"/>
    </row>
    <row r="75" spans="1:2" s="169" customFormat="1" ht="20" customHeight="1" x14ac:dyDescent="0.45">
      <c r="A75" s="172"/>
      <c r="B75" s="172"/>
    </row>
    <row r="76" spans="1:2" s="169" customFormat="1" ht="20" customHeight="1" x14ac:dyDescent="0.45">
      <c r="A76" s="172"/>
      <c r="B76" s="172"/>
    </row>
    <row r="77" spans="1:2" s="169" customFormat="1" ht="20" customHeight="1" x14ac:dyDescent="0.45">
      <c r="A77" s="172"/>
      <c r="B77" s="172"/>
    </row>
    <row r="78" spans="1:2" s="169" customFormat="1" ht="20" customHeight="1" x14ac:dyDescent="0.45">
      <c r="A78" s="172"/>
      <c r="B78" s="172"/>
    </row>
    <row r="79" spans="1:2" s="169" customFormat="1" ht="20" customHeight="1" x14ac:dyDescent="0.45">
      <c r="A79" s="172"/>
      <c r="B79" s="172"/>
    </row>
    <row r="80" spans="1:2" s="169" customFormat="1" ht="20" customHeight="1" x14ac:dyDescent="0.45">
      <c r="A80" s="172"/>
      <c r="B80" s="172"/>
    </row>
    <row r="81" spans="1:2" s="169" customFormat="1" ht="20" customHeight="1" x14ac:dyDescent="0.45">
      <c r="A81" s="172"/>
      <c r="B81" s="172"/>
    </row>
    <row r="82" spans="1:2" s="169" customFormat="1" ht="20" customHeight="1" x14ac:dyDescent="0.45">
      <c r="A82" s="172"/>
      <c r="B82" s="172"/>
    </row>
    <row r="83" spans="1:2" s="169" customFormat="1" ht="20" customHeight="1" x14ac:dyDescent="0.45">
      <c r="A83" s="172"/>
      <c r="B83" s="172"/>
    </row>
    <row r="84" spans="1:2" s="169" customFormat="1" ht="20" customHeight="1" x14ac:dyDescent="0.45">
      <c r="A84" s="172"/>
      <c r="B84" s="172"/>
    </row>
    <row r="85" spans="1:2" s="169" customFormat="1" ht="20" customHeight="1" x14ac:dyDescent="0.45">
      <c r="A85" s="172"/>
      <c r="B85" s="172"/>
    </row>
    <row r="86" spans="1:2" s="169" customFormat="1" ht="20" customHeight="1" x14ac:dyDescent="0.45">
      <c r="A86" s="172"/>
      <c r="B86" s="172"/>
    </row>
    <row r="87" spans="1:2" s="169" customFormat="1" ht="20" customHeight="1" x14ac:dyDescent="0.45">
      <c r="A87" s="172"/>
      <c r="B87" s="172"/>
    </row>
    <row r="88" spans="1:2" s="169" customFormat="1" ht="20" customHeight="1" x14ac:dyDescent="0.45">
      <c r="A88" s="172"/>
      <c r="B88" s="172"/>
    </row>
    <row r="89" spans="1:2" s="169" customFormat="1" ht="20" customHeight="1" x14ac:dyDescent="0.45">
      <c r="A89" s="172"/>
      <c r="B89" s="172"/>
    </row>
    <row r="90" spans="1:2" s="169" customFormat="1" ht="20" customHeight="1" x14ac:dyDescent="0.45">
      <c r="A90" s="172"/>
      <c r="B90" s="172"/>
    </row>
    <row r="91" spans="1:2" s="169" customFormat="1" ht="20" customHeight="1" x14ac:dyDescent="0.45">
      <c r="A91" s="172"/>
      <c r="B91" s="172"/>
    </row>
    <row r="92" spans="1:2" s="169" customFormat="1" ht="20" customHeight="1" x14ac:dyDescent="0.45">
      <c r="A92" s="172"/>
      <c r="B92" s="172"/>
    </row>
    <row r="93" spans="1:2" s="169" customFormat="1" ht="20" customHeight="1" x14ac:dyDescent="0.45">
      <c r="A93" s="172"/>
      <c r="B93" s="172"/>
    </row>
    <row r="94" spans="1:2" s="169" customFormat="1" ht="20" customHeight="1" x14ac:dyDescent="0.45">
      <c r="A94" s="172"/>
      <c r="B94" s="172"/>
    </row>
    <row r="95" spans="1:2" s="169" customFormat="1" ht="20" customHeight="1" x14ac:dyDescent="0.45">
      <c r="A95" s="172"/>
      <c r="B95" s="172"/>
    </row>
    <row r="96" spans="1:2" s="169" customFormat="1" ht="20" customHeight="1" x14ac:dyDescent="0.45">
      <c r="A96" s="172"/>
      <c r="B96" s="172"/>
    </row>
    <row r="97" spans="1:2" s="169" customFormat="1" ht="20" customHeight="1" x14ac:dyDescent="0.45">
      <c r="A97" s="172"/>
      <c r="B97" s="172"/>
    </row>
    <row r="98" spans="1:2" s="169" customFormat="1" ht="20" customHeight="1" x14ac:dyDescent="0.45">
      <c r="A98" s="172"/>
      <c r="B98" s="172"/>
    </row>
    <row r="99" spans="1:2" s="169" customFormat="1" ht="20" customHeight="1" x14ac:dyDescent="0.45">
      <c r="A99" s="172"/>
      <c r="B99" s="172"/>
    </row>
    <row r="100" spans="1:2" s="169" customFormat="1" ht="20" customHeight="1" x14ac:dyDescent="0.45">
      <c r="A100" s="172"/>
      <c r="B100" s="172"/>
    </row>
    <row r="101" spans="1:2" s="169" customFormat="1" ht="20" customHeight="1" x14ac:dyDescent="0.45">
      <c r="A101" s="172"/>
      <c r="B101" s="172"/>
    </row>
    <row r="102" spans="1:2" s="169" customFormat="1" ht="20" customHeight="1" x14ac:dyDescent="0.45">
      <c r="A102" s="172"/>
      <c r="B102" s="172"/>
    </row>
    <row r="103" spans="1:2" s="169" customFormat="1" ht="20" customHeight="1" x14ac:dyDescent="0.45">
      <c r="A103" s="172"/>
      <c r="B103" s="172"/>
    </row>
    <row r="104" spans="1:2" s="169" customFormat="1" ht="20" customHeight="1" x14ac:dyDescent="0.45">
      <c r="A104" s="172"/>
      <c r="B104" s="172"/>
    </row>
    <row r="105" spans="1:2" s="169" customFormat="1" ht="20" customHeight="1" x14ac:dyDescent="0.45">
      <c r="A105" s="172"/>
      <c r="B105" s="172"/>
    </row>
    <row r="106" spans="1:2" s="169" customFormat="1" ht="20" customHeight="1" x14ac:dyDescent="0.45">
      <c r="A106" s="172"/>
      <c r="B106" s="172"/>
    </row>
    <row r="107" spans="1:2" s="169" customFormat="1" ht="20" customHeight="1" x14ac:dyDescent="0.45">
      <c r="A107" s="172"/>
      <c r="B107" s="172"/>
    </row>
    <row r="108" spans="1:2" s="169" customFormat="1" ht="20" customHeight="1" x14ac:dyDescent="0.45">
      <c r="A108" s="172"/>
      <c r="B108" s="172"/>
    </row>
    <row r="109" spans="1:2" s="169" customFormat="1" ht="20" customHeight="1" x14ac:dyDescent="0.45">
      <c r="A109" s="172"/>
      <c r="B109" s="172"/>
    </row>
    <row r="110" spans="1:2" s="169" customFormat="1" ht="20" customHeight="1" x14ac:dyDescent="0.45">
      <c r="A110" s="172"/>
      <c r="B110" s="172"/>
    </row>
    <row r="111" spans="1:2" s="169" customFormat="1" ht="20" customHeight="1" x14ac:dyDescent="0.45">
      <c r="A111" s="172"/>
      <c r="B111" s="172"/>
    </row>
    <row r="112" spans="1:2" s="169" customFormat="1" ht="20" customHeight="1" x14ac:dyDescent="0.45">
      <c r="A112" s="172"/>
      <c r="B112" s="172"/>
    </row>
    <row r="113" spans="1:2" s="169" customFormat="1" ht="20" customHeight="1" x14ac:dyDescent="0.45">
      <c r="A113" s="172"/>
      <c r="B113" s="172"/>
    </row>
    <row r="114" spans="1:2" s="169" customFormat="1" ht="20" customHeight="1" x14ac:dyDescent="0.45">
      <c r="A114" s="172"/>
      <c r="B114" s="172"/>
    </row>
    <row r="115" spans="1:2" s="169" customFormat="1" ht="20" customHeight="1" x14ac:dyDescent="0.45">
      <c r="A115" s="172"/>
      <c r="B115" s="172"/>
    </row>
    <row r="116" spans="1:2" s="169" customFormat="1" ht="20" customHeight="1" x14ac:dyDescent="0.45">
      <c r="A116" s="172"/>
      <c r="B116" s="172"/>
    </row>
    <row r="117" spans="1:2" s="169" customFormat="1" ht="20" customHeight="1" x14ac:dyDescent="0.45">
      <c r="A117" s="172"/>
      <c r="B117" s="172"/>
    </row>
    <row r="118" spans="1:2" s="169" customFormat="1" ht="20" customHeight="1" x14ac:dyDescent="0.45">
      <c r="A118" s="172"/>
      <c r="B118" s="172"/>
    </row>
    <row r="119" spans="1:2" s="169" customFormat="1" ht="20" customHeight="1" x14ac:dyDescent="0.45">
      <c r="A119" s="172"/>
      <c r="B119" s="172"/>
    </row>
    <row r="120" spans="1:2" s="169" customFormat="1" ht="20" customHeight="1" x14ac:dyDescent="0.45">
      <c r="A120" s="172"/>
      <c r="B120" s="172"/>
    </row>
    <row r="121" spans="1:2" s="169" customFormat="1" ht="20" customHeight="1" x14ac:dyDescent="0.45">
      <c r="A121" s="172"/>
      <c r="B121" s="172"/>
    </row>
    <row r="122" spans="1:2" s="169" customFormat="1" ht="20" customHeight="1" x14ac:dyDescent="0.45">
      <c r="A122" s="172"/>
      <c r="B122" s="172"/>
    </row>
    <row r="123" spans="1:2" s="169" customFormat="1" ht="20" customHeight="1" x14ac:dyDescent="0.45">
      <c r="A123" s="172"/>
      <c r="B123" s="172"/>
    </row>
    <row r="124" spans="1:2" s="169" customFormat="1" ht="20" customHeight="1" x14ac:dyDescent="0.45">
      <c r="A124" s="172"/>
      <c r="B124" s="172"/>
    </row>
    <row r="125" spans="1:2" s="169" customFormat="1" ht="20" customHeight="1" x14ac:dyDescent="0.45">
      <c r="A125" s="172"/>
      <c r="B125" s="172"/>
    </row>
    <row r="126" spans="1:2" s="169" customFormat="1" ht="20" customHeight="1" x14ac:dyDescent="0.45">
      <c r="A126" s="172"/>
      <c r="B126" s="172"/>
    </row>
    <row r="127" spans="1:2" s="169" customFormat="1" ht="20" customHeight="1" x14ac:dyDescent="0.45">
      <c r="A127" s="172"/>
      <c r="B127" s="172"/>
    </row>
    <row r="128" spans="1:2" s="169" customFormat="1" ht="20" customHeight="1" x14ac:dyDescent="0.45">
      <c r="A128" s="172"/>
      <c r="B128" s="172"/>
    </row>
    <row r="129" spans="1:2" s="169" customFormat="1" ht="20" customHeight="1" x14ac:dyDescent="0.45">
      <c r="A129" s="172"/>
      <c r="B129" s="172"/>
    </row>
    <row r="130" spans="1:2" s="169" customFormat="1" ht="20" customHeight="1" x14ac:dyDescent="0.45">
      <c r="A130" s="172"/>
      <c r="B130" s="172"/>
    </row>
    <row r="131" spans="1:2" s="169" customFormat="1" ht="20" customHeight="1" x14ac:dyDescent="0.45">
      <c r="A131" s="172"/>
      <c r="B131" s="172"/>
    </row>
    <row r="132" spans="1:2" s="169" customFormat="1" ht="20" customHeight="1" x14ac:dyDescent="0.45">
      <c r="A132" s="172"/>
      <c r="B132" s="172"/>
    </row>
    <row r="133" spans="1:2" s="169" customFormat="1" ht="20" customHeight="1" x14ac:dyDescent="0.45">
      <c r="A133" s="172"/>
      <c r="B133" s="172"/>
    </row>
    <row r="134" spans="1:2" s="169" customFormat="1" ht="20" customHeight="1" x14ac:dyDescent="0.45">
      <c r="A134" s="172"/>
      <c r="B134" s="172"/>
    </row>
    <row r="135" spans="1:2" s="169" customFormat="1" ht="20" customHeight="1" x14ac:dyDescent="0.45">
      <c r="A135" s="172"/>
      <c r="B135" s="172"/>
    </row>
    <row r="136" spans="1:2" s="169" customFormat="1" ht="20" customHeight="1" x14ac:dyDescent="0.45">
      <c r="A136" s="172"/>
      <c r="B136" s="172"/>
    </row>
    <row r="137" spans="1:2" s="169" customFormat="1" ht="20" customHeight="1" x14ac:dyDescent="0.45">
      <c r="A137" s="172"/>
      <c r="B137" s="172"/>
    </row>
    <row r="138" spans="1:2" s="169" customFormat="1" ht="20" customHeight="1" x14ac:dyDescent="0.45">
      <c r="A138" s="172"/>
      <c r="B138" s="172"/>
    </row>
    <row r="139" spans="1:2" s="169" customFormat="1" ht="20" customHeight="1" x14ac:dyDescent="0.45">
      <c r="A139" s="172"/>
      <c r="B139" s="172"/>
    </row>
    <row r="140" spans="1:2" s="169" customFormat="1" ht="20" customHeight="1" x14ac:dyDescent="0.45">
      <c r="A140" s="172"/>
      <c r="B140" s="172"/>
    </row>
    <row r="141" spans="1:2" s="169" customFormat="1" ht="20" customHeight="1" x14ac:dyDescent="0.45">
      <c r="A141" s="172"/>
      <c r="B141" s="172"/>
    </row>
    <row r="142" spans="1:2" s="169" customFormat="1" ht="20" customHeight="1" x14ac:dyDescent="0.45">
      <c r="A142" s="172"/>
      <c r="B142" s="172"/>
    </row>
    <row r="143" spans="1:2" s="169" customFormat="1" ht="20" customHeight="1" x14ac:dyDescent="0.45">
      <c r="A143" s="172"/>
      <c r="B143" s="172"/>
    </row>
    <row r="144" spans="1:2" s="169" customFormat="1" ht="20" customHeight="1" x14ac:dyDescent="0.45">
      <c r="A144" s="172"/>
      <c r="B144" s="172"/>
    </row>
    <row r="145" spans="1:2" s="169" customFormat="1" ht="20" customHeight="1" x14ac:dyDescent="0.45">
      <c r="A145" s="172"/>
      <c r="B145" s="172"/>
    </row>
    <row r="146" spans="1:2" s="169" customFormat="1" ht="20" customHeight="1" x14ac:dyDescent="0.45">
      <c r="A146" s="172"/>
      <c r="B146" s="172"/>
    </row>
    <row r="147" spans="1:2" s="169" customFormat="1" ht="20" customHeight="1" x14ac:dyDescent="0.45">
      <c r="A147" s="172"/>
      <c r="B147" s="172"/>
    </row>
    <row r="148" spans="1:2" s="169" customFormat="1" ht="20" customHeight="1" x14ac:dyDescent="0.45">
      <c r="A148" s="172"/>
      <c r="B148" s="172"/>
    </row>
    <row r="149" spans="1:2" s="169" customFormat="1" ht="20" customHeight="1" x14ac:dyDescent="0.45">
      <c r="A149" s="172"/>
      <c r="B149" s="172"/>
    </row>
    <row r="150" spans="1:2" s="169" customFormat="1" ht="20" customHeight="1" x14ac:dyDescent="0.45">
      <c r="A150" s="172"/>
      <c r="B150" s="172"/>
    </row>
    <row r="151" spans="1:2" s="169" customFormat="1" ht="20" customHeight="1" x14ac:dyDescent="0.45">
      <c r="A151" s="172"/>
      <c r="B151" s="172"/>
    </row>
    <row r="152" spans="1:2" s="169" customFormat="1" ht="20" customHeight="1" x14ac:dyDescent="0.45">
      <c r="A152" s="172"/>
      <c r="B152" s="172"/>
    </row>
    <row r="153" spans="1:2" s="169" customFormat="1" ht="20" customHeight="1" x14ac:dyDescent="0.45">
      <c r="A153" s="172"/>
      <c r="B153" s="172"/>
    </row>
    <row r="154" spans="1:2" s="169" customFormat="1" ht="20" customHeight="1" x14ac:dyDescent="0.45">
      <c r="A154" s="172"/>
      <c r="B154" s="172"/>
    </row>
    <row r="155" spans="1:2" s="169" customFormat="1" ht="20" customHeight="1" x14ac:dyDescent="0.45">
      <c r="A155" s="172"/>
      <c r="B155" s="172"/>
    </row>
    <row r="156" spans="1:2" s="169" customFormat="1" ht="20" customHeight="1" x14ac:dyDescent="0.45">
      <c r="A156" s="172"/>
      <c r="B156" s="172"/>
    </row>
    <row r="157" spans="1:2" s="169" customFormat="1" ht="20" customHeight="1" x14ac:dyDescent="0.45">
      <c r="A157" s="172"/>
      <c r="B157" s="172"/>
    </row>
    <row r="158" spans="1:2" s="169" customFormat="1" ht="20" customHeight="1" x14ac:dyDescent="0.45">
      <c r="A158" s="172"/>
      <c r="B158" s="172"/>
    </row>
    <row r="159" spans="1:2" s="169" customFormat="1" ht="20" customHeight="1" x14ac:dyDescent="0.45">
      <c r="A159" s="172"/>
      <c r="B159" s="172"/>
    </row>
    <row r="160" spans="1:2" s="169" customFormat="1" ht="20" customHeight="1" x14ac:dyDescent="0.45">
      <c r="A160" s="172"/>
      <c r="B160" s="172"/>
    </row>
    <row r="161" spans="1:2" s="169" customFormat="1" ht="20" customHeight="1" x14ac:dyDescent="0.45">
      <c r="A161" s="172"/>
      <c r="B161" s="172"/>
    </row>
    <row r="162" spans="1:2" s="169" customFormat="1" ht="20" customHeight="1" x14ac:dyDescent="0.45">
      <c r="A162" s="172"/>
      <c r="B162" s="172"/>
    </row>
    <row r="163" spans="1:2" s="169" customFormat="1" ht="20" customHeight="1" x14ac:dyDescent="0.45">
      <c r="A163" s="172"/>
      <c r="B163" s="172"/>
    </row>
    <row r="164" spans="1:2" s="169" customFormat="1" ht="20" customHeight="1" x14ac:dyDescent="0.45">
      <c r="A164" s="172"/>
      <c r="B164" s="172"/>
    </row>
    <row r="165" spans="1:2" s="169" customFormat="1" ht="20" customHeight="1" x14ac:dyDescent="0.45">
      <c r="A165" s="172"/>
      <c r="B165" s="172"/>
    </row>
    <row r="166" spans="1:2" s="169" customFormat="1" ht="20" customHeight="1" x14ac:dyDescent="0.45">
      <c r="A166" s="172"/>
      <c r="B166" s="172"/>
    </row>
    <row r="167" spans="1:2" s="169" customFormat="1" ht="20" customHeight="1" x14ac:dyDescent="0.45">
      <c r="A167" s="172"/>
      <c r="B167" s="172"/>
    </row>
    <row r="168" spans="1:2" s="169" customFormat="1" ht="20" customHeight="1" x14ac:dyDescent="0.45">
      <c r="A168" s="172"/>
      <c r="B168" s="172"/>
    </row>
    <row r="169" spans="1:2" s="169" customFormat="1" ht="20" customHeight="1" x14ac:dyDescent="0.45">
      <c r="A169" s="172"/>
      <c r="B169" s="172"/>
    </row>
    <row r="170" spans="1:2" s="169" customFormat="1" ht="20" customHeight="1" x14ac:dyDescent="0.45">
      <c r="A170" s="172"/>
      <c r="B170" s="172"/>
    </row>
    <row r="171" spans="1:2" s="169" customFormat="1" ht="20" customHeight="1" x14ac:dyDescent="0.45">
      <c r="A171" s="172"/>
      <c r="B171" s="172"/>
    </row>
    <row r="172" spans="1:2" s="169" customFormat="1" ht="20" customHeight="1" x14ac:dyDescent="0.45">
      <c r="A172" s="172"/>
      <c r="B172" s="172"/>
    </row>
    <row r="173" spans="1:2" s="169" customFormat="1" ht="20" customHeight="1" x14ac:dyDescent="0.45">
      <c r="A173" s="172"/>
      <c r="B173" s="172"/>
    </row>
    <row r="174" spans="1:2" s="169" customFormat="1" ht="20" customHeight="1" x14ac:dyDescent="0.45">
      <c r="A174" s="172"/>
      <c r="B174" s="172"/>
    </row>
    <row r="175" spans="1:2" s="169" customFormat="1" ht="20" customHeight="1" x14ac:dyDescent="0.45">
      <c r="A175" s="172"/>
      <c r="B175" s="172"/>
    </row>
    <row r="176" spans="1:2" s="169" customFormat="1" ht="20" customHeight="1" x14ac:dyDescent="0.45">
      <c r="A176" s="172"/>
      <c r="B176" s="172"/>
    </row>
    <row r="177" spans="1:2" s="169" customFormat="1" ht="20" customHeight="1" x14ac:dyDescent="0.45">
      <c r="A177" s="172"/>
      <c r="B177" s="172"/>
    </row>
    <row r="178" spans="1:2" s="169" customFormat="1" ht="20" customHeight="1" x14ac:dyDescent="0.45">
      <c r="A178" s="172"/>
      <c r="B178" s="172"/>
    </row>
    <row r="179" spans="1:2" s="169" customFormat="1" ht="20" customHeight="1" x14ac:dyDescent="0.45">
      <c r="A179" s="172"/>
      <c r="B179" s="172"/>
    </row>
    <row r="180" spans="1:2" s="169" customFormat="1" ht="20" customHeight="1" x14ac:dyDescent="0.45">
      <c r="A180" s="172"/>
      <c r="B180" s="172"/>
    </row>
    <row r="181" spans="1:2" s="169" customFormat="1" ht="20" customHeight="1" x14ac:dyDescent="0.45">
      <c r="A181" s="172"/>
      <c r="B181" s="172"/>
    </row>
    <row r="182" spans="1:2" s="169" customFormat="1" ht="20" customHeight="1" x14ac:dyDescent="0.45">
      <c r="A182" s="172"/>
      <c r="B182" s="172"/>
    </row>
    <row r="183" spans="1:2" s="169" customFormat="1" ht="20" customHeight="1" x14ac:dyDescent="0.45">
      <c r="A183" s="172"/>
      <c r="B183" s="172"/>
    </row>
    <row r="184" spans="1:2" s="169" customFormat="1" ht="20" customHeight="1" x14ac:dyDescent="0.45">
      <c r="A184" s="172"/>
      <c r="B184" s="172"/>
    </row>
    <row r="185" spans="1:2" s="169" customFormat="1" ht="20" customHeight="1" x14ac:dyDescent="0.45">
      <c r="A185" s="172"/>
      <c r="B185" s="172"/>
    </row>
    <row r="186" spans="1:2" s="169" customFormat="1" ht="20" customHeight="1" x14ac:dyDescent="0.45">
      <c r="A186" s="172"/>
      <c r="B186" s="172"/>
    </row>
    <row r="187" spans="1:2" s="169" customFormat="1" ht="20" customHeight="1" x14ac:dyDescent="0.45">
      <c r="A187" s="172"/>
      <c r="B187" s="172"/>
    </row>
    <row r="188" spans="1:2" s="169" customFormat="1" ht="20" customHeight="1" x14ac:dyDescent="0.45">
      <c r="A188" s="172"/>
      <c r="B188" s="172"/>
    </row>
    <row r="189" spans="1:2" s="169" customFormat="1" ht="20" customHeight="1" x14ac:dyDescent="0.45">
      <c r="A189" s="172"/>
      <c r="B189" s="172"/>
    </row>
    <row r="190" spans="1:2" s="169" customFormat="1" ht="20" customHeight="1" x14ac:dyDescent="0.45">
      <c r="A190" s="172"/>
      <c r="B190" s="172"/>
    </row>
    <row r="191" spans="1:2" s="169" customFormat="1" ht="20" customHeight="1" x14ac:dyDescent="0.45">
      <c r="A191" s="172"/>
      <c r="B191" s="172"/>
    </row>
    <row r="192" spans="1:2" s="169" customFormat="1" ht="20" customHeight="1" x14ac:dyDescent="0.45">
      <c r="A192" s="172"/>
      <c r="B192" s="172"/>
    </row>
    <row r="193" spans="1:2" s="169" customFormat="1" ht="20" customHeight="1" x14ac:dyDescent="0.45">
      <c r="A193" s="172"/>
      <c r="B193" s="172"/>
    </row>
    <row r="194" spans="1:2" s="169" customFormat="1" ht="20" customHeight="1" x14ac:dyDescent="0.45">
      <c r="A194" s="172"/>
      <c r="B194" s="172"/>
    </row>
    <row r="195" spans="1:2" s="169" customFormat="1" ht="20" customHeight="1" x14ac:dyDescent="0.45">
      <c r="A195" s="172"/>
      <c r="B195" s="172"/>
    </row>
    <row r="196" spans="1:2" s="169" customFormat="1" ht="20" customHeight="1" x14ac:dyDescent="0.45">
      <c r="A196" s="172"/>
      <c r="B196" s="172"/>
    </row>
    <row r="197" spans="1:2" s="169" customFormat="1" ht="20" customHeight="1" x14ac:dyDescent="0.45">
      <c r="A197" s="172"/>
      <c r="B197" s="172"/>
    </row>
    <row r="198" spans="1:2" s="169" customFormat="1" ht="20" customHeight="1" x14ac:dyDescent="0.45">
      <c r="A198" s="172"/>
      <c r="B198" s="172"/>
    </row>
    <row r="199" spans="1:2" s="169" customFormat="1" ht="20" customHeight="1" x14ac:dyDescent="0.45">
      <c r="A199" s="172"/>
      <c r="B199" s="172"/>
    </row>
    <row r="200" spans="1:2" s="169" customFormat="1" ht="20" customHeight="1" x14ac:dyDescent="0.45">
      <c r="A200" s="172"/>
      <c r="B200" s="172"/>
    </row>
    <row r="201" spans="1:2" s="169" customFormat="1" ht="20" customHeight="1" x14ac:dyDescent="0.45">
      <c r="A201" s="172"/>
      <c r="B201" s="172"/>
    </row>
    <row r="202" spans="1:2" s="169" customFormat="1" ht="20" customHeight="1" x14ac:dyDescent="0.45">
      <c r="A202" s="172"/>
      <c r="B202" s="172"/>
    </row>
    <row r="203" spans="1:2" s="169" customFormat="1" ht="20" customHeight="1" x14ac:dyDescent="0.45">
      <c r="A203" s="172"/>
      <c r="B203" s="172"/>
    </row>
    <row r="204" spans="1:2" s="169" customFormat="1" ht="20" customHeight="1" x14ac:dyDescent="0.45">
      <c r="A204" s="172"/>
      <c r="B204" s="172"/>
    </row>
    <row r="205" spans="1:2" s="169" customFormat="1" ht="20" customHeight="1" x14ac:dyDescent="0.45">
      <c r="A205" s="172"/>
      <c r="B205" s="172"/>
    </row>
    <row r="206" spans="1:2" s="169" customFormat="1" ht="20" customHeight="1" x14ac:dyDescent="0.45">
      <c r="A206" s="172"/>
      <c r="B206" s="172"/>
    </row>
    <row r="207" spans="1:2" s="169" customFormat="1" ht="20" customHeight="1" x14ac:dyDescent="0.45">
      <c r="A207" s="172"/>
      <c r="B207" s="172"/>
    </row>
    <row r="208" spans="1:2" s="169" customFormat="1" ht="20" customHeight="1" x14ac:dyDescent="0.45">
      <c r="A208" s="172"/>
      <c r="B208" s="172"/>
    </row>
    <row r="209" spans="1:2" s="169" customFormat="1" ht="20" customHeight="1" x14ac:dyDescent="0.45">
      <c r="A209" s="172"/>
      <c r="B209" s="172"/>
    </row>
    <row r="210" spans="1:2" s="169" customFormat="1" ht="20" customHeight="1" x14ac:dyDescent="0.45">
      <c r="A210" s="172"/>
      <c r="B210" s="172"/>
    </row>
    <row r="211" spans="1:2" s="169" customFormat="1" ht="20" customHeight="1" x14ac:dyDescent="0.45">
      <c r="A211" s="172"/>
      <c r="B211" s="172"/>
    </row>
    <row r="212" spans="1:2" s="169" customFormat="1" ht="20" customHeight="1" x14ac:dyDescent="0.45">
      <c r="A212" s="172"/>
      <c r="B212" s="172"/>
    </row>
    <row r="213" spans="1:2" s="169" customFormat="1" ht="20" customHeight="1" x14ac:dyDescent="0.45">
      <c r="A213" s="172"/>
      <c r="B213" s="172"/>
    </row>
    <row r="214" spans="1:2" s="169" customFormat="1" ht="20" customHeight="1" x14ac:dyDescent="0.45">
      <c r="A214" s="172"/>
      <c r="B214" s="172"/>
    </row>
    <row r="215" spans="1:2" s="169" customFormat="1" ht="20" customHeight="1" x14ac:dyDescent="0.45">
      <c r="A215" s="172"/>
      <c r="B215" s="172"/>
    </row>
    <row r="216" spans="1:2" s="169" customFormat="1" ht="20" customHeight="1" x14ac:dyDescent="0.45">
      <c r="A216" s="172"/>
      <c r="B216" s="172"/>
    </row>
    <row r="217" spans="1:2" s="169" customFormat="1" ht="20" customHeight="1" x14ac:dyDescent="0.45">
      <c r="A217" s="172"/>
      <c r="B217" s="172"/>
    </row>
    <row r="218" spans="1:2" s="169" customFormat="1" ht="20" customHeight="1" x14ac:dyDescent="0.45">
      <c r="A218" s="172"/>
      <c r="B218" s="172"/>
    </row>
    <row r="219" spans="1:2" s="169" customFormat="1" ht="20" customHeight="1" x14ac:dyDescent="0.45">
      <c r="A219" s="172"/>
      <c r="B219" s="172"/>
    </row>
    <row r="220" spans="1:2" s="169" customFormat="1" ht="20" customHeight="1" x14ac:dyDescent="0.45">
      <c r="A220" s="172"/>
      <c r="B220" s="172"/>
    </row>
    <row r="221" spans="1:2" s="169" customFormat="1" ht="20" customHeight="1" x14ac:dyDescent="0.45">
      <c r="A221" s="172"/>
      <c r="B221" s="172"/>
    </row>
    <row r="222" spans="1:2" s="169" customFormat="1" ht="20" customHeight="1" x14ac:dyDescent="0.45">
      <c r="A222" s="172"/>
      <c r="B222" s="172"/>
    </row>
    <row r="223" spans="1:2" s="169" customFormat="1" ht="20" customHeight="1" x14ac:dyDescent="0.45">
      <c r="A223" s="172"/>
      <c r="B223" s="172"/>
    </row>
    <row r="224" spans="1:2" s="169" customFormat="1" ht="20" customHeight="1" x14ac:dyDescent="0.45">
      <c r="A224" s="172"/>
      <c r="B224" s="172"/>
    </row>
    <row r="225" spans="1:2" s="169" customFormat="1" ht="20" customHeight="1" x14ac:dyDescent="0.45">
      <c r="A225" s="172"/>
      <c r="B225" s="172"/>
    </row>
    <row r="226" spans="1:2" s="169" customFormat="1" ht="20" customHeight="1" x14ac:dyDescent="0.45">
      <c r="A226" s="172"/>
      <c r="B226" s="172"/>
    </row>
    <row r="227" spans="1:2" s="169" customFormat="1" ht="20" customHeight="1" x14ac:dyDescent="0.45">
      <c r="A227" s="172"/>
      <c r="B227" s="172"/>
    </row>
    <row r="228" spans="1:2" s="169" customFormat="1" ht="20" customHeight="1" x14ac:dyDescent="0.45">
      <c r="A228" s="172"/>
      <c r="B228" s="172"/>
    </row>
    <row r="229" spans="1:2" s="169" customFormat="1" ht="20" customHeight="1" x14ac:dyDescent="0.45">
      <c r="A229" s="172"/>
      <c r="B229" s="172"/>
    </row>
    <row r="230" spans="1:2" s="169" customFormat="1" ht="20" customHeight="1" x14ac:dyDescent="0.45">
      <c r="A230" s="172"/>
      <c r="B230" s="172"/>
    </row>
    <row r="231" spans="1:2" s="169" customFormat="1" ht="20" customHeight="1" x14ac:dyDescent="0.45">
      <c r="A231" s="172"/>
      <c r="B231" s="172"/>
    </row>
    <row r="232" spans="1:2" s="169" customFormat="1" ht="20" customHeight="1" x14ac:dyDescent="0.45">
      <c r="A232" s="172"/>
      <c r="B232" s="172"/>
    </row>
    <row r="233" spans="1:2" s="169" customFormat="1" ht="20" customHeight="1" x14ac:dyDescent="0.45">
      <c r="A233" s="172"/>
      <c r="B233" s="172"/>
    </row>
    <row r="234" spans="1:2" s="169" customFormat="1" ht="20" customHeight="1" x14ac:dyDescent="0.45">
      <c r="A234" s="172"/>
      <c r="B234" s="172"/>
    </row>
    <row r="235" spans="1:2" s="169" customFormat="1" ht="20" customHeight="1" x14ac:dyDescent="0.45">
      <c r="A235" s="172"/>
      <c r="B235" s="172"/>
    </row>
    <row r="236" spans="1:2" s="169" customFormat="1" ht="20" customHeight="1" x14ac:dyDescent="0.45">
      <c r="A236" s="172"/>
      <c r="B236" s="172"/>
    </row>
    <row r="237" spans="1:2" s="169" customFormat="1" ht="20" customHeight="1" x14ac:dyDescent="0.45">
      <c r="A237" s="172"/>
      <c r="B237" s="172"/>
    </row>
    <row r="238" spans="1:2" s="169" customFormat="1" ht="20" customHeight="1" x14ac:dyDescent="0.45">
      <c r="A238" s="172"/>
      <c r="B238" s="172"/>
    </row>
    <row r="239" spans="1:2" s="169" customFormat="1" ht="20" customHeight="1" x14ac:dyDescent="0.45">
      <c r="A239" s="172"/>
      <c r="B239" s="172"/>
    </row>
    <row r="240" spans="1:2" s="169" customFormat="1" ht="20" customHeight="1" x14ac:dyDescent="0.45">
      <c r="A240" s="172"/>
      <c r="B240" s="172"/>
    </row>
    <row r="241" spans="1:2" s="169" customFormat="1" ht="20" customHeight="1" x14ac:dyDescent="0.45">
      <c r="A241" s="172"/>
      <c r="B241" s="172"/>
    </row>
    <row r="242" spans="1:2" s="169" customFormat="1" ht="20" customHeight="1" x14ac:dyDescent="0.45">
      <c r="A242" s="172"/>
      <c r="B242" s="172"/>
    </row>
    <row r="243" spans="1:2" s="169" customFormat="1" ht="20" customHeight="1" x14ac:dyDescent="0.45">
      <c r="A243" s="172"/>
      <c r="B243" s="172"/>
    </row>
    <row r="244" spans="1:2" s="169" customFormat="1" ht="20" customHeight="1" x14ac:dyDescent="0.45">
      <c r="A244" s="172"/>
      <c r="B244" s="172"/>
    </row>
    <row r="245" spans="1:2" s="169" customFormat="1" ht="20" customHeight="1" x14ac:dyDescent="0.45">
      <c r="A245" s="172"/>
      <c r="B245" s="172"/>
    </row>
    <row r="246" spans="1:2" s="169" customFormat="1" ht="20" customHeight="1" x14ac:dyDescent="0.45">
      <c r="A246" s="172"/>
      <c r="B246" s="172"/>
    </row>
    <row r="247" spans="1:2" s="169" customFormat="1" ht="20" customHeight="1" x14ac:dyDescent="0.45">
      <c r="A247" s="172"/>
      <c r="B247" s="172"/>
    </row>
    <row r="248" spans="1:2" s="169" customFormat="1" ht="20" customHeight="1" x14ac:dyDescent="0.45">
      <c r="A248" s="172"/>
      <c r="B248" s="172"/>
    </row>
    <row r="249" spans="1:2" s="169" customFormat="1" ht="20" customHeight="1" x14ac:dyDescent="0.45">
      <c r="A249" s="172"/>
      <c r="B249" s="172"/>
    </row>
    <row r="250" spans="1:2" s="169" customFormat="1" ht="20" customHeight="1" x14ac:dyDescent="0.45">
      <c r="A250" s="172"/>
      <c r="B250" s="172"/>
    </row>
    <row r="251" spans="1:2" s="169" customFormat="1" ht="20" customHeight="1" x14ac:dyDescent="0.45">
      <c r="A251" s="172"/>
      <c r="B251" s="172"/>
    </row>
    <row r="252" spans="1:2" s="169" customFormat="1" ht="20" customHeight="1" x14ac:dyDescent="0.45">
      <c r="A252" s="172"/>
      <c r="B252" s="172"/>
    </row>
    <row r="253" spans="1:2" s="169" customFormat="1" ht="20" customHeight="1" x14ac:dyDescent="0.45">
      <c r="A253" s="172"/>
      <c r="B253" s="172"/>
    </row>
    <row r="254" spans="1:2" s="169" customFormat="1" ht="20" customHeight="1" x14ac:dyDescent="0.45">
      <c r="A254" s="172"/>
      <c r="B254" s="172"/>
    </row>
    <row r="255" spans="1:2" s="169" customFormat="1" ht="20" customHeight="1" x14ac:dyDescent="0.45">
      <c r="A255" s="172"/>
      <c r="B255" s="172"/>
    </row>
    <row r="256" spans="1:2" s="169" customFormat="1" ht="20" customHeight="1" x14ac:dyDescent="0.45">
      <c r="A256" s="172"/>
      <c r="B256" s="172"/>
    </row>
    <row r="257" spans="1:2" s="169" customFormat="1" ht="20" customHeight="1" x14ac:dyDescent="0.45">
      <c r="A257" s="172"/>
      <c r="B257" s="172"/>
    </row>
    <row r="258" spans="1:2" s="169" customFormat="1" ht="20" customHeight="1" x14ac:dyDescent="0.45">
      <c r="A258" s="172"/>
      <c r="B258" s="172"/>
    </row>
    <row r="259" spans="1:2" s="169" customFormat="1" ht="20" customHeight="1" x14ac:dyDescent="0.45">
      <c r="A259" s="172"/>
      <c r="B259" s="172"/>
    </row>
    <row r="260" spans="1:2" s="169" customFormat="1" ht="20" customHeight="1" x14ac:dyDescent="0.45">
      <c r="A260" s="172"/>
      <c r="B260" s="172"/>
    </row>
    <row r="261" spans="1:2" s="169" customFormat="1" ht="20" customHeight="1" x14ac:dyDescent="0.45">
      <c r="A261" s="172"/>
      <c r="B261" s="172"/>
    </row>
    <row r="262" spans="1:2" s="169" customFormat="1" ht="20" customHeight="1" x14ac:dyDescent="0.45">
      <c r="A262" s="172"/>
      <c r="B262" s="172"/>
    </row>
    <row r="263" spans="1:2" s="169" customFormat="1" ht="20" customHeight="1" x14ac:dyDescent="0.45">
      <c r="A263" s="172"/>
      <c r="B263" s="172"/>
    </row>
    <row r="264" spans="1:2" s="169" customFormat="1" ht="20" customHeight="1" x14ac:dyDescent="0.45">
      <c r="A264" s="172"/>
      <c r="B264" s="172"/>
    </row>
    <row r="265" spans="1:2" s="169" customFormat="1" ht="20" customHeight="1" x14ac:dyDescent="0.45">
      <c r="A265" s="172"/>
      <c r="B265" s="172"/>
    </row>
    <row r="266" spans="1:2" s="169" customFormat="1" ht="20" customHeight="1" x14ac:dyDescent="0.45">
      <c r="A266" s="172"/>
      <c r="B266" s="172"/>
    </row>
    <row r="267" spans="1:2" s="169" customFormat="1" ht="20" customHeight="1" x14ac:dyDescent="0.45">
      <c r="A267" s="172"/>
      <c r="B267" s="172"/>
    </row>
    <row r="268" spans="1:2" s="169" customFormat="1" ht="20" customHeight="1" x14ac:dyDescent="0.45">
      <c r="A268" s="172"/>
      <c r="B268" s="172"/>
    </row>
    <row r="269" spans="1:2" s="169" customFormat="1" ht="20" customHeight="1" x14ac:dyDescent="0.45">
      <c r="A269" s="172"/>
      <c r="B269" s="172"/>
    </row>
    <row r="270" spans="1:2" s="169" customFormat="1" ht="20" customHeight="1" x14ac:dyDescent="0.45">
      <c r="A270" s="172"/>
      <c r="B270" s="172"/>
    </row>
    <row r="271" spans="1:2" s="169" customFormat="1" ht="20" customHeight="1" x14ac:dyDescent="0.45">
      <c r="A271" s="172"/>
      <c r="B271" s="172"/>
    </row>
    <row r="272" spans="1:2" s="169" customFormat="1" ht="20" customHeight="1" x14ac:dyDescent="0.45">
      <c r="A272" s="172"/>
      <c r="B272" s="172"/>
    </row>
    <row r="273" spans="1:2" s="169" customFormat="1" ht="20" customHeight="1" x14ac:dyDescent="0.45">
      <c r="A273" s="172"/>
      <c r="B273" s="172"/>
    </row>
    <row r="274" spans="1:2" s="169" customFormat="1" ht="20" customHeight="1" x14ac:dyDescent="0.45">
      <c r="A274" s="172"/>
      <c r="B274" s="172"/>
    </row>
    <row r="275" spans="1:2" s="169" customFormat="1" ht="20" customHeight="1" x14ac:dyDescent="0.45">
      <c r="A275" s="172"/>
      <c r="B275" s="172"/>
    </row>
    <row r="276" spans="1:2" s="169" customFormat="1" ht="20" customHeight="1" x14ac:dyDescent="0.45">
      <c r="A276" s="172"/>
      <c r="B276" s="172"/>
    </row>
    <row r="277" spans="1:2" s="169" customFormat="1" ht="20" customHeight="1" x14ac:dyDescent="0.45">
      <c r="A277" s="172"/>
      <c r="B277" s="172"/>
    </row>
    <row r="278" spans="1:2" s="169" customFormat="1" ht="20" customHeight="1" x14ac:dyDescent="0.45">
      <c r="A278" s="172"/>
      <c r="B278" s="172"/>
    </row>
    <row r="279" spans="1:2" s="169" customFormat="1" ht="20" customHeight="1" x14ac:dyDescent="0.45">
      <c r="A279" s="172"/>
      <c r="B279" s="172"/>
    </row>
    <row r="280" spans="1:2" s="169" customFormat="1" ht="20" customHeight="1" x14ac:dyDescent="0.45">
      <c r="A280" s="172"/>
      <c r="B280" s="172"/>
    </row>
    <row r="281" spans="1:2" s="169" customFormat="1" ht="20" customHeight="1" x14ac:dyDescent="0.45">
      <c r="A281" s="172"/>
      <c r="B281" s="172"/>
    </row>
    <row r="282" spans="1:2" s="169" customFormat="1" ht="20" customHeight="1" x14ac:dyDescent="0.45">
      <c r="A282" s="172"/>
      <c r="B282" s="172"/>
    </row>
    <row r="283" spans="1:2" s="169" customFormat="1" ht="20" customHeight="1" x14ac:dyDescent="0.45">
      <c r="A283" s="172"/>
      <c r="B283" s="172"/>
    </row>
    <row r="284" spans="1:2" s="169" customFormat="1" ht="20" customHeight="1" x14ac:dyDescent="0.45">
      <c r="A284" s="172"/>
      <c r="B284" s="172"/>
    </row>
    <row r="285" spans="1:2" s="169" customFormat="1" ht="20" customHeight="1" x14ac:dyDescent="0.45">
      <c r="A285" s="172"/>
      <c r="B285" s="172"/>
    </row>
    <row r="286" spans="1:2" s="169" customFormat="1" ht="20" customHeight="1" x14ac:dyDescent="0.45">
      <c r="A286" s="172"/>
      <c r="B286" s="172"/>
    </row>
    <row r="287" spans="1:2" s="169" customFormat="1" ht="20" customHeight="1" x14ac:dyDescent="0.45">
      <c r="A287" s="172"/>
      <c r="B287" s="172"/>
    </row>
    <row r="288" spans="1:2" s="169" customFormat="1" ht="20" customHeight="1" x14ac:dyDescent="0.45">
      <c r="A288" s="172"/>
      <c r="B288" s="172"/>
    </row>
    <row r="289" spans="1:2" s="169" customFormat="1" ht="20" customHeight="1" x14ac:dyDescent="0.45">
      <c r="A289" s="172"/>
      <c r="B289" s="172"/>
    </row>
    <row r="290" spans="1:2" s="169" customFormat="1" ht="20" customHeight="1" x14ac:dyDescent="0.45">
      <c r="A290" s="172"/>
      <c r="B290" s="172"/>
    </row>
    <row r="291" spans="1:2" s="169" customFormat="1" ht="20" customHeight="1" x14ac:dyDescent="0.45">
      <c r="A291" s="172"/>
      <c r="B291" s="172"/>
    </row>
    <row r="292" spans="1:2" s="169" customFormat="1" ht="20" customHeight="1" x14ac:dyDescent="0.45">
      <c r="A292" s="172"/>
      <c r="B292" s="172"/>
    </row>
    <row r="293" spans="1:2" s="169" customFormat="1" ht="20" customHeight="1" x14ac:dyDescent="0.45">
      <c r="A293" s="172"/>
      <c r="B293" s="172"/>
    </row>
    <row r="294" spans="1:2" s="169" customFormat="1" ht="20" customHeight="1" x14ac:dyDescent="0.45">
      <c r="A294" s="172"/>
      <c r="B294" s="172"/>
    </row>
    <row r="295" spans="1:2" s="169" customFormat="1" ht="20" customHeight="1" x14ac:dyDescent="0.45">
      <c r="A295" s="172"/>
      <c r="B295" s="172"/>
    </row>
    <row r="296" spans="1:2" s="169" customFormat="1" ht="20" customHeight="1" x14ac:dyDescent="0.45">
      <c r="A296" s="172"/>
      <c r="B296" s="172"/>
    </row>
    <row r="297" spans="1:2" s="169" customFormat="1" ht="20" customHeight="1" x14ac:dyDescent="0.45">
      <c r="A297" s="172"/>
      <c r="B297" s="172"/>
    </row>
    <row r="298" spans="1:2" s="169" customFormat="1" ht="20" customHeight="1" x14ac:dyDescent="0.45">
      <c r="A298" s="172"/>
      <c r="B298" s="172"/>
    </row>
    <row r="299" spans="1:2" s="169" customFormat="1" ht="20" customHeight="1" x14ac:dyDescent="0.45">
      <c r="A299" s="172"/>
      <c r="B299" s="172"/>
    </row>
    <row r="300" spans="1:2" s="169" customFormat="1" ht="20" customHeight="1" x14ac:dyDescent="0.45">
      <c r="A300" s="172"/>
      <c r="B300" s="172"/>
    </row>
    <row r="301" spans="1:2" s="169" customFormat="1" ht="20" customHeight="1" x14ac:dyDescent="0.45">
      <c r="A301" s="172"/>
      <c r="B301" s="172"/>
    </row>
    <row r="302" spans="1:2" s="169" customFormat="1" ht="20" customHeight="1" x14ac:dyDescent="0.45">
      <c r="A302" s="172"/>
      <c r="B302" s="172"/>
    </row>
    <row r="303" spans="1:2" s="169" customFormat="1" ht="20" customHeight="1" x14ac:dyDescent="0.45">
      <c r="A303" s="172"/>
      <c r="B303" s="172"/>
    </row>
    <row r="304" spans="1:2" s="169" customFormat="1" ht="20" customHeight="1" x14ac:dyDescent="0.45">
      <c r="A304" s="172"/>
      <c r="B304" s="172"/>
    </row>
    <row r="305" spans="1:2" s="169" customFormat="1" ht="20" customHeight="1" x14ac:dyDescent="0.45">
      <c r="A305" s="172"/>
      <c r="B305" s="172"/>
    </row>
    <row r="306" spans="1:2" s="169" customFormat="1" ht="20" customHeight="1" x14ac:dyDescent="0.45">
      <c r="A306" s="172"/>
      <c r="B306" s="172"/>
    </row>
    <row r="307" spans="1:2" s="169" customFormat="1" ht="20" customHeight="1" x14ac:dyDescent="0.45">
      <c r="A307" s="172"/>
      <c r="B307" s="172"/>
    </row>
    <row r="308" spans="1:2" s="169" customFormat="1" ht="20" customHeight="1" x14ac:dyDescent="0.45">
      <c r="A308" s="172"/>
      <c r="B308" s="172"/>
    </row>
    <row r="309" spans="1:2" s="169" customFormat="1" ht="20" customHeight="1" x14ac:dyDescent="0.45">
      <c r="A309" s="172"/>
      <c r="B309" s="172"/>
    </row>
    <row r="310" spans="1:2" s="169" customFormat="1" ht="20" customHeight="1" x14ac:dyDescent="0.45">
      <c r="A310" s="172"/>
      <c r="B310" s="172"/>
    </row>
    <row r="311" spans="1:2" s="169" customFormat="1" ht="20" customHeight="1" x14ac:dyDescent="0.45">
      <c r="A311" s="172"/>
      <c r="B311" s="172"/>
    </row>
    <row r="312" spans="1:2" s="169" customFormat="1" ht="20" customHeight="1" x14ac:dyDescent="0.45">
      <c r="A312" s="172"/>
      <c r="B312" s="172"/>
    </row>
    <row r="313" spans="1:2" s="169" customFormat="1" ht="20" customHeight="1" x14ac:dyDescent="0.45">
      <c r="A313" s="172"/>
      <c r="B313" s="172"/>
    </row>
    <row r="314" spans="1:2" s="169" customFormat="1" ht="20" customHeight="1" x14ac:dyDescent="0.45">
      <c r="A314" s="172"/>
      <c r="B314" s="172"/>
    </row>
    <row r="315" spans="1:2" s="169" customFormat="1" ht="20" customHeight="1" x14ac:dyDescent="0.45">
      <c r="A315" s="172"/>
      <c r="B315" s="172"/>
    </row>
    <row r="316" spans="1:2" s="169" customFormat="1" ht="20" customHeight="1" x14ac:dyDescent="0.45">
      <c r="A316" s="172"/>
      <c r="B316" s="172"/>
    </row>
    <row r="317" spans="1:2" s="169" customFormat="1" ht="20" customHeight="1" x14ac:dyDescent="0.45">
      <c r="A317" s="172"/>
      <c r="B317" s="172"/>
    </row>
    <row r="318" spans="1:2" s="169" customFormat="1" ht="20" customHeight="1" x14ac:dyDescent="0.45">
      <c r="A318" s="172"/>
      <c r="B318" s="172"/>
    </row>
    <row r="319" spans="1:2" s="169" customFormat="1" ht="20" customHeight="1" x14ac:dyDescent="0.45">
      <c r="A319" s="172"/>
      <c r="B319" s="172"/>
    </row>
    <row r="320" spans="1:2" s="169" customFormat="1" ht="20" customHeight="1" x14ac:dyDescent="0.45">
      <c r="A320" s="172"/>
      <c r="B320" s="172"/>
    </row>
    <row r="321" spans="1:2" s="169" customFormat="1" ht="20" customHeight="1" x14ac:dyDescent="0.45">
      <c r="A321" s="172"/>
      <c r="B321" s="172"/>
    </row>
    <row r="322" spans="1:2" s="169" customFormat="1" ht="20" customHeight="1" x14ac:dyDescent="0.45">
      <c r="A322" s="172"/>
      <c r="B322" s="172"/>
    </row>
    <row r="323" spans="1:2" s="169" customFormat="1" ht="20" customHeight="1" x14ac:dyDescent="0.45">
      <c r="A323" s="172"/>
      <c r="B323" s="172"/>
    </row>
    <row r="324" spans="1:2" s="169" customFormat="1" ht="20" customHeight="1" x14ac:dyDescent="0.45">
      <c r="A324" s="172"/>
      <c r="B324" s="172"/>
    </row>
    <row r="325" spans="1:2" s="169" customFormat="1" ht="20" customHeight="1" x14ac:dyDescent="0.45">
      <c r="A325" s="172"/>
      <c r="B325" s="172"/>
    </row>
    <row r="326" spans="1:2" s="169" customFormat="1" ht="20" customHeight="1" x14ac:dyDescent="0.45">
      <c r="A326" s="172"/>
      <c r="B326" s="172"/>
    </row>
    <row r="327" spans="1:2" s="169" customFormat="1" ht="20" customHeight="1" x14ac:dyDescent="0.45">
      <c r="A327" s="172"/>
      <c r="B327" s="172"/>
    </row>
    <row r="328" spans="1:2" s="169" customFormat="1" ht="20" customHeight="1" x14ac:dyDescent="0.45">
      <c r="A328" s="172"/>
      <c r="B328" s="172"/>
    </row>
    <row r="329" spans="1:2" s="169" customFormat="1" ht="20" customHeight="1" x14ac:dyDescent="0.45">
      <c r="A329" s="172"/>
      <c r="B329" s="172"/>
    </row>
    <row r="330" spans="1:2" s="169" customFormat="1" ht="20" customHeight="1" x14ac:dyDescent="0.45">
      <c r="A330" s="172"/>
      <c r="B330" s="172"/>
    </row>
    <row r="331" spans="1:2" s="169" customFormat="1" ht="20" customHeight="1" x14ac:dyDescent="0.45">
      <c r="A331" s="172"/>
      <c r="B331" s="172"/>
    </row>
    <row r="332" spans="1:2" s="169" customFormat="1" ht="20" customHeight="1" x14ac:dyDescent="0.45">
      <c r="A332" s="172"/>
      <c r="B332" s="172"/>
    </row>
    <row r="333" spans="1:2" s="169" customFormat="1" ht="20" customHeight="1" x14ac:dyDescent="0.45">
      <c r="A333" s="172"/>
      <c r="B333" s="172"/>
    </row>
    <row r="334" spans="1:2" s="169" customFormat="1" ht="20" customHeight="1" x14ac:dyDescent="0.45">
      <c r="A334" s="172"/>
      <c r="B334" s="172"/>
    </row>
    <row r="335" spans="1:2" s="169" customFormat="1" ht="20" customHeight="1" x14ac:dyDescent="0.45">
      <c r="A335" s="172"/>
      <c r="B335" s="172"/>
    </row>
    <row r="336" spans="1:2" s="169" customFormat="1" ht="20" customHeight="1" x14ac:dyDescent="0.45">
      <c r="A336" s="172"/>
      <c r="B336" s="172"/>
    </row>
    <row r="337" spans="1:2" s="169" customFormat="1" ht="20" customHeight="1" x14ac:dyDescent="0.45">
      <c r="A337" s="172"/>
      <c r="B337" s="172"/>
    </row>
    <row r="338" spans="1:2" s="169" customFormat="1" ht="20" customHeight="1" x14ac:dyDescent="0.45">
      <c r="A338" s="172"/>
      <c r="B338" s="172"/>
    </row>
    <row r="339" spans="1:2" s="169" customFormat="1" ht="20" customHeight="1" x14ac:dyDescent="0.45">
      <c r="A339" s="172"/>
      <c r="B339" s="172"/>
    </row>
    <row r="340" spans="1:2" s="169" customFormat="1" ht="20" customHeight="1" x14ac:dyDescent="0.45">
      <c r="A340" s="172"/>
      <c r="B340" s="172"/>
    </row>
    <row r="341" spans="1:2" s="169" customFormat="1" ht="20" customHeight="1" x14ac:dyDescent="0.45">
      <c r="A341" s="172"/>
      <c r="B341" s="172"/>
    </row>
    <row r="342" spans="1:2" s="169" customFormat="1" ht="20" customHeight="1" x14ac:dyDescent="0.45">
      <c r="A342" s="172"/>
      <c r="B342" s="172"/>
    </row>
    <row r="343" spans="1:2" s="169" customFormat="1" ht="20" customHeight="1" x14ac:dyDescent="0.45">
      <c r="A343" s="172"/>
      <c r="B343" s="172"/>
    </row>
    <row r="344" spans="1:2" s="169" customFormat="1" ht="20" customHeight="1" x14ac:dyDescent="0.45">
      <c r="A344" s="172"/>
      <c r="B344" s="172"/>
    </row>
    <row r="345" spans="1:2" s="169" customFormat="1" ht="20" customHeight="1" x14ac:dyDescent="0.45">
      <c r="A345" s="172"/>
      <c r="B345" s="172"/>
    </row>
    <row r="346" spans="1:2" s="169" customFormat="1" ht="20" customHeight="1" x14ac:dyDescent="0.45">
      <c r="A346" s="172"/>
      <c r="B346" s="172"/>
    </row>
    <row r="347" spans="1:2" s="169" customFormat="1" ht="20" customHeight="1" x14ac:dyDescent="0.45">
      <c r="A347" s="172"/>
      <c r="B347" s="172"/>
    </row>
    <row r="348" spans="1:2" s="169" customFormat="1" ht="20" customHeight="1" x14ac:dyDescent="0.45">
      <c r="A348" s="172"/>
      <c r="B348" s="172"/>
    </row>
    <row r="349" spans="1:2" s="169" customFormat="1" ht="20" customHeight="1" x14ac:dyDescent="0.45">
      <c r="A349" s="172"/>
      <c r="B349" s="172"/>
    </row>
    <row r="350" spans="1:2" s="169" customFormat="1" ht="20" customHeight="1" x14ac:dyDescent="0.45">
      <c r="A350" s="172"/>
      <c r="B350" s="172"/>
    </row>
    <row r="351" spans="1:2" s="169" customFormat="1" ht="20" customHeight="1" x14ac:dyDescent="0.45">
      <c r="A351" s="172"/>
      <c r="B351" s="172"/>
    </row>
    <row r="352" spans="1:2" s="169" customFormat="1" ht="20" customHeight="1" x14ac:dyDescent="0.45">
      <c r="A352" s="172"/>
      <c r="B352" s="172"/>
    </row>
    <row r="353" spans="1:2" s="169" customFormat="1" ht="20" customHeight="1" x14ac:dyDescent="0.45">
      <c r="A353" s="172"/>
      <c r="B353" s="172"/>
    </row>
    <row r="354" spans="1:2" s="169" customFormat="1" ht="20" customHeight="1" x14ac:dyDescent="0.45">
      <c r="A354" s="172"/>
      <c r="B354" s="172"/>
    </row>
    <row r="355" spans="1:2" s="169" customFormat="1" ht="20" customHeight="1" x14ac:dyDescent="0.45">
      <c r="A355" s="172"/>
      <c r="B355" s="172"/>
    </row>
    <row r="356" spans="1:2" s="169" customFormat="1" ht="20" customHeight="1" x14ac:dyDescent="0.45">
      <c r="A356" s="172"/>
      <c r="B356" s="172"/>
    </row>
    <row r="357" spans="1:2" s="169" customFormat="1" ht="20" customHeight="1" x14ac:dyDescent="0.45">
      <c r="A357" s="172"/>
      <c r="B357" s="172"/>
    </row>
    <row r="358" spans="1:2" s="169" customFormat="1" ht="20" customHeight="1" x14ac:dyDescent="0.45">
      <c r="A358" s="172"/>
      <c r="B358" s="172"/>
    </row>
    <row r="359" spans="1:2" s="169" customFormat="1" ht="20" customHeight="1" x14ac:dyDescent="0.45">
      <c r="A359" s="172"/>
      <c r="B359" s="172"/>
    </row>
    <row r="360" spans="1:2" s="169" customFormat="1" ht="20" customHeight="1" x14ac:dyDescent="0.45">
      <c r="A360" s="172"/>
      <c r="B360" s="172"/>
    </row>
    <row r="361" spans="1:2" s="169" customFormat="1" ht="20" customHeight="1" x14ac:dyDescent="0.45">
      <c r="A361" s="172"/>
      <c r="B361" s="172"/>
    </row>
    <row r="362" spans="1:2" s="169" customFormat="1" ht="20" customHeight="1" x14ac:dyDescent="0.45">
      <c r="A362" s="172"/>
      <c r="B362" s="172"/>
    </row>
    <row r="363" spans="1:2" s="169" customFormat="1" ht="20" customHeight="1" x14ac:dyDescent="0.45">
      <c r="A363" s="172"/>
      <c r="B363" s="172"/>
    </row>
    <row r="364" spans="1:2" s="169" customFormat="1" ht="20" customHeight="1" x14ac:dyDescent="0.45">
      <c r="A364" s="172"/>
      <c r="B364" s="172"/>
    </row>
    <row r="365" spans="1:2" s="169" customFormat="1" ht="20" customHeight="1" x14ac:dyDescent="0.45">
      <c r="A365" s="172"/>
      <c r="B365" s="172"/>
    </row>
    <row r="366" spans="1:2" s="169" customFormat="1" ht="20" customHeight="1" x14ac:dyDescent="0.45">
      <c r="A366" s="172"/>
      <c r="B366" s="172"/>
    </row>
    <row r="367" spans="1:2" s="169" customFormat="1" ht="20" customHeight="1" x14ac:dyDescent="0.45">
      <c r="A367" s="172"/>
      <c r="B367" s="172"/>
    </row>
    <row r="368" spans="1:2" s="169" customFormat="1" ht="20" customHeight="1" x14ac:dyDescent="0.45">
      <c r="A368" s="172"/>
      <c r="B368" s="172"/>
    </row>
    <row r="369" spans="1:2" s="169" customFormat="1" ht="20" customHeight="1" x14ac:dyDescent="0.45">
      <c r="A369" s="172"/>
      <c r="B369" s="172"/>
    </row>
    <row r="370" spans="1:2" s="169" customFormat="1" ht="20" customHeight="1" x14ac:dyDescent="0.45">
      <c r="A370" s="172"/>
      <c r="B370" s="172"/>
    </row>
    <row r="371" spans="1:2" s="169" customFormat="1" ht="20" customHeight="1" x14ac:dyDescent="0.45">
      <c r="A371" s="172"/>
      <c r="B371" s="172"/>
    </row>
    <row r="372" spans="1:2" s="169" customFormat="1" ht="20" customHeight="1" x14ac:dyDescent="0.45">
      <c r="A372" s="172"/>
      <c r="B372" s="172"/>
    </row>
    <row r="373" spans="1:2" s="169" customFormat="1" ht="20" customHeight="1" x14ac:dyDescent="0.45">
      <c r="A373" s="172"/>
      <c r="B373" s="172"/>
    </row>
    <row r="374" spans="1:2" s="169" customFormat="1" ht="20" customHeight="1" x14ac:dyDescent="0.45">
      <c r="A374" s="172"/>
      <c r="B374" s="172"/>
    </row>
    <row r="375" spans="1:2" s="169" customFormat="1" ht="20" customHeight="1" x14ac:dyDescent="0.45">
      <c r="A375" s="172"/>
      <c r="B375" s="172"/>
    </row>
    <row r="376" spans="1:2" s="169" customFormat="1" ht="20" customHeight="1" x14ac:dyDescent="0.45">
      <c r="A376" s="172"/>
      <c r="B376" s="172"/>
    </row>
    <row r="377" spans="1:2" s="169" customFormat="1" ht="20" customHeight="1" x14ac:dyDescent="0.45">
      <c r="A377" s="172"/>
      <c r="B377" s="172"/>
    </row>
    <row r="378" spans="1:2" s="169" customFormat="1" ht="20" customHeight="1" x14ac:dyDescent="0.45">
      <c r="A378" s="172"/>
      <c r="B378" s="172"/>
    </row>
    <row r="379" spans="1:2" s="169" customFormat="1" ht="20" customHeight="1" x14ac:dyDescent="0.45">
      <c r="A379" s="172"/>
      <c r="B379" s="172"/>
    </row>
    <row r="380" spans="1:2" s="169" customFormat="1" ht="20" customHeight="1" x14ac:dyDescent="0.45">
      <c r="A380" s="172"/>
      <c r="B380" s="172"/>
    </row>
    <row r="381" spans="1:2" s="169" customFormat="1" ht="20" customHeight="1" x14ac:dyDescent="0.45">
      <c r="A381" s="172"/>
      <c r="B381" s="172"/>
    </row>
    <row r="382" spans="1:2" s="169" customFormat="1" ht="20" customHeight="1" x14ac:dyDescent="0.45">
      <c r="A382" s="172"/>
      <c r="B382" s="172"/>
    </row>
    <row r="383" spans="1:2" s="169" customFormat="1" ht="20" customHeight="1" x14ac:dyDescent="0.45">
      <c r="A383" s="172"/>
      <c r="B383" s="172"/>
    </row>
    <row r="384" spans="1:2" s="169" customFormat="1" ht="20" customHeight="1" x14ac:dyDescent="0.45">
      <c r="A384" s="172"/>
      <c r="B384" s="172"/>
    </row>
    <row r="385" spans="1:2" s="169" customFormat="1" ht="20" customHeight="1" x14ac:dyDescent="0.45">
      <c r="A385" s="172"/>
      <c r="B385" s="172"/>
    </row>
    <row r="386" spans="1:2" s="169" customFormat="1" ht="20" customHeight="1" x14ac:dyDescent="0.45">
      <c r="A386" s="172"/>
      <c r="B386" s="172"/>
    </row>
    <row r="387" spans="1:2" s="169" customFormat="1" ht="20" customHeight="1" x14ac:dyDescent="0.45">
      <c r="A387" s="172"/>
      <c r="B387" s="172"/>
    </row>
    <row r="388" spans="1:2" s="169" customFormat="1" ht="20" customHeight="1" x14ac:dyDescent="0.45">
      <c r="A388" s="172"/>
      <c r="B388" s="172"/>
    </row>
    <row r="389" spans="1:2" s="169" customFormat="1" ht="20" customHeight="1" x14ac:dyDescent="0.45">
      <c r="A389" s="172"/>
      <c r="B389" s="172"/>
    </row>
    <row r="390" spans="1:2" s="169" customFormat="1" ht="20" customHeight="1" x14ac:dyDescent="0.45">
      <c r="A390" s="172"/>
      <c r="B390" s="172"/>
    </row>
    <row r="391" spans="1:2" s="169" customFormat="1" ht="20" customHeight="1" x14ac:dyDescent="0.45">
      <c r="A391" s="172"/>
      <c r="B391" s="172"/>
    </row>
    <row r="392" spans="1:2" s="169" customFormat="1" ht="20" customHeight="1" x14ac:dyDescent="0.45">
      <c r="A392" s="172"/>
      <c r="B392" s="172"/>
    </row>
    <row r="393" spans="1:2" s="169" customFormat="1" ht="20" customHeight="1" x14ac:dyDescent="0.45">
      <c r="A393" s="172"/>
      <c r="B393" s="172"/>
    </row>
    <row r="394" spans="1:2" s="169" customFormat="1" ht="20" customHeight="1" x14ac:dyDescent="0.45">
      <c r="A394" s="172"/>
      <c r="B394" s="172"/>
    </row>
    <row r="395" spans="1:2" s="169" customFormat="1" ht="20" customHeight="1" x14ac:dyDescent="0.45">
      <c r="A395" s="172"/>
      <c r="B395" s="172"/>
    </row>
    <row r="396" spans="1:2" s="169" customFormat="1" ht="20" customHeight="1" x14ac:dyDescent="0.45">
      <c r="A396" s="172"/>
      <c r="B396" s="172"/>
    </row>
    <row r="397" spans="1:2" s="169" customFormat="1" ht="20" customHeight="1" x14ac:dyDescent="0.45">
      <c r="A397" s="172"/>
      <c r="B397" s="172"/>
    </row>
    <row r="398" spans="1:2" s="169" customFormat="1" ht="20" customHeight="1" x14ac:dyDescent="0.45">
      <c r="A398" s="172"/>
      <c r="B398" s="172"/>
    </row>
    <row r="399" spans="1:2" s="169" customFormat="1" ht="20" customHeight="1" x14ac:dyDescent="0.45">
      <c r="A399" s="172"/>
      <c r="B399" s="172"/>
    </row>
    <row r="400" spans="1:2" s="169" customFormat="1" ht="20" customHeight="1" x14ac:dyDescent="0.45">
      <c r="A400" s="172"/>
      <c r="B400" s="172"/>
    </row>
    <row r="401" spans="1:2" s="169" customFormat="1" ht="20" customHeight="1" x14ac:dyDescent="0.45">
      <c r="A401" s="172"/>
      <c r="B401" s="172"/>
    </row>
    <row r="402" spans="1:2" s="169" customFormat="1" ht="20" customHeight="1" x14ac:dyDescent="0.45">
      <c r="A402" s="172"/>
      <c r="B402" s="172"/>
    </row>
    <row r="403" spans="1:2" s="169" customFormat="1" ht="20" customHeight="1" x14ac:dyDescent="0.45">
      <c r="A403" s="172"/>
      <c r="B403" s="172"/>
    </row>
    <row r="404" spans="1:2" s="169" customFormat="1" ht="20" customHeight="1" x14ac:dyDescent="0.45">
      <c r="A404" s="172"/>
      <c r="B404" s="172"/>
    </row>
    <row r="405" spans="1:2" s="169" customFormat="1" ht="20" customHeight="1" x14ac:dyDescent="0.45">
      <c r="A405" s="172"/>
      <c r="B405" s="172"/>
    </row>
    <row r="406" spans="1:2" s="169" customFormat="1" ht="20" customHeight="1" x14ac:dyDescent="0.45">
      <c r="A406" s="172"/>
      <c r="B406" s="172"/>
    </row>
    <row r="407" spans="1:2" s="169" customFormat="1" ht="20" customHeight="1" x14ac:dyDescent="0.45">
      <c r="A407" s="172"/>
      <c r="B407" s="172"/>
    </row>
    <row r="408" spans="1:2" s="169" customFormat="1" ht="20" customHeight="1" x14ac:dyDescent="0.45">
      <c r="A408" s="172"/>
      <c r="B408" s="172"/>
    </row>
    <row r="409" spans="1:2" s="169" customFormat="1" ht="20" customHeight="1" x14ac:dyDescent="0.45">
      <c r="A409" s="172"/>
      <c r="B409" s="172"/>
    </row>
    <row r="410" spans="1:2" s="169" customFormat="1" ht="20" customHeight="1" x14ac:dyDescent="0.45">
      <c r="A410" s="172"/>
      <c r="B410" s="172"/>
    </row>
    <row r="411" spans="1:2" s="169" customFormat="1" ht="20" customHeight="1" x14ac:dyDescent="0.45">
      <c r="A411" s="172"/>
      <c r="B411" s="172"/>
    </row>
    <row r="412" spans="1:2" s="169" customFormat="1" ht="20" customHeight="1" x14ac:dyDescent="0.45">
      <c r="A412" s="172"/>
      <c r="B412" s="172"/>
    </row>
    <row r="413" spans="1:2" s="169" customFormat="1" ht="20" customHeight="1" x14ac:dyDescent="0.45">
      <c r="A413" s="172"/>
      <c r="B413" s="172"/>
    </row>
    <row r="414" spans="1:2" s="169" customFormat="1" ht="20" customHeight="1" x14ac:dyDescent="0.45">
      <c r="A414" s="172"/>
      <c r="B414" s="172"/>
    </row>
    <row r="415" spans="1:2" s="169" customFormat="1" ht="20" customHeight="1" x14ac:dyDescent="0.45">
      <c r="A415" s="172"/>
      <c r="B415" s="172"/>
    </row>
    <row r="416" spans="1:2" s="169" customFormat="1" ht="20" customHeight="1" x14ac:dyDescent="0.45">
      <c r="A416" s="172"/>
      <c r="B416" s="172"/>
    </row>
    <row r="417" spans="1:2" s="169" customFormat="1" ht="20" customHeight="1" x14ac:dyDescent="0.45">
      <c r="A417" s="172"/>
      <c r="B417" s="172"/>
    </row>
    <row r="418" spans="1:2" s="169" customFormat="1" ht="20" customHeight="1" x14ac:dyDescent="0.45">
      <c r="A418" s="172"/>
      <c r="B418" s="172"/>
    </row>
    <row r="419" spans="1:2" s="169" customFormat="1" ht="20" customHeight="1" x14ac:dyDescent="0.45">
      <c r="A419" s="172"/>
      <c r="B419" s="172"/>
    </row>
    <row r="420" spans="1:2" s="169" customFormat="1" ht="20" customHeight="1" x14ac:dyDescent="0.45">
      <c r="A420" s="172"/>
      <c r="B420" s="172"/>
    </row>
    <row r="421" spans="1:2" s="169" customFormat="1" ht="20" customHeight="1" x14ac:dyDescent="0.45">
      <c r="A421" s="172"/>
      <c r="B421" s="172"/>
    </row>
    <row r="422" spans="1:2" s="169" customFormat="1" ht="20" customHeight="1" x14ac:dyDescent="0.45">
      <c r="A422" s="172"/>
      <c r="B422" s="172"/>
    </row>
    <row r="423" spans="1:2" s="169" customFormat="1" ht="20" customHeight="1" x14ac:dyDescent="0.45">
      <c r="A423" s="172"/>
      <c r="B423" s="172"/>
    </row>
    <row r="424" spans="1:2" s="169" customFormat="1" ht="20" customHeight="1" x14ac:dyDescent="0.45">
      <c r="A424" s="172"/>
      <c r="B424" s="172"/>
    </row>
    <row r="425" spans="1:2" s="169" customFormat="1" ht="20" customHeight="1" x14ac:dyDescent="0.45">
      <c r="A425" s="172"/>
      <c r="B425" s="172"/>
    </row>
    <row r="426" spans="1:2" s="169" customFormat="1" ht="20" customHeight="1" x14ac:dyDescent="0.45">
      <c r="A426" s="172"/>
      <c r="B426" s="172"/>
    </row>
    <row r="427" spans="1:2" s="169" customFormat="1" ht="20" customHeight="1" x14ac:dyDescent="0.45">
      <c r="A427" s="172"/>
      <c r="B427" s="172"/>
    </row>
    <row r="428" spans="1:2" s="169" customFormat="1" ht="20" customHeight="1" x14ac:dyDescent="0.45">
      <c r="A428" s="172"/>
      <c r="B428" s="172"/>
    </row>
    <row r="429" spans="1:2" s="169" customFormat="1" ht="20" customHeight="1" x14ac:dyDescent="0.45">
      <c r="A429" s="172"/>
      <c r="B429" s="172"/>
    </row>
    <row r="430" spans="1:2" s="169" customFormat="1" ht="20" customHeight="1" x14ac:dyDescent="0.45">
      <c r="A430" s="172"/>
      <c r="B430" s="172"/>
    </row>
    <row r="431" spans="1:2" s="169" customFormat="1" ht="20" customHeight="1" x14ac:dyDescent="0.45">
      <c r="A431" s="172"/>
      <c r="B431" s="172"/>
    </row>
    <row r="432" spans="1:2" s="169" customFormat="1" ht="20" customHeight="1" x14ac:dyDescent="0.45">
      <c r="A432" s="172"/>
      <c r="B432" s="172"/>
    </row>
    <row r="433" spans="1:2" s="169" customFormat="1" ht="20" customHeight="1" x14ac:dyDescent="0.45">
      <c r="A433" s="172"/>
      <c r="B433" s="172"/>
    </row>
    <row r="434" spans="1:2" s="169" customFormat="1" ht="20" customHeight="1" x14ac:dyDescent="0.45">
      <c r="A434" s="172"/>
      <c r="B434" s="172"/>
    </row>
    <row r="435" spans="1:2" s="169" customFormat="1" ht="20" customHeight="1" x14ac:dyDescent="0.45">
      <c r="A435" s="172"/>
      <c r="B435" s="172"/>
    </row>
    <row r="436" spans="1:2" s="169" customFormat="1" ht="20" customHeight="1" x14ac:dyDescent="0.45">
      <c r="A436" s="172"/>
      <c r="B436" s="172"/>
    </row>
    <row r="437" spans="1:2" s="169" customFormat="1" ht="20" customHeight="1" x14ac:dyDescent="0.45">
      <c r="A437" s="172"/>
      <c r="B437" s="172"/>
    </row>
    <row r="438" spans="1:2" s="169" customFormat="1" ht="20" customHeight="1" x14ac:dyDescent="0.45">
      <c r="A438" s="172"/>
      <c r="B438" s="172"/>
    </row>
    <row r="439" spans="1:2" s="169" customFormat="1" ht="20" customHeight="1" x14ac:dyDescent="0.45">
      <c r="A439" s="172"/>
      <c r="B439" s="172"/>
    </row>
    <row r="440" spans="1:2" s="169" customFormat="1" ht="20" customHeight="1" x14ac:dyDescent="0.45">
      <c r="A440" s="172"/>
      <c r="B440" s="172"/>
    </row>
    <row r="441" spans="1:2" s="169" customFormat="1" ht="20" customHeight="1" x14ac:dyDescent="0.45">
      <c r="A441" s="172"/>
      <c r="B441" s="172"/>
    </row>
    <row r="442" spans="1:2" s="169" customFormat="1" ht="20" customHeight="1" x14ac:dyDescent="0.45">
      <c r="A442" s="172"/>
      <c r="B442" s="172"/>
    </row>
    <row r="443" spans="1:2" s="169" customFormat="1" ht="20" customHeight="1" x14ac:dyDescent="0.45">
      <c r="A443" s="172"/>
      <c r="B443" s="172"/>
    </row>
    <row r="444" spans="1:2" s="169" customFormat="1" ht="20" customHeight="1" x14ac:dyDescent="0.45">
      <c r="A444" s="172"/>
      <c r="B444" s="172"/>
    </row>
    <row r="445" spans="1:2" s="169" customFormat="1" ht="20" customHeight="1" x14ac:dyDescent="0.45">
      <c r="A445" s="172"/>
      <c r="B445" s="172"/>
    </row>
    <row r="446" spans="1:2" s="169" customFormat="1" ht="20" customHeight="1" x14ac:dyDescent="0.45">
      <c r="A446" s="172"/>
      <c r="B446" s="172"/>
    </row>
    <row r="447" spans="1:2" s="169" customFormat="1" ht="20" customHeight="1" x14ac:dyDescent="0.45">
      <c r="A447" s="172"/>
      <c r="B447" s="172"/>
    </row>
    <row r="448" spans="1:2" s="169" customFormat="1" ht="20" customHeight="1" x14ac:dyDescent="0.45">
      <c r="A448" s="172"/>
      <c r="B448" s="172"/>
    </row>
    <row r="449" spans="1:2" s="169" customFormat="1" ht="20" customHeight="1" x14ac:dyDescent="0.45">
      <c r="A449" s="172"/>
      <c r="B449" s="172"/>
    </row>
    <row r="450" spans="1:2" s="169" customFormat="1" ht="20" customHeight="1" x14ac:dyDescent="0.45">
      <c r="A450" s="172"/>
      <c r="B450" s="172"/>
    </row>
    <row r="451" spans="1:2" s="169" customFormat="1" ht="20" customHeight="1" x14ac:dyDescent="0.45">
      <c r="A451" s="172"/>
      <c r="B451" s="172"/>
    </row>
    <row r="452" spans="1:2" s="169" customFormat="1" ht="20" customHeight="1" x14ac:dyDescent="0.45">
      <c r="A452" s="172"/>
      <c r="B452" s="172"/>
    </row>
    <row r="453" spans="1:2" s="169" customFormat="1" ht="20" customHeight="1" x14ac:dyDescent="0.45">
      <c r="A453" s="172"/>
      <c r="B453" s="172"/>
    </row>
    <row r="454" spans="1:2" s="169" customFormat="1" ht="20" customHeight="1" x14ac:dyDescent="0.45">
      <c r="A454" s="172"/>
      <c r="B454" s="172"/>
    </row>
    <row r="455" spans="1:2" s="169" customFormat="1" ht="20" customHeight="1" x14ac:dyDescent="0.45">
      <c r="A455" s="172"/>
      <c r="B455" s="172"/>
    </row>
    <row r="456" spans="1:2" s="169" customFormat="1" ht="20" customHeight="1" x14ac:dyDescent="0.45">
      <c r="A456" s="172"/>
      <c r="B456" s="172"/>
    </row>
    <row r="457" spans="1:2" s="169" customFormat="1" ht="20" customHeight="1" x14ac:dyDescent="0.45">
      <c r="A457" s="172"/>
      <c r="B457" s="172"/>
    </row>
    <row r="458" spans="1:2" s="169" customFormat="1" ht="20" customHeight="1" x14ac:dyDescent="0.45">
      <c r="A458" s="172"/>
      <c r="B458" s="172"/>
    </row>
    <row r="459" spans="1:2" s="169" customFormat="1" ht="20" customHeight="1" x14ac:dyDescent="0.45">
      <c r="A459" s="172"/>
      <c r="B459" s="172"/>
    </row>
    <row r="460" spans="1:2" s="169" customFormat="1" ht="20" customHeight="1" x14ac:dyDescent="0.45">
      <c r="A460" s="172"/>
      <c r="B460" s="172"/>
    </row>
    <row r="461" spans="1:2" s="169" customFormat="1" ht="20" customHeight="1" x14ac:dyDescent="0.45">
      <c r="A461" s="172"/>
      <c r="B461" s="172"/>
    </row>
    <row r="462" spans="1:2" s="169" customFormat="1" ht="20" customHeight="1" x14ac:dyDescent="0.45">
      <c r="A462" s="172"/>
      <c r="B462" s="172"/>
    </row>
    <row r="463" spans="1:2" s="169" customFormat="1" ht="20" customHeight="1" x14ac:dyDescent="0.45">
      <c r="A463" s="172"/>
      <c r="B463" s="172"/>
    </row>
    <row r="464" spans="1:2" s="169" customFormat="1" ht="20" customHeight="1" x14ac:dyDescent="0.45">
      <c r="A464" s="172"/>
      <c r="B464" s="172"/>
    </row>
    <row r="465" spans="1:2" s="169" customFormat="1" ht="20" customHeight="1" x14ac:dyDescent="0.45">
      <c r="A465" s="172"/>
      <c r="B465" s="172"/>
    </row>
    <row r="466" spans="1:2" s="169" customFormat="1" ht="20" customHeight="1" x14ac:dyDescent="0.45">
      <c r="A466" s="172"/>
      <c r="B466" s="172"/>
    </row>
    <row r="467" spans="1:2" s="169" customFormat="1" ht="20" customHeight="1" x14ac:dyDescent="0.45">
      <c r="A467" s="172"/>
      <c r="B467" s="172"/>
    </row>
    <row r="468" spans="1:2" s="169" customFormat="1" ht="20" customHeight="1" x14ac:dyDescent="0.45">
      <c r="A468" s="172"/>
      <c r="B468" s="172"/>
    </row>
    <row r="469" spans="1:2" s="169" customFormat="1" ht="20" customHeight="1" x14ac:dyDescent="0.45">
      <c r="A469" s="172"/>
      <c r="B469" s="172"/>
    </row>
    <row r="470" spans="1:2" s="169" customFormat="1" ht="20" customHeight="1" x14ac:dyDescent="0.45">
      <c r="A470" s="172"/>
      <c r="B470" s="172"/>
    </row>
    <row r="471" spans="1:2" s="169" customFormat="1" ht="20" customHeight="1" x14ac:dyDescent="0.45">
      <c r="A471" s="172"/>
      <c r="B471" s="172"/>
    </row>
    <row r="472" spans="1:2" s="169" customFormat="1" ht="20" customHeight="1" x14ac:dyDescent="0.45">
      <c r="A472" s="172"/>
      <c r="B472" s="172"/>
    </row>
    <row r="473" spans="1:2" s="169" customFormat="1" ht="20" customHeight="1" x14ac:dyDescent="0.45">
      <c r="A473" s="172"/>
      <c r="B473" s="172"/>
    </row>
    <row r="474" spans="1:2" s="169" customFormat="1" ht="20" customHeight="1" x14ac:dyDescent="0.45">
      <c r="A474" s="172"/>
      <c r="B474" s="172"/>
    </row>
    <row r="475" spans="1:2" s="169" customFormat="1" ht="20" customHeight="1" x14ac:dyDescent="0.45">
      <c r="A475" s="172"/>
      <c r="B475" s="172"/>
    </row>
    <row r="476" spans="1:2" s="169" customFormat="1" ht="20" customHeight="1" x14ac:dyDescent="0.45">
      <c r="A476" s="172"/>
      <c r="B476" s="172"/>
    </row>
    <row r="477" spans="1:2" s="169" customFormat="1" ht="20" customHeight="1" x14ac:dyDescent="0.45">
      <c r="A477" s="172"/>
      <c r="B477" s="172"/>
    </row>
    <row r="478" spans="1:2" s="169" customFormat="1" ht="20" customHeight="1" x14ac:dyDescent="0.45">
      <c r="A478" s="172"/>
      <c r="B478" s="172"/>
    </row>
    <row r="479" spans="1:2" s="169" customFormat="1" ht="20" customHeight="1" x14ac:dyDescent="0.45">
      <c r="A479" s="172"/>
      <c r="B479" s="172"/>
    </row>
    <row r="480" spans="1:2" s="169" customFormat="1" ht="20" customHeight="1" x14ac:dyDescent="0.45">
      <c r="A480" s="172"/>
      <c r="B480" s="172"/>
    </row>
    <row r="481" spans="1:2" s="169" customFormat="1" ht="20" customHeight="1" x14ac:dyDescent="0.45">
      <c r="A481" s="172"/>
      <c r="B481" s="172"/>
    </row>
    <row r="482" spans="1:2" s="169" customFormat="1" ht="20" customHeight="1" x14ac:dyDescent="0.45">
      <c r="A482" s="172"/>
      <c r="B482" s="172"/>
    </row>
    <row r="483" spans="1:2" s="169" customFormat="1" ht="20" customHeight="1" x14ac:dyDescent="0.45">
      <c r="A483" s="172"/>
      <c r="B483" s="172"/>
    </row>
    <row r="484" spans="1:2" s="169" customFormat="1" ht="20" customHeight="1" x14ac:dyDescent="0.45">
      <c r="A484" s="172"/>
      <c r="B484" s="172"/>
    </row>
    <row r="485" spans="1:2" s="169" customFormat="1" ht="20" customHeight="1" x14ac:dyDescent="0.45">
      <c r="A485" s="172"/>
      <c r="B485" s="172"/>
    </row>
    <row r="486" spans="1:2" s="169" customFormat="1" ht="20" customHeight="1" x14ac:dyDescent="0.45">
      <c r="A486" s="172"/>
      <c r="B486" s="172"/>
    </row>
    <row r="487" spans="1:2" s="169" customFormat="1" ht="20" customHeight="1" x14ac:dyDescent="0.45">
      <c r="A487" s="172"/>
      <c r="B487" s="172"/>
    </row>
    <row r="488" spans="1:2" s="169" customFormat="1" ht="20" customHeight="1" x14ac:dyDescent="0.45">
      <c r="A488" s="172"/>
      <c r="B488" s="172"/>
    </row>
    <row r="489" spans="1:2" s="169" customFormat="1" ht="20" customHeight="1" x14ac:dyDescent="0.45">
      <c r="A489" s="172"/>
      <c r="B489" s="172"/>
    </row>
    <row r="490" spans="1:2" s="169" customFormat="1" ht="20" customHeight="1" x14ac:dyDescent="0.45">
      <c r="A490" s="172"/>
      <c r="B490" s="172"/>
    </row>
    <row r="491" spans="1:2" s="169" customFormat="1" ht="20" customHeight="1" x14ac:dyDescent="0.45">
      <c r="A491" s="172"/>
      <c r="B491" s="172"/>
    </row>
    <row r="492" spans="1:2" s="169" customFormat="1" ht="20" customHeight="1" x14ac:dyDescent="0.45">
      <c r="A492" s="172"/>
      <c r="B492" s="172"/>
    </row>
    <row r="493" spans="1:2" s="169" customFormat="1" ht="20" customHeight="1" x14ac:dyDescent="0.45">
      <c r="A493" s="172"/>
      <c r="B493" s="172"/>
    </row>
    <row r="494" spans="1:2" s="169" customFormat="1" ht="20" customHeight="1" x14ac:dyDescent="0.45">
      <c r="A494" s="172"/>
      <c r="B494" s="172"/>
    </row>
    <row r="495" spans="1:2" s="169" customFormat="1" ht="20" customHeight="1" x14ac:dyDescent="0.45">
      <c r="A495" s="172"/>
      <c r="B495" s="172"/>
    </row>
    <row r="496" spans="1:2" s="169" customFormat="1" ht="20" customHeight="1" x14ac:dyDescent="0.45">
      <c r="A496" s="172"/>
      <c r="B496" s="172"/>
    </row>
    <row r="497" spans="1:2" s="169" customFormat="1" ht="20" customHeight="1" x14ac:dyDescent="0.45">
      <c r="A497" s="172"/>
      <c r="B497" s="172"/>
    </row>
    <row r="498" spans="1:2" s="169" customFormat="1" ht="20" customHeight="1" x14ac:dyDescent="0.45">
      <c r="A498" s="172"/>
      <c r="B498" s="172"/>
    </row>
    <row r="499" spans="1:2" s="169" customFormat="1" ht="20" customHeight="1" x14ac:dyDescent="0.45">
      <c r="A499" s="172"/>
      <c r="B499" s="172"/>
    </row>
    <row r="500" spans="1:2" s="169" customFormat="1" ht="20" customHeight="1" x14ac:dyDescent="0.45">
      <c r="A500" s="172"/>
      <c r="B500" s="172"/>
    </row>
    <row r="501" spans="1:2" s="169" customFormat="1" ht="20" customHeight="1" x14ac:dyDescent="0.45">
      <c r="A501" s="172"/>
      <c r="B501" s="172"/>
    </row>
    <row r="502" spans="1:2" s="169" customFormat="1" ht="20" customHeight="1" x14ac:dyDescent="0.45">
      <c r="A502" s="172"/>
      <c r="B502" s="172"/>
    </row>
    <row r="503" spans="1:2" s="169" customFormat="1" ht="20" customHeight="1" x14ac:dyDescent="0.45">
      <c r="A503" s="172"/>
      <c r="B503" s="172"/>
    </row>
    <row r="504" spans="1:2" s="169" customFormat="1" ht="20" customHeight="1" x14ac:dyDescent="0.45">
      <c r="A504" s="172"/>
      <c r="B504" s="172"/>
    </row>
    <row r="505" spans="1:2" s="169" customFormat="1" ht="20" customHeight="1" x14ac:dyDescent="0.45">
      <c r="A505" s="172"/>
      <c r="B505" s="172"/>
    </row>
    <row r="506" spans="1:2" s="169" customFormat="1" ht="20" customHeight="1" x14ac:dyDescent="0.45">
      <c r="A506" s="172"/>
      <c r="B506" s="172"/>
    </row>
    <row r="507" spans="1:2" s="169" customFormat="1" ht="20" customHeight="1" x14ac:dyDescent="0.45">
      <c r="A507" s="172"/>
      <c r="B507" s="172"/>
    </row>
    <row r="508" spans="1:2" s="169" customFormat="1" ht="20" customHeight="1" x14ac:dyDescent="0.45">
      <c r="A508" s="172"/>
      <c r="B508" s="172"/>
    </row>
    <row r="509" spans="1:2" s="169" customFormat="1" ht="20" customHeight="1" x14ac:dyDescent="0.45">
      <c r="A509" s="172"/>
      <c r="B509" s="172"/>
    </row>
    <row r="510" spans="1:2" s="169" customFormat="1" ht="20" customHeight="1" x14ac:dyDescent="0.45">
      <c r="A510" s="172"/>
      <c r="B510" s="172"/>
    </row>
    <row r="511" spans="1:2" s="169" customFormat="1" ht="20" customHeight="1" x14ac:dyDescent="0.45">
      <c r="A511" s="172"/>
      <c r="B511" s="172"/>
    </row>
    <row r="512" spans="1:2" s="169" customFormat="1" ht="20" customHeight="1" x14ac:dyDescent="0.45">
      <c r="A512" s="172"/>
      <c r="B512" s="172"/>
    </row>
    <row r="513" spans="1:2" s="169" customFormat="1" ht="20" customHeight="1" x14ac:dyDescent="0.45">
      <c r="A513" s="172"/>
      <c r="B513" s="172"/>
    </row>
    <row r="514" spans="1:2" s="169" customFormat="1" ht="20" customHeight="1" x14ac:dyDescent="0.45">
      <c r="A514" s="172"/>
      <c r="B514" s="172"/>
    </row>
    <row r="515" spans="1:2" s="169" customFormat="1" ht="20" customHeight="1" x14ac:dyDescent="0.45">
      <c r="A515" s="172"/>
      <c r="B515" s="172"/>
    </row>
    <row r="516" spans="1:2" s="169" customFormat="1" ht="20" customHeight="1" x14ac:dyDescent="0.45">
      <c r="A516" s="172"/>
      <c r="B516" s="172"/>
    </row>
    <row r="517" spans="1:2" s="169" customFormat="1" ht="20" customHeight="1" x14ac:dyDescent="0.45">
      <c r="A517" s="172"/>
      <c r="B517" s="172"/>
    </row>
    <row r="518" spans="1:2" s="169" customFormat="1" ht="20" customHeight="1" x14ac:dyDescent="0.45">
      <c r="A518" s="172"/>
      <c r="B518" s="172"/>
    </row>
    <row r="519" spans="1:2" s="169" customFormat="1" ht="20" customHeight="1" x14ac:dyDescent="0.45">
      <c r="A519" s="172"/>
      <c r="B519" s="172"/>
    </row>
    <row r="520" spans="1:2" s="169" customFormat="1" ht="20" customHeight="1" x14ac:dyDescent="0.45">
      <c r="A520" s="172"/>
      <c r="B520" s="172"/>
    </row>
    <row r="521" spans="1:2" s="169" customFormat="1" ht="20" customHeight="1" x14ac:dyDescent="0.45">
      <c r="A521" s="172"/>
      <c r="B521" s="172"/>
    </row>
    <row r="522" spans="1:2" s="169" customFormat="1" ht="20" customHeight="1" x14ac:dyDescent="0.45">
      <c r="A522" s="172"/>
      <c r="B522" s="172"/>
    </row>
    <row r="523" spans="1:2" s="169" customFormat="1" ht="20" customHeight="1" x14ac:dyDescent="0.45">
      <c r="A523" s="172"/>
      <c r="B523" s="172"/>
    </row>
    <row r="524" spans="1:2" s="169" customFormat="1" ht="20" customHeight="1" x14ac:dyDescent="0.45">
      <c r="A524" s="172"/>
      <c r="B524" s="172"/>
    </row>
    <row r="525" spans="1:2" s="169" customFormat="1" ht="20" customHeight="1" x14ac:dyDescent="0.45">
      <c r="A525" s="172"/>
      <c r="B525" s="172"/>
    </row>
    <row r="526" spans="1:2" s="169" customFormat="1" ht="20" customHeight="1" x14ac:dyDescent="0.45">
      <c r="A526" s="172"/>
      <c r="B526" s="172"/>
    </row>
    <row r="527" spans="1:2" s="169" customFormat="1" ht="20" customHeight="1" x14ac:dyDescent="0.45">
      <c r="A527" s="172"/>
      <c r="B527" s="172"/>
    </row>
    <row r="528" spans="1:2" s="169" customFormat="1" ht="20" customHeight="1" x14ac:dyDescent="0.45">
      <c r="A528" s="172"/>
      <c r="B528" s="172"/>
    </row>
    <row r="529" spans="1:2" s="169" customFormat="1" ht="20" customHeight="1" x14ac:dyDescent="0.45">
      <c r="A529" s="172"/>
      <c r="B529" s="172"/>
    </row>
    <row r="530" spans="1:2" s="169" customFormat="1" ht="20" customHeight="1" x14ac:dyDescent="0.45">
      <c r="A530" s="172"/>
      <c r="B530" s="172"/>
    </row>
    <row r="531" spans="1:2" s="169" customFormat="1" ht="20" customHeight="1" x14ac:dyDescent="0.45">
      <c r="A531" s="172"/>
      <c r="B531" s="172"/>
    </row>
    <row r="532" spans="1:2" s="169" customFormat="1" ht="20" customHeight="1" x14ac:dyDescent="0.45">
      <c r="A532" s="172"/>
      <c r="B532" s="172"/>
    </row>
    <row r="533" spans="1:2" s="169" customFormat="1" ht="20" customHeight="1" x14ac:dyDescent="0.45">
      <c r="A533" s="172"/>
      <c r="B533" s="172"/>
    </row>
    <row r="534" spans="1:2" s="169" customFormat="1" ht="20" customHeight="1" x14ac:dyDescent="0.45">
      <c r="A534" s="172"/>
      <c r="B534" s="172"/>
    </row>
    <row r="535" spans="1:2" s="169" customFormat="1" ht="20" customHeight="1" x14ac:dyDescent="0.45">
      <c r="A535" s="172"/>
      <c r="B535" s="172"/>
    </row>
    <row r="536" spans="1:2" s="169" customFormat="1" ht="20" customHeight="1" x14ac:dyDescent="0.45">
      <c r="A536" s="172"/>
      <c r="B536" s="172"/>
    </row>
    <row r="537" spans="1:2" s="169" customFormat="1" ht="20" customHeight="1" x14ac:dyDescent="0.45">
      <c r="A537" s="172"/>
      <c r="B537" s="172"/>
    </row>
    <row r="538" spans="1:2" s="169" customFormat="1" ht="20" customHeight="1" x14ac:dyDescent="0.45">
      <c r="A538" s="172"/>
      <c r="B538" s="172"/>
    </row>
    <row r="539" spans="1:2" s="169" customFormat="1" ht="20" customHeight="1" x14ac:dyDescent="0.45">
      <c r="A539" s="172"/>
      <c r="B539" s="172"/>
    </row>
    <row r="540" spans="1:2" s="169" customFormat="1" ht="20" customHeight="1" x14ac:dyDescent="0.45">
      <c r="A540" s="172"/>
      <c r="B540" s="172"/>
    </row>
    <row r="541" spans="1:2" s="169" customFormat="1" ht="20" customHeight="1" x14ac:dyDescent="0.45">
      <c r="A541" s="172"/>
      <c r="B541" s="172"/>
    </row>
    <row r="542" spans="1:2" s="169" customFormat="1" ht="20" customHeight="1" x14ac:dyDescent="0.45">
      <c r="A542" s="172"/>
      <c r="B542" s="172"/>
    </row>
    <row r="543" spans="1:2" s="169" customFormat="1" ht="20" customHeight="1" x14ac:dyDescent="0.45">
      <c r="A543" s="172"/>
      <c r="B543" s="172"/>
    </row>
    <row r="544" spans="1:2" s="169" customFormat="1" ht="20" customHeight="1" x14ac:dyDescent="0.45">
      <c r="A544" s="172"/>
      <c r="B544" s="172"/>
    </row>
    <row r="545" spans="1:2" s="169" customFormat="1" ht="20" customHeight="1" x14ac:dyDescent="0.45">
      <c r="A545" s="172"/>
      <c r="B545" s="172"/>
    </row>
    <row r="546" spans="1:2" s="169" customFormat="1" ht="20" customHeight="1" x14ac:dyDescent="0.45">
      <c r="A546" s="172"/>
      <c r="B546" s="172"/>
    </row>
    <row r="547" spans="1:2" s="169" customFormat="1" ht="20" customHeight="1" x14ac:dyDescent="0.45">
      <c r="A547" s="172"/>
      <c r="B547" s="172"/>
    </row>
    <row r="548" spans="1:2" s="169" customFormat="1" ht="20" customHeight="1" x14ac:dyDescent="0.45">
      <c r="A548" s="172"/>
      <c r="B548" s="172"/>
    </row>
    <row r="549" spans="1:2" s="169" customFormat="1" ht="20" customHeight="1" x14ac:dyDescent="0.45">
      <c r="A549" s="172"/>
      <c r="B549" s="172"/>
    </row>
    <row r="550" spans="1:2" s="169" customFormat="1" ht="20" customHeight="1" x14ac:dyDescent="0.45">
      <c r="A550" s="172"/>
      <c r="B550" s="172"/>
    </row>
    <row r="551" spans="1:2" s="169" customFormat="1" ht="20" customHeight="1" x14ac:dyDescent="0.45">
      <c r="A551" s="172"/>
      <c r="B551" s="172"/>
    </row>
    <row r="552" spans="1:2" s="169" customFormat="1" ht="20" customHeight="1" x14ac:dyDescent="0.45">
      <c r="A552" s="172"/>
      <c r="B552" s="172"/>
    </row>
    <row r="553" spans="1:2" s="169" customFormat="1" ht="20" customHeight="1" x14ac:dyDescent="0.45">
      <c r="A553" s="172"/>
      <c r="B553" s="172"/>
    </row>
    <row r="554" spans="1:2" s="169" customFormat="1" ht="20" customHeight="1" x14ac:dyDescent="0.45">
      <c r="A554" s="172"/>
      <c r="B554" s="172"/>
    </row>
    <row r="555" spans="1:2" s="169" customFormat="1" ht="20" customHeight="1" x14ac:dyDescent="0.45">
      <c r="A555" s="172"/>
      <c r="B555" s="172"/>
    </row>
    <row r="556" spans="1:2" s="169" customFormat="1" ht="20" customHeight="1" x14ac:dyDescent="0.45">
      <c r="A556" s="172"/>
      <c r="B556" s="172"/>
    </row>
    <row r="557" spans="1:2" s="169" customFormat="1" ht="20" customHeight="1" x14ac:dyDescent="0.45">
      <c r="A557" s="172"/>
      <c r="B557" s="172"/>
    </row>
    <row r="558" spans="1:2" s="169" customFormat="1" ht="20" customHeight="1" x14ac:dyDescent="0.45">
      <c r="A558" s="172"/>
      <c r="B558" s="172"/>
    </row>
    <row r="559" spans="1:2" s="169" customFormat="1" ht="20" customHeight="1" x14ac:dyDescent="0.45">
      <c r="A559" s="172"/>
      <c r="B559" s="172"/>
    </row>
    <row r="560" spans="1:2" s="169" customFormat="1" ht="20" customHeight="1" x14ac:dyDescent="0.45">
      <c r="A560" s="172"/>
      <c r="B560" s="172"/>
    </row>
    <row r="561" spans="1:2" s="169" customFormat="1" ht="20" customHeight="1" x14ac:dyDescent="0.45">
      <c r="A561" s="172"/>
      <c r="B561" s="172"/>
    </row>
    <row r="562" spans="1:2" s="169" customFormat="1" ht="20" customHeight="1" x14ac:dyDescent="0.45">
      <c r="A562" s="172"/>
      <c r="B562" s="172"/>
    </row>
    <row r="563" spans="1:2" s="169" customFormat="1" ht="20" customHeight="1" x14ac:dyDescent="0.45">
      <c r="A563" s="172"/>
      <c r="B563" s="172"/>
    </row>
    <row r="564" spans="1:2" s="169" customFormat="1" ht="20" customHeight="1" x14ac:dyDescent="0.45">
      <c r="A564" s="172"/>
      <c r="B564" s="172"/>
    </row>
    <row r="565" spans="1:2" s="169" customFormat="1" ht="20" customHeight="1" x14ac:dyDescent="0.45">
      <c r="A565" s="172"/>
      <c r="B565" s="172"/>
    </row>
    <row r="566" spans="1:2" s="169" customFormat="1" ht="20" customHeight="1" x14ac:dyDescent="0.45">
      <c r="A566" s="172"/>
      <c r="B566" s="172"/>
    </row>
    <row r="567" spans="1:2" s="169" customFormat="1" ht="20" customHeight="1" x14ac:dyDescent="0.45">
      <c r="A567" s="172"/>
      <c r="B567" s="172"/>
    </row>
    <row r="568" spans="1:2" s="169" customFormat="1" ht="20" customHeight="1" x14ac:dyDescent="0.45">
      <c r="A568" s="172"/>
      <c r="B568" s="172"/>
    </row>
    <row r="569" spans="1:2" s="169" customFormat="1" ht="20" customHeight="1" x14ac:dyDescent="0.45">
      <c r="A569" s="172"/>
      <c r="B569" s="172"/>
    </row>
    <row r="570" spans="1:2" s="169" customFormat="1" ht="20" customHeight="1" x14ac:dyDescent="0.45">
      <c r="A570" s="172"/>
      <c r="B570" s="172"/>
    </row>
    <row r="571" spans="1:2" s="169" customFormat="1" ht="20" customHeight="1" x14ac:dyDescent="0.45">
      <c r="A571" s="172"/>
      <c r="B571" s="172"/>
    </row>
    <row r="572" spans="1:2" s="169" customFormat="1" ht="20" customHeight="1" x14ac:dyDescent="0.45">
      <c r="A572" s="172"/>
      <c r="B572" s="172"/>
    </row>
    <row r="573" spans="1:2" s="169" customFormat="1" ht="20" customHeight="1" x14ac:dyDescent="0.45">
      <c r="A573" s="172"/>
      <c r="B573" s="172"/>
    </row>
    <row r="574" spans="1:2" s="169" customFormat="1" ht="20" customHeight="1" x14ac:dyDescent="0.45">
      <c r="A574" s="172"/>
      <c r="B574" s="172"/>
    </row>
    <row r="575" spans="1:2" s="169" customFormat="1" ht="20" customHeight="1" x14ac:dyDescent="0.45">
      <c r="A575" s="172"/>
      <c r="B575" s="172"/>
    </row>
    <row r="576" spans="1:2" s="169" customFormat="1" ht="20" customHeight="1" x14ac:dyDescent="0.45">
      <c r="A576" s="172"/>
      <c r="B576" s="172"/>
    </row>
    <row r="577" spans="1:2" s="169" customFormat="1" ht="20" customHeight="1" x14ac:dyDescent="0.45">
      <c r="A577" s="172"/>
      <c r="B577" s="172"/>
    </row>
    <row r="578" spans="1:2" s="169" customFormat="1" ht="20" customHeight="1" x14ac:dyDescent="0.45">
      <c r="A578" s="172"/>
      <c r="B578" s="172"/>
    </row>
    <row r="579" spans="1:2" s="169" customFormat="1" ht="20" customHeight="1" x14ac:dyDescent="0.45">
      <c r="A579" s="172"/>
      <c r="B579" s="172"/>
    </row>
    <row r="580" spans="1:2" s="169" customFormat="1" ht="20" customHeight="1" x14ac:dyDescent="0.45">
      <c r="A580" s="172"/>
      <c r="B580" s="172"/>
    </row>
    <row r="581" spans="1:2" s="169" customFormat="1" ht="20" customHeight="1" x14ac:dyDescent="0.45">
      <c r="A581" s="172"/>
      <c r="B581" s="172"/>
    </row>
    <row r="582" spans="1:2" s="169" customFormat="1" ht="20" customHeight="1" x14ac:dyDescent="0.45">
      <c r="A582" s="172"/>
      <c r="B582" s="172"/>
    </row>
    <row r="583" spans="1:2" s="169" customFormat="1" ht="20" customHeight="1" x14ac:dyDescent="0.45">
      <c r="A583" s="172"/>
      <c r="B583" s="172"/>
    </row>
    <row r="584" spans="1:2" s="169" customFormat="1" ht="20" customHeight="1" x14ac:dyDescent="0.45">
      <c r="A584" s="172"/>
      <c r="B584" s="172"/>
    </row>
    <row r="585" spans="1:2" s="169" customFormat="1" ht="20" customHeight="1" x14ac:dyDescent="0.45">
      <c r="A585" s="172"/>
      <c r="B585" s="172"/>
    </row>
    <row r="586" spans="1:2" s="169" customFormat="1" ht="20" customHeight="1" x14ac:dyDescent="0.45">
      <c r="A586" s="172"/>
      <c r="B586" s="172"/>
    </row>
    <row r="587" spans="1:2" s="169" customFormat="1" ht="20" customHeight="1" x14ac:dyDescent="0.45">
      <c r="A587" s="172"/>
      <c r="B587" s="172"/>
    </row>
    <row r="588" spans="1:2" s="169" customFormat="1" ht="20" customHeight="1" x14ac:dyDescent="0.45">
      <c r="A588" s="172"/>
      <c r="B588" s="172"/>
    </row>
    <row r="589" spans="1:2" s="169" customFormat="1" ht="20" customHeight="1" x14ac:dyDescent="0.45">
      <c r="A589" s="172"/>
      <c r="B589" s="172"/>
    </row>
    <row r="590" spans="1:2" s="169" customFormat="1" ht="20" customHeight="1" x14ac:dyDescent="0.45">
      <c r="A590" s="172"/>
      <c r="B590" s="172"/>
    </row>
    <row r="591" spans="1:2" s="169" customFormat="1" ht="20" customHeight="1" x14ac:dyDescent="0.45">
      <c r="A591" s="172"/>
      <c r="B591" s="172"/>
    </row>
    <row r="592" spans="1:2" s="169" customFormat="1" ht="20" customHeight="1" x14ac:dyDescent="0.45">
      <c r="A592" s="172"/>
      <c r="B592" s="172"/>
    </row>
    <row r="593" spans="1:2" s="169" customFormat="1" ht="20" customHeight="1" x14ac:dyDescent="0.45">
      <c r="A593" s="172"/>
      <c r="B593" s="172"/>
    </row>
    <row r="594" spans="1:2" s="169" customFormat="1" ht="20" customHeight="1" x14ac:dyDescent="0.45">
      <c r="A594" s="172"/>
      <c r="B594" s="172"/>
    </row>
    <row r="595" spans="1:2" s="169" customFormat="1" ht="20" customHeight="1" x14ac:dyDescent="0.45">
      <c r="A595" s="172"/>
      <c r="B595" s="172"/>
    </row>
    <row r="596" spans="1:2" s="169" customFormat="1" ht="20" customHeight="1" x14ac:dyDescent="0.45">
      <c r="A596" s="172"/>
      <c r="B596" s="172"/>
    </row>
    <row r="597" spans="1:2" s="169" customFormat="1" ht="20" customHeight="1" x14ac:dyDescent="0.45">
      <c r="A597" s="172"/>
      <c r="B597" s="172"/>
    </row>
    <row r="598" spans="1:2" s="169" customFormat="1" ht="20" customHeight="1" x14ac:dyDescent="0.45">
      <c r="A598" s="172"/>
      <c r="B598" s="172"/>
    </row>
    <row r="599" spans="1:2" s="169" customFormat="1" ht="20" customHeight="1" x14ac:dyDescent="0.45">
      <c r="A599" s="172"/>
      <c r="B599" s="172"/>
    </row>
    <row r="600" spans="1:2" s="169" customFormat="1" ht="20" customHeight="1" x14ac:dyDescent="0.45">
      <c r="A600" s="172"/>
      <c r="B600" s="172"/>
    </row>
    <row r="601" spans="1:2" s="169" customFormat="1" ht="20" customHeight="1" x14ac:dyDescent="0.45">
      <c r="A601" s="172"/>
      <c r="B601" s="172"/>
    </row>
    <row r="602" spans="1:2" s="169" customFormat="1" ht="20" customHeight="1" x14ac:dyDescent="0.45">
      <c r="A602" s="172"/>
      <c r="B602" s="172"/>
    </row>
    <row r="603" spans="1:2" s="169" customFormat="1" ht="20" customHeight="1" x14ac:dyDescent="0.45">
      <c r="A603" s="172"/>
      <c r="B603" s="172"/>
    </row>
    <row r="604" spans="1:2" s="169" customFormat="1" ht="20" customHeight="1" x14ac:dyDescent="0.45">
      <c r="A604" s="172"/>
      <c r="B604" s="172"/>
    </row>
    <row r="605" spans="1:2" s="169" customFormat="1" ht="20" customHeight="1" x14ac:dyDescent="0.45">
      <c r="A605" s="172"/>
      <c r="B605" s="172"/>
    </row>
    <row r="606" spans="1:2" s="169" customFormat="1" ht="20" customHeight="1" x14ac:dyDescent="0.45">
      <c r="A606" s="172"/>
      <c r="B606" s="172"/>
    </row>
    <row r="607" spans="1:2" s="169" customFormat="1" ht="20" customHeight="1" x14ac:dyDescent="0.45">
      <c r="A607" s="172"/>
      <c r="B607" s="172"/>
    </row>
    <row r="608" spans="1:2" s="169" customFormat="1" ht="20" customHeight="1" x14ac:dyDescent="0.45">
      <c r="A608" s="172"/>
      <c r="B608" s="172"/>
    </row>
    <row r="609" spans="1:2" s="169" customFormat="1" ht="20" customHeight="1" x14ac:dyDescent="0.45">
      <c r="A609" s="172"/>
      <c r="B609" s="172"/>
    </row>
    <row r="610" spans="1:2" s="169" customFormat="1" ht="20" customHeight="1" x14ac:dyDescent="0.45">
      <c r="A610" s="172"/>
      <c r="B610" s="172"/>
    </row>
    <row r="611" spans="1:2" s="169" customFormat="1" ht="20" customHeight="1" x14ac:dyDescent="0.45">
      <c r="A611" s="172"/>
      <c r="B611" s="172"/>
    </row>
    <row r="612" spans="1:2" s="169" customFormat="1" ht="20" customHeight="1" x14ac:dyDescent="0.45">
      <c r="A612" s="172"/>
      <c r="B612" s="172"/>
    </row>
    <row r="613" spans="1:2" s="169" customFormat="1" ht="20" customHeight="1" x14ac:dyDescent="0.45">
      <c r="A613" s="172"/>
      <c r="B613" s="172"/>
    </row>
    <row r="614" spans="1:2" s="169" customFormat="1" ht="20" customHeight="1" x14ac:dyDescent="0.45">
      <c r="A614" s="172"/>
      <c r="B614" s="172"/>
    </row>
    <row r="615" spans="1:2" s="169" customFormat="1" ht="20" customHeight="1" x14ac:dyDescent="0.45">
      <c r="A615" s="172"/>
      <c r="B615" s="172"/>
    </row>
    <row r="616" spans="1:2" s="169" customFormat="1" ht="20" customHeight="1" x14ac:dyDescent="0.45">
      <c r="A616" s="172"/>
      <c r="B616" s="172"/>
    </row>
    <row r="617" spans="1:2" s="169" customFormat="1" ht="20" customHeight="1" x14ac:dyDescent="0.45">
      <c r="A617" s="172"/>
      <c r="B617" s="172"/>
    </row>
    <row r="618" spans="1:2" s="169" customFormat="1" ht="20" customHeight="1" x14ac:dyDescent="0.45">
      <c r="A618" s="172"/>
      <c r="B618" s="172"/>
    </row>
    <row r="619" spans="1:2" s="169" customFormat="1" ht="20" customHeight="1" x14ac:dyDescent="0.45">
      <c r="A619" s="172"/>
      <c r="B619" s="172"/>
    </row>
    <row r="620" spans="1:2" s="169" customFormat="1" ht="20" customHeight="1" x14ac:dyDescent="0.45">
      <c r="A620" s="172"/>
      <c r="B620" s="172"/>
    </row>
    <row r="621" spans="1:2" s="169" customFormat="1" ht="20" customHeight="1" x14ac:dyDescent="0.45">
      <c r="A621" s="172"/>
      <c r="B621" s="172"/>
    </row>
    <row r="622" spans="1:2" s="169" customFormat="1" ht="20" customHeight="1" x14ac:dyDescent="0.45">
      <c r="A622" s="172"/>
      <c r="B622" s="172"/>
    </row>
    <row r="623" spans="1:2" s="169" customFormat="1" ht="20" customHeight="1" x14ac:dyDescent="0.45">
      <c r="A623" s="172"/>
      <c r="B623" s="172"/>
    </row>
    <row r="624" spans="1:2" s="169" customFormat="1" ht="20" customHeight="1" x14ac:dyDescent="0.45">
      <c r="A624" s="172"/>
      <c r="B624" s="172"/>
    </row>
    <row r="625" spans="1:2" s="169" customFormat="1" ht="20" customHeight="1" x14ac:dyDescent="0.45">
      <c r="A625" s="172"/>
      <c r="B625" s="172"/>
    </row>
    <row r="626" spans="1:2" s="169" customFormat="1" ht="20" customHeight="1" x14ac:dyDescent="0.45">
      <c r="A626" s="172"/>
      <c r="B626" s="172"/>
    </row>
    <row r="627" spans="1:2" s="169" customFormat="1" ht="20" customHeight="1" x14ac:dyDescent="0.45">
      <c r="A627" s="172"/>
      <c r="B627" s="172"/>
    </row>
    <row r="628" spans="1:2" s="169" customFormat="1" ht="20" customHeight="1" x14ac:dyDescent="0.45">
      <c r="A628" s="172"/>
      <c r="B628" s="172"/>
    </row>
    <row r="629" spans="1:2" s="169" customFormat="1" ht="20" customHeight="1" x14ac:dyDescent="0.45">
      <c r="A629" s="172"/>
      <c r="B629" s="172"/>
    </row>
    <row r="630" spans="1:2" s="169" customFormat="1" ht="20" customHeight="1" x14ac:dyDescent="0.45">
      <c r="A630" s="172"/>
      <c r="B630" s="172"/>
    </row>
    <row r="631" spans="1:2" s="169" customFormat="1" ht="20" customHeight="1" x14ac:dyDescent="0.45">
      <c r="A631" s="172"/>
      <c r="B631" s="172"/>
    </row>
    <row r="632" spans="1:2" s="169" customFormat="1" ht="20" customHeight="1" x14ac:dyDescent="0.45">
      <c r="A632" s="172"/>
      <c r="B632" s="172"/>
    </row>
    <row r="633" spans="1:2" s="169" customFormat="1" ht="20" customHeight="1" x14ac:dyDescent="0.45">
      <c r="A633" s="172"/>
      <c r="B633" s="172"/>
    </row>
    <row r="634" spans="1:2" s="169" customFormat="1" ht="20" customHeight="1" x14ac:dyDescent="0.45">
      <c r="A634" s="172"/>
      <c r="B634" s="172"/>
    </row>
    <row r="635" spans="1:2" s="169" customFormat="1" ht="20" customHeight="1" x14ac:dyDescent="0.45">
      <c r="A635" s="172"/>
      <c r="B635" s="172"/>
    </row>
    <row r="636" spans="1:2" s="169" customFormat="1" ht="20" customHeight="1" x14ac:dyDescent="0.45">
      <c r="A636" s="172"/>
      <c r="B636" s="172"/>
    </row>
    <row r="637" spans="1:2" s="169" customFormat="1" ht="20" customHeight="1" x14ac:dyDescent="0.45">
      <c r="A637" s="172"/>
      <c r="B637" s="172"/>
    </row>
    <row r="638" spans="1:2" s="169" customFormat="1" ht="20" customHeight="1" x14ac:dyDescent="0.45">
      <c r="A638" s="172"/>
      <c r="B638" s="172"/>
    </row>
    <row r="639" spans="1:2" s="169" customFormat="1" ht="20" customHeight="1" x14ac:dyDescent="0.45">
      <c r="A639" s="172"/>
      <c r="B639" s="172"/>
    </row>
    <row r="640" spans="1:2" s="169" customFormat="1" ht="20" customHeight="1" x14ac:dyDescent="0.45">
      <c r="A640" s="172"/>
      <c r="B640" s="172"/>
    </row>
    <row r="641" spans="1:2" s="169" customFormat="1" ht="20" customHeight="1" x14ac:dyDescent="0.45">
      <c r="A641" s="172"/>
      <c r="B641" s="172"/>
    </row>
    <row r="642" spans="1:2" s="169" customFormat="1" ht="20" customHeight="1" x14ac:dyDescent="0.45">
      <c r="A642" s="172"/>
      <c r="B642" s="172"/>
    </row>
    <row r="643" spans="1:2" s="169" customFormat="1" ht="20" customHeight="1" x14ac:dyDescent="0.45">
      <c r="A643" s="172"/>
      <c r="B643" s="172"/>
    </row>
    <row r="644" spans="1:2" s="169" customFormat="1" ht="20" customHeight="1" x14ac:dyDescent="0.45">
      <c r="A644" s="172"/>
      <c r="B644" s="172"/>
    </row>
    <row r="645" spans="1:2" s="169" customFormat="1" ht="20" customHeight="1" x14ac:dyDescent="0.45">
      <c r="A645" s="172"/>
      <c r="B645" s="172"/>
    </row>
    <row r="646" spans="1:2" s="169" customFormat="1" ht="20" customHeight="1" x14ac:dyDescent="0.45">
      <c r="A646" s="172"/>
      <c r="B646" s="172"/>
    </row>
    <row r="647" spans="1:2" s="169" customFormat="1" ht="20" customHeight="1" x14ac:dyDescent="0.45">
      <c r="A647" s="172"/>
      <c r="B647" s="172"/>
    </row>
    <row r="648" spans="1:2" s="169" customFormat="1" ht="20" customHeight="1" x14ac:dyDescent="0.45">
      <c r="A648" s="172"/>
      <c r="B648" s="172"/>
    </row>
    <row r="649" spans="1:2" s="169" customFormat="1" ht="20" customHeight="1" x14ac:dyDescent="0.45">
      <c r="A649" s="172"/>
      <c r="B649" s="172"/>
    </row>
    <row r="650" spans="1:2" s="169" customFormat="1" ht="20" customHeight="1" x14ac:dyDescent="0.45">
      <c r="A650" s="172"/>
      <c r="B650" s="172"/>
    </row>
    <row r="651" spans="1:2" s="169" customFormat="1" ht="20" customHeight="1" x14ac:dyDescent="0.45">
      <c r="A651" s="172"/>
      <c r="B651" s="172"/>
    </row>
    <row r="652" spans="1:2" s="169" customFormat="1" ht="20" customHeight="1" x14ac:dyDescent="0.45">
      <c r="A652" s="172"/>
      <c r="B652" s="172"/>
    </row>
    <row r="653" spans="1:2" s="169" customFormat="1" ht="20" customHeight="1" x14ac:dyDescent="0.45">
      <c r="A653" s="172"/>
      <c r="B653" s="172"/>
    </row>
    <row r="654" spans="1:2" s="169" customFormat="1" ht="20" customHeight="1" x14ac:dyDescent="0.45">
      <c r="A654" s="172"/>
      <c r="B654" s="172"/>
    </row>
    <row r="655" spans="1:2" s="169" customFormat="1" ht="20" customHeight="1" x14ac:dyDescent="0.45">
      <c r="A655" s="172"/>
      <c r="B655" s="172"/>
    </row>
    <row r="656" spans="1:2" s="169" customFormat="1" ht="20" customHeight="1" x14ac:dyDescent="0.45">
      <c r="A656" s="172"/>
      <c r="B656" s="172"/>
    </row>
    <row r="657" spans="1:2" s="169" customFormat="1" ht="20" customHeight="1" x14ac:dyDescent="0.45">
      <c r="A657" s="172"/>
      <c r="B657" s="172"/>
    </row>
    <row r="658" spans="1:2" s="169" customFormat="1" ht="20" customHeight="1" x14ac:dyDescent="0.45">
      <c r="A658" s="172"/>
      <c r="B658" s="172"/>
    </row>
    <row r="659" spans="1:2" s="169" customFormat="1" ht="20" customHeight="1" x14ac:dyDescent="0.45">
      <c r="A659" s="172"/>
      <c r="B659" s="172"/>
    </row>
    <row r="660" spans="1:2" s="169" customFormat="1" ht="20" customHeight="1" x14ac:dyDescent="0.45">
      <c r="A660" s="172"/>
      <c r="B660" s="172"/>
    </row>
    <row r="661" spans="1:2" s="169" customFormat="1" ht="20" customHeight="1" x14ac:dyDescent="0.45">
      <c r="A661" s="172"/>
      <c r="B661" s="172"/>
    </row>
    <row r="662" spans="1:2" s="169" customFormat="1" ht="20" customHeight="1" x14ac:dyDescent="0.45">
      <c r="A662" s="172"/>
      <c r="B662" s="172"/>
    </row>
    <row r="663" spans="1:2" s="169" customFormat="1" ht="20" customHeight="1" x14ac:dyDescent="0.45">
      <c r="A663" s="172"/>
      <c r="B663" s="172"/>
    </row>
    <row r="664" spans="1:2" s="169" customFormat="1" ht="20" customHeight="1" x14ac:dyDescent="0.45">
      <c r="A664" s="172"/>
      <c r="B664" s="172"/>
    </row>
    <row r="665" spans="1:2" s="169" customFormat="1" ht="20" customHeight="1" x14ac:dyDescent="0.45">
      <c r="A665" s="172"/>
      <c r="B665" s="172"/>
    </row>
    <row r="666" spans="1:2" s="169" customFormat="1" ht="20" customHeight="1" x14ac:dyDescent="0.45">
      <c r="A666" s="172"/>
      <c r="B666" s="172"/>
    </row>
    <row r="667" spans="1:2" s="169" customFormat="1" ht="20" customHeight="1" x14ac:dyDescent="0.45">
      <c r="A667" s="172"/>
      <c r="B667" s="172"/>
    </row>
    <row r="668" spans="1:2" s="169" customFormat="1" ht="20" customHeight="1" x14ac:dyDescent="0.45">
      <c r="A668" s="172"/>
      <c r="B668" s="172"/>
    </row>
    <row r="669" spans="1:2" s="169" customFormat="1" ht="20" customHeight="1" x14ac:dyDescent="0.45">
      <c r="A669" s="172"/>
      <c r="B669" s="172"/>
    </row>
    <row r="670" spans="1:2" s="169" customFormat="1" ht="20" customHeight="1" x14ac:dyDescent="0.45">
      <c r="A670" s="172"/>
      <c r="B670" s="172"/>
    </row>
    <row r="671" spans="1:2" s="169" customFormat="1" ht="20" customHeight="1" x14ac:dyDescent="0.45">
      <c r="A671" s="172"/>
      <c r="B671" s="172"/>
    </row>
    <row r="672" spans="1:2" s="169" customFormat="1" ht="20" customHeight="1" x14ac:dyDescent="0.45">
      <c r="A672" s="172"/>
      <c r="B672" s="172"/>
    </row>
    <row r="673" spans="1:2" s="169" customFormat="1" ht="20" customHeight="1" x14ac:dyDescent="0.45">
      <c r="A673" s="172"/>
      <c r="B673" s="172"/>
    </row>
    <row r="674" spans="1:2" s="169" customFormat="1" ht="20" customHeight="1" x14ac:dyDescent="0.45">
      <c r="A674" s="172"/>
      <c r="B674" s="172"/>
    </row>
    <row r="675" spans="1:2" s="169" customFormat="1" ht="20" customHeight="1" x14ac:dyDescent="0.45">
      <c r="A675" s="172"/>
      <c r="B675" s="172"/>
    </row>
    <row r="676" spans="1:2" s="169" customFormat="1" ht="20" customHeight="1" x14ac:dyDescent="0.45">
      <c r="A676" s="172"/>
      <c r="B676" s="172"/>
    </row>
    <row r="677" spans="1:2" s="169" customFormat="1" ht="20" customHeight="1" x14ac:dyDescent="0.45">
      <c r="A677" s="172"/>
      <c r="B677" s="172"/>
    </row>
    <row r="678" spans="1:2" s="169" customFormat="1" ht="20" customHeight="1" x14ac:dyDescent="0.45">
      <c r="A678" s="172"/>
      <c r="B678" s="172"/>
    </row>
    <row r="679" spans="1:2" s="169" customFormat="1" ht="20" customHeight="1" x14ac:dyDescent="0.45">
      <c r="A679" s="172"/>
      <c r="B679" s="172"/>
    </row>
    <row r="680" spans="1:2" s="169" customFormat="1" ht="20" customHeight="1" x14ac:dyDescent="0.45">
      <c r="A680" s="172"/>
      <c r="B680" s="172"/>
    </row>
    <row r="681" spans="1:2" s="169" customFormat="1" ht="20" customHeight="1" x14ac:dyDescent="0.45">
      <c r="A681" s="172"/>
      <c r="B681" s="172"/>
    </row>
    <row r="682" spans="1:2" s="169" customFormat="1" ht="20" customHeight="1" x14ac:dyDescent="0.45">
      <c r="A682" s="172"/>
      <c r="B682" s="172"/>
    </row>
    <row r="683" spans="1:2" s="169" customFormat="1" ht="20" customHeight="1" x14ac:dyDescent="0.45">
      <c r="A683" s="172"/>
      <c r="B683" s="172"/>
    </row>
    <row r="684" spans="1:2" s="169" customFormat="1" ht="20" customHeight="1" x14ac:dyDescent="0.45">
      <c r="A684" s="172"/>
      <c r="B684" s="172"/>
    </row>
    <row r="685" spans="1:2" s="169" customFormat="1" ht="20" customHeight="1" x14ac:dyDescent="0.45">
      <c r="A685" s="172"/>
      <c r="B685" s="172"/>
    </row>
    <row r="686" spans="1:2" s="169" customFormat="1" ht="20" customHeight="1" x14ac:dyDescent="0.45">
      <c r="A686" s="172"/>
      <c r="B686" s="172"/>
    </row>
    <row r="687" spans="1:2" s="169" customFormat="1" ht="20" customHeight="1" x14ac:dyDescent="0.45">
      <c r="A687" s="172"/>
      <c r="B687" s="172"/>
    </row>
    <row r="688" spans="1:2" s="169" customFormat="1" ht="20" customHeight="1" x14ac:dyDescent="0.45">
      <c r="A688" s="172"/>
      <c r="B688" s="172"/>
    </row>
    <row r="689" spans="1:2" s="169" customFormat="1" ht="20" customHeight="1" x14ac:dyDescent="0.45">
      <c r="A689" s="172"/>
      <c r="B689" s="172"/>
    </row>
    <row r="690" spans="1:2" s="169" customFormat="1" ht="20" customHeight="1" x14ac:dyDescent="0.45">
      <c r="A690" s="172"/>
      <c r="B690" s="172"/>
    </row>
    <row r="691" spans="1:2" s="169" customFormat="1" ht="20" customHeight="1" x14ac:dyDescent="0.45">
      <c r="A691" s="172"/>
      <c r="B691" s="172"/>
    </row>
    <row r="692" spans="1:2" s="169" customFormat="1" ht="20" customHeight="1" x14ac:dyDescent="0.45">
      <c r="A692" s="172"/>
      <c r="B692" s="172"/>
    </row>
    <row r="693" spans="1:2" s="169" customFormat="1" ht="20" customHeight="1" x14ac:dyDescent="0.45">
      <c r="A693" s="172"/>
      <c r="B693" s="172"/>
    </row>
    <row r="694" spans="1:2" s="169" customFormat="1" ht="20" customHeight="1" x14ac:dyDescent="0.45">
      <c r="A694" s="172"/>
      <c r="B694" s="172"/>
    </row>
    <row r="695" spans="1:2" s="169" customFormat="1" ht="20" customHeight="1" x14ac:dyDescent="0.45">
      <c r="A695" s="172"/>
      <c r="B695" s="172"/>
    </row>
    <row r="696" spans="1:2" s="169" customFormat="1" ht="20" customHeight="1" x14ac:dyDescent="0.45">
      <c r="A696" s="172"/>
      <c r="B696" s="172"/>
    </row>
    <row r="697" spans="1:2" s="169" customFormat="1" ht="20" customHeight="1" x14ac:dyDescent="0.45">
      <c r="A697" s="172"/>
      <c r="B697" s="172"/>
    </row>
    <row r="698" spans="1:2" s="169" customFormat="1" ht="20" customHeight="1" x14ac:dyDescent="0.45">
      <c r="A698" s="172"/>
      <c r="B698" s="172"/>
    </row>
    <row r="699" spans="1:2" s="169" customFormat="1" ht="20" customHeight="1" x14ac:dyDescent="0.45">
      <c r="A699" s="172"/>
      <c r="B699" s="172"/>
    </row>
    <row r="700" spans="1:2" s="169" customFormat="1" ht="20" customHeight="1" x14ac:dyDescent="0.45">
      <c r="A700" s="172"/>
      <c r="B700" s="172"/>
    </row>
    <row r="701" spans="1:2" s="169" customFormat="1" ht="20" customHeight="1" x14ac:dyDescent="0.45">
      <c r="A701" s="172"/>
      <c r="B701" s="172"/>
    </row>
    <row r="702" spans="1:2" s="169" customFormat="1" ht="20" customHeight="1" x14ac:dyDescent="0.45">
      <c r="A702" s="172"/>
      <c r="B702" s="172"/>
    </row>
    <row r="703" spans="1:2" s="169" customFormat="1" ht="20" customHeight="1" x14ac:dyDescent="0.45">
      <c r="A703" s="172"/>
      <c r="B703" s="172"/>
    </row>
    <row r="704" spans="1:2" s="169" customFormat="1" ht="20" customHeight="1" x14ac:dyDescent="0.45">
      <c r="A704" s="172"/>
      <c r="B704" s="172"/>
    </row>
    <row r="705" spans="1:2" s="169" customFormat="1" ht="20" customHeight="1" x14ac:dyDescent="0.45">
      <c r="A705" s="172"/>
      <c r="B705" s="172"/>
    </row>
    <row r="706" spans="1:2" s="169" customFormat="1" ht="20" customHeight="1" x14ac:dyDescent="0.45">
      <c r="A706" s="172"/>
      <c r="B706" s="172"/>
    </row>
    <row r="707" spans="1:2" s="169" customFormat="1" ht="20" customHeight="1" x14ac:dyDescent="0.45">
      <c r="A707" s="172"/>
      <c r="B707" s="172"/>
    </row>
    <row r="708" spans="1:2" s="169" customFormat="1" ht="20" customHeight="1" x14ac:dyDescent="0.45">
      <c r="A708" s="172"/>
      <c r="B708" s="172"/>
    </row>
    <row r="709" spans="1:2" s="169" customFormat="1" ht="20" customHeight="1" x14ac:dyDescent="0.45">
      <c r="A709" s="172"/>
      <c r="B709" s="172"/>
    </row>
    <row r="710" spans="1:2" s="169" customFormat="1" ht="20" customHeight="1" x14ac:dyDescent="0.45">
      <c r="A710" s="172"/>
      <c r="B710" s="172"/>
    </row>
    <row r="711" spans="1:2" s="169" customFormat="1" ht="20" customHeight="1" x14ac:dyDescent="0.45">
      <c r="A711" s="172"/>
      <c r="B711" s="172"/>
    </row>
    <row r="712" spans="1:2" s="169" customFormat="1" ht="20" customHeight="1" x14ac:dyDescent="0.45">
      <c r="A712" s="172"/>
      <c r="B712" s="172"/>
    </row>
    <row r="713" spans="1:2" s="169" customFormat="1" ht="20" customHeight="1" x14ac:dyDescent="0.45">
      <c r="A713" s="172"/>
      <c r="B713" s="172"/>
    </row>
    <row r="714" spans="1:2" s="169" customFormat="1" ht="20" customHeight="1" x14ac:dyDescent="0.45">
      <c r="A714" s="172"/>
      <c r="B714" s="172"/>
    </row>
    <row r="715" spans="1:2" s="169" customFormat="1" ht="20" customHeight="1" x14ac:dyDescent="0.45">
      <c r="A715" s="172"/>
      <c r="B715" s="172"/>
    </row>
    <row r="716" spans="1:2" s="169" customFormat="1" ht="20" customHeight="1" x14ac:dyDescent="0.45">
      <c r="A716" s="172"/>
      <c r="B716" s="172"/>
    </row>
    <row r="717" spans="1:2" s="169" customFormat="1" ht="20" customHeight="1" x14ac:dyDescent="0.45">
      <c r="A717" s="172"/>
      <c r="B717" s="172"/>
    </row>
    <row r="718" spans="1:2" s="169" customFormat="1" ht="20" customHeight="1" x14ac:dyDescent="0.45">
      <c r="A718" s="172"/>
      <c r="B718" s="172"/>
    </row>
    <row r="719" spans="1:2" s="169" customFormat="1" ht="20" customHeight="1" x14ac:dyDescent="0.45">
      <c r="A719" s="172"/>
      <c r="B719" s="172"/>
    </row>
    <row r="720" spans="1:2" s="169" customFormat="1" ht="20" customHeight="1" x14ac:dyDescent="0.45">
      <c r="A720" s="172"/>
      <c r="B720" s="172"/>
    </row>
    <row r="721" spans="1:2" s="169" customFormat="1" ht="20" customHeight="1" x14ac:dyDescent="0.45">
      <c r="A721" s="172"/>
      <c r="B721" s="172"/>
    </row>
    <row r="722" spans="1:2" s="169" customFormat="1" ht="20" customHeight="1" x14ac:dyDescent="0.45">
      <c r="A722" s="172"/>
      <c r="B722" s="172"/>
    </row>
    <row r="723" spans="1:2" s="169" customFormat="1" ht="20" customHeight="1" x14ac:dyDescent="0.45">
      <c r="A723" s="172"/>
      <c r="B723" s="172"/>
    </row>
    <row r="724" spans="1:2" s="169" customFormat="1" ht="20" customHeight="1" x14ac:dyDescent="0.45">
      <c r="A724" s="172"/>
      <c r="B724" s="172"/>
    </row>
    <row r="725" spans="1:2" s="169" customFormat="1" ht="20" customHeight="1" x14ac:dyDescent="0.45">
      <c r="A725" s="172"/>
      <c r="B725" s="172"/>
    </row>
    <row r="726" spans="1:2" s="169" customFormat="1" ht="20" customHeight="1" x14ac:dyDescent="0.45">
      <c r="A726" s="172"/>
      <c r="B726" s="172"/>
    </row>
    <row r="727" spans="1:2" s="169" customFormat="1" ht="20" customHeight="1" x14ac:dyDescent="0.45">
      <c r="A727" s="172"/>
      <c r="B727" s="172"/>
    </row>
    <row r="728" spans="1:2" s="169" customFormat="1" ht="20" customHeight="1" x14ac:dyDescent="0.45">
      <c r="A728" s="172"/>
      <c r="B728" s="172"/>
    </row>
    <row r="729" spans="1:2" s="169" customFormat="1" ht="20" customHeight="1" x14ac:dyDescent="0.45">
      <c r="A729" s="172"/>
      <c r="B729" s="172"/>
    </row>
    <row r="730" spans="1:2" s="169" customFormat="1" ht="20" customHeight="1" x14ac:dyDescent="0.45">
      <c r="A730" s="172"/>
      <c r="B730" s="172"/>
    </row>
    <row r="731" spans="1:2" s="169" customFormat="1" ht="20" customHeight="1" x14ac:dyDescent="0.45">
      <c r="A731" s="172"/>
      <c r="B731" s="172"/>
    </row>
    <row r="732" spans="1:2" s="169" customFormat="1" ht="20" customHeight="1" x14ac:dyDescent="0.45">
      <c r="A732" s="172"/>
      <c r="B732" s="172"/>
    </row>
    <row r="733" spans="1:2" s="169" customFormat="1" ht="20" customHeight="1" x14ac:dyDescent="0.45">
      <c r="A733" s="172"/>
      <c r="B733" s="172"/>
    </row>
    <row r="734" spans="1:2" s="169" customFormat="1" ht="20" customHeight="1" x14ac:dyDescent="0.45">
      <c r="A734" s="172"/>
      <c r="B734" s="172"/>
    </row>
    <row r="735" spans="1:2" s="169" customFormat="1" ht="20" customHeight="1" x14ac:dyDescent="0.45">
      <c r="A735" s="172"/>
      <c r="B735" s="172"/>
    </row>
    <row r="736" spans="1:2" s="169" customFormat="1" ht="20" customHeight="1" x14ac:dyDescent="0.45">
      <c r="A736" s="172"/>
      <c r="B736" s="172"/>
    </row>
    <row r="737" spans="1:2" s="169" customFormat="1" ht="20" customHeight="1" x14ac:dyDescent="0.45">
      <c r="A737" s="172"/>
      <c r="B737" s="172"/>
    </row>
    <row r="738" spans="1:2" s="169" customFormat="1" ht="20" customHeight="1" x14ac:dyDescent="0.45">
      <c r="A738" s="172"/>
      <c r="B738" s="172"/>
    </row>
    <row r="739" spans="1:2" s="169" customFormat="1" ht="20" customHeight="1" x14ac:dyDescent="0.45">
      <c r="A739" s="172"/>
      <c r="B739" s="172"/>
    </row>
    <row r="740" spans="1:2" s="169" customFormat="1" ht="20" customHeight="1" x14ac:dyDescent="0.45">
      <c r="A740" s="172"/>
      <c r="B740" s="172"/>
    </row>
    <row r="741" spans="1:2" s="169" customFormat="1" ht="20" customHeight="1" x14ac:dyDescent="0.45">
      <c r="A741" s="172"/>
      <c r="B741" s="172"/>
    </row>
    <row r="742" spans="1:2" s="169" customFormat="1" ht="20" customHeight="1" x14ac:dyDescent="0.45">
      <c r="A742" s="172"/>
      <c r="B742" s="172"/>
    </row>
    <row r="743" spans="1:2" s="169" customFormat="1" ht="20" customHeight="1" x14ac:dyDescent="0.45">
      <c r="A743" s="172"/>
      <c r="B743" s="172"/>
    </row>
    <row r="744" spans="1:2" s="169" customFormat="1" ht="20" customHeight="1" x14ac:dyDescent="0.45">
      <c r="A744" s="172"/>
      <c r="B744" s="172"/>
    </row>
    <row r="745" spans="1:2" s="169" customFormat="1" ht="20" customHeight="1" x14ac:dyDescent="0.45">
      <c r="A745" s="172"/>
      <c r="B745" s="172"/>
    </row>
    <row r="746" spans="1:2" s="169" customFormat="1" ht="20" customHeight="1" x14ac:dyDescent="0.45">
      <c r="A746" s="172"/>
      <c r="B746" s="172"/>
    </row>
    <row r="747" spans="1:2" s="169" customFormat="1" ht="20" customHeight="1" x14ac:dyDescent="0.45">
      <c r="A747" s="172"/>
      <c r="B747" s="172"/>
    </row>
    <row r="748" spans="1:2" s="169" customFormat="1" ht="20" customHeight="1" x14ac:dyDescent="0.45">
      <c r="A748" s="172"/>
      <c r="B748" s="172"/>
    </row>
    <row r="749" spans="1:2" s="169" customFormat="1" ht="20" customHeight="1" x14ac:dyDescent="0.45">
      <c r="A749" s="172"/>
      <c r="B749" s="172"/>
    </row>
    <row r="750" spans="1:2" s="169" customFormat="1" ht="20" customHeight="1" x14ac:dyDescent="0.45">
      <c r="A750" s="172"/>
      <c r="B750" s="172"/>
    </row>
    <row r="751" spans="1:2" s="169" customFormat="1" ht="20" customHeight="1" x14ac:dyDescent="0.45">
      <c r="A751" s="172"/>
      <c r="B751" s="172"/>
    </row>
    <row r="752" spans="1:2" s="169" customFormat="1" ht="20" customHeight="1" x14ac:dyDescent="0.45">
      <c r="A752" s="172"/>
      <c r="B752" s="172"/>
    </row>
    <row r="753" spans="1:2" s="169" customFormat="1" ht="20" customHeight="1" x14ac:dyDescent="0.45">
      <c r="A753" s="172"/>
      <c r="B753" s="172"/>
    </row>
    <row r="754" spans="1:2" s="169" customFormat="1" ht="20" customHeight="1" x14ac:dyDescent="0.45">
      <c r="A754" s="172"/>
      <c r="B754" s="172"/>
    </row>
    <row r="755" spans="1:2" s="169" customFormat="1" ht="20" customHeight="1" x14ac:dyDescent="0.45">
      <c r="A755" s="172"/>
      <c r="B755" s="172"/>
    </row>
    <row r="756" spans="1:2" s="169" customFormat="1" ht="20" customHeight="1" x14ac:dyDescent="0.45">
      <c r="A756" s="172"/>
      <c r="B756" s="172"/>
    </row>
    <row r="757" spans="1:2" s="169" customFormat="1" ht="20" customHeight="1" x14ac:dyDescent="0.45">
      <c r="A757" s="172"/>
      <c r="B757" s="172"/>
    </row>
    <row r="758" spans="1:2" s="169" customFormat="1" ht="20" customHeight="1" x14ac:dyDescent="0.45">
      <c r="A758" s="172"/>
      <c r="B758" s="172"/>
    </row>
    <row r="759" spans="1:2" s="169" customFormat="1" ht="20" customHeight="1" x14ac:dyDescent="0.45">
      <c r="A759" s="172"/>
      <c r="B759" s="172"/>
    </row>
    <row r="760" spans="1:2" s="169" customFormat="1" ht="20" customHeight="1" x14ac:dyDescent="0.45">
      <c r="A760" s="172"/>
      <c r="B760" s="172"/>
    </row>
    <row r="761" spans="1:2" s="169" customFormat="1" ht="20" customHeight="1" x14ac:dyDescent="0.45">
      <c r="A761" s="172"/>
      <c r="B761" s="172"/>
    </row>
    <row r="762" spans="1:2" s="169" customFormat="1" ht="20" customHeight="1" x14ac:dyDescent="0.45">
      <c r="A762" s="172"/>
      <c r="B762" s="172"/>
    </row>
    <row r="763" spans="1:2" s="169" customFormat="1" ht="20" customHeight="1" x14ac:dyDescent="0.45">
      <c r="A763" s="172"/>
      <c r="B763" s="172"/>
    </row>
    <row r="764" spans="1:2" s="169" customFormat="1" ht="20" customHeight="1" x14ac:dyDescent="0.45">
      <c r="A764" s="172"/>
      <c r="B764" s="172"/>
    </row>
    <row r="765" spans="1:2" s="169" customFormat="1" ht="20" customHeight="1" x14ac:dyDescent="0.45">
      <c r="A765" s="172"/>
      <c r="B765" s="172"/>
    </row>
    <row r="766" spans="1:2" s="169" customFormat="1" ht="20" customHeight="1" x14ac:dyDescent="0.45">
      <c r="A766" s="172"/>
      <c r="B766" s="172"/>
    </row>
    <row r="767" spans="1:2" s="169" customFormat="1" ht="20" customHeight="1" x14ac:dyDescent="0.45">
      <c r="A767" s="172"/>
      <c r="B767" s="172"/>
    </row>
    <row r="768" spans="1:2" s="169" customFormat="1" ht="20" customHeight="1" x14ac:dyDescent="0.45">
      <c r="A768" s="172"/>
      <c r="B768" s="172"/>
    </row>
    <row r="769" spans="1:2" s="169" customFormat="1" ht="20" customHeight="1" x14ac:dyDescent="0.45">
      <c r="A769" s="172"/>
      <c r="B769" s="172"/>
    </row>
    <row r="770" spans="1:2" s="169" customFormat="1" ht="20" customHeight="1" x14ac:dyDescent="0.45">
      <c r="A770" s="172"/>
      <c r="B770" s="172"/>
    </row>
    <row r="771" spans="1:2" s="169" customFormat="1" ht="20" customHeight="1" x14ac:dyDescent="0.45">
      <c r="A771" s="172"/>
      <c r="B771" s="172"/>
    </row>
    <row r="772" spans="1:2" s="169" customFormat="1" ht="20" customHeight="1" x14ac:dyDescent="0.45">
      <c r="A772" s="172"/>
      <c r="B772" s="172"/>
    </row>
    <row r="773" spans="1:2" s="169" customFormat="1" ht="20" customHeight="1" x14ac:dyDescent="0.45">
      <c r="A773" s="172"/>
      <c r="B773" s="172"/>
    </row>
    <row r="774" spans="1:2" s="169" customFormat="1" ht="20" customHeight="1" x14ac:dyDescent="0.45">
      <c r="A774" s="172"/>
      <c r="B774" s="172"/>
    </row>
    <row r="775" spans="1:2" s="169" customFormat="1" ht="20" customHeight="1" x14ac:dyDescent="0.45">
      <c r="A775" s="172"/>
      <c r="B775" s="172"/>
    </row>
    <row r="776" spans="1:2" s="169" customFormat="1" ht="20" customHeight="1" x14ac:dyDescent="0.45">
      <c r="A776" s="172"/>
      <c r="B776" s="172"/>
    </row>
    <row r="777" spans="1:2" s="169" customFormat="1" ht="20" customHeight="1" x14ac:dyDescent="0.45">
      <c r="A777" s="172"/>
      <c r="B777" s="172"/>
    </row>
    <row r="778" spans="1:2" s="169" customFormat="1" ht="20" customHeight="1" x14ac:dyDescent="0.45">
      <c r="A778" s="172"/>
      <c r="B778" s="172"/>
    </row>
    <row r="779" spans="1:2" s="169" customFormat="1" ht="20" customHeight="1" x14ac:dyDescent="0.45">
      <c r="A779" s="172"/>
      <c r="B779" s="172"/>
    </row>
    <row r="780" spans="1:2" s="169" customFormat="1" ht="20" customHeight="1" x14ac:dyDescent="0.45">
      <c r="A780" s="172"/>
      <c r="B780" s="172"/>
    </row>
    <row r="781" spans="1:2" s="169" customFormat="1" ht="20" customHeight="1" x14ac:dyDescent="0.45">
      <c r="A781" s="172"/>
      <c r="B781" s="172"/>
    </row>
    <row r="782" spans="1:2" s="169" customFormat="1" ht="20" customHeight="1" x14ac:dyDescent="0.45">
      <c r="A782" s="172"/>
      <c r="B782" s="172"/>
    </row>
    <row r="783" spans="1:2" s="169" customFormat="1" ht="20" customHeight="1" x14ac:dyDescent="0.45">
      <c r="A783" s="172"/>
      <c r="B783" s="172"/>
    </row>
    <row r="784" spans="1:2" s="169" customFormat="1" ht="20" customHeight="1" x14ac:dyDescent="0.45">
      <c r="A784" s="172"/>
      <c r="B784" s="172"/>
    </row>
    <row r="785" spans="1:2" s="169" customFormat="1" ht="20" customHeight="1" x14ac:dyDescent="0.45">
      <c r="A785" s="172"/>
      <c r="B785" s="172"/>
    </row>
    <row r="786" spans="1:2" s="169" customFormat="1" ht="20" customHeight="1" x14ac:dyDescent="0.45">
      <c r="A786" s="172"/>
      <c r="B786" s="172"/>
    </row>
    <row r="787" spans="1:2" s="169" customFormat="1" ht="20" customHeight="1" x14ac:dyDescent="0.45">
      <c r="A787" s="172"/>
      <c r="B787" s="172"/>
    </row>
    <row r="788" spans="1:2" s="169" customFormat="1" ht="20" customHeight="1" x14ac:dyDescent="0.45">
      <c r="A788" s="172"/>
      <c r="B788" s="172"/>
    </row>
    <row r="789" spans="1:2" s="169" customFormat="1" ht="20" customHeight="1" x14ac:dyDescent="0.45">
      <c r="A789" s="172"/>
      <c r="B789" s="172"/>
    </row>
    <row r="790" spans="1:2" s="169" customFormat="1" ht="20" customHeight="1" x14ac:dyDescent="0.45">
      <c r="A790" s="172"/>
      <c r="B790" s="172"/>
    </row>
    <row r="791" spans="1:2" s="169" customFormat="1" ht="20" customHeight="1" x14ac:dyDescent="0.45">
      <c r="A791" s="172"/>
      <c r="B791" s="172"/>
    </row>
    <row r="792" spans="1:2" s="169" customFormat="1" ht="20" customHeight="1" x14ac:dyDescent="0.45">
      <c r="A792" s="172"/>
      <c r="B792" s="172"/>
    </row>
    <row r="793" spans="1:2" s="169" customFormat="1" ht="20" customHeight="1" x14ac:dyDescent="0.45">
      <c r="A793" s="172"/>
      <c r="B793" s="172"/>
    </row>
    <row r="794" spans="1:2" s="169" customFormat="1" ht="20" customHeight="1" x14ac:dyDescent="0.45">
      <c r="A794" s="172"/>
      <c r="B794" s="172"/>
    </row>
    <row r="795" spans="1:2" s="169" customFormat="1" ht="20" customHeight="1" x14ac:dyDescent="0.45">
      <c r="A795" s="172"/>
      <c r="B795" s="172"/>
    </row>
    <row r="796" spans="1:2" s="169" customFormat="1" ht="20" customHeight="1" x14ac:dyDescent="0.45">
      <c r="A796" s="172"/>
      <c r="B796" s="172"/>
    </row>
    <row r="797" spans="1:2" s="169" customFormat="1" ht="20" customHeight="1" x14ac:dyDescent="0.45">
      <c r="A797" s="172"/>
      <c r="B797" s="172"/>
    </row>
    <row r="798" spans="1:2" s="169" customFormat="1" ht="20" customHeight="1" x14ac:dyDescent="0.45">
      <c r="A798" s="172"/>
      <c r="B798" s="172"/>
    </row>
    <row r="799" spans="1:2" s="169" customFormat="1" ht="20" customHeight="1" x14ac:dyDescent="0.45">
      <c r="A799" s="172"/>
      <c r="B799" s="172"/>
    </row>
    <row r="800" spans="1:2" s="169" customFormat="1" ht="20" customHeight="1" x14ac:dyDescent="0.45">
      <c r="A800" s="172"/>
      <c r="B800" s="172"/>
    </row>
    <row r="801" spans="1:2" s="169" customFormat="1" ht="20" customHeight="1" x14ac:dyDescent="0.45">
      <c r="A801" s="172"/>
      <c r="B801" s="172"/>
    </row>
    <row r="802" spans="1:2" s="169" customFormat="1" ht="20" customHeight="1" x14ac:dyDescent="0.45">
      <c r="A802" s="172"/>
      <c r="B802" s="172"/>
    </row>
    <row r="803" spans="1:2" s="169" customFormat="1" ht="20" customHeight="1" x14ac:dyDescent="0.45">
      <c r="A803" s="172"/>
      <c r="B803" s="172"/>
    </row>
    <row r="804" spans="1:2" s="169" customFormat="1" ht="20" customHeight="1" x14ac:dyDescent="0.45">
      <c r="A804" s="172"/>
      <c r="B804" s="172"/>
    </row>
    <row r="805" spans="1:2" s="169" customFormat="1" ht="20" customHeight="1" x14ac:dyDescent="0.45">
      <c r="A805" s="172"/>
      <c r="B805" s="172"/>
    </row>
    <row r="806" spans="1:2" s="169" customFormat="1" ht="20" customHeight="1" x14ac:dyDescent="0.45">
      <c r="A806" s="172"/>
      <c r="B806" s="172"/>
    </row>
    <row r="807" spans="1:2" s="169" customFormat="1" ht="20" customHeight="1" x14ac:dyDescent="0.45">
      <c r="A807" s="172"/>
      <c r="B807" s="172"/>
    </row>
    <row r="808" spans="1:2" s="169" customFormat="1" ht="20" customHeight="1" x14ac:dyDescent="0.45">
      <c r="A808" s="172"/>
      <c r="B808" s="172"/>
    </row>
    <row r="809" spans="1:2" s="169" customFormat="1" ht="20" customHeight="1" x14ac:dyDescent="0.45">
      <c r="A809" s="172"/>
      <c r="B809" s="172"/>
    </row>
    <row r="810" spans="1:2" s="169" customFormat="1" ht="20" customHeight="1" x14ac:dyDescent="0.45">
      <c r="A810" s="172"/>
      <c r="B810" s="172"/>
    </row>
    <row r="811" spans="1:2" s="169" customFormat="1" ht="20" customHeight="1" x14ac:dyDescent="0.45">
      <c r="A811" s="172"/>
      <c r="B811" s="172"/>
    </row>
    <row r="812" spans="1:2" s="169" customFormat="1" ht="20" customHeight="1" x14ac:dyDescent="0.45">
      <c r="A812" s="172"/>
      <c r="B812" s="172"/>
    </row>
    <row r="813" spans="1:2" s="169" customFormat="1" ht="20" customHeight="1" x14ac:dyDescent="0.45">
      <c r="A813" s="172"/>
      <c r="B813" s="172"/>
    </row>
    <row r="814" spans="1:2" s="169" customFormat="1" ht="20" customHeight="1" x14ac:dyDescent="0.45">
      <c r="A814" s="172"/>
      <c r="B814" s="172"/>
    </row>
    <row r="815" spans="1:2" s="169" customFormat="1" ht="20" customHeight="1" x14ac:dyDescent="0.45">
      <c r="A815" s="172"/>
      <c r="B815" s="172"/>
    </row>
    <row r="816" spans="1:2" s="169" customFormat="1" ht="20" customHeight="1" x14ac:dyDescent="0.45">
      <c r="A816" s="172"/>
      <c r="B816" s="172"/>
    </row>
    <row r="817" spans="1:2" s="169" customFormat="1" ht="20" customHeight="1" x14ac:dyDescent="0.45">
      <c r="A817" s="172"/>
      <c r="B817" s="172"/>
    </row>
    <row r="818" spans="1:2" s="169" customFormat="1" ht="20" customHeight="1" x14ac:dyDescent="0.45">
      <c r="A818" s="172"/>
      <c r="B818" s="172"/>
    </row>
    <row r="819" spans="1:2" s="169" customFormat="1" ht="20" customHeight="1" x14ac:dyDescent="0.45">
      <c r="A819" s="172"/>
      <c r="B819" s="172"/>
    </row>
    <row r="820" spans="1:2" s="169" customFormat="1" ht="20" customHeight="1" x14ac:dyDescent="0.45">
      <c r="A820" s="172"/>
      <c r="B820" s="172"/>
    </row>
    <row r="821" spans="1:2" s="169" customFormat="1" ht="20" customHeight="1" x14ac:dyDescent="0.45">
      <c r="A821" s="172"/>
      <c r="B821" s="172"/>
    </row>
    <row r="822" spans="1:2" s="169" customFormat="1" ht="20" customHeight="1" x14ac:dyDescent="0.45">
      <c r="A822" s="172"/>
      <c r="B822" s="172"/>
    </row>
    <row r="823" spans="1:2" s="169" customFormat="1" ht="20" customHeight="1" x14ac:dyDescent="0.45">
      <c r="A823" s="172"/>
      <c r="B823" s="172"/>
    </row>
    <row r="824" spans="1:2" s="169" customFormat="1" ht="20" customHeight="1" x14ac:dyDescent="0.45">
      <c r="A824" s="172"/>
      <c r="B824" s="172"/>
    </row>
    <row r="825" spans="1:2" s="169" customFormat="1" ht="20" customHeight="1" x14ac:dyDescent="0.45">
      <c r="A825" s="172"/>
      <c r="B825" s="172"/>
    </row>
    <row r="826" spans="1:2" s="169" customFormat="1" ht="20" customHeight="1" x14ac:dyDescent="0.45">
      <c r="A826" s="172"/>
      <c r="B826" s="172"/>
    </row>
    <row r="827" spans="1:2" s="169" customFormat="1" ht="20" customHeight="1" x14ac:dyDescent="0.45">
      <c r="A827" s="172"/>
      <c r="B827" s="172"/>
    </row>
    <row r="828" spans="1:2" s="169" customFormat="1" ht="20" customHeight="1" x14ac:dyDescent="0.45">
      <c r="A828" s="172"/>
      <c r="B828" s="172"/>
    </row>
    <row r="829" spans="1:2" s="169" customFormat="1" ht="20" customHeight="1" x14ac:dyDescent="0.45">
      <c r="A829" s="172"/>
      <c r="B829" s="172"/>
    </row>
    <row r="830" spans="1:2" s="169" customFormat="1" ht="20" customHeight="1" x14ac:dyDescent="0.45">
      <c r="A830" s="172"/>
      <c r="B830" s="172"/>
    </row>
    <row r="831" spans="1:2" s="169" customFormat="1" ht="20" customHeight="1" x14ac:dyDescent="0.45">
      <c r="A831" s="172"/>
      <c r="B831" s="172"/>
    </row>
    <row r="832" spans="1:2" s="169" customFormat="1" ht="20" customHeight="1" x14ac:dyDescent="0.45">
      <c r="A832" s="172"/>
      <c r="B832" s="172"/>
    </row>
    <row r="833" spans="1:2" s="169" customFormat="1" ht="20" customHeight="1" x14ac:dyDescent="0.45">
      <c r="A833" s="172"/>
      <c r="B833" s="172"/>
    </row>
    <row r="834" spans="1:2" s="169" customFormat="1" ht="20" customHeight="1" x14ac:dyDescent="0.45">
      <c r="A834" s="172"/>
      <c r="B834" s="172"/>
    </row>
    <row r="835" spans="1:2" s="169" customFormat="1" ht="20" customHeight="1" x14ac:dyDescent="0.45">
      <c r="A835" s="172"/>
      <c r="B835" s="172"/>
    </row>
    <row r="836" spans="1:2" s="169" customFormat="1" ht="20" customHeight="1" x14ac:dyDescent="0.45">
      <c r="A836" s="172"/>
      <c r="B836" s="172"/>
    </row>
    <row r="837" spans="1:2" s="169" customFormat="1" ht="20" customHeight="1" x14ac:dyDescent="0.45">
      <c r="A837" s="172"/>
      <c r="B837" s="172"/>
    </row>
    <row r="838" spans="1:2" s="169" customFormat="1" ht="20" customHeight="1" x14ac:dyDescent="0.45">
      <c r="A838" s="172"/>
      <c r="B838" s="172"/>
    </row>
    <row r="839" spans="1:2" s="169" customFormat="1" ht="20" customHeight="1" x14ac:dyDescent="0.45">
      <c r="A839" s="172"/>
      <c r="B839" s="172"/>
    </row>
    <row r="840" spans="1:2" s="169" customFormat="1" ht="20" customHeight="1" x14ac:dyDescent="0.45">
      <c r="A840" s="172"/>
      <c r="B840" s="172"/>
    </row>
    <row r="841" spans="1:2" s="169" customFormat="1" ht="20" customHeight="1" x14ac:dyDescent="0.45">
      <c r="A841" s="172"/>
      <c r="B841" s="172"/>
    </row>
    <row r="842" spans="1:2" s="169" customFormat="1" ht="20" customHeight="1" x14ac:dyDescent="0.45">
      <c r="A842" s="172"/>
      <c r="B842" s="172"/>
    </row>
    <row r="843" spans="1:2" s="169" customFormat="1" ht="20" customHeight="1" x14ac:dyDescent="0.45">
      <c r="A843" s="172"/>
      <c r="B843" s="172"/>
    </row>
    <row r="844" spans="1:2" s="169" customFormat="1" ht="20" customHeight="1" x14ac:dyDescent="0.45">
      <c r="A844" s="172"/>
      <c r="B844" s="172"/>
    </row>
    <row r="845" spans="1:2" s="169" customFormat="1" ht="20" customHeight="1" x14ac:dyDescent="0.45">
      <c r="A845" s="172"/>
      <c r="B845" s="172"/>
    </row>
    <row r="846" spans="1:2" s="169" customFormat="1" ht="20" customHeight="1" x14ac:dyDescent="0.45">
      <c r="A846" s="172"/>
      <c r="B846" s="172"/>
    </row>
    <row r="847" spans="1:2" s="169" customFormat="1" ht="20" customHeight="1" x14ac:dyDescent="0.45">
      <c r="A847" s="172"/>
      <c r="B847" s="172"/>
    </row>
    <row r="848" spans="1:2" s="169" customFormat="1" ht="20" customHeight="1" x14ac:dyDescent="0.45">
      <c r="A848" s="172"/>
      <c r="B848" s="172"/>
    </row>
    <row r="849" spans="1:2" s="169" customFormat="1" ht="20" customHeight="1" x14ac:dyDescent="0.45">
      <c r="A849" s="172"/>
      <c r="B849" s="172"/>
    </row>
    <row r="850" spans="1:2" s="169" customFormat="1" ht="20" customHeight="1" x14ac:dyDescent="0.45">
      <c r="A850" s="172"/>
      <c r="B850" s="172"/>
    </row>
    <row r="851" spans="1:2" s="169" customFormat="1" ht="20" customHeight="1" x14ac:dyDescent="0.45">
      <c r="A851" s="172"/>
      <c r="B851" s="172"/>
    </row>
    <row r="852" spans="1:2" s="169" customFormat="1" ht="20" customHeight="1" x14ac:dyDescent="0.45">
      <c r="A852" s="172"/>
      <c r="B852" s="172"/>
    </row>
    <row r="853" spans="1:2" s="169" customFormat="1" ht="20" customHeight="1" x14ac:dyDescent="0.45">
      <c r="A853" s="172"/>
      <c r="B853" s="172"/>
    </row>
    <row r="854" spans="1:2" s="169" customFormat="1" ht="20" customHeight="1" x14ac:dyDescent="0.45">
      <c r="A854" s="172"/>
      <c r="B854" s="172"/>
    </row>
    <row r="855" spans="1:2" s="169" customFormat="1" ht="20" customHeight="1" x14ac:dyDescent="0.45">
      <c r="A855" s="172"/>
      <c r="B855" s="172"/>
    </row>
    <row r="856" spans="1:2" s="169" customFormat="1" ht="20" customHeight="1" x14ac:dyDescent="0.45">
      <c r="A856" s="172"/>
      <c r="B856" s="172"/>
    </row>
    <row r="857" spans="1:2" s="169" customFormat="1" ht="20" customHeight="1" x14ac:dyDescent="0.45">
      <c r="A857" s="172"/>
      <c r="B857" s="172"/>
    </row>
    <row r="858" spans="1:2" s="169" customFormat="1" ht="20" customHeight="1" x14ac:dyDescent="0.45">
      <c r="A858" s="172"/>
      <c r="B858" s="172"/>
    </row>
    <row r="859" spans="1:2" s="169" customFormat="1" ht="20" customHeight="1" x14ac:dyDescent="0.45">
      <c r="A859" s="172"/>
      <c r="B859" s="172"/>
    </row>
    <row r="860" spans="1:2" s="169" customFormat="1" ht="20" customHeight="1" x14ac:dyDescent="0.45">
      <c r="A860" s="172"/>
      <c r="B860" s="172"/>
    </row>
    <row r="861" spans="1:2" s="169" customFormat="1" ht="20" customHeight="1" x14ac:dyDescent="0.45">
      <c r="A861" s="172"/>
      <c r="B861" s="172"/>
    </row>
    <row r="862" spans="1:2" s="169" customFormat="1" ht="20" customHeight="1" x14ac:dyDescent="0.45">
      <c r="A862" s="172"/>
      <c r="B862" s="172"/>
    </row>
    <row r="863" spans="1:2" s="169" customFormat="1" ht="20" customHeight="1" x14ac:dyDescent="0.45">
      <c r="A863" s="172"/>
      <c r="B863" s="172"/>
    </row>
    <row r="864" spans="1:2" s="169" customFormat="1" ht="20" customHeight="1" x14ac:dyDescent="0.45">
      <c r="A864" s="172"/>
      <c r="B864" s="172"/>
    </row>
    <row r="865" spans="1:2" s="169" customFormat="1" ht="20" customHeight="1" x14ac:dyDescent="0.45">
      <c r="A865" s="172"/>
      <c r="B865" s="172"/>
    </row>
    <row r="866" spans="1:2" s="169" customFormat="1" ht="20" customHeight="1" x14ac:dyDescent="0.45">
      <c r="A866" s="172"/>
      <c r="B866" s="172"/>
    </row>
    <row r="867" spans="1:2" s="169" customFormat="1" ht="20" customHeight="1" x14ac:dyDescent="0.45">
      <c r="A867" s="172"/>
      <c r="B867" s="172"/>
    </row>
    <row r="868" spans="1:2" s="169" customFormat="1" ht="20" customHeight="1" x14ac:dyDescent="0.45">
      <c r="A868" s="172"/>
      <c r="B868" s="172"/>
    </row>
    <row r="869" spans="1:2" s="169" customFormat="1" ht="20" customHeight="1" x14ac:dyDescent="0.45">
      <c r="A869" s="172"/>
      <c r="B869" s="172"/>
    </row>
    <row r="870" spans="1:2" s="169" customFormat="1" ht="20" customHeight="1" x14ac:dyDescent="0.45">
      <c r="A870" s="172"/>
      <c r="B870" s="172"/>
    </row>
    <row r="871" spans="1:2" s="169" customFormat="1" ht="20" customHeight="1" x14ac:dyDescent="0.45">
      <c r="A871" s="172"/>
      <c r="B871" s="172"/>
    </row>
    <row r="872" spans="1:2" s="169" customFormat="1" ht="20" customHeight="1" x14ac:dyDescent="0.45">
      <c r="A872" s="172"/>
      <c r="B872" s="172"/>
    </row>
    <row r="873" spans="1:2" s="169" customFormat="1" ht="20" customHeight="1" x14ac:dyDescent="0.45">
      <c r="A873" s="172"/>
      <c r="B873" s="172"/>
    </row>
    <row r="874" spans="1:2" s="169" customFormat="1" ht="20" customHeight="1" x14ac:dyDescent="0.45">
      <c r="A874" s="172"/>
      <c r="B874" s="172"/>
    </row>
    <row r="875" spans="1:2" s="169" customFormat="1" ht="20" customHeight="1" x14ac:dyDescent="0.45">
      <c r="A875" s="172"/>
      <c r="B875" s="172"/>
    </row>
    <row r="876" spans="1:2" s="169" customFormat="1" ht="20" customHeight="1" x14ac:dyDescent="0.45"/>
    <row r="877" spans="1:2" s="169" customFormat="1" ht="20" customHeight="1" x14ac:dyDescent="0.45"/>
    <row r="878" spans="1:2" s="169" customFormat="1" ht="20" customHeight="1" x14ac:dyDescent="0.45"/>
    <row r="879" spans="1:2" s="169" customFormat="1" ht="20" customHeight="1" x14ac:dyDescent="0.45"/>
    <row r="880" spans="1:2" s="169" customFormat="1" ht="20" customHeight="1" x14ac:dyDescent="0.45"/>
    <row r="881" s="169" customFormat="1" ht="20" customHeight="1" x14ac:dyDescent="0.45"/>
    <row r="882" s="169" customFormat="1" ht="20" customHeight="1" x14ac:dyDescent="0.45"/>
    <row r="883" s="169" customFormat="1" ht="20" customHeight="1" x14ac:dyDescent="0.45"/>
    <row r="884" s="169" customFormat="1" ht="20" customHeight="1" x14ac:dyDescent="0.45"/>
    <row r="885" s="169" customFormat="1" ht="20" customHeight="1" x14ac:dyDescent="0.45"/>
    <row r="886" s="169" customFormat="1" ht="20" customHeight="1" x14ac:dyDescent="0.45"/>
    <row r="887" s="169" customFormat="1" ht="20" customHeight="1" x14ac:dyDescent="0.45"/>
    <row r="888" s="169" customFormat="1" ht="20" customHeight="1" x14ac:dyDescent="0.45"/>
    <row r="889" s="169" customFormat="1" ht="20" customHeight="1" x14ac:dyDescent="0.45"/>
    <row r="890" s="169" customFormat="1" ht="20" customHeight="1" x14ac:dyDescent="0.45"/>
    <row r="891" s="169" customFormat="1" ht="20" customHeight="1" x14ac:dyDescent="0.45"/>
    <row r="892" s="169" customFormat="1" ht="20" customHeight="1" x14ac:dyDescent="0.45"/>
    <row r="893" s="169" customFormat="1" ht="20" customHeight="1" x14ac:dyDescent="0.45"/>
    <row r="894" s="169" customFormat="1" ht="20" customHeight="1" x14ac:dyDescent="0.45"/>
    <row r="895" s="169" customFormat="1" ht="20" customHeight="1" x14ac:dyDescent="0.45"/>
    <row r="896" s="169" customFormat="1" ht="20" customHeight="1" x14ac:dyDescent="0.45"/>
    <row r="897" s="169" customFormat="1" ht="20" customHeight="1" x14ac:dyDescent="0.45"/>
    <row r="898" s="169" customFormat="1" ht="20" customHeight="1" x14ac:dyDescent="0.45"/>
    <row r="899" s="169" customFormat="1" ht="20" customHeight="1" x14ac:dyDescent="0.45"/>
    <row r="900" s="169" customFormat="1" ht="20" customHeight="1" x14ac:dyDescent="0.45"/>
    <row r="901" s="169" customFormat="1" ht="20" customHeight="1" x14ac:dyDescent="0.45"/>
    <row r="902" s="169" customFormat="1" ht="20" customHeight="1" x14ac:dyDescent="0.45"/>
    <row r="903" s="169" customFormat="1" ht="20" customHeight="1" x14ac:dyDescent="0.45"/>
    <row r="904" s="169" customFormat="1" ht="20" customHeight="1" x14ac:dyDescent="0.45"/>
    <row r="905" s="169" customFormat="1" ht="20" customHeight="1" x14ac:dyDescent="0.45"/>
    <row r="906" s="169" customFormat="1" ht="20" customHeight="1" x14ac:dyDescent="0.45"/>
    <row r="907" s="169" customFormat="1" ht="20" customHeight="1" x14ac:dyDescent="0.45"/>
    <row r="908" s="169" customFormat="1" ht="20" customHeight="1" x14ac:dyDescent="0.45"/>
    <row r="909" s="169" customFormat="1" ht="20" customHeight="1" x14ac:dyDescent="0.45"/>
    <row r="910" s="169" customFormat="1" ht="20" customHeight="1" x14ac:dyDescent="0.45"/>
    <row r="911" s="169" customFormat="1" ht="20" customHeight="1" x14ac:dyDescent="0.45"/>
    <row r="912" s="169" customFormat="1" ht="20" customHeight="1" x14ac:dyDescent="0.45"/>
    <row r="913" s="169" customFormat="1" ht="20" customHeight="1" x14ac:dyDescent="0.45"/>
    <row r="914" s="169" customFormat="1" ht="20" customHeight="1" x14ac:dyDescent="0.45"/>
    <row r="915" s="169" customFormat="1" ht="20" customHeight="1" x14ac:dyDescent="0.45"/>
    <row r="916" s="169" customFormat="1" ht="20" customHeight="1" x14ac:dyDescent="0.45"/>
    <row r="917" s="169" customFormat="1" ht="20" customHeight="1" x14ac:dyDescent="0.45"/>
    <row r="918" s="169" customFormat="1" ht="20" customHeight="1" x14ac:dyDescent="0.45"/>
    <row r="919" s="169" customFormat="1" ht="20" customHeight="1" x14ac:dyDescent="0.45"/>
    <row r="920" s="169" customFormat="1" ht="20" customHeight="1" x14ac:dyDescent="0.45"/>
    <row r="921" s="169" customFormat="1" ht="20" customHeight="1" x14ac:dyDescent="0.45"/>
    <row r="922" s="169" customFormat="1" ht="20" customHeight="1" x14ac:dyDescent="0.45"/>
    <row r="923" s="169" customFormat="1" ht="20" customHeight="1" x14ac:dyDescent="0.45"/>
    <row r="924" s="169" customFormat="1" ht="20" customHeight="1" x14ac:dyDescent="0.45"/>
    <row r="925" s="169" customFormat="1" ht="20" customHeight="1" x14ac:dyDescent="0.45"/>
    <row r="926" s="169" customFormat="1" ht="20" customHeight="1" x14ac:dyDescent="0.45"/>
    <row r="927" s="169" customFormat="1" ht="20" customHeight="1" x14ac:dyDescent="0.45"/>
    <row r="928" s="169" customFormat="1" ht="20" customHeight="1" x14ac:dyDescent="0.45"/>
    <row r="929" s="169" customFormat="1" ht="20" customHeight="1" x14ac:dyDescent="0.45"/>
    <row r="930" s="169" customFormat="1" ht="20" customHeight="1" x14ac:dyDescent="0.45"/>
    <row r="931" s="169" customFormat="1" ht="20" customHeight="1" x14ac:dyDescent="0.45"/>
    <row r="932" s="169" customFormat="1" ht="20" customHeight="1" x14ac:dyDescent="0.45"/>
    <row r="933" s="169" customFormat="1" ht="20" customHeight="1" x14ac:dyDescent="0.45"/>
    <row r="934" s="169" customFormat="1" ht="20" customHeight="1" x14ac:dyDescent="0.45"/>
    <row r="935" s="169" customFormat="1" ht="20" customHeight="1" x14ac:dyDescent="0.45"/>
    <row r="936" s="169" customFormat="1" ht="20" customHeight="1" x14ac:dyDescent="0.45"/>
    <row r="937" s="169" customFormat="1" ht="20" customHeight="1" x14ac:dyDescent="0.45"/>
    <row r="938" s="169" customFormat="1" ht="20" customHeight="1" x14ac:dyDescent="0.45"/>
    <row r="939" s="169" customFormat="1" ht="20" customHeight="1" x14ac:dyDescent="0.45"/>
    <row r="940" s="169" customFormat="1" ht="20" customHeight="1" x14ac:dyDescent="0.45"/>
    <row r="941" s="169" customFormat="1" ht="20" customHeight="1" x14ac:dyDescent="0.45"/>
    <row r="942" s="169" customFormat="1" ht="20" customHeight="1" x14ac:dyDescent="0.45"/>
    <row r="943" s="169" customFormat="1" ht="20" customHeight="1" x14ac:dyDescent="0.45"/>
    <row r="944" s="169" customFormat="1" ht="20" customHeight="1" x14ac:dyDescent="0.45"/>
    <row r="945" s="169" customFormat="1" ht="20" customHeight="1" x14ac:dyDescent="0.45"/>
    <row r="946" s="169" customFormat="1" ht="20" customHeight="1" x14ac:dyDescent="0.45"/>
    <row r="947" s="169" customFormat="1" ht="20" customHeight="1" x14ac:dyDescent="0.45"/>
    <row r="948" s="169" customFormat="1" ht="20" customHeight="1" x14ac:dyDescent="0.45"/>
    <row r="949" s="169" customFormat="1" ht="20" customHeight="1" x14ac:dyDescent="0.45"/>
    <row r="950" s="169" customFormat="1" ht="20" customHeight="1" x14ac:dyDescent="0.45"/>
    <row r="951" s="169" customFormat="1" ht="20" customHeight="1" x14ac:dyDescent="0.45"/>
    <row r="952" s="169" customFormat="1" ht="20" customHeight="1" x14ac:dyDescent="0.45"/>
    <row r="953" s="169" customFormat="1" ht="20" customHeight="1" x14ac:dyDescent="0.45"/>
    <row r="954" s="169" customFormat="1" ht="20" customHeight="1" x14ac:dyDescent="0.45"/>
    <row r="955" s="169" customFormat="1" ht="20" customHeight="1" x14ac:dyDescent="0.45"/>
    <row r="956" s="169" customFormat="1" ht="20" customHeight="1" x14ac:dyDescent="0.45"/>
    <row r="957" s="169" customFormat="1" ht="20" customHeight="1" x14ac:dyDescent="0.45"/>
    <row r="958" s="169" customFormat="1" ht="20" customHeight="1" x14ac:dyDescent="0.45"/>
    <row r="959" s="169" customFormat="1" ht="20" customHeight="1" x14ac:dyDescent="0.45"/>
    <row r="960" s="169" customFormat="1" ht="20" customHeight="1" x14ac:dyDescent="0.45"/>
    <row r="961" s="169" customFormat="1" ht="20" customHeight="1" x14ac:dyDescent="0.45"/>
    <row r="962" s="169" customFormat="1" ht="20" customHeight="1" x14ac:dyDescent="0.45"/>
    <row r="963" s="169" customFormat="1" ht="20" customHeight="1" x14ac:dyDescent="0.45"/>
    <row r="964" s="169" customFormat="1" ht="20" customHeight="1" x14ac:dyDescent="0.45"/>
    <row r="965" s="169" customFormat="1" ht="20" customHeight="1" x14ac:dyDescent="0.45"/>
    <row r="966" s="169" customFormat="1" ht="20" customHeight="1" x14ac:dyDescent="0.45"/>
    <row r="967" s="169" customFormat="1" ht="20" customHeight="1" x14ac:dyDescent="0.45"/>
    <row r="968" s="169" customFormat="1" ht="20" customHeight="1" x14ac:dyDescent="0.45"/>
    <row r="969" s="169" customFormat="1" ht="20" customHeight="1" x14ac:dyDescent="0.45"/>
    <row r="970" s="169" customFormat="1" ht="20" customHeight="1" x14ac:dyDescent="0.45"/>
    <row r="971" s="169" customFormat="1" ht="20" customHeight="1" x14ac:dyDescent="0.45"/>
    <row r="972" s="169" customFormat="1" ht="20" customHeight="1" x14ac:dyDescent="0.45"/>
    <row r="973" s="169" customFormat="1" ht="20" customHeight="1" x14ac:dyDescent="0.45"/>
    <row r="974" s="169" customFormat="1" ht="20" customHeight="1" x14ac:dyDescent="0.45"/>
    <row r="975" s="169" customFormat="1" ht="20" customHeight="1" x14ac:dyDescent="0.45"/>
    <row r="976" s="169" customFormat="1" ht="20" customHeight="1" x14ac:dyDescent="0.45"/>
    <row r="977" s="169" customFormat="1" ht="20" customHeight="1" x14ac:dyDescent="0.45"/>
    <row r="978" s="169" customFormat="1" ht="20" customHeight="1" x14ac:dyDescent="0.45"/>
    <row r="979" s="169" customFormat="1" ht="20" customHeight="1" x14ac:dyDescent="0.45"/>
    <row r="980" s="169" customFormat="1" ht="20" customHeight="1" x14ac:dyDescent="0.45"/>
    <row r="981" s="169" customFormat="1" ht="20" customHeight="1" x14ac:dyDescent="0.45"/>
    <row r="982" s="169" customFormat="1" ht="20" customHeight="1" x14ac:dyDescent="0.45"/>
    <row r="983" s="169" customFormat="1" ht="20" customHeight="1" x14ac:dyDescent="0.45"/>
    <row r="984" s="169" customFormat="1" ht="20" customHeight="1" x14ac:dyDescent="0.45"/>
    <row r="985" s="169" customFormat="1" ht="20" customHeight="1" x14ac:dyDescent="0.45"/>
    <row r="986" s="169" customFormat="1" ht="20" customHeight="1" x14ac:dyDescent="0.45"/>
    <row r="987" s="169" customFormat="1" ht="20" customHeight="1" x14ac:dyDescent="0.45"/>
    <row r="988" s="169" customFormat="1" ht="20" customHeight="1" x14ac:dyDescent="0.45"/>
    <row r="989" s="169" customFormat="1" ht="20" customHeight="1" x14ac:dyDescent="0.45"/>
    <row r="990" s="169" customFormat="1" ht="20" customHeight="1" x14ac:dyDescent="0.45"/>
    <row r="991" s="169" customFormat="1" ht="20" customHeight="1" x14ac:dyDescent="0.45"/>
    <row r="992" s="169" customFormat="1" ht="20" customHeight="1" x14ac:dyDescent="0.45"/>
    <row r="993" s="169" customFormat="1" ht="20" customHeight="1" x14ac:dyDescent="0.45"/>
    <row r="994" s="169" customFormat="1" ht="20" customHeight="1" x14ac:dyDescent="0.45"/>
    <row r="995" s="169" customFormat="1" ht="20" customHeight="1" x14ac:dyDescent="0.45"/>
    <row r="996" s="169" customFormat="1" ht="20" customHeight="1" x14ac:dyDescent="0.45"/>
    <row r="997" s="169" customFormat="1" ht="20" customHeight="1" x14ac:dyDescent="0.45"/>
    <row r="998" s="169" customFormat="1" ht="20" customHeight="1" x14ac:dyDescent="0.45"/>
    <row r="999" s="169" customFormat="1" ht="20" customHeight="1" x14ac:dyDescent="0.45"/>
    <row r="1000" s="169" customFormat="1" ht="20" customHeight="1" x14ac:dyDescent="0.45"/>
    <row r="1001" s="169" customFormat="1" ht="20" customHeight="1" x14ac:dyDescent="0.45"/>
    <row r="1002" s="169" customFormat="1" ht="20" customHeight="1" x14ac:dyDescent="0.45"/>
    <row r="1003" s="169" customFormat="1" ht="20" customHeight="1" x14ac:dyDescent="0.45"/>
    <row r="1004" s="169" customFormat="1" ht="20" customHeight="1" x14ac:dyDescent="0.45"/>
    <row r="1005" s="169" customFormat="1" ht="20" customHeight="1" x14ac:dyDescent="0.45"/>
    <row r="1006" s="169" customFormat="1" ht="20" customHeight="1" x14ac:dyDescent="0.45"/>
    <row r="1007" s="169" customFormat="1" ht="20" customHeight="1" x14ac:dyDescent="0.45"/>
    <row r="1008" s="169" customFormat="1" ht="20" customHeight="1" x14ac:dyDescent="0.45"/>
    <row r="1009" s="169" customFormat="1" ht="20" customHeight="1" x14ac:dyDescent="0.45"/>
    <row r="1010" s="169" customFormat="1" ht="20" customHeight="1" x14ac:dyDescent="0.45"/>
    <row r="1011" s="169" customFormat="1" ht="20" customHeight="1" x14ac:dyDescent="0.45"/>
    <row r="1012" s="169" customFormat="1" ht="20" customHeight="1" x14ac:dyDescent="0.45"/>
    <row r="1013" s="169" customFormat="1" ht="20" customHeight="1" x14ac:dyDescent="0.45"/>
    <row r="1014" s="169" customFormat="1" ht="20" customHeight="1" x14ac:dyDescent="0.45"/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>
    <tabColor theme="8" tint="0.59999389629810485"/>
  </sheetPr>
  <dimension ref="A1:V220"/>
  <sheetViews>
    <sheetView zoomScale="80" zoomScaleNormal="80" workbookViewId="0">
      <selection activeCell="R17" sqref="R17"/>
    </sheetView>
  </sheetViews>
  <sheetFormatPr baseColWidth="10" defaultColWidth="9.06640625" defaultRowHeight="14.25" x14ac:dyDescent="0.45"/>
  <cols>
    <col min="1" max="3" width="18" style="81" customWidth="1"/>
    <col min="4" max="4" width="29.46484375" style="81" customWidth="1"/>
    <col min="5" max="5" width="26.1328125" style="81" customWidth="1"/>
    <col min="6" max="6" width="50.1328125" style="81" customWidth="1"/>
    <col min="7" max="7" width="18" style="81" hidden="1" customWidth="1"/>
    <col min="8" max="8" width="18" style="81" customWidth="1"/>
    <col min="9" max="9" width="14.3984375" style="81" customWidth="1"/>
    <col min="10" max="10" width="18" style="144" customWidth="1"/>
    <col min="11" max="11" width="10.9296875" style="81" customWidth="1"/>
    <col min="12" max="12" width="18.1328125" style="81" customWidth="1"/>
    <col min="13" max="13" width="13.59765625" style="144" hidden="1" customWidth="1"/>
    <col min="14" max="14" width="17.06640625" style="81" customWidth="1"/>
    <col min="15" max="16" width="18" style="81" customWidth="1"/>
    <col min="17" max="18" width="18" style="144" customWidth="1"/>
    <col min="19" max="19" width="14.53125" style="81" customWidth="1"/>
    <col min="20" max="20" width="28.53125" style="81" customWidth="1"/>
    <col min="21" max="21" width="9.06640625" style="81"/>
    <col min="22" max="22" width="24.1328125" style="241" customWidth="1"/>
    <col min="23" max="23" width="13.73046875" style="81" customWidth="1"/>
    <col min="24" max="24" width="18" style="81" customWidth="1"/>
    <col min="25" max="16384" width="9.06640625" style="81"/>
  </cols>
  <sheetData>
    <row r="1" spans="1:22" s="140" customFormat="1" ht="55.15" customHeight="1" thickBot="1" x14ac:dyDescent="0.5">
      <c r="A1" s="457" t="s">
        <v>87</v>
      </c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  <c r="R1" s="458"/>
      <c r="S1" s="458"/>
      <c r="T1" s="459"/>
      <c r="U1" s="139"/>
      <c r="V1" s="139"/>
    </row>
    <row r="2" spans="1:22" s="140" customFormat="1" x14ac:dyDescent="0.45">
      <c r="C2" s="141"/>
      <c r="E2" s="142"/>
      <c r="G2" s="143"/>
      <c r="H2" s="143"/>
      <c r="I2" s="142"/>
      <c r="J2" s="142"/>
      <c r="K2" s="142"/>
      <c r="L2" s="141"/>
      <c r="N2" s="142"/>
      <c r="O2" s="142"/>
      <c r="P2" s="142"/>
      <c r="Q2" s="142"/>
      <c r="R2" s="142"/>
      <c r="S2" s="142"/>
      <c r="T2" s="139"/>
      <c r="U2" s="139"/>
      <c r="V2" s="139"/>
    </row>
    <row r="3" spans="1:22" s="140" customFormat="1" ht="27.75" customHeight="1" x14ac:dyDescent="0.45">
      <c r="A3" s="80" t="s">
        <v>69</v>
      </c>
      <c r="B3" s="81"/>
      <c r="C3" s="173">
        <f ca="1">TODAY()</f>
        <v>46133</v>
      </c>
      <c r="D3" s="81"/>
      <c r="E3" s="144"/>
      <c r="F3" s="144"/>
      <c r="G3" s="143"/>
      <c r="H3" s="143"/>
      <c r="I3" s="144"/>
      <c r="J3" s="142"/>
      <c r="K3" s="144"/>
      <c r="L3" s="141"/>
      <c r="M3" s="144"/>
      <c r="N3" s="144"/>
      <c r="O3" s="144"/>
      <c r="P3" s="144"/>
      <c r="Q3" s="142"/>
      <c r="R3" s="142"/>
      <c r="S3" s="144"/>
      <c r="T3" s="139"/>
      <c r="U3" s="139"/>
      <c r="V3" s="139"/>
    </row>
    <row r="4" spans="1:22" s="139" customFormat="1" ht="29.25" customHeight="1" thickBot="1" x14ac:dyDescent="0.5">
      <c r="A4" s="80" t="s">
        <v>70</v>
      </c>
      <c r="C4" s="145" t="s">
        <v>83</v>
      </c>
      <c r="E4" s="146"/>
      <c r="H4" s="174" t="s">
        <v>157</v>
      </c>
      <c r="I4" s="146"/>
      <c r="J4" s="146"/>
      <c r="K4" s="146"/>
      <c r="L4" s="147"/>
      <c r="N4" s="146"/>
      <c r="O4" s="174"/>
      <c r="P4" s="146"/>
      <c r="Q4" s="146"/>
      <c r="R4" s="146"/>
      <c r="S4" s="146"/>
    </row>
    <row r="5" spans="1:22" s="139" customFormat="1" ht="28.5" x14ac:dyDescent="0.45">
      <c r="A5" s="80" t="s">
        <v>82</v>
      </c>
      <c r="C5" s="145" t="s">
        <v>88</v>
      </c>
      <c r="E5" s="146"/>
      <c r="H5" s="342" t="s">
        <v>158</v>
      </c>
      <c r="I5" s="146"/>
      <c r="J5" s="146"/>
      <c r="K5" s="146"/>
      <c r="L5" s="147"/>
      <c r="N5" s="146"/>
      <c r="O5" s="146"/>
      <c r="P5" s="146"/>
      <c r="Q5" s="146"/>
      <c r="R5" s="146"/>
      <c r="S5" s="146"/>
    </row>
    <row r="6" spans="1:22" s="139" customFormat="1" ht="28.5" x14ac:dyDescent="0.45">
      <c r="A6" s="80" t="s">
        <v>71</v>
      </c>
      <c r="C6" s="148" t="s">
        <v>84</v>
      </c>
      <c r="E6" s="146"/>
      <c r="H6" s="343" t="s">
        <v>159</v>
      </c>
      <c r="I6" s="146"/>
      <c r="J6" s="146"/>
      <c r="K6" s="146"/>
      <c r="L6" s="147"/>
      <c r="N6" s="146"/>
      <c r="O6" s="146"/>
      <c r="P6" s="146"/>
      <c r="Q6" s="146"/>
      <c r="R6" s="146"/>
      <c r="S6" s="146"/>
    </row>
    <row r="7" spans="1:22" s="139" customFormat="1" ht="24" customHeight="1" thickBot="1" x14ac:dyDescent="0.5">
      <c r="A7" s="80" t="s">
        <v>72</v>
      </c>
      <c r="C7" s="148" t="s">
        <v>85</v>
      </c>
      <c r="E7" s="146"/>
      <c r="H7" s="344" t="s">
        <v>160</v>
      </c>
      <c r="I7" s="146"/>
      <c r="J7" s="146"/>
      <c r="K7" s="146"/>
      <c r="L7" s="147"/>
      <c r="N7" s="146"/>
      <c r="O7" s="174" t="s">
        <v>157</v>
      </c>
      <c r="P7" s="146"/>
      <c r="Q7" s="146"/>
      <c r="R7" s="146"/>
      <c r="S7" s="146"/>
    </row>
    <row r="8" spans="1:22" s="139" customFormat="1" ht="43.15" thickBot="1" x14ac:dyDescent="0.5">
      <c r="A8" s="80" t="s">
        <v>73</v>
      </c>
      <c r="C8" s="145" t="s">
        <v>86</v>
      </c>
      <c r="E8" s="146"/>
      <c r="H8" s="345" t="s">
        <v>161</v>
      </c>
      <c r="I8" s="146"/>
      <c r="J8" s="146"/>
      <c r="K8" s="146"/>
      <c r="L8" s="147"/>
      <c r="N8" s="146"/>
      <c r="O8" s="341" t="s">
        <v>162</v>
      </c>
      <c r="P8" s="146"/>
      <c r="Q8" s="146"/>
      <c r="R8" s="146"/>
      <c r="S8" s="146"/>
    </row>
    <row r="9" spans="1:22" s="139" customFormat="1" ht="29.25" customHeight="1" x14ac:dyDescent="0.45">
      <c r="A9" s="80" t="s">
        <v>74</v>
      </c>
      <c r="C9" s="149">
        <v>46447</v>
      </c>
      <c r="E9" s="146"/>
      <c r="F9" s="150"/>
      <c r="I9" s="146"/>
      <c r="J9" s="146"/>
      <c r="K9" s="146"/>
      <c r="L9" s="147"/>
      <c r="N9" s="146"/>
      <c r="O9" s="146"/>
      <c r="P9" s="146"/>
      <c r="Q9" s="146"/>
      <c r="R9" s="146"/>
      <c r="S9" s="146"/>
    </row>
    <row r="10" spans="1:22" s="139" customFormat="1" x14ac:dyDescent="0.45">
      <c r="A10" s="151"/>
      <c r="C10" s="152"/>
      <c r="E10" s="146"/>
      <c r="F10" s="150"/>
      <c r="I10" s="146"/>
      <c r="J10" s="146"/>
      <c r="K10" s="146"/>
      <c r="L10" s="147"/>
      <c r="N10" s="146"/>
      <c r="O10" s="146"/>
      <c r="P10" s="146"/>
      <c r="Q10" s="146"/>
      <c r="R10" s="146"/>
      <c r="S10" s="146"/>
    </row>
    <row r="11" spans="1:22" ht="28.5" x14ac:dyDescent="0.45">
      <c r="A11" s="164" t="s">
        <v>0</v>
      </c>
      <c r="B11" s="164" t="s">
        <v>1</v>
      </c>
      <c r="C11" s="164" t="s">
        <v>2</v>
      </c>
      <c r="D11" s="164" t="s">
        <v>3</v>
      </c>
      <c r="E11" s="164" t="s">
        <v>4</v>
      </c>
      <c r="F11" s="164" t="s">
        <v>5</v>
      </c>
      <c r="G11" s="164" t="s">
        <v>10</v>
      </c>
      <c r="H11" s="164" t="s">
        <v>8</v>
      </c>
      <c r="I11" s="165" t="s">
        <v>75</v>
      </c>
      <c r="J11" s="166" t="s">
        <v>12</v>
      </c>
      <c r="K11" s="165" t="s">
        <v>79</v>
      </c>
      <c r="L11" s="167" t="s">
        <v>76</v>
      </c>
      <c r="M11" s="164" t="s">
        <v>7</v>
      </c>
      <c r="N11" s="164" t="s">
        <v>81</v>
      </c>
      <c r="O11" s="165" t="s">
        <v>77</v>
      </c>
      <c r="P11" s="165" t="s">
        <v>78</v>
      </c>
      <c r="Q11" s="164" t="s">
        <v>9</v>
      </c>
      <c r="R11" s="164" t="s">
        <v>11</v>
      </c>
      <c r="S11" s="164" t="s">
        <v>6</v>
      </c>
      <c r="T11" s="164" t="s">
        <v>258</v>
      </c>
      <c r="V11" s="81"/>
    </row>
    <row r="12" spans="1:22" x14ac:dyDescent="0.45">
      <c r="A12" s="231">
        <v>1</v>
      </c>
      <c r="B12" s="232" t="s">
        <v>13</v>
      </c>
      <c r="C12" s="232" t="s">
        <v>25</v>
      </c>
      <c r="D12" s="232" t="s">
        <v>206</v>
      </c>
      <c r="E12" s="232" t="s">
        <v>14</v>
      </c>
      <c r="F12" s="232" t="s">
        <v>207</v>
      </c>
      <c r="G12" s="232"/>
      <c r="H12" s="233">
        <v>45708</v>
      </c>
      <c r="I12" s="233">
        <v>45709</v>
      </c>
      <c r="J12" s="234" cm="1">
        <f t="array" ref="J12">IF(A12="","",COUNTA(_xlfn.UNIQUE(_xlfn._xlws.FILTER(TMA_Entreprises!G:G,TMA_Entreprises!A:A=A12))))</f>
        <v>1</v>
      </c>
      <c r="K12" s="235" t="str">
        <f>IF(A12="","",IF(
COUNTIFS(TMA_Entreprises!$A$12:$A$220,A12,TMA_Entreprises!$J$12:$J$220,"Oui")=0,"Non",
IF(
COUNTIFS(TMA_Entreprises!$A$12:$A$220,A12,TMA_Entreprises!$J$12:$J$220,"Oui")=
COUNTIF(TMA_Entreprises!$A$12:$A$220,A12),"Oui",
"Partiel")))</f>
        <v>Oui</v>
      </c>
      <c r="L12" s="236">
        <f>IF(A12="","",SUMIF(TMA_Entreprises!A:A,A12,TMA_Entreprises!L:L))</f>
        <v>55.710000000000036</v>
      </c>
      <c r="M12" s="237"/>
      <c r="N12" s="238">
        <f t="shared" ref="N12:N75" si="0">IF(L12="","",IF(L12&gt;0,L12*1.3,L12))</f>
        <v>72.423000000000044</v>
      </c>
      <c r="O12" s="233">
        <v>45713</v>
      </c>
      <c r="P12" s="233">
        <v>46079</v>
      </c>
      <c r="Q12" s="239">
        <f t="shared" ref="Q12:Q75" si="1">IF(O12="","",O12+15)</f>
        <v>45728</v>
      </c>
      <c r="R12" s="235" t="str">
        <f t="shared" ref="R12:R75" ca="1" si="2">IF(A12="","",IF(AND(Q12&lt;TODAY(),P12=""),"Oui","Non"))</f>
        <v>Non</v>
      </c>
      <c r="S12" s="237" t="str">
        <f t="shared" ref="S12:S75" si="3">IF(A12="","",IF(P12&lt;&gt;"","Validé",IF(O12="NON","Refusé",IF(K12="Oui","Chiffré",IF(AND(I12&lt;&gt;"",K12&lt;&gt;"Oui"),"Étude",IF(AND(H12&lt;&gt;"",I12=""),"Demande",""))))))</f>
        <v>Validé</v>
      </c>
      <c r="T12" s="242"/>
      <c r="V12" s="81"/>
    </row>
    <row r="13" spans="1:22" x14ac:dyDescent="0.45">
      <c r="A13" s="231">
        <v>2</v>
      </c>
      <c r="B13" s="232" t="s">
        <v>22</v>
      </c>
      <c r="C13" s="232" t="s">
        <v>27</v>
      </c>
      <c r="D13" s="232" t="s">
        <v>210</v>
      </c>
      <c r="E13" s="232" t="s">
        <v>19</v>
      </c>
      <c r="F13" s="232" t="s">
        <v>211</v>
      </c>
      <c r="G13" s="232"/>
      <c r="H13" s="233">
        <v>45713</v>
      </c>
      <c r="I13" s="233">
        <v>45715</v>
      </c>
      <c r="J13" s="234" cm="1">
        <f t="array" ref="J13">IF(A13="","",COUNTA(_xlfn.UNIQUE(_xlfn._xlws.FILTER(TMA_Entreprises!G:G,TMA_Entreprises!A:A=A13))))</f>
        <v>4</v>
      </c>
      <c r="K13" s="235" t="str">
        <f>IF(A13="","",IF(
COUNTIFS(TMA_Entreprises!$A$12:$A$220,A13,TMA_Entreprises!$J$12:$J$220,"Oui")=0,"Non",
IF(
COUNTIFS(TMA_Entreprises!$A$12:$A$220,A13,TMA_Entreprises!$J$12:$J$220,"Oui")=
COUNTIF(TMA_Entreprises!$A$12:$A$220,A13),"Oui",
"Partiel")))</f>
        <v>Partiel</v>
      </c>
      <c r="L13" s="236">
        <f>IF(A13="","",SUMIF(TMA_Entreprises!A:A,A13,TMA_Entreprises!L:L))</f>
        <v>-575.73</v>
      </c>
      <c r="M13" s="237" t="s">
        <v>17</v>
      </c>
      <c r="N13" s="238">
        <f t="shared" si="0"/>
        <v>-575.73</v>
      </c>
      <c r="O13" s="233"/>
      <c r="P13" s="233"/>
      <c r="Q13" s="239" t="str">
        <f t="shared" si="1"/>
        <v/>
      </c>
      <c r="R13" s="235" t="str">
        <f t="shared" ca="1" si="2"/>
        <v>Non</v>
      </c>
      <c r="S13" s="237" t="str">
        <f t="shared" si="3"/>
        <v>Étude</v>
      </c>
      <c r="T13" s="242"/>
      <c r="V13" s="81"/>
    </row>
    <row r="14" spans="1:22" ht="28.5" x14ac:dyDescent="0.45">
      <c r="A14" s="231">
        <v>3</v>
      </c>
      <c r="B14" s="232" t="s">
        <v>22</v>
      </c>
      <c r="C14" s="232" t="s">
        <v>27</v>
      </c>
      <c r="D14" s="232" t="s">
        <v>210</v>
      </c>
      <c r="E14" s="232" t="s">
        <v>217</v>
      </c>
      <c r="F14" s="232" t="s">
        <v>218</v>
      </c>
      <c r="G14" s="232"/>
      <c r="H14" s="233">
        <v>45713</v>
      </c>
      <c r="I14" s="233">
        <v>45715</v>
      </c>
      <c r="J14" s="234" cm="1">
        <f t="array" ref="J14">IF(A14="","",COUNTA(_xlfn.UNIQUE(_xlfn._xlws.FILTER(TMA_Entreprises!G:G,TMA_Entreprises!A:A=A14))))</f>
        <v>1</v>
      </c>
      <c r="K14" s="235" t="str">
        <f>IF(A14="","",IF(
COUNTIFS(TMA_Entreprises!$A$12:$A$220,A14,TMA_Entreprises!$J$12:$J$220,"Oui")=0,"Non",
IF(
COUNTIFS(TMA_Entreprises!$A$12:$A$220,A14,TMA_Entreprises!$J$12:$J$220,"Oui")=
COUNTIF(TMA_Entreprises!$A$12:$A$220,A14),"Oui",
"Partiel")))</f>
        <v>Oui</v>
      </c>
      <c r="L14" s="236">
        <f>IF(A14="","",SUMIF(TMA_Entreprises!A:A,A14,TMA_Entreprises!L:L))</f>
        <v>477</v>
      </c>
      <c r="M14" s="237" t="s">
        <v>21</v>
      </c>
      <c r="N14" s="238">
        <f t="shared" si="0"/>
        <v>620.1</v>
      </c>
      <c r="O14" s="233"/>
      <c r="P14" s="233"/>
      <c r="Q14" s="239" t="str">
        <f t="shared" si="1"/>
        <v/>
      </c>
      <c r="R14" s="235" t="str">
        <f t="shared" ca="1" si="2"/>
        <v>Non</v>
      </c>
      <c r="S14" s="237" t="str">
        <f t="shared" si="3"/>
        <v>Chiffré</v>
      </c>
      <c r="T14" s="242"/>
      <c r="V14" s="81"/>
    </row>
    <row r="15" spans="1:22" x14ac:dyDescent="0.45">
      <c r="A15" s="231">
        <v>4</v>
      </c>
      <c r="B15" s="232" t="s">
        <v>22</v>
      </c>
      <c r="C15" s="232" t="s">
        <v>27</v>
      </c>
      <c r="D15" s="232" t="s">
        <v>210</v>
      </c>
      <c r="E15" s="232" t="s">
        <v>54</v>
      </c>
      <c r="F15" s="232" t="s">
        <v>246</v>
      </c>
      <c r="G15" s="232"/>
      <c r="H15" s="233">
        <v>45713</v>
      </c>
      <c r="I15" s="233">
        <v>45715</v>
      </c>
      <c r="J15" s="234" cm="1">
        <f t="array" ref="J15">IF(A15="","",COUNTA(_xlfn.UNIQUE(_xlfn._xlws.FILTER(TMA_Entreprises!G:G,TMA_Entreprises!A:A=A15))))</f>
        <v>2</v>
      </c>
      <c r="K15" s="235" t="str">
        <f>IF(A15="","",IF(
COUNTIFS(TMA_Entreprises!$A$12:$A$220,A15,TMA_Entreprises!$J$12:$J$220,"Oui")=0,"Non",
IF(
COUNTIFS(TMA_Entreprises!$A$12:$A$220,A15,TMA_Entreprises!$J$12:$J$220,"Oui")=
COUNTIF(TMA_Entreprises!$A$12:$A$220,A15),"Oui",
"Partiel")))</f>
        <v>Oui</v>
      </c>
      <c r="L15" s="236">
        <f>IF(A15="","",SUMIF(TMA_Entreprises!A:A,A15,TMA_Entreprises!L:L))</f>
        <v>526.09999999999991</v>
      </c>
      <c r="M15" s="237" t="s">
        <v>23</v>
      </c>
      <c r="N15" s="238">
        <f t="shared" si="0"/>
        <v>683.93</v>
      </c>
      <c r="O15" s="233"/>
      <c r="P15" s="233"/>
      <c r="Q15" s="239" t="str">
        <f t="shared" si="1"/>
        <v/>
      </c>
      <c r="R15" s="235" t="str">
        <f t="shared" ca="1" si="2"/>
        <v>Non</v>
      </c>
      <c r="S15" s="237" t="str">
        <f t="shared" si="3"/>
        <v>Chiffré</v>
      </c>
      <c r="T15" s="242"/>
      <c r="V15" s="81"/>
    </row>
    <row r="16" spans="1:22" x14ac:dyDescent="0.45">
      <c r="A16" s="231">
        <v>5</v>
      </c>
      <c r="B16" s="232" t="s">
        <v>22</v>
      </c>
      <c r="C16" s="232" t="s">
        <v>27</v>
      </c>
      <c r="D16" s="232" t="s">
        <v>210</v>
      </c>
      <c r="E16" s="232" t="s">
        <v>217</v>
      </c>
      <c r="F16" s="232" t="s">
        <v>250</v>
      </c>
      <c r="G16" s="232"/>
      <c r="H16" s="233">
        <v>45713</v>
      </c>
      <c r="I16" s="233">
        <v>45715</v>
      </c>
      <c r="J16" s="234" cm="1">
        <f t="array" ref="J16">IF(A16="","",COUNTA(_xlfn.UNIQUE(_xlfn._xlws.FILTER(TMA_Entreprises!G:G,TMA_Entreprises!A:A=A16))))</f>
        <v>1</v>
      </c>
      <c r="K16" s="235" t="str">
        <f>IF(A16="","",IF(
COUNTIFS(TMA_Entreprises!$A$12:$A$220,A16,TMA_Entreprises!$J$12:$J$220,"Oui")=0,"Non",
IF(
COUNTIFS(TMA_Entreprises!$A$12:$A$220,A16,TMA_Entreprises!$J$12:$J$220,"Oui")=
COUNTIF(TMA_Entreprises!$A$12:$A$220,A16),"Oui",
"Partiel")))</f>
        <v>Non</v>
      </c>
      <c r="L16" s="236">
        <f>IF(A16="","",SUMIF(TMA_Entreprises!A:A,A16,TMA_Entreprises!L:L))</f>
        <v>0</v>
      </c>
      <c r="M16" s="237"/>
      <c r="N16" s="238">
        <f t="shared" si="0"/>
        <v>0</v>
      </c>
      <c r="O16" s="233"/>
      <c r="P16" s="233"/>
      <c r="Q16" s="239" t="str">
        <f t="shared" si="1"/>
        <v/>
      </c>
      <c r="R16" s="235" t="str">
        <f t="shared" ca="1" si="2"/>
        <v>Non</v>
      </c>
      <c r="S16" s="237" t="str">
        <f t="shared" si="3"/>
        <v>Étude</v>
      </c>
      <c r="T16" s="242"/>
      <c r="V16" s="81"/>
    </row>
    <row r="17" spans="1:20" s="81" customFormat="1" x14ac:dyDescent="0.45">
      <c r="A17" s="231">
        <v>6</v>
      </c>
      <c r="B17" s="232" t="s">
        <v>119</v>
      </c>
      <c r="C17" s="232" t="s">
        <v>26</v>
      </c>
      <c r="D17" s="232" t="s">
        <v>252</v>
      </c>
      <c r="E17" s="232" t="s">
        <v>53</v>
      </c>
      <c r="F17" s="232" t="s">
        <v>253</v>
      </c>
      <c r="G17" s="232"/>
      <c r="H17" s="233">
        <v>45710</v>
      </c>
      <c r="I17" s="233">
        <v>45715</v>
      </c>
      <c r="J17" s="234" cm="1">
        <f t="array" ref="J17">IF(A17="","",COUNTA(_xlfn.UNIQUE(_xlfn._xlws.FILTER(TMA_Entreprises!G:G,TMA_Entreprises!A:A=A17))))</f>
        <v>1</v>
      </c>
      <c r="K17" s="235" t="str">
        <f>IF(A17="","",IF(
COUNTIFS(TMA_Entreprises!$A$12:$A$220,A17,TMA_Entreprises!$J$12:$J$220,"Oui")=0,"Non",
IF(
COUNTIFS(TMA_Entreprises!$A$12:$A$220,A17,TMA_Entreprises!$J$12:$J$220,"Oui")=
COUNTIF(TMA_Entreprises!$A$12:$A$220,A17),"Oui",
"Partiel")))</f>
        <v>Oui</v>
      </c>
      <c r="L17" s="236">
        <f>IF(A17="","",SUMIF(TMA_Entreprises!A:A,A17,TMA_Entreprises!L:L))</f>
        <v>352.6</v>
      </c>
      <c r="M17" s="237"/>
      <c r="N17" s="238">
        <f t="shared" si="0"/>
        <v>458.38000000000005</v>
      </c>
      <c r="O17" s="233">
        <v>45716</v>
      </c>
      <c r="P17" s="233"/>
      <c r="Q17" s="239">
        <f t="shared" si="1"/>
        <v>45731</v>
      </c>
      <c r="R17" s="235" t="str">
        <f t="shared" ca="1" si="2"/>
        <v>Oui</v>
      </c>
      <c r="S17" s="237" t="str">
        <f t="shared" si="3"/>
        <v>Chiffré</v>
      </c>
      <c r="T17" s="242"/>
    </row>
    <row r="18" spans="1:20" s="81" customFormat="1" ht="28.5" x14ac:dyDescent="0.45">
      <c r="A18" s="231">
        <v>7</v>
      </c>
      <c r="B18" s="232" t="s">
        <v>255</v>
      </c>
      <c r="C18" s="232" t="s">
        <v>25</v>
      </c>
      <c r="D18" s="232" t="s">
        <v>256</v>
      </c>
      <c r="E18" s="232" t="s">
        <v>217</v>
      </c>
      <c r="F18" s="232" t="s">
        <v>257</v>
      </c>
      <c r="G18" s="232"/>
      <c r="H18" s="233">
        <v>45771</v>
      </c>
      <c r="I18" s="233">
        <v>45772</v>
      </c>
      <c r="J18" s="234" cm="1">
        <f t="array" ref="J18">IF(A18="","",COUNTA(_xlfn.UNIQUE(_xlfn._xlws.FILTER(TMA_Entreprises!G:G,TMA_Entreprises!A:A=A18))))</f>
        <v>1</v>
      </c>
      <c r="K18" s="235" t="str">
        <f>IF(A18="","",IF(
COUNTIFS(TMA_Entreprises!$A$12:$A$220,A18,TMA_Entreprises!$J$12:$J$220,"Oui")=0,"Non",
IF(
COUNTIFS(TMA_Entreprises!$A$12:$A$220,A18,TMA_Entreprises!$J$12:$J$220,"Oui")=
COUNTIF(TMA_Entreprises!$A$12:$A$220,A18),"Oui",
"Partiel")))</f>
        <v>Non</v>
      </c>
      <c r="L18" s="236">
        <f>IF(A18="","",SUMIF(TMA_Entreprises!A:A,A18,TMA_Entreprises!L:L))</f>
        <v>0</v>
      </c>
      <c r="M18" s="237"/>
      <c r="N18" s="238">
        <f t="shared" si="0"/>
        <v>0</v>
      </c>
      <c r="O18" s="233" t="s">
        <v>164</v>
      </c>
      <c r="P18" s="233"/>
      <c r="Q18" s="239"/>
      <c r="R18" s="235"/>
      <c r="S18" s="237" t="str">
        <f t="shared" si="3"/>
        <v>Refusé</v>
      </c>
      <c r="T18" s="242" t="s">
        <v>259</v>
      </c>
    </row>
    <row r="19" spans="1:20" s="81" customFormat="1" ht="28.5" x14ac:dyDescent="0.45">
      <c r="A19" s="231">
        <v>8</v>
      </c>
      <c r="B19" s="232" t="s">
        <v>260</v>
      </c>
      <c r="C19" s="232" t="s">
        <v>26</v>
      </c>
      <c r="D19" s="232" t="s">
        <v>261</v>
      </c>
      <c r="E19" s="232" t="s">
        <v>217</v>
      </c>
      <c r="F19" s="232" t="s">
        <v>262</v>
      </c>
      <c r="G19" s="232"/>
      <c r="H19" s="233">
        <v>45896</v>
      </c>
      <c r="I19" s="233">
        <v>45896</v>
      </c>
      <c r="J19" s="234" cm="1">
        <f t="array" ref="J19">IF(A19="","",COUNTA(_xlfn.UNIQUE(_xlfn._xlws.FILTER(TMA_Entreprises!G:G,TMA_Entreprises!A:A=A19))))</f>
        <v>1</v>
      </c>
      <c r="K19" s="235" t="str">
        <f>IF(A19="","",IF(
COUNTIFS(TMA_Entreprises!$A$12:$A$220,A19,TMA_Entreprises!$J$12:$J$220,"Oui")=0,"Non",
IF(
COUNTIFS(TMA_Entreprises!$A$12:$A$220,A19,TMA_Entreprises!$J$12:$J$220,"Oui")=
COUNTIF(TMA_Entreprises!$A$12:$A$220,A19),"Oui",
"Partiel")))</f>
        <v>Oui</v>
      </c>
      <c r="L19" s="236">
        <f>IF(A19="","",SUMIF(TMA_Entreprises!A:A,A19,TMA_Entreprises!L:L))</f>
        <v>782.95999999999992</v>
      </c>
      <c r="M19" s="237"/>
      <c r="N19" s="238">
        <f t="shared" si="0"/>
        <v>1017.848</v>
      </c>
      <c r="O19" s="233">
        <v>45902</v>
      </c>
      <c r="P19" s="233">
        <v>45905</v>
      </c>
      <c r="Q19" s="239">
        <f t="shared" si="1"/>
        <v>45917</v>
      </c>
      <c r="R19" s="235" t="str">
        <f t="shared" ca="1" si="2"/>
        <v>Non</v>
      </c>
      <c r="S19" s="237" t="str">
        <f t="shared" si="3"/>
        <v>Validé</v>
      </c>
      <c r="T19" s="242"/>
    </row>
    <row r="20" spans="1:20" s="81" customFormat="1" x14ac:dyDescent="0.45">
      <c r="A20" s="231">
        <v>9</v>
      </c>
      <c r="B20" s="232" t="s">
        <v>263</v>
      </c>
      <c r="C20" s="232" t="s">
        <v>27</v>
      </c>
      <c r="D20" s="232" t="s">
        <v>264</v>
      </c>
      <c r="E20" s="232" t="s">
        <v>54</v>
      </c>
      <c r="F20" s="232" t="s">
        <v>246</v>
      </c>
      <c r="G20" s="232"/>
      <c r="H20" s="233">
        <v>45744</v>
      </c>
      <c r="I20" s="233">
        <v>45745</v>
      </c>
      <c r="J20" s="234" cm="1">
        <f t="array" ref="J20">IF(A20="","",COUNTA(_xlfn.UNIQUE(_xlfn._xlws.FILTER(TMA_Entreprises!G:G,TMA_Entreprises!A:A=A20))))</f>
        <v>2</v>
      </c>
      <c r="K20" s="235" t="str">
        <f>IF(A20="","",IF(
COUNTIFS(TMA_Entreprises!$A$12:$A$220,A20,TMA_Entreprises!$J$12:$J$220,"Oui")=0,"Non",
IF(
COUNTIFS(TMA_Entreprises!$A$12:$A$220,A20,TMA_Entreprises!$J$12:$J$220,"Oui")=
COUNTIF(TMA_Entreprises!$A$12:$A$220,A20),"Oui",
"Partiel")))</f>
        <v>Partiel</v>
      </c>
      <c r="L20" s="236">
        <f>IF(A20="","",SUMIF(TMA_Entreprises!A:A,A20,TMA_Entreprises!L:L))</f>
        <v>406.09999999999997</v>
      </c>
      <c r="M20" s="237"/>
      <c r="N20" s="238">
        <f t="shared" si="0"/>
        <v>527.92999999999995</v>
      </c>
      <c r="O20" s="233"/>
      <c r="P20" s="233"/>
      <c r="Q20" s="239" t="str">
        <f t="shared" si="1"/>
        <v/>
      </c>
      <c r="R20" s="235" t="str">
        <f t="shared" ca="1" si="2"/>
        <v>Non</v>
      </c>
      <c r="S20" s="237" t="str">
        <f t="shared" si="3"/>
        <v>Étude</v>
      </c>
      <c r="T20" s="242"/>
    </row>
    <row r="21" spans="1:20" s="81" customFormat="1" x14ac:dyDescent="0.45">
      <c r="A21" s="231">
        <v>10</v>
      </c>
      <c r="B21" s="232" t="s">
        <v>263</v>
      </c>
      <c r="C21" s="232" t="s">
        <v>27</v>
      </c>
      <c r="D21" s="232" t="s">
        <v>264</v>
      </c>
      <c r="E21" s="232" t="s">
        <v>265</v>
      </c>
      <c r="F21" s="232" t="s">
        <v>266</v>
      </c>
      <c r="G21" s="232"/>
      <c r="H21" s="233">
        <v>45744</v>
      </c>
      <c r="I21" s="233">
        <v>45745</v>
      </c>
      <c r="J21" s="234" cm="1">
        <f t="array" ref="J21">IF(A21="","",COUNTA(_xlfn.UNIQUE(_xlfn._xlws.FILTER(TMA_Entreprises!G:G,TMA_Entreprises!A:A=A21))))</f>
        <v>1</v>
      </c>
      <c r="K21" s="235" t="str">
        <f>IF(A21="","",IF(
COUNTIFS(TMA_Entreprises!$A$12:$A$220,A21,TMA_Entreprises!$J$12:$J$220,"Oui")=0,"Non",
IF(
COUNTIFS(TMA_Entreprises!$A$12:$A$220,A21,TMA_Entreprises!$J$12:$J$220,"Oui")=
COUNTIF(TMA_Entreprises!$A$12:$A$220,A21),"Oui",
"Partiel")))</f>
        <v>Oui</v>
      </c>
      <c r="L21" s="236">
        <f>IF(A21="","",SUMIF(TMA_Entreprises!A:A,A21,TMA_Entreprises!L:L))</f>
        <v>658.47</v>
      </c>
      <c r="M21" s="237"/>
      <c r="N21" s="238">
        <f t="shared" si="0"/>
        <v>856.01100000000008</v>
      </c>
      <c r="O21" s="233">
        <v>45746</v>
      </c>
      <c r="P21" s="233"/>
      <c r="Q21" s="239">
        <f t="shared" si="1"/>
        <v>45761</v>
      </c>
      <c r="R21" s="235" t="str">
        <f t="shared" ca="1" si="2"/>
        <v>Oui</v>
      </c>
      <c r="S21" s="237" t="str">
        <f t="shared" si="3"/>
        <v>Chiffré</v>
      </c>
      <c r="T21" s="242"/>
    </row>
    <row r="22" spans="1:20" s="81" customFormat="1" ht="28.5" x14ac:dyDescent="0.45">
      <c r="A22" s="231">
        <v>11</v>
      </c>
      <c r="B22" s="232" t="s">
        <v>24</v>
      </c>
      <c r="C22" s="232" t="s">
        <v>25</v>
      </c>
      <c r="D22" s="232" t="s">
        <v>268</v>
      </c>
      <c r="E22" s="232" t="s">
        <v>217</v>
      </c>
      <c r="F22" s="232" t="s">
        <v>269</v>
      </c>
      <c r="G22" s="232"/>
      <c r="H22" s="233">
        <v>45956</v>
      </c>
      <c r="I22" s="233">
        <v>45956</v>
      </c>
      <c r="J22" s="234" cm="1">
        <f t="array" ref="J22">IF(A22="","",COUNTA(_xlfn.UNIQUE(_xlfn._xlws.FILTER(TMA_Entreprises!G:G,TMA_Entreprises!A:A=A22))))</f>
        <v>1</v>
      </c>
      <c r="K22" s="235" t="str">
        <f>IF(A22="","",IF(
COUNTIFS(TMA_Entreprises!$A$12:$A$220,A22,TMA_Entreprises!$J$12:$J$220,"Oui")=0,"Non",
IF(
COUNTIFS(TMA_Entreprises!$A$12:$A$220,A22,TMA_Entreprises!$J$12:$J$220,"Oui")=
COUNTIF(TMA_Entreprises!$A$12:$A$220,A22),"Oui",
"Partiel")))</f>
        <v>Oui</v>
      </c>
      <c r="L22" s="236">
        <f>IF(A22="","",SUMIF(TMA_Entreprises!A:A,A22,TMA_Entreprises!L:L))</f>
        <v>-249.61999999999989</v>
      </c>
      <c r="M22" s="237"/>
      <c r="N22" s="238">
        <f t="shared" si="0"/>
        <v>-249.61999999999989</v>
      </c>
      <c r="O22" s="233"/>
      <c r="P22" s="233"/>
      <c r="Q22" s="239" t="str">
        <f t="shared" si="1"/>
        <v/>
      </c>
      <c r="R22" s="235" t="str">
        <f t="shared" ca="1" si="2"/>
        <v>Non</v>
      </c>
      <c r="S22" s="237" t="str">
        <f t="shared" si="3"/>
        <v>Chiffré</v>
      </c>
      <c r="T22" s="242"/>
    </row>
    <row r="23" spans="1:20" s="81" customFormat="1" ht="28.5" x14ac:dyDescent="0.45">
      <c r="A23" s="231">
        <v>12</v>
      </c>
      <c r="B23" s="232" t="s">
        <v>18</v>
      </c>
      <c r="C23" s="232" t="s">
        <v>26</v>
      </c>
      <c r="D23" s="232" t="s">
        <v>273</v>
      </c>
      <c r="E23" s="232" t="s">
        <v>217</v>
      </c>
      <c r="F23" s="232" t="s">
        <v>279</v>
      </c>
      <c r="G23" s="232"/>
      <c r="H23" s="233">
        <v>45956</v>
      </c>
      <c r="I23" s="233">
        <v>45957</v>
      </c>
      <c r="J23" s="234" cm="1">
        <f t="array" ref="J23">IF(A23="","",COUNTA(_xlfn.UNIQUE(_xlfn._xlws.FILTER(TMA_Entreprises!G:G,TMA_Entreprises!A:A=A23))))</f>
        <v>1</v>
      </c>
      <c r="K23" s="235" t="str">
        <f>IF(A23="","",IF(
COUNTIFS(TMA_Entreprises!$A$12:$A$220,A23,TMA_Entreprises!$J$12:$J$220,"Oui")=0,"Non",
IF(
COUNTIFS(TMA_Entreprises!$A$12:$A$220,A23,TMA_Entreprises!$J$12:$J$220,"Oui")=
COUNTIF(TMA_Entreprises!$A$12:$A$220,A23),"Oui",
"Partiel")))</f>
        <v>Oui</v>
      </c>
      <c r="L23" s="236">
        <f>IF(A23="","",SUMIF(TMA_Entreprises!A:A,A23,TMA_Entreprises!L:L))</f>
        <v>444</v>
      </c>
      <c r="M23" s="237"/>
      <c r="N23" s="238">
        <f t="shared" si="0"/>
        <v>577.20000000000005</v>
      </c>
      <c r="O23" s="233">
        <v>45957</v>
      </c>
      <c r="P23" s="233">
        <v>45958</v>
      </c>
      <c r="Q23" s="239">
        <f t="shared" si="1"/>
        <v>45972</v>
      </c>
      <c r="R23" s="235" t="str">
        <f t="shared" ca="1" si="2"/>
        <v>Non</v>
      </c>
      <c r="S23" s="237" t="str">
        <f t="shared" si="3"/>
        <v>Validé</v>
      </c>
      <c r="T23" s="242"/>
    </row>
    <row r="24" spans="1:20" s="81" customFormat="1" x14ac:dyDescent="0.45">
      <c r="A24" s="231"/>
      <c r="B24" s="232"/>
      <c r="C24" s="232"/>
      <c r="D24" s="232"/>
      <c r="E24" s="232"/>
      <c r="F24" s="232"/>
      <c r="G24" s="232"/>
      <c r="H24" s="233"/>
      <c r="I24" s="233"/>
      <c r="J24" s="234" t="str" cm="1">
        <f t="array" ref="J24">IF(A24="","",COUNTA(_xlfn.UNIQUE(_xlfn._xlws.FILTER(TMA_Entreprises!G:G,TMA_Entreprises!A:A=A24))))</f>
        <v/>
      </c>
      <c r="K24" s="235" t="str">
        <f>IF(A24="","",IF(
COUNTIFS(TMA_Entreprises!$A$12:$A$220,A24,TMA_Entreprises!$J$12:$J$220,"Oui")=0,"Non",
IF(
COUNTIFS(TMA_Entreprises!$A$12:$A$220,A24,TMA_Entreprises!$J$12:$J$220,"Oui")=
COUNTIF(TMA_Entreprises!$A$12:$A$220,A24),"Oui",
"Partiel")))</f>
        <v/>
      </c>
      <c r="L24" s="236" t="str">
        <f>IF(A24="","",SUMIF(TMA_Entreprises!A:A,A24,TMA_Entreprises!L:L))</f>
        <v/>
      </c>
      <c r="M24" s="237"/>
      <c r="N24" s="238" t="str">
        <f t="shared" si="0"/>
        <v/>
      </c>
      <c r="O24" s="233"/>
      <c r="P24" s="233"/>
      <c r="Q24" s="239" t="str">
        <f t="shared" si="1"/>
        <v/>
      </c>
      <c r="R24" s="235" t="str">
        <f t="shared" ca="1" si="2"/>
        <v/>
      </c>
      <c r="S24" s="237" t="str">
        <f t="shared" si="3"/>
        <v/>
      </c>
      <c r="T24" s="242"/>
    </row>
    <row r="25" spans="1:20" s="81" customFormat="1" x14ac:dyDescent="0.45">
      <c r="A25" s="231"/>
      <c r="B25" s="232"/>
      <c r="C25" s="232"/>
      <c r="D25" s="232"/>
      <c r="E25" s="232"/>
      <c r="F25" s="232"/>
      <c r="G25" s="232"/>
      <c r="H25" s="240"/>
      <c r="I25" s="233"/>
      <c r="J25" s="234" t="str" cm="1">
        <f t="array" ref="J25">IF(A25="","",COUNTA(_xlfn.UNIQUE(_xlfn._xlws.FILTER(TMA_Entreprises!G:G,TMA_Entreprises!A:A=A25))))</f>
        <v/>
      </c>
      <c r="K25" s="235" t="str">
        <f>IF(A25="","",IF(
COUNTIFS(TMA_Entreprises!$A$12:$A$220,A25,TMA_Entreprises!$J$12:$J$220,"Oui")=0,"Non",
IF(
COUNTIFS(TMA_Entreprises!$A$12:$A$220,A25,TMA_Entreprises!$J$12:$J$220,"Oui")=
COUNTIF(TMA_Entreprises!$A$12:$A$220,A25),"Oui",
"Partiel")))</f>
        <v/>
      </c>
      <c r="L25" s="236" t="str">
        <f>IF(A25="","",SUMIF(TMA_Entreprises!A:A,A25,TMA_Entreprises!L:L))</f>
        <v/>
      </c>
      <c r="M25" s="237"/>
      <c r="N25" s="238" t="str">
        <f t="shared" si="0"/>
        <v/>
      </c>
      <c r="O25" s="233"/>
      <c r="P25" s="233"/>
      <c r="Q25" s="239" t="str">
        <f t="shared" si="1"/>
        <v/>
      </c>
      <c r="R25" s="235" t="str">
        <f t="shared" ca="1" si="2"/>
        <v/>
      </c>
      <c r="S25" s="237" t="str">
        <f t="shared" si="3"/>
        <v/>
      </c>
      <c r="T25" s="242"/>
    </row>
    <row r="26" spans="1:20" s="81" customFormat="1" x14ac:dyDescent="0.45">
      <c r="A26" s="231"/>
      <c r="B26" s="232"/>
      <c r="C26" s="232"/>
      <c r="D26" s="232"/>
      <c r="E26" s="232"/>
      <c r="F26" s="232"/>
      <c r="G26" s="232"/>
      <c r="H26" s="240"/>
      <c r="I26" s="233"/>
      <c r="J26" s="234" t="str" cm="1">
        <f t="array" ref="J26">IF(A26="","",COUNTA(_xlfn.UNIQUE(_xlfn._xlws.FILTER(TMA_Entreprises!G:G,TMA_Entreprises!A:A=A26))))</f>
        <v/>
      </c>
      <c r="K26" s="235" t="str">
        <f>IF(A26="","",IF(
COUNTIFS(TMA_Entreprises!$A$12:$A$220,A26,TMA_Entreprises!$J$12:$J$220,"Oui")=0,"Non",
IF(
COUNTIFS(TMA_Entreprises!$A$12:$A$220,A26,TMA_Entreprises!$J$12:$J$220,"Oui")=
COUNTIF(TMA_Entreprises!$A$12:$A$220,A26),"Oui",
"Partiel")))</f>
        <v/>
      </c>
      <c r="L26" s="236" t="str">
        <f>IF(A26="","",SUMIF(TMA_Entreprises!A:A,A26,TMA_Entreprises!L:L))</f>
        <v/>
      </c>
      <c r="M26" s="237"/>
      <c r="N26" s="238" t="str">
        <f t="shared" si="0"/>
        <v/>
      </c>
      <c r="O26" s="233"/>
      <c r="P26" s="233"/>
      <c r="Q26" s="239" t="str">
        <f t="shared" si="1"/>
        <v/>
      </c>
      <c r="R26" s="235" t="str">
        <f t="shared" ca="1" si="2"/>
        <v/>
      </c>
      <c r="S26" s="237" t="str">
        <f t="shared" si="3"/>
        <v/>
      </c>
      <c r="T26" s="242"/>
    </row>
    <row r="27" spans="1:20" s="81" customFormat="1" x14ac:dyDescent="0.45">
      <c r="A27" s="231"/>
      <c r="B27" s="232"/>
      <c r="C27" s="232"/>
      <c r="D27" s="232"/>
      <c r="E27" s="232"/>
      <c r="F27" s="232"/>
      <c r="G27" s="232"/>
      <c r="H27" s="240"/>
      <c r="I27" s="233"/>
      <c r="J27" s="234" t="str" cm="1">
        <f t="array" ref="J27">IF(A27="","",COUNTA(_xlfn.UNIQUE(_xlfn._xlws.FILTER(TMA_Entreprises!G:G,TMA_Entreprises!A:A=A27))))</f>
        <v/>
      </c>
      <c r="K27" s="235" t="str">
        <f>IF(A27="","",IF(
COUNTIFS(TMA_Entreprises!$A$12:$A$220,A27,TMA_Entreprises!$J$12:$J$220,"Oui")=0,"Non",
IF(
COUNTIFS(TMA_Entreprises!$A$12:$A$220,A27,TMA_Entreprises!$J$12:$J$220,"Oui")=
COUNTIF(TMA_Entreprises!$A$12:$A$220,A27),"Oui",
"Partiel")))</f>
        <v/>
      </c>
      <c r="L27" s="236" t="str">
        <f>IF(A27="","",SUMIF(TMA_Entreprises!A:A,A27,TMA_Entreprises!L:L))</f>
        <v/>
      </c>
      <c r="M27" s="237"/>
      <c r="N27" s="238" t="str">
        <f t="shared" si="0"/>
        <v/>
      </c>
      <c r="O27" s="233"/>
      <c r="P27" s="233"/>
      <c r="Q27" s="239" t="str">
        <f t="shared" si="1"/>
        <v/>
      </c>
      <c r="R27" s="235" t="str">
        <f t="shared" ca="1" si="2"/>
        <v/>
      </c>
      <c r="S27" s="237" t="str">
        <f t="shared" si="3"/>
        <v/>
      </c>
      <c r="T27" s="242"/>
    </row>
    <row r="28" spans="1:20" s="81" customFormat="1" x14ac:dyDescent="0.45">
      <c r="A28" s="231"/>
      <c r="B28" s="232"/>
      <c r="C28" s="232"/>
      <c r="D28" s="232"/>
      <c r="E28" s="232"/>
      <c r="F28" s="232"/>
      <c r="G28" s="232"/>
      <c r="H28" s="240"/>
      <c r="I28" s="233"/>
      <c r="J28" s="234" t="str" cm="1">
        <f t="array" ref="J28">IF(A28="","",COUNTA(_xlfn.UNIQUE(_xlfn._xlws.FILTER(TMA_Entreprises!G:G,TMA_Entreprises!A:A=A28))))</f>
        <v/>
      </c>
      <c r="K28" s="235" t="str">
        <f>IF(A28="","",IF(
COUNTIFS(TMA_Entreprises!$A$12:$A$220,A28,TMA_Entreprises!$J$12:$J$220,"Oui")=0,"Non",
IF(
COUNTIFS(TMA_Entreprises!$A$12:$A$220,A28,TMA_Entreprises!$J$12:$J$220,"Oui")=
COUNTIF(TMA_Entreprises!$A$12:$A$220,A28),"Oui",
"Partiel")))</f>
        <v/>
      </c>
      <c r="L28" s="236" t="str">
        <f>IF(A28="","",SUMIF(TMA_Entreprises!A:A,A28,TMA_Entreprises!L:L))</f>
        <v/>
      </c>
      <c r="M28" s="237"/>
      <c r="N28" s="238" t="str">
        <f t="shared" si="0"/>
        <v/>
      </c>
      <c r="O28" s="233"/>
      <c r="P28" s="233"/>
      <c r="Q28" s="239" t="str">
        <f t="shared" si="1"/>
        <v/>
      </c>
      <c r="R28" s="235" t="str">
        <f t="shared" ca="1" si="2"/>
        <v/>
      </c>
      <c r="S28" s="237" t="str">
        <f t="shared" si="3"/>
        <v/>
      </c>
      <c r="T28" s="242"/>
    </row>
    <row r="29" spans="1:20" s="81" customFormat="1" x14ac:dyDescent="0.45">
      <c r="A29" s="231"/>
      <c r="B29" s="232"/>
      <c r="C29" s="232"/>
      <c r="D29" s="232"/>
      <c r="E29" s="232"/>
      <c r="F29" s="232"/>
      <c r="G29" s="232"/>
      <c r="H29" s="240"/>
      <c r="I29" s="233"/>
      <c r="J29" s="234" t="str" cm="1">
        <f t="array" ref="J29">IF(A29="","",COUNTA(_xlfn.UNIQUE(_xlfn._xlws.FILTER(TMA_Entreprises!G:G,TMA_Entreprises!A:A=A29))))</f>
        <v/>
      </c>
      <c r="K29" s="235" t="str">
        <f>IF(A29="","",IF(
COUNTIFS(TMA_Entreprises!$A$12:$A$220,A29,TMA_Entreprises!$J$12:$J$220,"Oui")=0,"Non",
IF(
COUNTIFS(TMA_Entreprises!$A$12:$A$220,A29,TMA_Entreprises!$J$12:$J$220,"Oui")=
COUNTIF(TMA_Entreprises!$A$12:$A$220,A29),"Oui",
"Partiel")))</f>
        <v/>
      </c>
      <c r="L29" s="236" t="str">
        <f>IF(A29="","",SUMIF(TMA_Entreprises!A:A,A29,TMA_Entreprises!L:L))</f>
        <v/>
      </c>
      <c r="M29" s="237"/>
      <c r="N29" s="238" t="str">
        <f t="shared" si="0"/>
        <v/>
      </c>
      <c r="O29" s="233"/>
      <c r="P29" s="233"/>
      <c r="Q29" s="239" t="str">
        <f t="shared" si="1"/>
        <v/>
      </c>
      <c r="R29" s="235" t="str">
        <f t="shared" ca="1" si="2"/>
        <v/>
      </c>
      <c r="S29" s="237" t="str">
        <f t="shared" si="3"/>
        <v/>
      </c>
      <c r="T29" s="242"/>
    </row>
    <row r="30" spans="1:20" s="81" customFormat="1" x14ac:dyDescent="0.45">
      <c r="A30" s="231"/>
      <c r="B30" s="232"/>
      <c r="C30" s="232"/>
      <c r="D30" s="232"/>
      <c r="E30" s="232"/>
      <c r="F30" s="232"/>
      <c r="G30" s="232"/>
      <c r="H30" s="240"/>
      <c r="I30" s="233"/>
      <c r="J30" s="234" t="str" cm="1">
        <f t="array" ref="J30">IF(A30="","",COUNTA(_xlfn.UNIQUE(_xlfn._xlws.FILTER(TMA_Entreprises!G:G,TMA_Entreprises!A:A=A30))))</f>
        <v/>
      </c>
      <c r="K30" s="235" t="str">
        <f>IF(A30="","",IF(
COUNTIFS(TMA_Entreprises!$A$12:$A$220,A30,TMA_Entreprises!$J$12:$J$220,"Oui")=0,"Non",
IF(
COUNTIFS(TMA_Entreprises!$A$12:$A$220,A30,TMA_Entreprises!$J$12:$J$220,"Oui")=
COUNTIF(TMA_Entreprises!$A$12:$A$220,A30),"Oui",
"Partiel")))</f>
        <v/>
      </c>
      <c r="L30" s="236" t="str">
        <f>IF(A30="","",SUMIF(TMA_Entreprises!A:A,A30,TMA_Entreprises!L:L))</f>
        <v/>
      </c>
      <c r="M30" s="237"/>
      <c r="N30" s="238" t="str">
        <f t="shared" si="0"/>
        <v/>
      </c>
      <c r="O30" s="233"/>
      <c r="P30" s="233"/>
      <c r="Q30" s="239" t="str">
        <f t="shared" si="1"/>
        <v/>
      </c>
      <c r="R30" s="235" t="str">
        <f t="shared" ca="1" si="2"/>
        <v/>
      </c>
      <c r="S30" s="237" t="str">
        <f t="shared" si="3"/>
        <v/>
      </c>
      <c r="T30" s="242"/>
    </row>
    <row r="31" spans="1:20" s="81" customFormat="1" x14ac:dyDescent="0.45">
      <c r="A31" s="231"/>
      <c r="B31" s="232"/>
      <c r="C31" s="232"/>
      <c r="D31" s="232"/>
      <c r="E31" s="232"/>
      <c r="F31" s="232"/>
      <c r="G31" s="232"/>
      <c r="H31" s="240"/>
      <c r="I31" s="233"/>
      <c r="J31" s="234" t="str" cm="1">
        <f t="array" ref="J31">IF(A31="","",COUNTA(_xlfn.UNIQUE(_xlfn._xlws.FILTER(TMA_Entreprises!G:G,TMA_Entreprises!A:A=A31))))</f>
        <v/>
      </c>
      <c r="K31" s="235" t="str">
        <f>IF(A31="","",IF(
COUNTIFS(TMA_Entreprises!$A$12:$A$220,A31,TMA_Entreprises!$J$12:$J$220,"Oui")=0,"Non",
IF(
COUNTIFS(TMA_Entreprises!$A$12:$A$220,A31,TMA_Entreprises!$J$12:$J$220,"Oui")=
COUNTIF(TMA_Entreprises!$A$12:$A$220,A31),"Oui",
"Partiel")))</f>
        <v/>
      </c>
      <c r="L31" s="236" t="str">
        <f>IF(A31="","",SUMIF(TMA_Entreprises!A:A,A31,TMA_Entreprises!L:L))</f>
        <v/>
      </c>
      <c r="M31" s="237"/>
      <c r="N31" s="238" t="str">
        <f t="shared" si="0"/>
        <v/>
      </c>
      <c r="O31" s="233"/>
      <c r="P31" s="233"/>
      <c r="Q31" s="239" t="str">
        <f t="shared" si="1"/>
        <v/>
      </c>
      <c r="R31" s="235" t="str">
        <f t="shared" ca="1" si="2"/>
        <v/>
      </c>
      <c r="S31" s="237" t="str">
        <f t="shared" si="3"/>
        <v/>
      </c>
      <c r="T31" s="242"/>
    </row>
    <row r="32" spans="1:20" s="81" customFormat="1" x14ac:dyDescent="0.45">
      <c r="A32" s="231"/>
      <c r="B32" s="232"/>
      <c r="C32" s="232"/>
      <c r="D32" s="232"/>
      <c r="E32" s="232"/>
      <c r="F32" s="232"/>
      <c r="G32" s="232"/>
      <c r="H32" s="240"/>
      <c r="I32" s="233"/>
      <c r="J32" s="234" t="str" cm="1">
        <f t="array" ref="J32">IF(A32="","",COUNTA(_xlfn.UNIQUE(_xlfn._xlws.FILTER(TMA_Entreprises!G:G,TMA_Entreprises!A:A=A32))))</f>
        <v/>
      </c>
      <c r="K32" s="235" t="str">
        <f>IF(A32="","",IF(
COUNTIFS(TMA_Entreprises!$A$12:$A$220,A32,TMA_Entreprises!$J$12:$J$220,"Oui")=0,"Non",
IF(
COUNTIFS(TMA_Entreprises!$A$12:$A$220,A32,TMA_Entreprises!$J$12:$J$220,"Oui")=
COUNTIF(TMA_Entreprises!$A$12:$A$220,A32),"Oui",
"Partiel")))</f>
        <v/>
      </c>
      <c r="L32" s="236" t="str">
        <f>IF(A32="","",SUMIF(TMA_Entreprises!A:A,A32,TMA_Entreprises!L:L))</f>
        <v/>
      </c>
      <c r="M32" s="237"/>
      <c r="N32" s="238" t="str">
        <f t="shared" si="0"/>
        <v/>
      </c>
      <c r="O32" s="233"/>
      <c r="P32" s="233"/>
      <c r="Q32" s="239" t="str">
        <f t="shared" si="1"/>
        <v/>
      </c>
      <c r="R32" s="235" t="str">
        <f t="shared" ca="1" si="2"/>
        <v/>
      </c>
      <c r="S32" s="237" t="str">
        <f t="shared" si="3"/>
        <v/>
      </c>
      <c r="T32" s="242"/>
    </row>
    <row r="33" spans="1:20" s="81" customFormat="1" x14ac:dyDescent="0.45">
      <c r="A33" s="231"/>
      <c r="B33" s="232"/>
      <c r="C33" s="232"/>
      <c r="D33" s="232"/>
      <c r="E33" s="232"/>
      <c r="F33" s="232"/>
      <c r="G33" s="232"/>
      <c r="H33" s="240"/>
      <c r="I33" s="233"/>
      <c r="J33" s="234" t="str" cm="1">
        <f t="array" ref="J33">IF(A33="","",COUNTA(_xlfn.UNIQUE(_xlfn._xlws.FILTER(TMA_Entreprises!G:G,TMA_Entreprises!A:A=A33))))</f>
        <v/>
      </c>
      <c r="K33" s="235" t="str">
        <f>IF(A33="","",IF(
COUNTIFS(TMA_Entreprises!$A$12:$A$220,A33,TMA_Entreprises!$J$12:$J$220,"Oui")=0,"Non",
IF(
COUNTIFS(TMA_Entreprises!$A$12:$A$220,A33,TMA_Entreprises!$J$12:$J$220,"Oui")=
COUNTIF(TMA_Entreprises!$A$12:$A$220,A33),"Oui",
"Partiel")))</f>
        <v/>
      </c>
      <c r="L33" s="236" t="str">
        <f>IF(A33="","",SUMIF(TMA_Entreprises!A:A,A33,TMA_Entreprises!L:L))</f>
        <v/>
      </c>
      <c r="M33" s="237"/>
      <c r="N33" s="238" t="str">
        <f t="shared" si="0"/>
        <v/>
      </c>
      <c r="O33" s="233"/>
      <c r="P33" s="233"/>
      <c r="Q33" s="239" t="str">
        <f t="shared" si="1"/>
        <v/>
      </c>
      <c r="R33" s="235" t="str">
        <f t="shared" ca="1" si="2"/>
        <v/>
      </c>
      <c r="S33" s="237" t="str">
        <f t="shared" si="3"/>
        <v/>
      </c>
      <c r="T33" s="242"/>
    </row>
    <row r="34" spans="1:20" s="81" customFormat="1" x14ac:dyDescent="0.45">
      <c r="A34" s="231"/>
      <c r="B34" s="232"/>
      <c r="C34" s="232"/>
      <c r="D34" s="232"/>
      <c r="E34" s="232"/>
      <c r="F34" s="232"/>
      <c r="G34" s="232"/>
      <c r="H34" s="240"/>
      <c r="I34" s="233"/>
      <c r="J34" s="234" t="str" cm="1">
        <f t="array" ref="J34">IF(A34="","",COUNTA(_xlfn.UNIQUE(_xlfn._xlws.FILTER(TMA_Entreprises!G:G,TMA_Entreprises!A:A=A34))))</f>
        <v/>
      </c>
      <c r="K34" s="235" t="str">
        <f>IF(A34="","",IF(
COUNTIFS(TMA_Entreprises!$A$12:$A$220,A34,TMA_Entreprises!$J$12:$J$220,"Oui")=0,"Non",
IF(
COUNTIFS(TMA_Entreprises!$A$12:$A$220,A34,TMA_Entreprises!$J$12:$J$220,"Oui")=
COUNTIF(TMA_Entreprises!$A$12:$A$220,A34),"Oui",
"Partiel")))</f>
        <v/>
      </c>
      <c r="L34" s="236" t="str">
        <f>IF(A34="","",SUMIF(TMA_Entreprises!A:A,A34,TMA_Entreprises!L:L))</f>
        <v/>
      </c>
      <c r="M34" s="237"/>
      <c r="N34" s="238" t="str">
        <f t="shared" si="0"/>
        <v/>
      </c>
      <c r="O34" s="233"/>
      <c r="P34" s="233"/>
      <c r="Q34" s="239" t="str">
        <f t="shared" si="1"/>
        <v/>
      </c>
      <c r="R34" s="235" t="str">
        <f t="shared" ca="1" si="2"/>
        <v/>
      </c>
      <c r="S34" s="237" t="str">
        <f t="shared" si="3"/>
        <v/>
      </c>
      <c r="T34" s="242"/>
    </row>
    <row r="35" spans="1:20" s="81" customFormat="1" x14ac:dyDescent="0.45">
      <c r="A35" s="231"/>
      <c r="B35" s="232"/>
      <c r="C35" s="232"/>
      <c r="D35" s="232"/>
      <c r="E35" s="232"/>
      <c r="F35" s="232"/>
      <c r="G35" s="232"/>
      <c r="H35" s="240"/>
      <c r="I35" s="233"/>
      <c r="J35" s="234" t="str" cm="1">
        <f t="array" ref="J35">IF(A35="","",COUNTA(_xlfn.UNIQUE(_xlfn._xlws.FILTER(TMA_Entreprises!G:G,TMA_Entreprises!A:A=A35))))</f>
        <v/>
      </c>
      <c r="K35" s="235" t="str">
        <f>IF(A35="","",IF(
COUNTIFS(TMA_Entreprises!$A$12:$A$220,A35,TMA_Entreprises!$J$12:$J$220,"Oui")=0,"Non",
IF(
COUNTIFS(TMA_Entreprises!$A$12:$A$220,A35,TMA_Entreprises!$J$12:$J$220,"Oui")=
COUNTIF(TMA_Entreprises!$A$12:$A$220,A35),"Oui",
"Partiel")))</f>
        <v/>
      </c>
      <c r="L35" s="236" t="str">
        <f>IF(A35="","",SUMIF(TMA_Entreprises!A:A,A35,TMA_Entreprises!L:L))</f>
        <v/>
      </c>
      <c r="M35" s="237"/>
      <c r="N35" s="238" t="str">
        <f t="shared" si="0"/>
        <v/>
      </c>
      <c r="O35" s="233"/>
      <c r="P35" s="233"/>
      <c r="Q35" s="239" t="str">
        <f t="shared" si="1"/>
        <v/>
      </c>
      <c r="R35" s="235" t="str">
        <f t="shared" ca="1" si="2"/>
        <v/>
      </c>
      <c r="S35" s="237" t="str">
        <f t="shared" si="3"/>
        <v/>
      </c>
      <c r="T35" s="242"/>
    </row>
    <row r="36" spans="1:20" s="81" customFormat="1" x14ac:dyDescent="0.45">
      <c r="A36" s="231"/>
      <c r="B36" s="232"/>
      <c r="C36" s="232"/>
      <c r="D36" s="232"/>
      <c r="E36" s="232"/>
      <c r="F36" s="232"/>
      <c r="G36" s="232"/>
      <c r="H36" s="240"/>
      <c r="I36" s="233"/>
      <c r="J36" s="234" t="str" cm="1">
        <f t="array" ref="J36">IF(A36="","",COUNTA(_xlfn.UNIQUE(_xlfn._xlws.FILTER(TMA_Entreprises!G:G,TMA_Entreprises!A:A=A36))))</f>
        <v/>
      </c>
      <c r="K36" s="235" t="str">
        <f>IF(A36="","",IF(
COUNTIFS(TMA_Entreprises!$A$12:$A$220,A36,TMA_Entreprises!$J$12:$J$220,"Oui")=0,"Non",
IF(
COUNTIFS(TMA_Entreprises!$A$12:$A$220,A36,TMA_Entreprises!$J$12:$J$220,"Oui")=
COUNTIF(TMA_Entreprises!$A$12:$A$220,A36),"Oui",
"Partiel")))</f>
        <v/>
      </c>
      <c r="L36" s="236" t="str">
        <f>IF(A36="","",SUMIF(TMA_Entreprises!A:A,A36,TMA_Entreprises!L:L))</f>
        <v/>
      </c>
      <c r="M36" s="237"/>
      <c r="N36" s="238" t="str">
        <f t="shared" si="0"/>
        <v/>
      </c>
      <c r="O36" s="233"/>
      <c r="P36" s="233"/>
      <c r="Q36" s="239" t="str">
        <f t="shared" si="1"/>
        <v/>
      </c>
      <c r="R36" s="235" t="str">
        <f t="shared" ca="1" si="2"/>
        <v/>
      </c>
      <c r="S36" s="237" t="str">
        <f t="shared" si="3"/>
        <v/>
      </c>
      <c r="T36" s="242"/>
    </row>
    <row r="37" spans="1:20" s="81" customFormat="1" x14ac:dyDescent="0.45">
      <c r="A37" s="231"/>
      <c r="B37" s="232"/>
      <c r="C37" s="232"/>
      <c r="D37" s="232"/>
      <c r="E37" s="232"/>
      <c r="F37" s="232"/>
      <c r="G37" s="232"/>
      <c r="H37" s="240"/>
      <c r="I37" s="233"/>
      <c r="J37" s="234" t="str" cm="1">
        <f t="array" ref="J37">IF(A37="","",COUNTA(_xlfn.UNIQUE(_xlfn._xlws.FILTER(TMA_Entreprises!G:G,TMA_Entreprises!A:A=A37))))</f>
        <v/>
      </c>
      <c r="K37" s="235" t="str">
        <f>IF(A37="","",IF(
COUNTIFS(TMA_Entreprises!$A$12:$A$220,A37,TMA_Entreprises!$J$12:$J$220,"Oui")=0,"Non",
IF(
COUNTIFS(TMA_Entreprises!$A$12:$A$220,A37,TMA_Entreprises!$J$12:$J$220,"Oui")=
COUNTIF(TMA_Entreprises!$A$12:$A$220,A37),"Oui",
"Partiel")))</f>
        <v/>
      </c>
      <c r="L37" s="236" t="str">
        <f>IF(A37="","",SUMIF(TMA_Entreprises!A:A,A37,TMA_Entreprises!L:L))</f>
        <v/>
      </c>
      <c r="M37" s="237"/>
      <c r="N37" s="238" t="str">
        <f t="shared" si="0"/>
        <v/>
      </c>
      <c r="O37" s="233"/>
      <c r="P37" s="233"/>
      <c r="Q37" s="239" t="str">
        <f t="shared" si="1"/>
        <v/>
      </c>
      <c r="R37" s="235" t="str">
        <f t="shared" ca="1" si="2"/>
        <v/>
      </c>
      <c r="S37" s="237" t="str">
        <f t="shared" si="3"/>
        <v/>
      </c>
      <c r="T37" s="242"/>
    </row>
    <row r="38" spans="1:20" s="81" customFormat="1" x14ac:dyDescent="0.45">
      <c r="A38" s="231"/>
      <c r="B38" s="232"/>
      <c r="C38" s="232"/>
      <c r="D38" s="232"/>
      <c r="E38" s="232"/>
      <c r="F38" s="232"/>
      <c r="G38" s="232"/>
      <c r="H38" s="240"/>
      <c r="I38" s="233"/>
      <c r="J38" s="234" t="str" cm="1">
        <f t="array" ref="J38">IF(A38="","",COUNTA(_xlfn.UNIQUE(_xlfn._xlws.FILTER(TMA_Entreprises!G:G,TMA_Entreprises!A:A=A38))))</f>
        <v/>
      </c>
      <c r="K38" s="235" t="str">
        <f>IF(A38="","",IF(
COUNTIFS(TMA_Entreprises!$A$12:$A$220,A38,TMA_Entreprises!$J$12:$J$220,"Oui")=0,"Non",
IF(
COUNTIFS(TMA_Entreprises!$A$12:$A$220,A38,TMA_Entreprises!$J$12:$J$220,"Oui")=
COUNTIF(TMA_Entreprises!$A$12:$A$220,A38),"Oui",
"Partiel")))</f>
        <v/>
      </c>
      <c r="L38" s="236" t="str">
        <f>IF(A38="","",SUMIF(TMA_Entreprises!A:A,A38,TMA_Entreprises!L:L))</f>
        <v/>
      </c>
      <c r="M38" s="237"/>
      <c r="N38" s="238" t="str">
        <f t="shared" si="0"/>
        <v/>
      </c>
      <c r="O38" s="233"/>
      <c r="P38" s="233"/>
      <c r="Q38" s="239" t="str">
        <f t="shared" si="1"/>
        <v/>
      </c>
      <c r="R38" s="235" t="str">
        <f t="shared" ca="1" si="2"/>
        <v/>
      </c>
      <c r="S38" s="237" t="str">
        <f t="shared" si="3"/>
        <v/>
      </c>
      <c r="T38" s="242"/>
    </row>
    <row r="39" spans="1:20" s="81" customFormat="1" x14ac:dyDescent="0.45">
      <c r="A39" s="231"/>
      <c r="B39" s="232"/>
      <c r="C39" s="232"/>
      <c r="D39" s="232"/>
      <c r="E39" s="232"/>
      <c r="F39" s="232"/>
      <c r="G39" s="232"/>
      <c r="H39" s="240"/>
      <c r="I39" s="233"/>
      <c r="J39" s="234" t="str" cm="1">
        <f t="array" ref="J39">IF(A39="","",COUNTA(_xlfn.UNIQUE(_xlfn._xlws.FILTER(TMA_Entreprises!G:G,TMA_Entreprises!A:A=A39))))</f>
        <v/>
      </c>
      <c r="K39" s="235" t="str">
        <f>IF(A39="","",IF(
COUNTIFS(TMA_Entreprises!$A$12:$A$220,A39,TMA_Entreprises!$J$12:$J$220,"Oui")=0,"Non",
IF(
COUNTIFS(TMA_Entreprises!$A$12:$A$220,A39,TMA_Entreprises!$J$12:$J$220,"Oui")=
COUNTIF(TMA_Entreprises!$A$12:$A$220,A39),"Oui",
"Partiel")))</f>
        <v/>
      </c>
      <c r="L39" s="236" t="str">
        <f>IF(A39="","",SUMIF(TMA_Entreprises!A:A,A39,TMA_Entreprises!L:L))</f>
        <v/>
      </c>
      <c r="M39" s="237"/>
      <c r="N39" s="238" t="str">
        <f t="shared" si="0"/>
        <v/>
      </c>
      <c r="O39" s="233"/>
      <c r="P39" s="233"/>
      <c r="Q39" s="239" t="str">
        <f t="shared" si="1"/>
        <v/>
      </c>
      <c r="R39" s="235" t="str">
        <f t="shared" ca="1" si="2"/>
        <v/>
      </c>
      <c r="S39" s="237" t="str">
        <f t="shared" si="3"/>
        <v/>
      </c>
      <c r="T39" s="242"/>
    </row>
    <row r="40" spans="1:20" s="81" customFormat="1" x14ac:dyDescent="0.45">
      <c r="A40" s="231"/>
      <c r="B40" s="232"/>
      <c r="C40" s="232"/>
      <c r="D40" s="232"/>
      <c r="E40" s="232"/>
      <c r="F40" s="232"/>
      <c r="G40" s="232"/>
      <c r="H40" s="240"/>
      <c r="I40" s="233"/>
      <c r="J40" s="234" t="str" cm="1">
        <f t="array" ref="J40">IF(A40="","",COUNTA(_xlfn.UNIQUE(_xlfn._xlws.FILTER(TMA_Entreprises!G:G,TMA_Entreprises!A:A=A40))))</f>
        <v/>
      </c>
      <c r="K40" s="235" t="str">
        <f>IF(A40="","",IF(
COUNTIFS(TMA_Entreprises!$A$12:$A$220,A40,TMA_Entreprises!$J$12:$J$220,"Oui")=0,"Non",
IF(
COUNTIFS(TMA_Entreprises!$A$12:$A$220,A40,TMA_Entreprises!$J$12:$J$220,"Oui")=
COUNTIF(TMA_Entreprises!$A$12:$A$220,A40),"Oui",
"Partiel")))</f>
        <v/>
      </c>
      <c r="L40" s="236" t="str">
        <f>IF(A40="","",SUMIF(TMA_Entreprises!A:A,A40,TMA_Entreprises!L:L))</f>
        <v/>
      </c>
      <c r="M40" s="237"/>
      <c r="N40" s="238" t="str">
        <f t="shared" si="0"/>
        <v/>
      </c>
      <c r="O40" s="233"/>
      <c r="P40" s="233"/>
      <c r="Q40" s="239" t="str">
        <f t="shared" si="1"/>
        <v/>
      </c>
      <c r="R40" s="235" t="str">
        <f t="shared" ca="1" si="2"/>
        <v/>
      </c>
      <c r="S40" s="237" t="str">
        <f t="shared" si="3"/>
        <v/>
      </c>
      <c r="T40" s="242"/>
    </row>
    <row r="41" spans="1:20" s="81" customFormat="1" x14ac:dyDescent="0.45">
      <c r="A41" s="231"/>
      <c r="B41" s="232"/>
      <c r="C41" s="232"/>
      <c r="D41" s="232"/>
      <c r="E41" s="232"/>
      <c r="F41" s="232"/>
      <c r="G41" s="232"/>
      <c r="H41" s="240"/>
      <c r="I41" s="233"/>
      <c r="J41" s="234" t="str" cm="1">
        <f t="array" ref="J41">IF(A41="","",COUNTA(_xlfn.UNIQUE(_xlfn._xlws.FILTER(TMA_Entreprises!G:G,TMA_Entreprises!A:A=A41))))</f>
        <v/>
      </c>
      <c r="K41" s="235" t="str">
        <f>IF(A41="","",IF(
COUNTIFS(TMA_Entreprises!$A$12:$A$220,A41,TMA_Entreprises!$J$12:$J$220,"Oui")=0,"Non",
IF(
COUNTIFS(TMA_Entreprises!$A$12:$A$220,A41,TMA_Entreprises!$J$12:$J$220,"Oui")=
COUNTIF(TMA_Entreprises!$A$12:$A$220,A41),"Oui",
"Partiel")))</f>
        <v/>
      </c>
      <c r="L41" s="236" t="str">
        <f>IF(A41="","",SUMIF(TMA_Entreprises!A:A,A41,TMA_Entreprises!L:L))</f>
        <v/>
      </c>
      <c r="M41" s="237"/>
      <c r="N41" s="238" t="str">
        <f t="shared" si="0"/>
        <v/>
      </c>
      <c r="O41" s="233"/>
      <c r="P41" s="233"/>
      <c r="Q41" s="239" t="str">
        <f t="shared" si="1"/>
        <v/>
      </c>
      <c r="R41" s="235" t="str">
        <f t="shared" ca="1" si="2"/>
        <v/>
      </c>
      <c r="S41" s="237" t="str">
        <f t="shared" si="3"/>
        <v/>
      </c>
      <c r="T41" s="242"/>
    </row>
    <row r="42" spans="1:20" s="81" customFormat="1" x14ac:dyDescent="0.45">
      <c r="A42" s="231"/>
      <c r="B42" s="232"/>
      <c r="C42" s="232"/>
      <c r="D42" s="232"/>
      <c r="E42" s="232"/>
      <c r="F42" s="232"/>
      <c r="G42" s="232"/>
      <c r="H42" s="240"/>
      <c r="I42" s="233"/>
      <c r="J42" s="234" t="str" cm="1">
        <f t="array" ref="J42">IF(A42="","",COUNTA(_xlfn.UNIQUE(_xlfn._xlws.FILTER(TMA_Entreprises!G:G,TMA_Entreprises!A:A=A42))))</f>
        <v/>
      </c>
      <c r="K42" s="235" t="str">
        <f>IF(A42="","",IF(
COUNTIFS(TMA_Entreprises!$A$12:$A$220,A42,TMA_Entreprises!$J$12:$J$220,"Oui")=0,"Non",
IF(
COUNTIFS(TMA_Entreprises!$A$12:$A$220,A42,TMA_Entreprises!$J$12:$J$220,"Oui")=
COUNTIF(TMA_Entreprises!$A$12:$A$220,A42),"Oui",
"Partiel")))</f>
        <v/>
      </c>
      <c r="L42" s="236" t="str">
        <f>IF(A42="","",SUMIF(TMA_Entreprises!A:A,A42,TMA_Entreprises!L:L))</f>
        <v/>
      </c>
      <c r="M42" s="237"/>
      <c r="N42" s="238" t="str">
        <f t="shared" si="0"/>
        <v/>
      </c>
      <c r="O42" s="233"/>
      <c r="P42" s="233"/>
      <c r="Q42" s="239" t="str">
        <f t="shared" si="1"/>
        <v/>
      </c>
      <c r="R42" s="235" t="str">
        <f t="shared" ca="1" si="2"/>
        <v/>
      </c>
      <c r="S42" s="237" t="str">
        <f t="shared" si="3"/>
        <v/>
      </c>
      <c r="T42" s="242"/>
    </row>
    <row r="43" spans="1:20" s="81" customFormat="1" x14ac:dyDescent="0.45">
      <c r="A43" s="231"/>
      <c r="B43" s="232"/>
      <c r="C43" s="232"/>
      <c r="D43" s="232"/>
      <c r="E43" s="232"/>
      <c r="F43" s="232"/>
      <c r="G43" s="232"/>
      <c r="H43" s="240"/>
      <c r="I43" s="233"/>
      <c r="J43" s="234" t="str" cm="1">
        <f t="array" ref="J43">IF(A43="","",COUNTA(_xlfn.UNIQUE(_xlfn._xlws.FILTER(TMA_Entreprises!G:G,TMA_Entreprises!A:A=A43))))</f>
        <v/>
      </c>
      <c r="K43" s="235" t="str">
        <f>IF(A43="","",IF(
COUNTIFS(TMA_Entreprises!$A$12:$A$220,A43,TMA_Entreprises!$J$12:$J$220,"Oui")=0,"Non",
IF(
COUNTIFS(TMA_Entreprises!$A$12:$A$220,A43,TMA_Entreprises!$J$12:$J$220,"Oui")=
COUNTIF(TMA_Entreprises!$A$12:$A$220,A43),"Oui",
"Partiel")))</f>
        <v/>
      </c>
      <c r="L43" s="236" t="str">
        <f>IF(A43="","",SUMIF(TMA_Entreprises!A:A,A43,TMA_Entreprises!L:L))</f>
        <v/>
      </c>
      <c r="M43" s="237"/>
      <c r="N43" s="238" t="str">
        <f t="shared" si="0"/>
        <v/>
      </c>
      <c r="O43" s="233"/>
      <c r="P43" s="233"/>
      <c r="Q43" s="239" t="str">
        <f t="shared" si="1"/>
        <v/>
      </c>
      <c r="R43" s="235" t="str">
        <f t="shared" ca="1" si="2"/>
        <v/>
      </c>
      <c r="S43" s="237" t="str">
        <f t="shared" si="3"/>
        <v/>
      </c>
      <c r="T43" s="242"/>
    </row>
    <row r="44" spans="1:20" s="81" customFormat="1" x14ac:dyDescent="0.45">
      <c r="A44" s="231"/>
      <c r="B44" s="232"/>
      <c r="C44" s="232"/>
      <c r="D44" s="232"/>
      <c r="E44" s="232"/>
      <c r="F44" s="232"/>
      <c r="G44" s="232"/>
      <c r="H44" s="240"/>
      <c r="I44" s="233"/>
      <c r="J44" s="234" t="str" cm="1">
        <f t="array" ref="J44">IF(A44="","",COUNTA(_xlfn.UNIQUE(_xlfn._xlws.FILTER(TMA_Entreprises!G:G,TMA_Entreprises!A:A=A44))))</f>
        <v/>
      </c>
      <c r="K44" s="235" t="str">
        <f>IF(A44="","",IF(
COUNTIFS(TMA_Entreprises!$A$12:$A$220,A44,TMA_Entreprises!$J$12:$J$220,"Oui")=0,"Non",
IF(
COUNTIFS(TMA_Entreprises!$A$12:$A$220,A44,TMA_Entreprises!$J$12:$J$220,"Oui")=
COUNTIF(TMA_Entreprises!$A$12:$A$220,A44),"Oui",
"Partiel")))</f>
        <v/>
      </c>
      <c r="L44" s="236" t="str">
        <f>IF(A44="","",SUMIF(TMA_Entreprises!A:A,A44,TMA_Entreprises!L:L))</f>
        <v/>
      </c>
      <c r="M44" s="237"/>
      <c r="N44" s="238" t="str">
        <f t="shared" si="0"/>
        <v/>
      </c>
      <c r="O44" s="233"/>
      <c r="P44" s="233"/>
      <c r="Q44" s="239" t="str">
        <f t="shared" si="1"/>
        <v/>
      </c>
      <c r="R44" s="235" t="str">
        <f t="shared" ca="1" si="2"/>
        <v/>
      </c>
      <c r="S44" s="237" t="str">
        <f t="shared" si="3"/>
        <v/>
      </c>
      <c r="T44" s="242"/>
    </row>
    <row r="45" spans="1:20" s="81" customFormat="1" x14ac:dyDescent="0.45">
      <c r="A45" s="231"/>
      <c r="B45" s="232"/>
      <c r="C45" s="232"/>
      <c r="D45" s="232"/>
      <c r="E45" s="232"/>
      <c r="F45" s="232"/>
      <c r="G45" s="232"/>
      <c r="H45" s="240"/>
      <c r="I45" s="233"/>
      <c r="J45" s="234" t="str" cm="1">
        <f t="array" ref="J45">IF(A45="","",COUNTA(_xlfn.UNIQUE(_xlfn._xlws.FILTER(TMA_Entreprises!G:G,TMA_Entreprises!A:A=A45))))</f>
        <v/>
      </c>
      <c r="K45" s="235" t="str">
        <f>IF(A45="","",IF(
COUNTIFS(TMA_Entreprises!$A$12:$A$220,A45,TMA_Entreprises!$J$12:$J$220,"Oui")=0,"Non",
IF(
COUNTIFS(TMA_Entreprises!$A$12:$A$220,A45,TMA_Entreprises!$J$12:$J$220,"Oui")=
COUNTIF(TMA_Entreprises!$A$12:$A$220,A45),"Oui",
"Partiel")))</f>
        <v/>
      </c>
      <c r="L45" s="236" t="str">
        <f>IF(A45="","",SUMIF(TMA_Entreprises!A:A,A45,TMA_Entreprises!L:L))</f>
        <v/>
      </c>
      <c r="M45" s="237"/>
      <c r="N45" s="238" t="str">
        <f t="shared" si="0"/>
        <v/>
      </c>
      <c r="O45" s="233"/>
      <c r="P45" s="233"/>
      <c r="Q45" s="239" t="str">
        <f t="shared" si="1"/>
        <v/>
      </c>
      <c r="R45" s="235" t="str">
        <f t="shared" ca="1" si="2"/>
        <v/>
      </c>
      <c r="S45" s="237" t="str">
        <f t="shared" si="3"/>
        <v/>
      </c>
      <c r="T45" s="242"/>
    </row>
    <row r="46" spans="1:20" s="81" customFormat="1" x14ac:dyDescent="0.45">
      <c r="A46" s="231"/>
      <c r="B46" s="232"/>
      <c r="C46" s="232"/>
      <c r="D46" s="232"/>
      <c r="E46" s="232"/>
      <c r="F46" s="232"/>
      <c r="G46" s="232"/>
      <c r="H46" s="240"/>
      <c r="I46" s="233"/>
      <c r="J46" s="234" t="str" cm="1">
        <f t="array" ref="J46">IF(A46="","",COUNTA(_xlfn.UNIQUE(_xlfn._xlws.FILTER(TMA_Entreprises!G:G,TMA_Entreprises!A:A=A46))))</f>
        <v/>
      </c>
      <c r="K46" s="235" t="str">
        <f>IF(A46="","",IF(
COUNTIFS(TMA_Entreprises!$A$12:$A$220,A46,TMA_Entreprises!$J$12:$J$220,"Oui")=0,"Non",
IF(
COUNTIFS(TMA_Entreprises!$A$12:$A$220,A46,TMA_Entreprises!$J$12:$J$220,"Oui")=
COUNTIF(TMA_Entreprises!$A$12:$A$220,A46),"Oui",
"Partiel")))</f>
        <v/>
      </c>
      <c r="L46" s="236" t="str">
        <f>IF(A46="","",SUMIF(TMA_Entreprises!A:A,A46,TMA_Entreprises!L:L))</f>
        <v/>
      </c>
      <c r="M46" s="237"/>
      <c r="N46" s="238" t="str">
        <f t="shared" si="0"/>
        <v/>
      </c>
      <c r="O46" s="233"/>
      <c r="P46" s="233"/>
      <c r="Q46" s="239" t="str">
        <f t="shared" si="1"/>
        <v/>
      </c>
      <c r="R46" s="235" t="str">
        <f t="shared" ca="1" si="2"/>
        <v/>
      </c>
      <c r="S46" s="237" t="str">
        <f t="shared" si="3"/>
        <v/>
      </c>
      <c r="T46" s="242"/>
    </row>
    <row r="47" spans="1:20" s="81" customFormat="1" x14ac:dyDescent="0.45">
      <c r="A47" s="231"/>
      <c r="B47" s="232"/>
      <c r="C47" s="232"/>
      <c r="D47" s="232"/>
      <c r="E47" s="232"/>
      <c r="F47" s="232"/>
      <c r="G47" s="232"/>
      <c r="H47" s="240"/>
      <c r="I47" s="233"/>
      <c r="J47" s="234" t="str" cm="1">
        <f t="array" ref="J47">IF(A47="","",COUNTA(_xlfn.UNIQUE(_xlfn._xlws.FILTER(TMA_Entreprises!G:G,TMA_Entreprises!A:A=A47))))</f>
        <v/>
      </c>
      <c r="K47" s="235" t="str">
        <f>IF(A47="","",IF(
COUNTIFS(TMA_Entreprises!$A$12:$A$220,A47,TMA_Entreprises!$J$12:$J$220,"Oui")=0,"Non",
IF(
COUNTIFS(TMA_Entreprises!$A$12:$A$220,A47,TMA_Entreprises!$J$12:$J$220,"Oui")=
COUNTIF(TMA_Entreprises!$A$12:$A$220,A47),"Oui",
"Partiel")))</f>
        <v/>
      </c>
      <c r="L47" s="236" t="str">
        <f>IF(A47="","",SUMIF(TMA_Entreprises!A:A,A47,TMA_Entreprises!L:L))</f>
        <v/>
      </c>
      <c r="M47" s="237"/>
      <c r="N47" s="238" t="str">
        <f t="shared" si="0"/>
        <v/>
      </c>
      <c r="O47" s="233"/>
      <c r="P47" s="233"/>
      <c r="Q47" s="239" t="str">
        <f t="shared" si="1"/>
        <v/>
      </c>
      <c r="R47" s="235" t="str">
        <f t="shared" ca="1" si="2"/>
        <v/>
      </c>
      <c r="S47" s="237" t="str">
        <f t="shared" si="3"/>
        <v/>
      </c>
      <c r="T47" s="242"/>
    </row>
    <row r="48" spans="1:20" s="81" customFormat="1" x14ac:dyDescent="0.45">
      <c r="A48" s="231"/>
      <c r="B48" s="232"/>
      <c r="C48" s="232"/>
      <c r="D48" s="232"/>
      <c r="E48" s="232"/>
      <c r="F48" s="232"/>
      <c r="G48" s="232"/>
      <c r="H48" s="240"/>
      <c r="I48" s="233"/>
      <c r="J48" s="234" t="str" cm="1">
        <f t="array" ref="J48">IF(A48="","",COUNTA(_xlfn.UNIQUE(_xlfn._xlws.FILTER(TMA_Entreprises!G:G,TMA_Entreprises!A:A=A48))))</f>
        <v/>
      </c>
      <c r="K48" s="235" t="str">
        <f>IF(A48="","",IF(
COUNTIFS(TMA_Entreprises!$A$12:$A$220,A48,TMA_Entreprises!$J$12:$J$220,"Oui")=0,"Non",
IF(
COUNTIFS(TMA_Entreprises!$A$12:$A$220,A48,TMA_Entreprises!$J$12:$J$220,"Oui")=
COUNTIF(TMA_Entreprises!$A$12:$A$220,A48),"Oui",
"Partiel")))</f>
        <v/>
      </c>
      <c r="L48" s="236" t="str">
        <f>IF(A48="","",SUMIF(TMA_Entreprises!A:A,A48,TMA_Entreprises!L:L))</f>
        <v/>
      </c>
      <c r="M48" s="237"/>
      <c r="N48" s="238" t="str">
        <f t="shared" si="0"/>
        <v/>
      </c>
      <c r="O48" s="233"/>
      <c r="P48" s="233"/>
      <c r="Q48" s="239" t="str">
        <f t="shared" si="1"/>
        <v/>
      </c>
      <c r="R48" s="235" t="str">
        <f t="shared" ca="1" si="2"/>
        <v/>
      </c>
      <c r="S48" s="237" t="str">
        <f t="shared" si="3"/>
        <v/>
      </c>
      <c r="T48" s="242"/>
    </row>
    <row r="49" spans="1:20" s="81" customFormat="1" x14ac:dyDescent="0.45">
      <c r="A49" s="231"/>
      <c r="B49" s="232"/>
      <c r="C49" s="232"/>
      <c r="D49" s="232"/>
      <c r="E49" s="232"/>
      <c r="F49" s="232"/>
      <c r="G49" s="232"/>
      <c r="H49" s="240"/>
      <c r="I49" s="233"/>
      <c r="J49" s="234" t="str" cm="1">
        <f t="array" ref="J49">IF(A49="","",COUNTA(_xlfn.UNIQUE(_xlfn._xlws.FILTER(TMA_Entreprises!G:G,TMA_Entreprises!A:A=A49))))</f>
        <v/>
      </c>
      <c r="K49" s="235" t="str">
        <f>IF(A49="","",IF(
COUNTIFS(TMA_Entreprises!$A$12:$A$220,A49,TMA_Entreprises!$J$12:$J$220,"Oui")=0,"Non",
IF(
COUNTIFS(TMA_Entreprises!$A$12:$A$220,A49,TMA_Entreprises!$J$12:$J$220,"Oui")=
COUNTIF(TMA_Entreprises!$A$12:$A$220,A49),"Oui",
"Partiel")))</f>
        <v/>
      </c>
      <c r="L49" s="236" t="str">
        <f>IF(A49="","",SUMIF(TMA_Entreprises!A:A,A49,TMA_Entreprises!L:L))</f>
        <v/>
      </c>
      <c r="M49" s="237"/>
      <c r="N49" s="238" t="str">
        <f t="shared" si="0"/>
        <v/>
      </c>
      <c r="O49" s="233"/>
      <c r="P49" s="233"/>
      <c r="Q49" s="239" t="str">
        <f t="shared" si="1"/>
        <v/>
      </c>
      <c r="R49" s="235" t="str">
        <f t="shared" ca="1" si="2"/>
        <v/>
      </c>
      <c r="S49" s="237" t="str">
        <f t="shared" si="3"/>
        <v/>
      </c>
      <c r="T49" s="242"/>
    </row>
    <row r="50" spans="1:20" s="81" customFormat="1" x14ac:dyDescent="0.45">
      <c r="A50" s="231"/>
      <c r="B50" s="232"/>
      <c r="C50" s="232"/>
      <c r="D50" s="232"/>
      <c r="E50" s="232"/>
      <c r="F50" s="232"/>
      <c r="G50" s="232"/>
      <c r="H50" s="240"/>
      <c r="I50" s="233"/>
      <c r="J50" s="234" t="str" cm="1">
        <f t="array" ref="J50">IF(A50="","",COUNTA(_xlfn.UNIQUE(_xlfn._xlws.FILTER(TMA_Entreprises!G:G,TMA_Entreprises!A:A=A50))))</f>
        <v/>
      </c>
      <c r="K50" s="235" t="str">
        <f>IF(A50="","",IF(
COUNTIFS(TMA_Entreprises!$A$12:$A$220,A50,TMA_Entreprises!$J$12:$J$220,"Oui")=0,"Non",
IF(
COUNTIFS(TMA_Entreprises!$A$12:$A$220,A50,TMA_Entreprises!$J$12:$J$220,"Oui")=
COUNTIF(TMA_Entreprises!$A$12:$A$220,A50),"Oui",
"Partiel")))</f>
        <v/>
      </c>
      <c r="L50" s="236" t="str">
        <f>IF(A50="","",SUMIF(TMA_Entreprises!A:A,A50,TMA_Entreprises!L:L))</f>
        <v/>
      </c>
      <c r="M50" s="237"/>
      <c r="N50" s="238" t="str">
        <f t="shared" si="0"/>
        <v/>
      </c>
      <c r="O50" s="233"/>
      <c r="P50" s="233"/>
      <c r="Q50" s="239" t="str">
        <f t="shared" si="1"/>
        <v/>
      </c>
      <c r="R50" s="235" t="str">
        <f t="shared" ca="1" si="2"/>
        <v/>
      </c>
      <c r="S50" s="237" t="str">
        <f t="shared" si="3"/>
        <v/>
      </c>
      <c r="T50" s="242"/>
    </row>
    <row r="51" spans="1:20" s="81" customFormat="1" x14ac:dyDescent="0.45">
      <c r="A51" s="231"/>
      <c r="B51" s="232"/>
      <c r="C51" s="232"/>
      <c r="D51" s="232"/>
      <c r="E51" s="232"/>
      <c r="F51" s="232"/>
      <c r="G51" s="232"/>
      <c r="H51" s="240"/>
      <c r="I51" s="233"/>
      <c r="J51" s="234" t="str" cm="1">
        <f t="array" ref="J51">IF(A51="","",COUNTA(_xlfn.UNIQUE(_xlfn._xlws.FILTER(TMA_Entreprises!G:G,TMA_Entreprises!A:A=A51))))</f>
        <v/>
      </c>
      <c r="K51" s="235" t="str">
        <f>IF(A51="","",IF(
COUNTIFS(TMA_Entreprises!$A$12:$A$220,A51,TMA_Entreprises!$J$12:$J$220,"Oui")=0,"Non",
IF(
COUNTIFS(TMA_Entreprises!$A$12:$A$220,A51,TMA_Entreprises!$J$12:$J$220,"Oui")=
COUNTIF(TMA_Entreprises!$A$12:$A$220,A51),"Oui",
"Partiel")))</f>
        <v/>
      </c>
      <c r="L51" s="236" t="str">
        <f>IF(A51="","",SUMIF(TMA_Entreprises!A:A,A51,TMA_Entreprises!L:L))</f>
        <v/>
      </c>
      <c r="M51" s="237"/>
      <c r="N51" s="238" t="str">
        <f t="shared" si="0"/>
        <v/>
      </c>
      <c r="O51" s="233"/>
      <c r="P51" s="233"/>
      <c r="Q51" s="239" t="str">
        <f t="shared" si="1"/>
        <v/>
      </c>
      <c r="R51" s="235" t="str">
        <f t="shared" ca="1" si="2"/>
        <v/>
      </c>
      <c r="S51" s="237" t="str">
        <f t="shared" si="3"/>
        <v/>
      </c>
      <c r="T51" s="242"/>
    </row>
    <row r="52" spans="1:20" s="81" customFormat="1" x14ac:dyDescent="0.45">
      <c r="A52" s="231"/>
      <c r="B52" s="232"/>
      <c r="C52" s="232"/>
      <c r="D52" s="232"/>
      <c r="E52" s="232"/>
      <c r="F52" s="232"/>
      <c r="G52" s="232"/>
      <c r="H52" s="240"/>
      <c r="I52" s="233"/>
      <c r="J52" s="234" t="str" cm="1">
        <f t="array" ref="J52">IF(A52="","",COUNTA(_xlfn.UNIQUE(_xlfn._xlws.FILTER(TMA_Entreprises!G:G,TMA_Entreprises!A:A=A52))))</f>
        <v/>
      </c>
      <c r="K52" s="235" t="str">
        <f>IF(A52="","",IF(
COUNTIFS(TMA_Entreprises!$A$12:$A$220,A52,TMA_Entreprises!$J$12:$J$220,"Oui")=0,"Non",
IF(
COUNTIFS(TMA_Entreprises!$A$12:$A$220,A52,TMA_Entreprises!$J$12:$J$220,"Oui")=
COUNTIF(TMA_Entreprises!$A$12:$A$220,A52),"Oui",
"Partiel")))</f>
        <v/>
      </c>
      <c r="L52" s="236" t="str">
        <f>IF(A52="","",SUMIF(TMA_Entreprises!A:A,A52,TMA_Entreprises!L:L))</f>
        <v/>
      </c>
      <c r="M52" s="237"/>
      <c r="N52" s="238" t="str">
        <f t="shared" si="0"/>
        <v/>
      </c>
      <c r="O52" s="233"/>
      <c r="P52" s="233"/>
      <c r="Q52" s="239" t="str">
        <f t="shared" si="1"/>
        <v/>
      </c>
      <c r="R52" s="235" t="str">
        <f t="shared" ca="1" si="2"/>
        <v/>
      </c>
      <c r="S52" s="237" t="str">
        <f t="shared" si="3"/>
        <v/>
      </c>
      <c r="T52" s="242"/>
    </row>
    <row r="53" spans="1:20" s="81" customFormat="1" x14ac:dyDescent="0.45">
      <c r="A53" s="231"/>
      <c r="B53" s="232"/>
      <c r="C53" s="232"/>
      <c r="D53" s="232"/>
      <c r="E53" s="232"/>
      <c r="F53" s="232"/>
      <c r="G53" s="232"/>
      <c r="H53" s="240"/>
      <c r="I53" s="233"/>
      <c r="J53" s="234" t="str" cm="1">
        <f t="array" ref="J53">IF(A53="","",COUNTA(_xlfn.UNIQUE(_xlfn._xlws.FILTER(TMA_Entreprises!G:G,TMA_Entreprises!A:A=A53))))</f>
        <v/>
      </c>
      <c r="K53" s="235" t="str">
        <f>IF(A53="","",IF(
COUNTIFS(TMA_Entreprises!$A$12:$A$220,A53,TMA_Entreprises!$J$12:$J$220,"Oui")=0,"Non",
IF(
COUNTIFS(TMA_Entreprises!$A$12:$A$220,A53,TMA_Entreprises!$J$12:$J$220,"Oui")=
COUNTIF(TMA_Entreprises!$A$12:$A$220,A53),"Oui",
"Partiel")))</f>
        <v/>
      </c>
      <c r="L53" s="236" t="str">
        <f>IF(A53="","",SUMIF(TMA_Entreprises!A:A,A53,TMA_Entreprises!L:L))</f>
        <v/>
      </c>
      <c r="M53" s="237"/>
      <c r="N53" s="238" t="str">
        <f t="shared" si="0"/>
        <v/>
      </c>
      <c r="O53" s="233"/>
      <c r="P53" s="233"/>
      <c r="Q53" s="239" t="str">
        <f t="shared" si="1"/>
        <v/>
      </c>
      <c r="R53" s="235" t="str">
        <f t="shared" ca="1" si="2"/>
        <v/>
      </c>
      <c r="S53" s="237" t="str">
        <f t="shared" si="3"/>
        <v/>
      </c>
      <c r="T53" s="242"/>
    </row>
    <row r="54" spans="1:20" s="81" customFormat="1" x14ac:dyDescent="0.45">
      <c r="A54" s="231"/>
      <c r="B54" s="232"/>
      <c r="C54" s="232"/>
      <c r="D54" s="232"/>
      <c r="E54" s="232"/>
      <c r="F54" s="232"/>
      <c r="G54" s="232"/>
      <c r="H54" s="240"/>
      <c r="I54" s="233"/>
      <c r="J54" s="234" t="str" cm="1">
        <f t="array" ref="J54">IF(A54="","",COUNTA(_xlfn.UNIQUE(_xlfn._xlws.FILTER(TMA_Entreprises!G:G,TMA_Entreprises!A:A=A54))))</f>
        <v/>
      </c>
      <c r="K54" s="235" t="str">
        <f>IF(A54="","",IF(
COUNTIFS(TMA_Entreprises!$A$12:$A$220,A54,TMA_Entreprises!$J$12:$J$220,"Oui")=0,"Non",
IF(
COUNTIFS(TMA_Entreprises!$A$12:$A$220,A54,TMA_Entreprises!$J$12:$J$220,"Oui")=
COUNTIF(TMA_Entreprises!$A$12:$A$220,A54),"Oui",
"Partiel")))</f>
        <v/>
      </c>
      <c r="L54" s="236" t="str">
        <f>IF(A54="","",SUMIF(TMA_Entreprises!A:A,A54,TMA_Entreprises!L:L))</f>
        <v/>
      </c>
      <c r="M54" s="237"/>
      <c r="N54" s="238" t="str">
        <f t="shared" si="0"/>
        <v/>
      </c>
      <c r="O54" s="233"/>
      <c r="P54" s="233"/>
      <c r="Q54" s="239" t="str">
        <f t="shared" si="1"/>
        <v/>
      </c>
      <c r="R54" s="235" t="str">
        <f t="shared" ca="1" si="2"/>
        <v/>
      </c>
      <c r="S54" s="237" t="str">
        <f t="shared" si="3"/>
        <v/>
      </c>
      <c r="T54" s="242"/>
    </row>
    <row r="55" spans="1:20" s="81" customFormat="1" x14ac:dyDescent="0.45">
      <c r="A55" s="231"/>
      <c r="B55" s="232"/>
      <c r="C55" s="232"/>
      <c r="D55" s="232"/>
      <c r="E55" s="232"/>
      <c r="F55" s="232"/>
      <c r="G55" s="232"/>
      <c r="H55" s="240"/>
      <c r="I55" s="233"/>
      <c r="J55" s="234" t="str" cm="1">
        <f t="array" ref="J55">IF(A55="","",COUNTA(_xlfn.UNIQUE(_xlfn._xlws.FILTER(TMA_Entreprises!G:G,TMA_Entreprises!A:A=A55))))</f>
        <v/>
      </c>
      <c r="K55" s="235" t="str">
        <f>IF(A55="","",IF(
COUNTIFS(TMA_Entreprises!$A$12:$A$220,A55,TMA_Entreprises!$J$12:$J$220,"Oui")=0,"Non",
IF(
COUNTIFS(TMA_Entreprises!$A$12:$A$220,A55,TMA_Entreprises!$J$12:$J$220,"Oui")=
COUNTIF(TMA_Entreprises!$A$12:$A$220,A55),"Oui",
"Partiel")))</f>
        <v/>
      </c>
      <c r="L55" s="236" t="str">
        <f>IF(A55="","",SUMIF(TMA_Entreprises!A:A,A55,TMA_Entreprises!L:L))</f>
        <v/>
      </c>
      <c r="M55" s="237"/>
      <c r="N55" s="238" t="str">
        <f t="shared" si="0"/>
        <v/>
      </c>
      <c r="O55" s="233"/>
      <c r="P55" s="233"/>
      <c r="Q55" s="239" t="str">
        <f t="shared" si="1"/>
        <v/>
      </c>
      <c r="R55" s="235" t="str">
        <f t="shared" ca="1" si="2"/>
        <v/>
      </c>
      <c r="S55" s="237" t="str">
        <f t="shared" si="3"/>
        <v/>
      </c>
      <c r="T55" s="242"/>
    </row>
    <row r="56" spans="1:20" s="81" customFormat="1" x14ac:dyDescent="0.45">
      <c r="A56" s="231"/>
      <c r="B56" s="232"/>
      <c r="C56" s="232"/>
      <c r="D56" s="232"/>
      <c r="E56" s="232"/>
      <c r="F56" s="232"/>
      <c r="G56" s="232"/>
      <c r="H56" s="240"/>
      <c r="I56" s="233"/>
      <c r="J56" s="234" t="str" cm="1">
        <f t="array" ref="J56">IF(A56="","",COUNTA(_xlfn.UNIQUE(_xlfn._xlws.FILTER(TMA_Entreprises!G:G,TMA_Entreprises!A:A=A56))))</f>
        <v/>
      </c>
      <c r="K56" s="235" t="str">
        <f>IF(A56="","",IF(
COUNTIFS(TMA_Entreprises!$A$12:$A$220,A56,TMA_Entreprises!$J$12:$J$220,"Oui")=0,"Non",
IF(
COUNTIFS(TMA_Entreprises!$A$12:$A$220,A56,TMA_Entreprises!$J$12:$J$220,"Oui")=
COUNTIF(TMA_Entreprises!$A$12:$A$220,A56),"Oui",
"Partiel")))</f>
        <v/>
      </c>
      <c r="L56" s="236" t="str">
        <f>IF(A56="","",SUMIF(TMA_Entreprises!A:A,A56,TMA_Entreprises!L:L))</f>
        <v/>
      </c>
      <c r="M56" s="237"/>
      <c r="N56" s="238" t="str">
        <f t="shared" si="0"/>
        <v/>
      </c>
      <c r="O56" s="233"/>
      <c r="P56" s="233"/>
      <c r="Q56" s="239" t="str">
        <f t="shared" si="1"/>
        <v/>
      </c>
      <c r="R56" s="235" t="str">
        <f t="shared" ca="1" si="2"/>
        <v/>
      </c>
      <c r="S56" s="237" t="str">
        <f t="shared" si="3"/>
        <v/>
      </c>
      <c r="T56" s="242"/>
    </row>
    <row r="57" spans="1:20" s="81" customFormat="1" x14ac:dyDescent="0.45">
      <c r="A57" s="231"/>
      <c r="B57" s="232"/>
      <c r="C57" s="232"/>
      <c r="D57" s="232"/>
      <c r="E57" s="232"/>
      <c r="F57" s="232"/>
      <c r="G57" s="232"/>
      <c r="H57" s="240"/>
      <c r="I57" s="233"/>
      <c r="J57" s="234" t="str" cm="1">
        <f t="array" ref="J57">IF(A57="","",COUNTA(_xlfn.UNIQUE(_xlfn._xlws.FILTER(TMA_Entreprises!G:G,TMA_Entreprises!A:A=A57))))</f>
        <v/>
      </c>
      <c r="K57" s="235" t="str">
        <f>IF(A57="","",IF(
COUNTIFS(TMA_Entreprises!$A$12:$A$220,A57,TMA_Entreprises!$J$12:$J$220,"Oui")=0,"Non",
IF(
COUNTIFS(TMA_Entreprises!$A$12:$A$220,A57,TMA_Entreprises!$J$12:$J$220,"Oui")=
COUNTIF(TMA_Entreprises!$A$12:$A$220,A57),"Oui",
"Partiel")))</f>
        <v/>
      </c>
      <c r="L57" s="236" t="str">
        <f>IF(A57="","",SUMIF(TMA_Entreprises!A:A,A57,TMA_Entreprises!L:L))</f>
        <v/>
      </c>
      <c r="M57" s="237"/>
      <c r="N57" s="238" t="str">
        <f t="shared" si="0"/>
        <v/>
      </c>
      <c r="O57" s="233"/>
      <c r="P57" s="233"/>
      <c r="Q57" s="239" t="str">
        <f t="shared" si="1"/>
        <v/>
      </c>
      <c r="R57" s="235" t="str">
        <f t="shared" ca="1" si="2"/>
        <v/>
      </c>
      <c r="S57" s="237" t="str">
        <f t="shared" si="3"/>
        <v/>
      </c>
      <c r="T57" s="242"/>
    </row>
    <row r="58" spans="1:20" s="81" customFormat="1" x14ac:dyDescent="0.45">
      <c r="A58" s="231"/>
      <c r="B58" s="232"/>
      <c r="C58" s="232"/>
      <c r="D58" s="232"/>
      <c r="E58" s="232"/>
      <c r="F58" s="232"/>
      <c r="G58" s="232"/>
      <c r="H58" s="240"/>
      <c r="I58" s="233"/>
      <c r="J58" s="234" t="str" cm="1">
        <f t="array" ref="J58">IF(A58="","",COUNTA(_xlfn.UNIQUE(_xlfn._xlws.FILTER(TMA_Entreprises!G:G,TMA_Entreprises!A:A=A58))))</f>
        <v/>
      </c>
      <c r="K58" s="235" t="str">
        <f>IF(A58="","",IF(
COUNTIFS(TMA_Entreprises!$A$12:$A$220,A58,TMA_Entreprises!$J$12:$J$220,"Oui")=0,"Non",
IF(
COUNTIFS(TMA_Entreprises!$A$12:$A$220,A58,TMA_Entreprises!$J$12:$J$220,"Oui")=
COUNTIF(TMA_Entreprises!$A$12:$A$220,A58),"Oui",
"Partiel")))</f>
        <v/>
      </c>
      <c r="L58" s="236" t="str">
        <f>IF(A58="","",SUMIF(TMA_Entreprises!A:A,A58,TMA_Entreprises!L:L))</f>
        <v/>
      </c>
      <c r="M58" s="237"/>
      <c r="N58" s="238" t="str">
        <f t="shared" si="0"/>
        <v/>
      </c>
      <c r="O58" s="233"/>
      <c r="P58" s="233"/>
      <c r="Q58" s="239" t="str">
        <f t="shared" si="1"/>
        <v/>
      </c>
      <c r="R58" s="235" t="str">
        <f t="shared" ca="1" si="2"/>
        <v/>
      </c>
      <c r="S58" s="237" t="str">
        <f t="shared" si="3"/>
        <v/>
      </c>
      <c r="T58" s="242"/>
    </row>
    <row r="59" spans="1:20" s="81" customFormat="1" x14ac:dyDescent="0.45">
      <c r="A59" s="231"/>
      <c r="B59" s="232"/>
      <c r="C59" s="232"/>
      <c r="D59" s="232"/>
      <c r="E59" s="232"/>
      <c r="F59" s="232"/>
      <c r="G59" s="232"/>
      <c r="H59" s="240"/>
      <c r="I59" s="233"/>
      <c r="J59" s="234" t="str" cm="1">
        <f t="array" ref="J59">IF(A59="","",COUNTA(_xlfn.UNIQUE(_xlfn._xlws.FILTER(TMA_Entreprises!G:G,TMA_Entreprises!A:A=A59))))</f>
        <v/>
      </c>
      <c r="K59" s="235" t="str">
        <f>IF(A59="","",IF(
COUNTIFS(TMA_Entreprises!$A$12:$A$220,A59,TMA_Entreprises!$J$12:$J$220,"Oui")=0,"Non",
IF(
COUNTIFS(TMA_Entreprises!$A$12:$A$220,A59,TMA_Entreprises!$J$12:$J$220,"Oui")=
COUNTIF(TMA_Entreprises!$A$12:$A$220,A59),"Oui",
"Partiel")))</f>
        <v/>
      </c>
      <c r="L59" s="236" t="str">
        <f>IF(A59="","",SUMIF(TMA_Entreprises!A:A,A59,TMA_Entreprises!L:L))</f>
        <v/>
      </c>
      <c r="M59" s="237"/>
      <c r="N59" s="238" t="str">
        <f t="shared" si="0"/>
        <v/>
      </c>
      <c r="O59" s="233"/>
      <c r="P59" s="233"/>
      <c r="Q59" s="239" t="str">
        <f t="shared" si="1"/>
        <v/>
      </c>
      <c r="R59" s="235" t="str">
        <f t="shared" ca="1" si="2"/>
        <v/>
      </c>
      <c r="S59" s="237" t="str">
        <f t="shared" si="3"/>
        <v/>
      </c>
      <c r="T59" s="242"/>
    </row>
    <row r="60" spans="1:20" s="81" customFormat="1" x14ac:dyDescent="0.45">
      <c r="A60" s="231"/>
      <c r="B60" s="232"/>
      <c r="C60" s="232"/>
      <c r="D60" s="232"/>
      <c r="E60" s="232"/>
      <c r="F60" s="232"/>
      <c r="G60" s="232"/>
      <c r="H60" s="240"/>
      <c r="I60" s="233"/>
      <c r="J60" s="234" t="str" cm="1">
        <f t="array" ref="J60">IF(A60="","",COUNTA(_xlfn.UNIQUE(_xlfn._xlws.FILTER(TMA_Entreprises!G:G,TMA_Entreprises!A:A=A60))))</f>
        <v/>
      </c>
      <c r="K60" s="235" t="str">
        <f>IF(A60="","",IF(
COUNTIFS(TMA_Entreprises!$A$12:$A$220,A60,TMA_Entreprises!$J$12:$J$220,"Oui")=0,"Non",
IF(
COUNTIFS(TMA_Entreprises!$A$12:$A$220,A60,TMA_Entreprises!$J$12:$J$220,"Oui")=
COUNTIF(TMA_Entreprises!$A$12:$A$220,A60),"Oui",
"Partiel")))</f>
        <v/>
      </c>
      <c r="L60" s="236" t="str">
        <f>IF(A60="","",SUMIF(TMA_Entreprises!A:A,A60,TMA_Entreprises!L:L))</f>
        <v/>
      </c>
      <c r="M60" s="237"/>
      <c r="N60" s="238" t="str">
        <f t="shared" si="0"/>
        <v/>
      </c>
      <c r="O60" s="233"/>
      <c r="P60" s="233"/>
      <c r="Q60" s="239" t="str">
        <f t="shared" si="1"/>
        <v/>
      </c>
      <c r="R60" s="235" t="str">
        <f t="shared" ca="1" si="2"/>
        <v/>
      </c>
      <c r="S60" s="237" t="str">
        <f t="shared" si="3"/>
        <v/>
      </c>
      <c r="T60" s="242"/>
    </row>
    <row r="61" spans="1:20" s="81" customFormat="1" x14ac:dyDescent="0.45">
      <c r="A61" s="231"/>
      <c r="B61" s="232"/>
      <c r="C61" s="232"/>
      <c r="D61" s="232"/>
      <c r="E61" s="232"/>
      <c r="F61" s="232"/>
      <c r="G61" s="232"/>
      <c r="H61" s="240"/>
      <c r="I61" s="233"/>
      <c r="J61" s="234" t="str" cm="1">
        <f t="array" ref="J61">IF(A61="","",COUNTA(_xlfn.UNIQUE(_xlfn._xlws.FILTER(TMA_Entreprises!G:G,TMA_Entreprises!A:A=A61))))</f>
        <v/>
      </c>
      <c r="K61" s="235" t="str">
        <f>IF(A61="","",IF(
COUNTIFS(TMA_Entreprises!$A$12:$A$220,A61,TMA_Entreprises!$J$12:$J$220,"Oui")=0,"Non",
IF(
COUNTIFS(TMA_Entreprises!$A$12:$A$220,A61,TMA_Entreprises!$J$12:$J$220,"Oui")=
COUNTIF(TMA_Entreprises!$A$12:$A$220,A61),"Oui",
"Partiel")))</f>
        <v/>
      </c>
      <c r="L61" s="236" t="str">
        <f>IF(A61="","",SUMIF(TMA_Entreprises!A:A,A61,TMA_Entreprises!L:L))</f>
        <v/>
      </c>
      <c r="M61" s="237"/>
      <c r="N61" s="238" t="str">
        <f t="shared" si="0"/>
        <v/>
      </c>
      <c r="O61" s="233"/>
      <c r="P61" s="233"/>
      <c r="Q61" s="239" t="str">
        <f t="shared" si="1"/>
        <v/>
      </c>
      <c r="R61" s="235" t="str">
        <f t="shared" ca="1" si="2"/>
        <v/>
      </c>
      <c r="S61" s="237" t="str">
        <f t="shared" si="3"/>
        <v/>
      </c>
      <c r="T61" s="242"/>
    </row>
    <row r="62" spans="1:20" s="81" customFormat="1" x14ac:dyDescent="0.45">
      <c r="A62" s="231"/>
      <c r="B62" s="232"/>
      <c r="C62" s="232"/>
      <c r="D62" s="232"/>
      <c r="E62" s="232"/>
      <c r="F62" s="232"/>
      <c r="G62" s="232"/>
      <c r="H62" s="240"/>
      <c r="I62" s="233"/>
      <c r="J62" s="234" t="str" cm="1">
        <f t="array" ref="J62">IF(A62="","",COUNTA(_xlfn.UNIQUE(_xlfn._xlws.FILTER(TMA_Entreprises!G:G,TMA_Entreprises!A:A=A62))))</f>
        <v/>
      </c>
      <c r="K62" s="235" t="str">
        <f>IF(A62="","",IF(
COUNTIFS(TMA_Entreprises!$A$12:$A$220,A62,TMA_Entreprises!$J$12:$J$220,"Oui")=0,"Non",
IF(
COUNTIFS(TMA_Entreprises!$A$12:$A$220,A62,TMA_Entreprises!$J$12:$J$220,"Oui")=
COUNTIF(TMA_Entreprises!$A$12:$A$220,A62),"Oui",
"Partiel")))</f>
        <v/>
      </c>
      <c r="L62" s="236" t="str">
        <f>IF(A62="","",SUMIF(TMA_Entreprises!A:A,A62,TMA_Entreprises!L:L))</f>
        <v/>
      </c>
      <c r="M62" s="237"/>
      <c r="N62" s="238" t="str">
        <f t="shared" si="0"/>
        <v/>
      </c>
      <c r="O62" s="233"/>
      <c r="P62" s="233"/>
      <c r="Q62" s="239" t="str">
        <f t="shared" si="1"/>
        <v/>
      </c>
      <c r="R62" s="235" t="str">
        <f t="shared" ca="1" si="2"/>
        <v/>
      </c>
      <c r="S62" s="237" t="str">
        <f t="shared" si="3"/>
        <v/>
      </c>
      <c r="T62" s="242"/>
    </row>
    <row r="63" spans="1:20" s="81" customFormat="1" x14ac:dyDescent="0.45">
      <c r="A63" s="231"/>
      <c r="B63" s="232"/>
      <c r="C63" s="232"/>
      <c r="D63" s="232"/>
      <c r="E63" s="232"/>
      <c r="F63" s="232"/>
      <c r="G63" s="232"/>
      <c r="H63" s="240"/>
      <c r="I63" s="233"/>
      <c r="J63" s="234" t="str" cm="1">
        <f t="array" ref="J63">IF(A63="","",COUNTA(_xlfn.UNIQUE(_xlfn._xlws.FILTER(TMA_Entreprises!G:G,TMA_Entreprises!A:A=A63))))</f>
        <v/>
      </c>
      <c r="K63" s="235" t="str">
        <f>IF(A63="","",IF(
COUNTIFS(TMA_Entreprises!$A$12:$A$220,A63,TMA_Entreprises!$J$12:$J$220,"Oui")=0,"Non",
IF(
COUNTIFS(TMA_Entreprises!$A$12:$A$220,A63,TMA_Entreprises!$J$12:$J$220,"Oui")=
COUNTIF(TMA_Entreprises!$A$12:$A$220,A63),"Oui",
"Partiel")))</f>
        <v/>
      </c>
      <c r="L63" s="236" t="str">
        <f>IF(A63="","",SUMIF(TMA_Entreprises!A:A,A63,TMA_Entreprises!L:L))</f>
        <v/>
      </c>
      <c r="M63" s="237"/>
      <c r="N63" s="238" t="str">
        <f t="shared" si="0"/>
        <v/>
      </c>
      <c r="O63" s="233"/>
      <c r="P63" s="233"/>
      <c r="Q63" s="239" t="str">
        <f t="shared" si="1"/>
        <v/>
      </c>
      <c r="R63" s="235" t="str">
        <f t="shared" ca="1" si="2"/>
        <v/>
      </c>
      <c r="S63" s="237" t="str">
        <f t="shared" si="3"/>
        <v/>
      </c>
      <c r="T63" s="242"/>
    </row>
    <row r="64" spans="1:20" s="81" customFormat="1" x14ac:dyDescent="0.45">
      <c r="A64" s="231"/>
      <c r="B64" s="232"/>
      <c r="C64" s="232"/>
      <c r="D64" s="232"/>
      <c r="E64" s="232"/>
      <c r="F64" s="232"/>
      <c r="G64" s="232"/>
      <c r="H64" s="240"/>
      <c r="I64" s="233"/>
      <c r="J64" s="234" t="str" cm="1">
        <f t="array" ref="J64">IF(A64="","",COUNTA(_xlfn.UNIQUE(_xlfn._xlws.FILTER(TMA_Entreprises!G:G,TMA_Entreprises!A:A=A64))))</f>
        <v/>
      </c>
      <c r="K64" s="235" t="str">
        <f>IF(A64="","",IF(
COUNTIFS(TMA_Entreprises!$A$12:$A$220,A64,TMA_Entreprises!$J$12:$J$220,"Oui")=0,"Non",
IF(
COUNTIFS(TMA_Entreprises!$A$12:$A$220,A64,TMA_Entreprises!$J$12:$J$220,"Oui")=
COUNTIF(TMA_Entreprises!$A$12:$A$220,A64),"Oui",
"Partiel")))</f>
        <v/>
      </c>
      <c r="L64" s="236" t="str">
        <f>IF(A64="","",SUMIF(TMA_Entreprises!A:A,A64,TMA_Entreprises!L:L))</f>
        <v/>
      </c>
      <c r="M64" s="237"/>
      <c r="N64" s="238" t="str">
        <f t="shared" si="0"/>
        <v/>
      </c>
      <c r="O64" s="233"/>
      <c r="P64" s="233"/>
      <c r="Q64" s="239" t="str">
        <f t="shared" si="1"/>
        <v/>
      </c>
      <c r="R64" s="235" t="str">
        <f t="shared" ca="1" si="2"/>
        <v/>
      </c>
      <c r="S64" s="237" t="str">
        <f t="shared" si="3"/>
        <v/>
      </c>
      <c r="T64" s="242"/>
    </row>
    <row r="65" spans="1:20" s="81" customFormat="1" x14ac:dyDescent="0.45">
      <c r="A65" s="231"/>
      <c r="B65" s="232"/>
      <c r="C65" s="232"/>
      <c r="D65" s="232"/>
      <c r="E65" s="232"/>
      <c r="F65" s="232"/>
      <c r="G65" s="232"/>
      <c r="H65" s="240"/>
      <c r="I65" s="233"/>
      <c r="J65" s="234" t="str" cm="1">
        <f t="array" ref="J65">IF(A65="","",COUNTA(_xlfn.UNIQUE(_xlfn._xlws.FILTER(TMA_Entreprises!G:G,TMA_Entreprises!A:A=A65))))</f>
        <v/>
      </c>
      <c r="K65" s="235" t="str">
        <f>IF(A65="","",IF(
COUNTIFS(TMA_Entreprises!$A$12:$A$220,A65,TMA_Entreprises!$J$12:$J$220,"Oui")=0,"Non",
IF(
COUNTIFS(TMA_Entreprises!$A$12:$A$220,A65,TMA_Entreprises!$J$12:$J$220,"Oui")=
COUNTIF(TMA_Entreprises!$A$12:$A$220,A65),"Oui",
"Partiel")))</f>
        <v/>
      </c>
      <c r="L65" s="236" t="str">
        <f>IF(A65="","",SUMIF(TMA_Entreprises!A:A,A65,TMA_Entreprises!L:L))</f>
        <v/>
      </c>
      <c r="M65" s="237"/>
      <c r="N65" s="238" t="str">
        <f t="shared" si="0"/>
        <v/>
      </c>
      <c r="O65" s="233"/>
      <c r="P65" s="233"/>
      <c r="Q65" s="239" t="str">
        <f t="shared" si="1"/>
        <v/>
      </c>
      <c r="R65" s="235" t="str">
        <f t="shared" ca="1" si="2"/>
        <v/>
      </c>
      <c r="S65" s="237" t="str">
        <f t="shared" si="3"/>
        <v/>
      </c>
      <c r="T65" s="242"/>
    </row>
    <row r="66" spans="1:20" s="81" customFormat="1" x14ac:dyDescent="0.45">
      <c r="A66" s="231"/>
      <c r="B66" s="232"/>
      <c r="C66" s="232"/>
      <c r="D66" s="232"/>
      <c r="E66" s="232"/>
      <c r="F66" s="232"/>
      <c r="G66" s="232"/>
      <c r="H66" s="240"/>
      <c r="I66" s="233"/>
      <c r="J66" s="234" t="str" cm="1">
        <f t="array" ref="J66">IF(A66="","",COUNTA(_xlfn.UNIQUE(_xlfn._xlws.FILTER(TMA_Entreprises!G:G,TMA_Entreprises!A:A=A66))))</f>
        <v/>
      </c>
      <c r="K66" s="235" t="str">
        <f>IF(A66="","",IF(
COUNTIFS(TMA_Entreprises!$A$12:$A$220,A66,TMA_Entreprises!$J$12:$J$220,"Oui")=0,"Non",
IF(
COUNTIFS(TMA_Entreprises!$A$12:$A$220,A66,TMA_Entreprises!$J$12:$J$220,"Oui")=
COUNTIF(TMA_Entreprises!$A$12:$A$220,A66),"Oui",
"Partiel")))</f>
        <v/>
      </c>
      <c r="L66" s="236" t="str">
        <f>IF(A66="","",SUMIF(TMA_Entreprises!A:A,A66,TMA_Entreprises!L:L))</f>
        <v/>
      </c>
      <c r="M66" s="237"/>
      <c r="N66" s="238" t="str">
        <f t="shared" si="0"/>
        <v/>
      </c>
      <c r="O66" s="233"/>
      <c r="P66" s="233"/>
      <c r="Q66" s="239" t="str">
        <f t="shared" si="1"/>
        <v/>
      </c>
      <c r="R66" s="235" t="str">
        <f t="shared" ca="1" si="2"/>
        <v/>
      </c>
      <c r="S66" s="237" t="str">
        <f t="shared" si="3"/>
        <v/>
      </c>
      <c r="T66" s="242"/>
    </row>
    <row r="67" spans="1:20" s="81" customFormat="1" x14ac:dyDescent="0.45">
      <c r="A67" s="231"/>
      <c r="B67" s="232"/>
      <c r="C67" s="232"/>
      <c r="D67" s="232"/>
      <c r="E67" s="232"/>
      <c r="F67" s="232"/>
      <c r="G67" s="232"/>
      <c r="H67" s="240"/>
      <c r="I67" s="233"/>
      <c r="J67" s="234" t="str" cm="1">
        <f t="array" ref="J67">IF(A67="","",COUNTA(_xlfn.UNIQUE(_xlfn._xlws.FILTER(TMA_Entreprises!G:G,TMA_Entreprises!A:A=A67))))</f>
        <v/>
      </c>
      <c r="K67" s="235" t="str">
        <f>IF(A67="","",IF(
COUNTIFS(TMA_Entreprises!$A$12:$A$220,A67,TMA_Entreprises!$J$12:$J$220,"Oui")=0,"Non",
IF(
COUNTIFS(TMA_Entreprises!$A$12:$A$220,A67,TMA_Entreprises!$J$12:$J$220,"Oui")=
COUNTIF(TMA_Entreprises!$A$12:$A$220,A67),"Oui",
"Partiel")))</f>
        <v/>
      </c>
      <c r="L67" s="236" t="str">
        <f>IF(A67="","",SUMIF(TMA_Entreprises!A:A,A67,TMA_Entreprises!L:L))</f>
        <v/>
      </c>
      <c r="M67" s="237"/>
      <c r="N67" s="238" t="str">
        <f t="shared" si="0"/>
        <v/>
      </c>
      <c r="O67" s="233"/>
      <c r="P67" s="233"/>
      <c r="Q67" s="239" t="str">
        <f t="shared" si="1"/>
        <v/>
      </c>
      <c r="R67" s="235" t="str">
        <f t="shared" ca="1" si="2"/>
        <v/>
      </c>
      <c r="S67" s="237" t="str">
        <f t="shared" si="3"/>
        <v/>
      </c>
      <c r="T67" s="242"/>
    </row>
    <row r="68" spans="1:20" s="81" customFormat="1" x14ac:dyDescent="0.45">
      <c r="A68" s="231"/>
      <c r="B68" s="232"/>
      <c r="C68" s="232"/>
      <c r="D68" s="232"/>
      <c r="E68" s="232"/>
      <c r="F68" s="232"/>
      <c r="G68" s="232"/>
      <c r="H68" s="240"/>
      <c r="I68" s="233"/>
      <c r="J68" s="234" t="str" cm="1">
        <f t="array" ref="J68">IF(A68="","",COUNTA(_xlfn.UNIQUE(_xlfn._xlws.FILTER(TMA_Entreprises!G:G,TMA_Entreprises!A:A=A68))))</f>
        <v/>
      </c>
      <c r="K68" s="235" t="str">
        <f>IF(A68="","",IF(
COUNTIFS(TMA_Entreprises!$A$12:$A$220,A68,TMA_Entreprises!$J$12:$J$220,"Oui")=0,"Non",
IF(
COUNTIFS(TMA_Entreprises!$A$12:$A$220,A68,TMA_Entreprises!$J$12:$J$220,"Oui")=
COUNTIF(TMA_Entreprises!$A$12:$A$220,A68),"Oui",
"Partiel")))</f>
        <v/>
      </c>
      <c r="L68" s="236" t="str">
        <f>IF(A68="","",SUMIF(TMA_Entreprises!A:A,A68,TMA_Entreprises!L:L))</f>
        <v/>
      </c>
      <c r="M68" s="237"/>
      <c r="N68" s="238" t="str">
        <f t="shared" si="0"/>
        <v/>
      </c>
      <c r="O68" s="233"/>
      <c r="P68" s="233"/>
      <c r="Q68" s="239" t="str">
        <f t="shared" si="1"/>
        <v/>
      </c>
      <c r="R68" s="235" t="str">
        <f t="shared" ca="1" si="2"/>
        <v/>
      </c>
      <c r="S68" s="237" t="str">
        <f t="shared" si="3"/>
        <v/>
      </c>
      <c r="T68" s="242"/>
    </row>
    <row r="69" spans="1:20" s="81" customFormat="1" x14ac:dyDescent="0.45">
      <c r="A69" s="231"/>
      <c r="B69" s="232"/>
      <c r="C69" s="232"/>
      <c r="D69" s="232"/>
      <c r="E69" s="232"/>
      <c r="F69" s="232"/>
      <c r="G69" s="232"/>
      <c r="H69" s="240"/>
      <c r="I69" s="233"/>
      <c r="J69" s="234" t="str" cm="1">
        <f t="array" ref="J69">IF(A69="","",COUNTA(_xlfn.UNIQUE(_xlfn._xlws.FILTER(TMA_Entreprises!G:G,TMA_Entreprises!A:A=A69))))</f>
        <v/>
      </c>
      <c r="K69" s="235" t="str">
        <f>IF(A69="","",IF(
COUNTIFS(TMA_Entreprises!$A$12:$A$220,A69,TMA_Entreprises!$J$12:$J$220,"Oui")=0,"Non",
IF(
COUNTIFS(TMA_Entreprises!$A$12:$A$220,A69,TMA_Entreprises!$J$12:$J$220,"Oui")=
COUNTIF(TMA_Entreprises!$A$12:$A$220,A69),"Oui",
"Partiel")))</f>
        <v/>
      </c>
      <c r="L69" s="236" t="str">
        <f>IF(A69="","",SUMIF(TMA_Entreprises!A:A,A69,TMA_Entreprises!L:L))</f>
        <v/>
      </c>
      <c r="M69" s="237"/>
      <c r="N69" s="238" t="str">
        <f t="shared" si="0"/>
        <v/>
      </c>
      <c r="O69" s="233"/>
      <c r="P69" s="233"/>
      <c r="Q69" s="239" t="str">
        <f t="shared" si="1"/>
        <v/>
      </c>
      <c r="R69" s="235" t="str">
        <f t="shared" ca="1" si="2"/>
        <v/>
      </c>
      <c r="S69" s="237" t="str">
        <f t="shared" si="3"/>
        <v/>
      </c>
      <c r="T69" s="242"/>
    </row>
    <row r="70" spans="1:20" s="81" customFormat="1" x14ac:dyDescent="0.45">
      <c r="A70" s="231"/>
      <c r="B70" s="232"/>
      <c r="C70" s="232"/>
      <c r="D70" s="232"/>
      <c r="E70" s="232"/>
      <c r="F70" s="232"/>
      <c r="G70" s="232"/>
      <c r="H70" s="240"/>
      <c r="I70" s="233"/>
      <c r="J70" s="234" t="str" cm="1">
        <f t="array" ref="J70">IF(A70="","",COUNTA(_xlfn.UNIQUE(_xlfn._xlws.FILTER(TMA_Entreprises!G:G,TMA_Entreprises!A:A=A70))))</f>
        <v/>
      </c>
      <c r="K70" s="235" t="str">
        <f>IF(A70="","",IF(
COUNTIFS(TMA_Entreprises!$A$12:$A$220,A70,TMA_Entreprises!$J$12:$J$220,"Oui")=0,"Non",
IF(
COUNTIFS(TMA_Entreprises!$A$12:$A$220,A70,TMA_Entreprises!$J$12:$J$220,"Oui")=
COUNTIF(TMA_Entreprises!$A$12:$A$220,A70),"Oui",
"Partiel")))</f>
        <v/>
      </c>
      <c r="L70" s="236" t="str">
        <f>IF(A70="","",SUMIF(TMA_Entreprises!A:A,A70,TMA_Entreprises!L:L))</f>
        <v/>
      </c>
      <c r="M70" s="237"/>
      <c r="N70" s="238" t="str">
        <f t="shared" si="0"/>
        <v/>
      </c>
      <c r="O70" s="233"/>
      <c r="P70" s="233"/>
      <c r="Q70" s="239" t="str">
        <f t="shared" si="1"/>
        <v/>
      </c>
      <c r="R70" s="235" t="str">
        <f t="shared" ca="1" si="2"/>
        <v/>
      </c>
      <c r="S70" s="237" t="str">
        <f t="shared" si="3"/>
        <v/>
      </c>
      <c r="T70" s="242"/>
    </row>
    <row r="71" spans="1:20" s="81" customFormat="1" x14ac:dyDescent="0.45">
      <c r="A71" s="231"/>
      <c r="B71" s="232"/>
      <c r="C71" s="232"/>
      <c r="D71" s="232"/>
      <c r="E71" s="232"/>
      <c r="F71" s="232"/>
      <c r="G71" s="232"/>
      <c r="H71" s="240"/>
      <c r="I71" s="233"/>
      <c r="J71" s="234" t="str" cm="1">
        <f t="array" ref="J71">IF(A71="","",COUNTA(_xlfn.UNIQUE(_xlfn._xlws.FILTER(TMA_Entreprises!G:G,TMA_Entreprises!A:A=A71))))</f>
        <v/>
      </c>
      <c r="K71" s="235" t="str">
        <f>IF(A71="","",IF(
COUNTIFS(TMA_Entreprises!$A$12:$A$220,A71,TMA_Entreprises!$J$12:$J$220,"Oui")=0,"Non",
IF(
COUNTIFS(TMA_Entreprises!$A$12:$A$220,A71,TMA_Entreprises!$J$12:$J$220,"Oui")=
COUNTIF(TMA_Entreprises!$A$12:$A$220,A71),"Oui",
"Partiel")))</f>
        <v/>
      </c>
      <c r="L71" s="236" t="str">
        <f>IF(A71="","",SUMIF(TMA_Entreprises!A:A,A71,TMA_Entreprises!L:L))</f>
        <v/>
      </c>
      <c r="M71" s="237"/>
      <c r="N71" s="238" t="str">
        <f t="shared" si="0"/>
        <v/>
      </c>
      <c r="O71" s="233"/>
      <c r="P71" s="233"/>
      <c r="Q71" s="239" t="str">
        <f t="shared" si="1"/>
        <v/>
      </c>
      <c r="R71" s="235" t="str">
        <f t="shared" ca="1" si="2"/>
        <v/>
      </c>
      <c r="S71" s="237" t="str">
        <f t="shared" si="3"/>
        <v/>
      </c>
      <c r="T71" s="242"/>
    </row>
    <row r="72" spans="1:20" s="81" customFormat="1" x14ac:dyDescent="0.45">
      <c r="A72" s="231"/>
      <c r="B72" s="232"/>
      <c r="C72" s="232"/>
      <c r="D72" s="232"/>
      <c r="E72" s="232"/>
      <c r="F72" s="232"/>
      <c r="G72" s="232"/>
      <c r="H72" s="240"/>
      <c r="I72" s="233"/>
      <c r="J72" s="234" t="str" cm="1">
        <f t="array" ref="J72">IF(A72="","",COUNTA(_xlfn.UNIQUE(_xlfn._xlws.FILTER(TMA_Entreprises!G:G,TMA_Entreprises!A:A=A72))))</f>
        <v/>
      </c>
      <c r="K72" s="235" t="str">
        <f>IF(A72="","",IF(
COUNTIFS(TMA_Entreprises!$A$12:$A$220,A72,TMA_Entreprises!$J$12:$J$220,"Oui")=0,"Non",
IF(
COUNTIFS(TMA_Entreprises!$A$12:$A$220,A72,TMA_Entreprises!$J$12:$J$220,"Oui")=
COUNTIF(TMA_Entreprises!$A$12:$A$220,A72),"Oui",
"Partiel")))</f>
        <v/>
      </c>
      <c r="L72" s="236" t="str">
        <f>IF(A72="","",SUMIF(TMA_Entreprises!A:A,A72,TMA_Entreprises!L:L))</f>
        <v/>
      </c>
      <c r="M72" s="237"/>
      <c r="N72" s="238" t="str">
        <f t="shared" si="0"/>
        <v/>
      </c>
      <c r="O72" s="233"/>
      <c r="P72" s="233"/>
      <c r="Q72" s="239" t="str">
        <f t="shared" si="1"/>
        <v/>
      </c>
      <c r="R72" s="235" t="str">
        <f t="shared" ca="1" si="2"/>
        <v/>
      </c>
      <c r="S72" s="237" t="str">
        <f t="shared" si="3"/>
        <v/>
      </c>
      <c r="T72" s="242"/>
    </row>
    <row r="73" spans="1:20" s="81" customFormat="1" x14ac:dyDescent="0.45">
      <c r="A73" s="231"/>
      <c r="B73" s="232"/>
      <c r="C73" s="232"/>
      <c r="D73" s="232"/>
      <c r="E73" s="232"/>
      <c r="F73" s="232"/>
      <c r="G73" s="232"/>
      <c r="H73" s="240"/>
      <c r="I73" s="233"/>
      <c r="J73" s="234" t="str" cm="1">
        <f t="array" ref="J73">IF(A73="","",COUNTA(_xlfn.UNIQUE(_xlfn._xlws.FILTER(TMA_Entreprises!G:G,TMA_Entreprises!A:A=A73))))</f>
        <v/>
      </c>
      <c r="K73" s="235" t="str">
        <f>IF(A73="","",IF(
COUNTIFS(TMA_Entreprises!$A$12:$A$220,A73,TMA_Entreprises!$J$12:$J$220,"Oui")=0,"Non",
IF(
COUNTIFS(TMA_Entreprises!$A$12:$A$220,A73,TMA_Entreprises!$J$12:$J$220,"Oui")=
COUNTIF(TMA_Entreprises!$A$12:$A$220,A73),"Oui",
"Partiel")))</f>
        <v/>
      </c>
      <c r="L73" s="236" t="str">
        <f>IF(A73="","",SUMIF(TMA_Entreprises!A:A,A73,TMA_Entreprises!L:L))</f>
        <v/>
      </c>
      <c r="M73" s="237"/>
      <c r="N73" s="238" t="str">
        <f t="shared" si="0"/>
        <v/>
      </c>
      <c r="O73" s="233"/>
      <c r="P73" s="233"/>
      <c r="Q73" s="239" t="str">
        <f t="shared" si="1"/>
        <v/>
      </c>
      <c r="R73" s="235" t="str">
        <f t="shared" ca="1" si="2"/>
        <v/>
      </c>
      <c r="S73" s="237" t="str">
        <f t="shared" si="3"/>
        <v/>
      </c>
      <c r="T73" s="242"/>
    </row>
    <row r="74" spans="1:20" s="81" customFormat="1" x14ac:dyDescent="0.45">
      <c r="A74" s="231"/>
      <c r="B74" s="232"/>
      <c r="C74" s="232"/>
      <c r="D74" s="232"/>
      <c r="E74" s="232"/>
      <c r="F74" s="232"/>
      <c r="G74" s="232"/>
      <c r="H74" s="240"/>
      <c r="I74" s="233"/>
      <c r="J74" s="234" t="str" cm="1">
        <f t="array" ref="J74">IF(A74="","",COUNTA(_xlfn.UNIQUE(_xlfn._xlws.FILTER(TMA_Entreprises!G:G,TMA_Entreprises!A:A=A74))))</f>
        <v/>
      </c>
      <c r="K74" s="235" t="str">
        <f>IF(A74="","",IF(
COUNTIFS(TMA_Entreprises!$A$12:$A$220,A74,TMA_Entreprises!$J$12:$J$220,"Oui")=0,"Non",
IF(
COUNTIFS(TMA_Entreprises!$A$12:$A$220,A74,TMA_Entreprises!$J$12:$J$220,"Oui")=
COUNTIF(TMA_Entreprises!$A$12:$A$220,A74),"Oui",
"Partiel")))</f>
        <v/>
      </c>
      <c r="L74" s="236" t="str">
        <f>IF(A74="","",SUMIF(TMA_Entreprises!A:A,A74,TMA_Entreprises!L:L))</f>
        <v/>
      </c>
      <c r="M74" s="237"/>
      <c r="N74" s="238" t="str">
        <f t="shared" si="0"/>
        <v/>
      </c>
      <c r="O74" s="233"/>
      <c r="P74" s="233"/>
      <c r="Q74" s="239" t="str">
        <f t="shared" si="1"/>
        <v/>
      </c>
      <c r="R74" s="235" t="str">
        <f t="shared" ca="1" si="2"/>
        <v/>
      </c>
      <c r="S74" s="237" t="str">
        <f t="shared" si="3"/>
        <v/>
      </c>
      <c r="T74" s="242"/>
    </row>
    <row r="75" spans="1:20" s="81" customFormat="1" x14ac:dyDescent="0.45">
      <c r="A75" s="231"/>
      <c r="B75" s="232"/>
      <c r="C75" s="232"/>
      <c r="D75" s="232"/>
      <c r="E75" s="232"/>
      <c r="F75" s="232"/>
      <c r="G75" s="232"/>
      <c r="H75" s="240"/>
      <c r="I75" s="233"/>
      <c r="J75" s="234" t="str" cm="1">
        <f t="array" ref="J75">IF(A75="","",COUNTA(_xlfn.UNIQUE(_xlfn._xlws.FILTER(TMA_Entreprises!G:G,TMA_Entreprises!A:A=A75))))</f>
        <v/>
      </c>
      <c r="K75" s="235" t="str">
        <f>IF(A75="","",IF(
COUNTIFS(TMA_Entreprises!$A$12:$A$220,A75,TMA_Entreprises!$J$12:$J$220,"Oui")=0,"Non",
IF(
COUNTIFS(TMA_Entreprises!$A$12:$A$220,A75,TMA_Entreprises!$J$12:$J$220,"Oui")=
COUNTIF(TMA_Entreprises!$A$12:$A$220,A75),"Oui",
"Partiel")))</f>
        <v/>
      </c>
      <c r="L75" s="236" t="str">
        <f>IF(A75="","",SUMIF(TMA_Entreprises!A:A,A75,TMA_Entreprises!L:L))</f>
        <v/>
      </c>
      <c r="M75" s="237"/>
      <c r="N75" s="238" t="str">
        <f t="shared" si="0"/>
        <v/>
      </c>
      <c r="O75" s="233"/>
      <c r="P75" s="233"/>
      <c r="Q75" s="239" t="str">
        <f t="shared" si="1"/>
        <v/>
      </c>
      <c r="R75" s="235" t="str">
        <f t="shared" ca="1" si="2"/>
        <v/>
      </c>
      <c r="S75" s="237" t="str">
        <f t="shared" si="3"/>
        <v/>
      </c>
      <c r="T75" s="242"/>
    </row>
    <row r="76" spans="1:20" s="81" customFormat="1" x14ac:dyDescent="0.45">
      <c r="A76" s="231"/>
      <c r="B76" s="232"/>
      <c r="C76" s="232"/>
      <c r="D76" s="232"/>
      <c r="E76" s="232"/>
      <c r="F76" s="232"/>
      <c r="G76" s="232"/>
      <c r="H76" s="240"/>
      <c r="I76" s="233"/>
      <c r="J76" s="234" t="str" cm="1">
        <f t="array" ref="J76">IF(A76="","",COUNTA(_xlfn.UNIQUE(_xlfn._xlws.FILTER(TMA_Entreprises!G:G,TMA_Entreprises!A:A=A76))))</f>
        <v/>
      </c>
      <c r="K76" s="235" t="str">
        <f>IF(A76="","",IF(
COUNTIFS(TMA_Entreprises!$A$12:$A$220,A76,TMA_Entreprises!$J$12:$J$220,"Oui")=0,"Non",
IF(
COUNTIFS(TMA_Entreprises!$A$12:$A$220,A76,TMA_Entreprises!$J$12:$J$220,"Oui")=
COUNTIF(TMA_Entreprises!$A$12:$A$220,A76),"Oui",
"Partiel")))</f>
        <v/>
      </c>
      <c r="L76" s="236" t="str">
        <f>IF(A76="","",SUMIF(TMA_Entreprises!A:A,A76,TMA_Entreprises!L:L))</f>
        <v/>
      </c>
      <c r="M76" s="237"/>
      <c r="N76" s="238" t="str">
        <f t="shared" ref="N76:N139" si="4">IF(L76="","",IF(L76&gt;0,L76*1.3,L76))</f>
        <v/>
      </c>
      <c r="O76" s="233"/>
      <c r="P76" s="233"/>
      <c r="Q76" s="239" t="str">
        <f t="shared" ref="Q76:Q139" si="5">IF(O76="","",O76+15)</f>
        <v/>
      </c>
      <c r="R76" s="235" t="str">
        <f t="shared" ref="R76:R139" ca="1" si="6">IF(A76="","",IF(AND(Q76&lt;TODAY(),P76=""),"Oui","Non"))</f>
        <v/>
      </c>
      <c r="S76" s="237" t="str">
        <f t="shared" ref="S76:S139" si="7">IF(A76="","",IF(P76&lt;&gt;"","Validé",IF(O76="NON","Refusé",IF(K76="Oui","Chiffré",IF(AND(I76&lt;&gt;"",K76&lt;&gt;"Oui"),"Étude",IF(AND(H76&lt;&gt;"",I76=""),"Demande",""))))))</f>
        <v/>
      </c>
      <c r="T76" s="242"/>
    </row>
    <row r="77" spans="1:20" s="81" customFormat="1" x14ac:dyDescent="0.45">
      <c r="A77" s="231"/>
      <c r="B77" s="232"/>
      <c r="C77" s="232"/>
      <c r="D77" s="232"/>
      <c r="E77" s="232"/>
      <c r="F77" s="232"/>
      <c r="G77" s="232"/>
      <c r="H77" s="240"/>
      <c r="I77" s="233"/>
      <c r="J77" s="234" t="str" cm="1">
        <f t="array" ref="J77">IF(A77="","",COUNTA(_xlfn.UNIQUE(_xlfn._xlws.FILTER(TMA_Entreprises!G:G,TMA_Entreprises!A:A=A77))))</f>
        <v/>
      </c>
      <c r="K77" s="235" t="str">
        <f>IF(A77="","",IF(
COUNTIFS(TMA_Entreprises!$A$12:$A$220,A77,TMA_Entreprises!$J$12:$J$220,"Oui")=0,"Non",
IF(
COUNTIFS(TMA_Entreprises!$A$12:$A$220,A77,TMA_Entreprises!$J$12:$J$220,"Oui")=
COUNTIF(TMA_Entreprises!$A$12:$A$220,A77),"Oui",
"Partiel")))</f>
        <v/>
      </c>
      <c r="L77" s="236" t="str">
        <f>IF(A77="","",SUMIF(TMA_Entreprises!A:A,A77,TMA_Entreprises!L:L))</f>
        <v/>
      </c>
      <c r="M77" s="237"/>
      <c r="N77" s="238" t="str">
        <f t="shared" si="4"/>
        <v/>
      </c>
      <c r="O77" s="233"/>
      <c r="P77" s="233"/>
      <c r="Q77" s="239" t="str">
        <f t="shared" si="5"/>
        <v/>
      </c>
      <c r="R77" s="235" t="str">
        <f t="shared" ca="1" si="6"/>
        <v/>
      </c>
      <c r="S77" s="237" t="str">
        <f t="shared" si="7"/>
        <v/>
      </c>
      <c r="T77" s="242"/>
    </row>
    <row r="78" spans="1:20" s="81" customFormat="1" x14ac:dyDescent="0.45">
      <c r="A78" s="231"/>
      <c r="B78" s="232"/>
      <c r="C78" s="232"/>
      <c r="D78" s="232"/>
      <c r="E78" s="232"/>
      <c r="F78" s="232"/>
      <c r="G78" s="232"/>
      <c r="H78" s="240"/>
      <c r="I78" s="233"/>
      <c r="J78" s="234" t="str" cm="1">
        <f t="array" ref="J78">IF(A78="","",COUNTA(_xlfn.UNIQUE(_xlfn._xlws.FILTER(TMA_Entreprises!G:G,TMA_Entreprises!A:A=A78))))</f>
        <v/>
      </c>
      <c r="K78" s="235" t="str">
        <f>IF(A78="","",IF(
COUNTIFS(TMA_Entreprises!$A$12:$A$220,A78,TMA_Entreprises!$J$12:$J$220,"Oui")=0,"Non",
IF(
COUNTIFS(TMA_Entreprises!$A$12:$A$220,A78,TMA_Entreprises!$J$12:$J$220,"Oui")=
COUNTIF(TMA_Entreprises!$A$12:$A$220,A78),"Oui",
"Partiel")))</f>
        <v/>
      </c>
      <c r="L78" s="236" t="str">
        <f>IF(A78="","",SUMIF(TMA_Entreprises!A:A,A78,TMA_Entreprises!L:L))</f>
        <v/>
      </c>
      <c r="M78" s="237"/>
      <c r="N78" s="238" t="str">
        <f t="shared" si="4"/>
        <v/>
      </c>
      <c r="O78" s="233"/>
      <c r="P78" s="233"/>
      <c r="Q78" s="239" t="str">
        <f t="shared" si="5"/>
        <v/>
      </c>
      <c r="R78" s="235" t="str">
        <f t="shared" ca="1" si="6"/>
        <v/>
      </c>
      <c r="S78" s="237" t="str">
        <f t="shared" si="7"/>
        <v/>
      </c>
      <c r="T78" s="242"/>
    </row>
    <row r="79" spans="1:20" s="81" customFormat="1" x14ac:dyDescent="0.45">
      <c r="A79" s="231"/>
      <c r="B79" s="232"/>
      <c r="C79" s="232"/>
      <c r="D79" s="232"/>
      <c r="E79" s="232"/>
      <c r="F79" s="232"/>
      <c r="G79" s="232"/>
      <c r="H79" s="240"/>
      <c r="I79" s="233"/>
      <c r="J79" s="234" t="str" cm="1">
        <f t="array" ref="J79">IF(A79="","",COUNTA(_xlfn.UNIQUE(_xlfn._xlws.FILTER(TMA_Entreprises!G:G,TMA_Entreprises!A:A=A79))))</f>
        <v/>
      </c>
      <c r="K79" s="235" t="str">
        <f>IF(A79="","",IF(
COUNTIFS(TMA_Entreprises!$A$12:$A$220,A79,TMA_Entreprises!$J$12:$J$220,"Oui")=0,"Non",
IF(
COUNTIFS(TMA_Entreprises!$A$12:$A$220,A79,TMA_Entreprises!$J$12:$J$220,"Oui")=
COUNTIF(TMA_Entreprises!$A$12:$A$220,A79),"Oui",
"Partiel")))</f>
        <v/>
      </c>
      <c r="L79" s="236" t="str">
        <f>IF(A79="","",SUMIF(TMA_Entreprises!A:A,A79,TMA_Entreprises!L:L))</f>
        <v/>
      </c>
      <c r="M79" s="237"/>
      <c r="N79" s="238" t="str">
        <f t="shared" si="4"/>
        <v/>
      </c>
      <c r="O79" s="233"/>
      <c r="P79" s="233"/>
      <c r="Q79" s="239" t="str">
        <f t="shared" si="5"/>
        <v/>
      </c>
      <c r="R79" s="235" t="str">
        <f t="shared" ca="1" si="6"/>
        <v/>
      </c>
      <c r="S79" s="237" t="str">
        <f t="shared" si="7"/>
        <v/>
      </c>
      <c r="T79" s="242"/>
    </row>
    <row r="80" spans="1:20" s="81" customFormat="1" x14ac:dyDescent="0.45">
      <c r="A80" s="231"/>
      <c r="B80" s="232"/>
      <c r="C80" s="232"/>
      <c r="D80" s="232"/>
      <c r="E80" s="232"/>
      <c r="F80" s="232"/>
      <c r="G80" s="232"/>
      <c r="H80" s="240"/>
      <c r="I80" s="233"/>
      <c r="J80" s="234" t="str" cm="1">
        <f t="array" ref="J80">IF(A80="","",COUNTA(_xlfn.UNIQUE(_xlfn._xlws.FILTER(TMA_Entreprises!G:G,TMA_Entreprises!A:A=A80))))</f>
        <v/>
      </c>
      <c r="K80" s="235" t="str">
        <f>IF(A80="","",IF(
COUNTIFS(TMA_Entreprises!$A$12:$A$220,A80,TMA_Entreprises!$J$12:$J$220,"Oui")=0,"Non",
IF(
COUNTIFS(TMA_Entreprises!$A$12:$A$220,A80,TMA_Entreprises!$J$12:$J$220,"Oui")=
COUNTIF(TMA_Entreprises!$A$12:$A$220,A80),"Oui",
"Partiel")))</f>
        <v/>
      </c>
      <c r="L80" s="236" t="str">
        <f>IF(A80="","",SUMIF(TMA_Entreprises!A:A,A80,TMA_Entreprises!L:L))</f>
        <v/>
      </c>
      <c r="M80" s="237"/>
      <c r="N80" s="238" t="str">
        <f t="shared" si="4"/>
        <v/>
      </c>
      <c r="O80" s="233"/>
      <c r="P80" s="233"/>
      <c r="Q80" s="239" t="str">
        <f t="shared" si="5"/>
        <v/>
      </c>
      <c r="R80" s="235" t="str">
        <f t="shared" ca="1" si="6"/>
        <v/>
      </c>
      <c r="S80" s="237" t="str">
        <f t="shared" si="7"/>
        <v/>
      </c>
      <c r="T80" s="242"/>
    </row>
    <row r="81" spans="1:20" s="81" customFormat="1" x14ac:dyDescent="0.45">
      <c r="A81" s="231"/>
      <c r="B81" s="232"/>
      <c r="C81" s="232"/>
      <c r="D81" s="232"/>
      <c r="E81" s="232"/>
      <c r="F81" s="232"/>
      <c r="G81" s="232"/>
      <c r="H81" s="240"/>
      <c r="I81" s="233"/>
      <c r="J81" s="234" t="str" cm="1">
        <f t="array" ref="J81">IF(A81="","",COUNTA(_xlfn.UNIQUE(_xlfn._xlws.FILTER(TMA_Entreprises!G:G,TMA_Entreprises!A:A=A81))))</f>
        <v/>
      </c>
      <c r="K81" s="235" t="str">
        <f>IF(A81="","",IF(
COUNTIFS(TMA_Entreprises!$A$12:$A$220,A81,TMA_Entreprises!$J$12:$J$220,"Oui")=0,"Non",
IF(
COUNTIFS(TMA_Entreprises!$A$12:$A$220,A81,TMA_Entreprises!$J$12:$J$220,"Oui")=
COUNTIF(TMA_Entreprises!$A$12:$A$220,A81),"Oui",
"Partiel")))</f>
        <v/>
      </c>
      <c r="L81" s="236" t="str">
        <f>IF(A81="","",SUMIF(TMA_Entreprises!A:A,A81,TMA_Entreprises!L:L))</f>
        <v/>
      </c>
      <c r="M81" s="237"/>
      <c r="N81" s="238" t="str">
        <f t="shared" si="4"/>
        <v/>
      </c>
      <c r="O81" s="233"/>
      <c r="P81" s="233"/>
      <c r="Q81" s="239" t="str">
        <f t="shared" si="5"/>
        <v/>
      </c>
      <c r="R81" s="235" t="str">
        <f t="shared" ca="1" si="6"/>
        <v/>
      </c>
      <c r="S81" s="237" t="str">
        <f t="shared" si="7"/>
        <v/>
      </c>
      <c r="T81" s="242"/>
    </row>
    <row r="82" spans="1:20" s="81" customFormat="1" x14ac:dyDescent="0.45">
      <c r="A82" s="231"/>
      <c r="B82" s="232"/>
      <c r="C82" s="232"/>
      <c r="D82" s="232"/>
      <c r="E82" s="232"/>
      <c r="F82" s="232"/>
      <c r="G82" s="232"/>
      <c r="H82" s="240"/>
      <c r="I82" s="233"/>
      <c r="J82" s="234" t="str" cm="1">
        <f t="array" ref="J82">IF(A82="","",COUNTA(_xlfn.UNIQUE(_xlfn._xlws.FILTER(TMA_Entreprises!G:G,TMA_Entreprises!A:A=A82))))</f>
        <v/>
      </c>
      <c r="K82" s="235" t="str">
        <f>IF(A82="","",IF(
COUNTIFS(TMA_Entreprises!$A$12:$A$220,A82,TMA_Entreprises!$J$12:$J$220,"Oui")=0,"Non",
IF(
COUNTIFS(TMA_Entreprises!$A$12:$A$220,A82,TMA_Entreprises!$J$12:$J$220,"Oui")=
COUNTIF(TMA_Entreprises!$A$12:$A$220,A82),"Oui",
"Partiel")))</f>
        <v/>
      </c>
      <c r="L82" s="236" t="str">
        <f>IF(A82="","",SUMIF(TMA_Entreprises!A:A,A82,TMA_Entreprises!L:L))</f>
        <v/>
      </c>
      <c r="M82" s="237"/>
      <c r="N82" s="238" t="str">
        <f t="shared" si="4"/>
        <v/>
      </c>
      <c r="O82" s="233"/>
      <c r="P82" s="233"/>
      <c r="Q82" s="239" t="str">
        <f t="shared" si="5"/>
        <v/>
      </c>
      <c r="R82" s="235" t="str">
        <f t="shared" ca="1" si="6"/>
        <v/>
      </c>
      <c r="S82" s="237" t="str">
        <f t="shared" si="7"/>
        <v/>
      </c>
      <c r="T82" s="242"/>
    </row>
    <row r="83" spans="1:20" s="81" customFormat="1" x14ac:dyDescent="0.45">
      <c r="A83" s="231"/>
      <c r="B83" s="232"/>
      <c r="C83" s="232"/>
      <c r="D83" s="232"/>
      <c r="E83" s="232"/>
      <c r="F83" s="232"/>
      <c r="G83" s="232"/>
      <c r="H83" s="240"/>
      <c r="I83" s="233"/>
      <c r="J83" s="234" t="str" cm="1">
        <f t="array" ref="J83">IF(A83="","",COUNTA(_xlfn.UNIQUE(_xlfn._xlws.FILTER(TMA_Entreprises!G:G,TMA_Entreprises!A:A=A83))))</f>
        <v/>
      </c>
      <c r="K83" s="235" t="str">
        <f>IF(A83="","",IF(
COUNTIFS(TMA_Entreprises!$A$12:$A$220,A83,TMA_Entreprises!$J$12:$J$220,"Oui")=0,"Non",
IF(
COUNTIFS(TMA_Entreprises!$A$12:$A$220,A83,TMA_Entreprises!$J$12:$J$220,"Oui")=
COUNTIF(TMA_Entreprises!$A$12:$A$220,A83),"Oui",
"Partiel")))</f>
        <v/>
      </c>
      <c r="L83" s="236" t="str">
        <f>IF(A83="","",SUMIF(TMA_Entreprises!A:A,A83,TMA_Entreprises!L:L))</f>
        <v/>
      </c>
      <c r="M83" s="237"/>
      <c r="N83" s="238" t="str">
        <f t="shared" si="4"/>
        <v/>
      </c>
      <c r="O83" s="233"/>
      <c r="P83" s="233"/>
      <c r="Q83" s="239" t="str">
        <f t="shared" si="5"/>
        <v/>
      </c>
      <c r="R83" s="235" t="str">
        <f t="shared" ca="1" si="6"/>
        <v/>
      </c>
      <c r="S83" s="237" t="str">
        <f t="shared" si="7"/>
        <v/>
      </c>
      <c r="T83" s="242"/>
    </row>
    <row r="84" spans="1:20" s="81" customFormat="1" x14ac:dyDescent="0.45">
      <c r="A84" s="231"/>
      <c r="B84" s="232"/>
      <c r="C84" s="232"/>
      <c r="D84" s="232"/>
      <c r="E84" s="232"/>
      <c r="F84" s="232"/>
      <c r="G84" s="232"/>
      <c r="H84" s="240"/>
      <c r="I84" s="233"/>
      <c r="J84" s="234" t="str" cm="1">
        <f t="array" ref="J84">IF(A84="","",COUNTA(_xlfn.UNIQUE(_xlfn._xlws.FILTER(TMA_Entreprises!G:G,TMA_Entreprises!A:A=A84))))</f>
        <v/>
      </c>
      <c r="K84" s="235" t="str">
        <f>IF(A84="","",IF(
COUNTIFS(TMA_Entreprises!$A$12:$A$220,A84,TMA_Entreprises!$J$12:$J$220,"Oui")=0,"Non",
IF(
COUNTIFS(TMA_Entreprises!$A$12:$A$220,A84,TMA_Entreprises!$J$12:$J$220,"Oui")=
COUNTIF(TMA_Entreprises!$A$12:$A$220,A84),"Oui",
"Partiel")))</f>
        <v/>
      </c>
      <c r="L84" s="236" t="str">
        <f>IF(A84="","",SUMIF(TMA_Entreprises!A:A,A84,TMA_Entreprises!L:L))</f>
        <v/>
      </c>
      <c r="M84" s="237"/>
      <c r="N84" s="238" t="str">
        <f t="shared" si="4"/>
        <v/>
      </c>
      <c r="O84" s="233"/>
      <c r="P84" s="233"/>
      <c r="Q84" s="239" t="str">
        <f t="shared" si="5"/>
        <v/>
      </c>
      <c r="R84" s="235" t="str">
        <f t="shared" ca="1" si="6"/>
        <v/>
      </c>
      <c r="S84" s="237" t="str">
        <f t="shared" si="7"/>
        <v/>
      </c>
      <c r="T84" s="242"/>
    </row>
    <row r="85" spans="1:20" s="81" customFormat="1" x14ac:dyDescent="0.45">
      <c r="A85" s="231"/>
      <c r="B85" s="232"/>
      <c r="C85" s="232"/>
      <c r="D85" s="232"/>
      <c r="E85" s="232"/>
      <c r="F85" s="232"/>
      <c r="G85" s="232"/>
      <c r="H85" s="240"/>
      <c r="I85" s="233"/>
      <c r="J85" s="234" t="str" cm="1">
        <f t="array" ref="J85">IF(A85="","",COUNTA(_xlfn.UNIQUE(_xlfn._xlws.FILTER(TMA_Entreprises!G:G,TMA_Entreprises!A:A=A85))))</f>
        <v/>
      </c>
      <c r="K85" s="235" t="str">
        <f>IF(A85="","",IF(
COUNTIFS(TMA_Entreprises!$A$12:$A$220,A85,TMA_Entreprises!$J$12:$J$220,"Oui")=0,"Non",
IF(
COUNTIFS(TMA_Entreprises!$A$12:$A$220,A85,TMA_Entreprises!$J$12:$J$220,"Oui")=
COUNTIF(TMA_Entreprises!$A$12:$A$220,A85),"Oui",
"Partiel")))</f>
        <v/>
      </c>
      <c r="L85" s="236" t="str">
        <f>IF(A85="","",SUMIF(TMA_Entreprises!A:A,A85,TMA_Entreprises!L:L))</f>
        <v/>
      </c>
      <c r="M85" s="237"/>
      <c r="N85" s="238" t="str">
        <f t="shared" si="4"/>
        <v/>
      </c>
      <c r="O85" s="233"/>
      <c r="P85" s="233"/>
      <c r="Q85" s="239" t="str">
        <f t="shared" si="5"/>
        <v/>
      </c>
      <c r="R85" s="235" t="str">
        <f t="shared" ca="1" si="6"/>
        <v/>
      </c>
      <c r="S85" s="237" t="str">
        <f t="shared" si="7"/>
        <v/>
      </c>
      <c r="T85" s="242"/>
    </row>
    <row r="86" spans="1:20" s="81" customFormat="1" x14ac:dyDescent="0.45">
      <c r="A86" s="231"/>
      <c r="B86" s="232"/>
      <c r="C86" s="232"/>
      <c r="D86" s="232"/>
      <c r="E86" s="232"/>
      <c r="F86" s="232"/>
      <c r="G86" s="232"/>
      <c r="H86" s="240"/>
      <c r="I86" s="233"/>
      <c r="J86" s="234" t="str" cm="1">
        <f t="array" ref="J86">IF(A86="","",COUNTA(_xlfn.UNIQUE(_xlfn._xlws.FILTER(TMA_Entreprises!G:G,TMA_Entreprises!A:A=A86))))</f>
        <v/>
      </c>
      <c r="K86" s="235" t="str">
        <f>IF(A86="","",IF(
COUNTIFS(TMA_Entreprises!$A$12:$A$220,A86,TMA_Entreprises!$J$12:$J$220,"Oui")=0,"Non",
IF(
COUNTIFS(TMA_Entreprises!$A$12:$A$220,A86,TMA_Entreprises!$J$12:$J$220,"Oui")=
COUNTIF(TMA_Entreprises!$A$12:$A$220,A86),"Oui",
"Partiel")))</f>
        <v/>
      </c>
      <c r="L86" s="236" t="str">
        <f>IF(A86="","",SUMIF(TMA_Entreprises!A:A,A86,TMA_Entreprises!L:L))</f>
        <v/>
      </c>
      <c r="M86" s="237"/>
      <c r="N86" s="238" t="str">
        <f t="shared" si="4"/>
        <v/>
      </c>
      <c r="O86" s="233"/>
      <c r="P86" s="233"/>
      <c r="Q86" s="239" t="str">
        <f t="shared" si="5"/>
        <v/>
      </c>
      <c r="R86" s="235" t="str">
        <f t="shared" ca="1" si="6"/>
        <v/>
      </c>
      <c r="S86" s="237" t="str">
        <f t="shared" si="7"/>
        <v/>
      </c>
      <c r="T86" s="242"/>
    </row>
    <row r="87" spans="1:20" s="81" customFormat="1" x14ac:dyDescent="0.45">
      <c r="A87" s="231"/>
      <c r="B87" s="232"/>
      <c r="C87" s="232"/>
      <c r="D87" s="232"/>
      <c r="E87" s="232"/>
      <c r="F87" s="232"/>
      <c r="G87" s="232"/>
      <c r="H87" s="240"/>
      <c r="I87" s="233"/>
      <c r="J87" s="234" t="str" cm="1">
        <f t="array" ref="J87">IF(A87="","",COUNTA(_xlfn.UNIQUE(_xlfn._xlws.FILTER(TMA_Entreprises!G:G,TMA_Entreprises!A:A=A87))))</f>
        <v/>
      </c>
      <c r="K87" s="235" t="str">
        <f>IF(A87="","",IF(
COUNTIFS(TMA_Entreprises!$A$12:$A$220,A87,TMA_Entreprises!$J$12:$J$220,"Oui")=0,"Non",
IF(
COUNTIFS(TMA_Entreprises!$A$12:$A$220,A87,TMA_Entreprises!$J$12:$J$220,"Oui")=
COUNTIF(TMA_Entreprises!$A$12:$A$220,A87),"Oui",
"Partiel")))</f>
        <v/>
      </c>
      <c r="L87" s="236" t="str">
        <f>IF(A87="","",SUMIF(TMA_Entreprises!A:A,A87,TMA_Entreprises!L:L))</f>
        <v/>
      </c>
      <c r="M87" s="237"/>
      <c r="N87" s="238" t="str">
        <f t="shared" si="4"/>
        <v/>
      </c>
      <c r="O87" s="233"/>
      <c r="P87" s="233"/>
      <c r="Q87" s="239" t="str">
        <f t="shared" si="5"/>
        <v/>
      </c>
      <c r="R87" s="235" t="str">
        <f t="shared" ca="1" si="6"/>
        <v/>
      </c>
      <c r="S87" s="237" t="str">
        <f t="shared" si="7"/>
        <v/>
      </c>
      <c r="T87" s="242"/>
    </row>
    <row r="88" spans="1:20" s="81" customFormat="1" x14ac:dyDescent="0.45">
      <c r="A88" s="231"/>
      <c r="B88" s="232"/>
      <c r="C88" s="232"/>
      <c r="D88" s="232"/>
      <c r="E88" s="232"/>
      <c r="F88" s="232"/>
      <c r="G88" s="232"/>
      <c r="H88" s="240"/>
      <c r="I88" s="233"/>
      <c r="J88" s="234" t="str" cm="1">
        <f t="array" ref="J88">IF(A88="","",COUNTA(_xlfn.UNIQUE(_xlfn._xlws.FILTER(TMA_Entreprises!G:G,TMA_Entreprises!A:A=A88))))</f>
        <v/>
      </c>
      <c r="K88" s="235" t="str">
        <f>IF(A88="","",IF(
COUNTIFS(TMA_Entreprises!$A$12:$A$220,A88,TMA_Entreprises!$J$12:$J$220,"Oui")=0,"Non",
IF(
COUNTIFS(TMA_Entreprises!$A$12:$A$220,A88,TMA_Entreprises!$J$12:$J$220,"Oui")=
COUNTIF(TMA_Entreprises!$A$12:$A$220,A88),"Oui",
"Partiel")))</f>
        <v/>
      </c>
      <c r="L88" s="236" t="str">
        <f>IF(A88="","",SUMIF(TMA_Entreprises!A:A,A88,TMA_Entreprises!L:L))</f>
        <v/>
      </c>
      <c r="M88" s="237"/>
      <c r="N88" s="238" t="str">
        <f t="shared" si="4"/>
        <v/>
      </c>
      <c r="O88" s="233"/>
      <c r="P88" s="233"/>
      <c r="Q88" s="239" t="str">
        <f t="shared" si="5"/>
        <v/>
      </c>
      <c r="R88" s="235" t="str">
        <f t="shared" ca="1" si="6"/>
        <v/>
      </c>
      <c r="S88" s="237" t="str">
        <f t="shared" si="7"/>
        <v/>
      </c>
      <c r="T88" s="242"/>
    </row>
    <row r="89" spans="1:20" s="81" customFormat="1" x14ac:dyDescent="0.45">
      <c r="A89" s="231"/>
      <c r="B89" s="232"/>
      <c r="C89" s="232"/>
      <c r="D89" s="232"/>
      <c r="E89" s="232"/>
      <c r="F89" s="232"/>
      <c r="G89" s="232"/>
      <c r="H89" s="240"/>
      <c r="I89" s="233"/>
      <c r="J89" s="234" t="str" cm="1">
        <f t="array" ref="J89">IF(A89="","",COUNTA(_xlfn.UNIQUE(_xlfn._xlws.FILTER(TMA_Entreprises!G:G,TMA_Entreprises!A:A=A89))))</f>
        <v/>
      </c>
      <c r="K89" s="235" t="str">
        <f>IF(A89="","",IF(
COUNTIFS(TMA_Entreprises!$A$12:$A$220,A89,TMA_Entreprises!$J$12:$J$220,"Oui")=0,"Non",
IF(
COUNTIFS(TMA_Entreprises!$A$12:$A$220,A89,TMA_Entreprises!$J$12:$J$220,"Oui")=
COUNTIF(TMA_Entreprises!$A$12:$A$220,A89),"Oui",
"Partiel")))</f>
        <v/>
      </c>
      <c r="L89" s="236" t="str">
        <f>IF(A89="","",SUMIF(TMA_Entreprises!A:A,A89,TMA_Entreprises!L:L))</f>
        <v/>
      </c>
      <c r="M89" s="237"/>
      <c r="N89" s="238" t="str">
        <f t="shared" si="4"/>
        <v/>
      </c>
      <c r="O89" s="233"/>
      <c r="P89" s="233"/>
      <c r="Q89" s="239" t="str">
        <f t="shared" si="5"/>
        <v/>
      </c>
      <c r="R89" s="235" t="str">
        <f t="shared" ca="1" si="6"/>
        <v/>
      </c>
      <c r="S89" s="237" t="str">
        <f t="shared" si="7"/>
        <v/>
      </c>
      <c r="T89" s="242"/>
    </row>
    <row r="90" spans="1:20" s="81" customFormat="1" x14ac:dyDescent="0.45">
      <c r="A90" s="231"/>
      <c r="B90" s="232"/>
      <c r="C90" s="232"/>
      <c r="D90" s="232"/>
      <c r="E90" s="232"/>
      <c r="F90" s="232"/>
      <c r="G90" s="232"/>
      <c r="H90" s="240"/>
      <c r="I90" s="233"/>
      <c r="J90" s="234" t="str" cm="1">
        <f t="array" ref="J90">IF(A90="","",COUNTA(_xlfn.UNIQUE(_xlfn._xlws.FILTER(TMA_Entreprises!G:G,TMA_Entreprises!A:A=A90))))</f>
        <v/>
      </c>
      <c r="K90" s="235" t="str">
        <f>IF(A90="","",IF(
COUNTIFS(TMA_Entreprises!$A$12:$A$220,A90,TMA_Entreprises!$J$12:$J$220,"Oui")=0,"Non",
IF(
COUNTIFS(TMA_Entreprises!$A$12:$A$220,A90,TMA_Entreprises!$J$12:$J$220,"Oui")=
COUNTIF(TMA_Entreprises!$A$12:$A$220,A90),"Oui",
"Partiel")))</f>
        <v/>
      </c>
      <c r="L90" s="236" t="str">
        <f>IF(A90="","",SUMIF(TMA_Entreprises!A:A,A90,TMA_Entreprises!L:L))</f>
        <v/>
      </c>
      <c r="M90" s="237"/>
      <c r="N90" s="238" t="str">
        <f t="shared" si="4"/>
        <v/>
      </c>
      <c r="O90" s="233"/>
      <c r="P90" s="233"/>
      <c r="Q90" s="239" t="str">
        <f t="shared" si="5"/>
        <v/>
      </c>
      <c r="R90" s="235" t="str">
        <f t="shared" ca="1" si="6"/>
        <v/>
      </c>
      <c r="S90" s="237" t="str">
        <f t="shared" si="7"/>
        <v/>
      </c>
      <c r="T90" s="242"/>
    </row>
    <row r="91" spans="1:20" s="81" customFormat="1" x14ac:dyDescent="0.45">
      <c r="A91" s="231"/>
      <c r="B91" s="232"/>
      <c r="C91" s="232"/>
      <c r="D91" s="232"/>
      <c r="E91" s="232"/>
      <c r="F91" s="232"/>
      <c r="G91" s="232"/>
      <c r="H91" s="240"/>
      <c r="I91" s="233"/>
      <c r="J91" s="234" t="str" cm="1">
        <f t="array" ref="J91">IF(A91="","",COUNTA(_xlfn.UNIQUE(_xlfn._xlws.FILTER(TMA_Entreprises!G:G,TMA_Entreprises!A:A=A91))))</f>
        <v/>
      </c>
      <c r="K91" s="235" t="str">
        <f>IF(A91="","",IF(
COUNTIFS(TMA_Entreprises!$A$12:$A$220,A91,TMA_Entreprises!$J$12:$J$220,"Oui")=0,"Non",
IF(
COUNTIFS(TMA_Entreprises!$A$12:$A$220,A91,TMA_Entreprises!$J$12:$J$220,"Oui")=
COUNTIF(TMA_Entreprises!$A$12:$A$220,A91),"Oui",
"Partiel")))</f>
        <v/>
      </c>
      <c r="L91" s="236" t="str">
        <f>IF(A91="","",SUMIF(TMA_Entreprises!A:A,A91,TMA_Entreprises!L:L))</f>
        <v/>
      </c>
      <c r="M91" s="237"/>
      <c r="N91" s="238" t="str">
        <f t="shared" si="4"/>
        <v/>
      </c>
      <c r="O91" s="233"/>
      <c r="P91" s="233"/>
      <c r="Q91" s="239" t="str">
        <f t="shared" si="5"/>
        <v/>
      </c>
      <c r="R91" s="235" t="str">
        <f t="shared" ca="1" si="6"/>
        <v/>
      </c>
      <c r="S91" s="237" t="str">
        <f t="shared" si="7"/>
        <v/>
      </c>
      <c r="T91" s="242"/>
    </row>
    <row r="92" spans="1:20" s="81" customFormat="1" x14ac:dyDescent="0.45">
      <c r="A92" s="231"/>
      <c r="B92" s="232"/>
      <c r="C92" s="232"/>
      <c r="D92" s="232"/>
      <c r="E92" s="232"/>
      <c r="F92" s="232"/>
      <c r="G92" s="232"/>
      <c r="H92" s="240"/>
      <c r="I92" s="233"/>
      <c r="J92" s="234" t="str" cm="1">
        <f t="array" ref="J92">IF(A92="","",COUNTA(_xlfn.UNIQUE(_xlfn._xlws.FILTER(TMA_Entreprises!G:G,TMA_Entreprises!A:A=A92))))</f>
        <v/>
      </c>
      <c r="K92" s="235" t="str">
        <f>IF(A92="","",IF(
COUNTIFS(TMA_Entreprises!$A$12:$A$220,A92,TMA_Entreprises!$J$12:$J$220,"Oui")=0,"Non",
IF(
COUNTIFS(TMA_Entreprises!$A$12:$A$220,A92,TMA_Entreprises!$J$12:$J$220,"Oui")=
COUNTIF(TMA_Entreprises!$A$12:$A$220,A92),"Oui",
"Partiel")))</f>
        <v/>
      </c>
      <c r="L92" s="236" t="str">
        <f>IF(A92="","",SUMIF(TMA_Entreprises!A:A,A92,TMA_Entreprises!L:L))</f>
        <v/>
      </c>
      <c r="M92" s="237"/>
      <c r="N92" s="238" t="str">
        <f t="shared" si="4"/>
        <v/>
      </c>
      <c r="O92" s="233"/>
      <c r="P92" s="233"/>
      <c r="Q92" s="239" t="str">
        <f t="shared" si="5"/>
        <v/>
      </c>
      <c r="R92" s="235" t="str">
        <f t="shared" ca="1" si="6"/>
        <v/>
      </c>
      <c r="S92" s="237" t="str">
        <f t="shared" si="7"/>
        <v/>
      </c>
      <c r="T92" s="242"/>
    </row>
    <row r="93" spans="1:20" s="81" customFormat="1" x14ac:dyDescent="0.45">
      <c r="A93" s="231"/>
      <c r="B93" s="232"/>
      <c r="C93" s="232"/>
      <c r="D93" s="232"/>
      <c r="E93" s="232"/>
      <c r="F93" s="232"/>
      <c r="G93" s="232"/>
      <c r="H93" s="240"/>
      <c r="I93" s="233"/>
      <c r="J93" s="234" t="str" cm="1">
        <f t="array" ref="J93">IF(A93="","",COUNTA(_xlfn.UNIQUE(_xlfn._xlws.FILTER(TMA_Entreprises!G:G,TMA_Entreprises!A:A=A93))))</f>
        <v/>
      </c>
      <c r="K93" s="235" t="str">
        <f>IF(A93="","",IF(
COUNTIFS(TMA_Entreprises!$A$12:$A$220,A93,TMA_Entreprises!$J$12:$J$220,"Oui")=0,"Non",
IF(
COUNTIFS(TMA_Entreprises!$A$12:$A$220,A93,TMA_Entreprises!$J$12:$J$220,"Oui")=
COUNTIF(TMA_Entreprises!$A$12:$A$220,A93),"Oui",
"Partiel")))</f>
        <v/>
      </c>
      <c r="L93" s="236" t="str">
        <f>IF(A93="","",SUMIF(TMA_Entreprises!A:A,A93,TMA_Entreprises!L:L))</f>
        <v/>
      </c>
      <c r="M93" s="237"/>
      <c r="N93" s="238" t="str">
        <f t="shared" si="4"/>
        <v/>
      </c>
      <c r="O93" s="233"/>
      <c r="P93" s="233"/>
      <c r="Q93" s="239" t="str">
        <f t="shared" si="5"/>
        <v/>
      </c>
      <c r="R93" s="235" t="str">
        <f t="shared" ca="1" si="6"/>
        <v/>
      </c>
      <c r="S93" s="237" t="str">
        <f t="shared" si="7"/>
        <v/>
      </c>
      <c r="T93" s="242"/>
    </row>
    <row r="94" spans="1:20" s="81" customFormat="1" x14ac:dyDescent="0.45">
      <c r="A94" s="231"/>
      <c r="B94" s="232"/>
      <c r="C94" s="232"/>
      <c r="D94" s="232"/>
      <c r="E94" s="232"/>
      <c r="F94" s="232"/>
      <c r="G94" s="232"/>
      <c r="H94" s="240"/>
      <c r="I94" s="233"/>
      <c r="J94" s="234" t="str" cm="1">
        <f t="array" ref="J94">IF(A94="","",COUNTA(_xlfn.UNIQUE(_xlfn._xlws.FILTER(TMA_Entreprises!G:G,TMA_Entreprises!A:A=A94))))</f>
        <v/>
      </c>
      <c r="K94" s="235" t="str">
        <f>IF(A94="","",IF(
COUNTIFS(TMA_Entreprises!$A$12:$A$220,A94,TMA_Entreprises!$J$12:$J$220,"Oui")=0,"Non",
IF(
COUNTIFS(TMA_Entreprises!$A$12:$A$220,A94,TMA_Entreprises!$J$12:$J$220,"Oui")=
COUNTIF(TMA_Entreprises!$A$12:$A$220,A94),"Oui",
"Partiel")))</f>
        <v/>
      </c>
      <c r="L94" s="236" t="str">
        <f>IF(A94="","",SUMIF(TMA_Entreprises!A:A,A94,TMA_Entreprises!L:L))</f>
        <v/>
      </c>
      <c r="M94" s="237"/>
      <c r="N94" s="238" t="str">
        <f t="shared" si="4"/>
        <v/>
      </c>
      <c r="O94" s="233"/>
      <c r="P94" s="233"/>
      <c r="Q94" s="239" t="str">
        <f t="shared" si="5"/>
        <v/>
      </c>
      <c r="R94" s="235" t="str">
        <f t="shared" ca="1" si="6"/>
        <v/>
      </c>
      <c r="S94" s="237" t="str">
        <f t="shared" si="7"/>
        <v/>
      </c>
      <c r="T94" s="242"/>
    </row>
    <row r="95" spans="1:20" s="81" customFormat="1" x14ac:dyDescent="0.45">
      <c r="A95" s="231"/>
      <c r="B95" s="232"/>
      <c r="C95" s="232"/>
      <c r="D95" s="232"/>
      <c r="E95" s="232"/>
      <c r="F95" s="232"/>
      <c r="G95" s="232"/>
      <c r="H95" s="240"/>
      <c r="I95" s="233"/>
      <c r="J95" s="234" t="str" cm="1">
        <f t="array" ref="J95">IF(A95="","",COUNTA(_xlfn.UNIQUE(_xlfn._xlws.FILTER(TMA_Entreprises!G:G,TMA_Entreprises!A:A=A95))))</f>
        <v/>
      </c>
      <c r="K95" s="235" t="str">
        <f>IF(A95="","",IF(
COUNTIFS(TMA_Entreprises!$A$12:$A$220,A95,TMA_Entreprises!$J$12:$J$220,"Oui")=0,"Non",
IF(
COUNTIFS(TMA_Entreprises!$A$12:$A$220,A95,TMA_Entreprises!$J$12:$J$220,"Oui")=
COUNTIF(TMA_Entreprises!$A$12:$A$220,A95),"Oui",
"Partiel")))</f>
        <v/>
      </c>
      <c r="L95" s="236" t="str">
        <f>IF(A95="","",SUMIF(TMA_Entreprises!A:A,A95,TMA_Entreprises!L:L))</f>
        <v/>
      </c>
      <c r="M95" s="237"/>
      <c r="N95" s="238" t="str">
        <f t="shared" si="4"/>
        <v/>
      </c>
      <c r="O95" s="233"/>
      <c r="P95" s="233"/>
      <c r="Q95" s="239" t="str">
        <f t="shared" si="5"/>
        <v/>
      </c>
      <c r="R95" s="235" t="str">
        <f t="shared" ca="1" si="6"/>
        <v/>
      </c>
      <c r="S95" s="237" t="str">
        <f t="shared" si="7"/>
        <v/>
      </c>
      <c r="T95" s="242"/>
    </row>
    <row r="96" spans="1:20" s="81" customFormat="1" x14ac:dyDescent="0.45">
      <c r="A96" s="231"/>
      <c r="B96" s="232"/>
      <c r="C96" s="232"/>
      <c r="D96" s="232"/>
      <c r="E96" s="232"/>
      <c r="F96" s="232"/>
      <c r="G96" s="232"/>
      <c r="H96" s="240"/>
      <c r="I96" s="233"/>
      <c r="J96" s="234" t="str" cm="1">
        <f t="array" ref="J96">IF(A96="","",COUNTA(_xlfn.UNIQUE(_xlfn._xlws.FILTER(TMA_Entreprises!G:G,TMA_Entreprises!A:A=A96))))</f>
        <v/>
      </c>
      <c r="K96" s="235" t="str">
        <f>IF(A96="","",IF(
COUNTIFS(TMA_Entreprises!$A$12:$A$220,A96,TMA_Entreprises!$J$12:$J$220,"Oui")=0,"Non",
IF(
COUNTIFS(TMA_Entreprises!$A$12:$A$220,A96,TMA_Entreprises!$J$12:$J$220,"Oui")=
COUNTIF(TMA_Entreprises!$A$12:$A$220,A96),"Oui",
"Partiel")))</f>
        <v/>
      </c>
      <c r="L96" s="236" t="str">
        <f>IF(A96="","",SUMIF(TMA_Entreprises!A:A,A96,TMA_Entreprises!L:L))</f>
        <v/>
      </c>
      <c r="M96" s="237"/>
      <c r="N96" s="238" t="str">
        <f t="shared" si="4"/>
        <v/>
      </c>
      <c r="O96" s="233"/>
      <c r="P96" s="233"/>
      <c r="Q96" s="239" t="str">
        <f t="shared" si="5"/>
        <v/>
      </c>
      <c r="R96" s="235" t="str">
        <f t="shared" ca="1" si="6"/>
        <v/>
      </c>
      <c r="S96" s="237" t="str">
        <f t="shared" si="7"/>
        <v/>
      </c>
      <c r="T96" s="242"/>
    </row>
    <row r="97" spans="1:20" s="81" customFormat="1" x14ac:dyDescent="0.45">
      <c r="A97" s="231"/>
      <c r="B97" s="232"/>
      <c r="C97" s="232"/>
      <c r="D97" s="232"/>
      <c r="E97" s="232"/>
      <c r="F97" s="232"/>
      <c r="G97" s="232"/>
      <c r="H97" s="240"/>
      <c r="I97" s="233"/>
      <c r="J97" s="234" t="str" cm="1">
        <f t="array" ref="J97">IF(A97="","",COUNTA(_xlfn.UNIQUE(_xlfn._xlws.FILTER(TMA_Entreprises!G:G,TMA_Entreprises!A:A=A97))))</f>
        <v/>
      </c>
      <c r="K97" s="235" t="str">
        <f>IF(A97="","",IF(
COUNTIFS(TMA_Entreprises!$A$12:$A$220,A97,TMA_Entreprises!$J$12:$J$220,"Oui")=0,"Non",
IF(
COUNTIFS(TMA_Entreprises!$A$12:$A$220,A97,TMA_Entreprises!$J$12:$J$220,"Oui")=
COUNTIF(TMA_Entreprises!$A$12:$A$220,A97),"Oui",
"Partiel")))</f>
        <v/>
      </c>
      <c r="L97" s="236" t="str">
        <f>IF(A97="","",SUMIF(TMA_Entreprises!A:A,A97,TMA_Entreprises!L:L))</f>
        <v/>
      </c>
      <c r="M97" s="237"/>
      <c r="N97" s="238" t="str">
        <f t="shared" si="4"/>
        <v/>
      </c>
      <c r="O97" s="233"/>
      <c r="P97" s="233"/>
      <c r="Q97" s="239" t="str">
        <f t="shared" si="5"/>
        <v/>
      </c>
      <c r="R97" s="235" t="str">
        <f t="shared" ca="1" si="6"/>
        <v/>
      </c>
      <c r="S97" s="237" t="str">
        <f t="shared" si="7"/>
        <v/>
      </c>
      <c r="T97" s="242"/>
    </row>
    <row r="98" spans="1:20" s="81" customFormat="1" x14ac:dyDescent="0.45">
      <c r="A98" s="231"/>
      <c r="B98" s="232"/>
      <c r="C98" s="232"/>
      <c r="D98" s="232"/>
      <c r="E98" s="232"/>
      <c r="F98" s="232"/>
      <c r="G98" s="232"/>
      <c r="H98" s="240"/>
      <c r="I98" s="233"/>
      <c r="J98" s="234" t="str" cm="1">
        <f t="array" ref="J98">IF(A98="","",COUNTA(_xlfn.UNIQUE(_xlfn._xlws.FILTER(TMA_Entreprises!G:G,TMA_Entreprises!A:A=A98))))</f>
        <v/>
      </c>
      <c r="K98" s="235" t="str">
        <f>IF(A98="","",IF(
COUNTIFS(TMA_Entreprises!$A$12:$A$220,A98,TMA_Entreprises!$J$12:$J$220,"Oui")=0,"Non",
IF(
COUNTIFS(TMA_Entreprises!$A$12:$A$220,A98,TMA_Entreprises!$J$12:$J$220,"Oui")=
COUNTIF(TMA_Entreprises!$A$12:$A$220,A98),"Oui",
"Partiel")))</f>
        <v/>
      </c>
      <c r="L98" s="236" t="str">
        <f>IF(A98="","",SUMIF(TMA_Entreprises!A:A,A98,TMA_Entreprises!L:L))</f>
        <v/>
      </c>
      <c r="M98" s="237"/>
      <c r="N98" s="238" t="str">
        <f t="shared" si="4"/>
        <v/>
      </c>
      <c r="O98" s="233"/>
      <c r="P98" s="233"/>
      <c r="Q98" s="239" t="str">
        <f t="shared" si="5"/>
        <v/>
      </c>
      <c r="R98" s="235" t="str">
        <f t="shared" ca="1" si="6"/>
        <v/>
      </c>
      <c r="S98" s="237" t="str">
        <f t="shared" si="7"/>
        <v/>
      </c>
      <c r="T98" s="242"/>
    </row>
    <row r="99" spans="1:20" s="81" customFormat="1" x14ac:dyDescent="0.45">
      <c r="A99" s="231"/>
      <c r="B99" s="232"/>
      <c r="C99" s="232"/>
      <c r="D99" s="232"/>
      <c r="E99" s="232"/>
      <c r="F99" s="232"/>
      <c r="G99" s="232"/>
      <c r="H99" s="240"/>
      <c r="I99" s="233"/>
      <c r="J99" s="234" t="str" cm="1">
        <f t="array" ref="J99">IF(A99="","",COUNTA(_xlfn.UNIQUE(_xlfn._xlws.FILTER(TMA_Entreprises!G:G,TMA_Entreprises!A:A=A99))))</f>
        <v/>
      </c>
      <c r="K99" s="235" t="str">
        <f>IF(A99="","",IF(
COUNTIFS(TMA_Entreprises!$A$12:$A$220,A99,TMA_Entreprises!$J$12:$J$220,"Oui")=0,"Non",
IF(
COUNTIFS(TMA_Entreprises!$A$12:$A$220,A99,TMA_Entreprises!$J$12:$J$220,"Oui")=
COUNTIF(TMA_Entreprises!$A$12:$A$220,A99),"Oui",
"Partiel")))</f>
        <v/>
      </c>
      <c r="L99" s="236" t="str">
        <f>IF(A99="","",SUMIF(TMA_Entreprises!A:A,A99,TMA_Entreprises!L:L))</f>
        <v/>
      </c>
      <c r="M99" s="237"/>
      <c r="N99" s="238" t="str">
        <f t="shared" si="4"/>
        <v/>
      </c>
      <c r="O99" s="233"/>
      <c r="P99" s="233"/>
      <c r="Q99" s="239" t="str">
        <f t="shared" si="5"/>
        <v/>
      </c>
      <c r="R99" s="235" t="str">
        <f t="shared" ca="1" si="6"/>
        <v/>
      </c>
      <c r="S99" s="237" t="str">
        <f t="shared" si="7"/>
        <v/>
      </c>
      <c r="T99" s="242"/>
    </row>
    <row r="100" spans="1:20" s="81" customFormat="1" x14ac:dyDescent="0.45">
      <c r="A100" s="231"/>
      <c r="B100" s="232"/>
      <c r="C100" s="232"/>
      <c r="D100" s="232"/>
      <c r="E100" s="232"/>
      <c r="F100" s="232"/>
      <c r="G100" s="232"/>
      <c r="H100" s="240"/>
      <c r="I100" s="233"/>
      <c r="J100" s="234" t="str" cm="1">
        <f t="array" ref="J100">IF(A100="","",COUNTA(_xlfn.UNIQUE(_xlfn._xlws.FILTER(TMA_Entreprises!G:G,TMA_Entreprises!A:A=A100))))</f>
        <v/>
      </c>
      <c r="K100" s="235" t="str">
        <f>IF(A100="","",IF(
COUNTIFS(TMA_Entreprises!$A$12:$A$220,A100,TMA_Entreprises!$J$12:$J$220,"Oui")=0,"Non",
IF(
COUNTIFS(TMA_Entreprises!$A$12:$A$220,A100,TMA_Entreprises!$J$12:$J$220,"Oui")=
COUNTIF(TMA_Entreprises!$A$12:$A$220,A100),"Oui",
"Partiel")))</f>
        <v/>
      </c>
      <c r="L100" s="236" t="str">
        <f>IF(A100="","",SUMIF(TMA_Entreprises!A:A,A100,TMA_Entreprises!L:L))</f>
        <v/>
      </c>
      <c r="M100" s="237"/>
      <c r="N100" s="238" t="str">
        <f t="shared" si="4"/>
        <v/>
      </c>
      <c r="O100" s="233"/>
      <c r="P100" s="233"/>
      <c r="Q100" s="239" t="str">
        <f t="shared" si="5"/>
        <v/>
      </c>
      <c r="R100" s="235" t="str">
        <f t="shared" ca="1" si="6"/>
        <v/>
      </c>
      <c r="S100" s="237" t="str">
        <f t="shared" si="7"/>
        <v/>
      </c>
      <c r="T100" s="242"/>
    </row>
    <row r="101" spans="1:20" s="81" customFormat="1" x14ac:dyDescent="0.45">
      <c r="A101" s="231"/>
      <c r="B101" s="232"/>
      <c r="C101" s="232"/>
      <c r="D101" s="232"/>
      <c r="E101" s="232"/>
      <c r="F101" s="232"/>
      <c r="G101" s="232"/>
      <c r="H101" s="240"/>
      <c r="I101" s="233"/>
      <c r="J101" s="234" t="str" cm="1">
        <f t="array" ref="J101">IF(A101="","",COUNTA(_xlfn.UNIQUE(_xlfn._xlws.FILTER(TMA_Entreprises!G:G,TMA_Entreprises!A:A=A101))))</f>
        <v/>
      </c>
      <c r="K101" s="235" t="str">
        <f>IF(A101="","",IF(
COUNTIFS(TMA_Entreprises!$A$12:$A$220,A101,TMA_Entreprises!$J$12:$J$220,"Oui")=0,"Non",
IF(
COUNTIFS(TMA_Entreprises!$A$12:$A$220,A101,TMA_Entreprises!$J$12:$J$220,"Oui")=
COUNTIF(TMA_Entreprises!$A$12:$A$220,A101),"Oui",
"Partiel")))</f>
        <v/>
      </c>
      <c r="L101" s="236" t="str">
        <f>IF(A101="","",SUMIF(TMA_Entreprises!A:A,A101,TMA_Entreprises!L:L))</f>
        <v/>
      </c>
      <c r="M101" s="237"/>
      <c r="N101" s="238" t="str">
        <f t="shared" si="4"/>
        <v/>
      </c>
      <c r="O101" s="233"/>
      <c r="P101" s="233"/>
      <c r="Q101" s="239" t="str">
        <f t="shared" si="5"/>
        <v/>
      </c>
      <c r="R101" s="235" t="str">
        <f t="shared" ca="1" si="6"/>
        <v/>
      </c>
      <c r="S101" s="237" t="str">
        <f t="shared" si="7"/>
        <v/>
      </c>
      <c r="T101" s="242"/>
    </row>
    <row r="102" spans="1:20" s="81" customFormat="1" x14ac:dyDescent="0.45">
      <c r="A102" s="231"/>
      <c r="B102" s="232"/>
      <c r="C102" s="232"/>
      <c r="D102" s="232"/>
      <c r="E102" s="232"/>
      <c r="F102" s="232"/>
      <c r="G102" s="232"/>
      <c r="H102" s="240"/>
      <c r="I102" s="233"/>
      <c r="J102" s="234" t="str" cm="1">
        <f t="array" ref="J102">IF(A102="","",COUNTA(_xlfn.UNIQUE(_xlfn._xlws.FILTER(TMA_Entreprises!G:G,TMA_Entreprises!A:A=A102))))</f>
        <v/>
      </c>
      <c r="K102" s="235" t="str">
        <f>IF(A102="","",IF(
COUNTIFS(TMA_Entreprises!$A$12:$A$220,A102,TMA_Entreprises!$J$12:$J$220,"Oui")=0,"Non",
IF(
COUNTIFS(TMA_Entreprises!$A$12:$A$220,A102,TMA_Entreprises!$J$12:$J$220,"Oui")=
COUNTIF(TMA_Entreprises!$A$12:$A$220,A102),"Oui",
"Partiel")))</f>
        <v/>
      </c>
      <c r="L102" s="236" t="str">
        <f>IF(A102="","",SUMIF(TMA_Entreprises!A:A,A102,TMA_Entreprises!L:L))</f>
        <v/>
      </c>
      <c r="M102" s="237"/>
      <c r="N102" s="238" t="str">
        <f t="shared" si="4"/>
        <v/>
      </c>
      <c r="O102" s="233"/>
      <c r="P102" s="233"/>
      <c r="Q102" s="239" t="str">
        <f t="shared" si="5"/>
        <v/>
      </c>
      <c r="R102" s="235" t="str">
        <f t="shared" ca="1" si="6"/>
        <v/>
      </c>
      <c r="S102" s="237" t="str">
        <f t="shared" si="7"/>
        <v/>
      </c>
      <c r="T102" s="242"/>
    </row>
    <row r="103" spans="1:20" s="81" customFormat="1" x14ac:dyDescent="0.45">
      <c r="A103" s="231"/>
      <c r="B103" s="232"/>
      <c r="C103" s="232"/>
      <c r="D103" s="232"/>
      <c r="E103" s="232"/>
      <c r="F103" s="232"/>
      <c r="G103" s="232"/>
      <c r="H103" s="240"/>
      <c r="I103" s="233"/>
      <c r="J103" s="234" t="str" cm="1">
        <f t="array" ref="J103">IF(A103="","",COUNTA(_xlfn.UNIQUE(_xlfn._xlws.FILTER(TMA_Entreprises!G:G,TMA_Entreprises!A:A=A103))))</f>
        <v/>
      </c>
      <c r="K103" s="235" t="str">
        <f>IF(A103="","",IF(
COUNTIFS(TMA_Entreprises!$A$12:$A$220,A103,TMA_Entreprises!$J$12:$J$220,"Oui")=0,"Non",
IF(
COUNTIFS(TMA_Entreprises!$A$12:$A$220,A103,TMA_Entreprises!$J$12:$J$220,"Oui")=
COUNTIF(TMA_Entreprises!$A$12:$A$220,A103),"Oui",
"Partiel")))</f>
        <v/>
      </c>
      <c r="L103" s="236" t="str">
        <f>IF(A103="","",SUMIF(TMA_Entreprises!A:A,A103,TMA_Entreprises!L:L))</f>
        <v/>
      </c>
      <c r="M103" s="237"/>
      <c r="N103" s="238" t="str">
        <f t="shared" si="4"/>
        <v/>
      </c>
      <c r="O103" s="233"/>
      <c r="P103" s="233"/>
      <c r="Q103" s="239" t="str">
        <f t="shared" si="5"/>
        <v/>
      </c>
      <c r="R103" s="235" t="str">
        <f t="shared" ca="1" si="6"/>
        <v/>
      </c>
      <c r="S103" s="237" t="str">
        <f t="shared" si="7"/>
        <v/>
      </c>
      <c r="T103" s="242"/>
    </row>
    <row r="104" spans="1:20" s="81" customFormat="1" x14ac:dyDescent="0.45">
      <c r="A104" s="231"/>
      <c r="B104" s="232"/>
      <c r="C104" s="232"/>
      <c r="D104" s="232"/>
      <c r="E104" s="232"/>
      <c r="F104" s="232"/>
      <c r="G104" s="232"/>
      <c r="H104" s="240"/>
      <c r="I104" s="233"/>
      <c r="J104" s="234" t="str" cm="1">
        <f t="array" ref="J104">IF(A104="","",COUNTA(_xlfn.UNIQUE(_xlfn._xlws.FILTER(TMA_Entreprises!G:G,TMA_Entreprises!A:A=A104))))</f>
        <v/>
      </c>
      <c r="K104" s="235" t="str">
        <f>IF(A104="","",IF(
COUNTIFS(TMA_Entreprises!$A$12:$A$220,A104,TMA_Entreprises!$J$12:$J$220,"Oui")=0,"Non",
IF(
COUNTIFS(TMA_Entreprises!$A$12:$A$220,A104,TMA_Entreprises!$J$12:$J$220,"Oui")=
COUNTIF(TMA_Entreprises!$A$12:$A$220,A104),"Oui",
"Partiel")))</f>
        <v/>
      </c>
      <c r="L104" s="236" t="str">
        <f>IF(A104="","",SUMIF(TMA_Entreprises!A:A,A104,TMA_Entreprises!L:L))</f>
        <v/>
      </c>
      <c r="M104" s="237"/>
      <c r="N104" s="238" t="str">
        <f t="shared" si="4"/>
        <v/>
      </c>
      <c r="O104" s="233"/>
      <c r="P104" s="233"/>
      <c r="Q104" s="239" t="str">
        <f t="shared" si="5"/>
        <v/>
      </c>
      <c r="R104" s="235" t="str">
        <f t="shared" ca="1" si="6"/>
        <v/>
      </c>
      <c r="S104" s="237" t="str">
        <f t="shared" si="7"/>
        <v/>
      </c>
      <c r="T104" s="242"/>
    </row>
    <row r="105" spans="1:20" s="81" customFormat="1" x14ac:dyDescent="0.45">
      <c r="A105" s="231"/>
      <c r="B105" s="232"/>
      <c r="C105" s="232"/>
      <c r="D105" s="232"/>
      <c r="E105" s="232"/>
      <c r="F105" s="232"/>
      <c r="G105" s="232"/>
      <c r="H105" s="240"/>
      <c r="I105" s="233"/>
      <c r="J105" s="234" t="str" cm="1">
        <f t="array" ref="J105">IF(A105="","",COUNTA(_xlfn.UNIQUE(_xlfn._xlws.FILTER(TMA_Entreprises!G:G,TMA_Entreprises!A:A=A105))))</f>
        <v/>
      </c>
      <c r="K105" s="235" t="str">
        <f>IF(A105="","",IF(
COUNTIFS(TMA_Entreprises!$A$12:$A$220,A105,TMA_Entreprises!$J$12:$J$220,"Oui")=0,"Non",
IF(
COUNTIFS(TMA_Entreprises!$A$12:$A$220,A105,TMA_Entreprises!$J$12:$J$220,"Oui")=
COUNTIF(TMA_Entreprises!$A$12:$A$220,A105),"Oui",
"Partiel")))</f>
        <v/>
      </c>
      <c r="L105" s="236" t="str">
        <f>IF(A105="","",SUMIF(TMA_Entreprises!A:A,A105,TMA_Entreprises!L:L))</f>
        <v/>
      </c>
      <c r="M105" s="237"/>
      <c r="N105" s="238" t="str">
        <f t="shared" si="4"/>
        <v/>
      </c>
      <c r="O105" s="233"/>
      <c r="P105" s="233"/>
      <c r="Q105" s="239" t="str">
        <f t="shared" si="5"/>
        <v/>
      </c>
      <c r="R105" s="235" t="str">
        <f t="shared" ca="1" si="6"/>
        <v/>
      </c>
      <c r="S105" s="237" t="str">
        <f t="shared" si="7"/>
        <v/>
      </c>
      <c r="T105" s="242"/>
    </row>
    <row r="106" spans="1:20" s="81" customFormat="1" x14ac:dyDescent="0.45">
      <c r="A106" s="231"/>
      <c r="B106" s="232"/>
      <c r="C106" s="232"/>
      <c r="D106" s="232"/>
      <c r="E106" s="232"/>
      <c r="F106" s="232"/>
      <c r="G106" s="232"/>
      <c r="H106" s="240"/>
      <c r="I106" s="233"/>
      <c r="J106" s="234" t="str" cm="1">
        <f t="array" ref="J106">IF(A106="","",COUNTA(_xlfn.UNIQUE(_xlfn._xlws.FILTER(TMA_Entreprises!G:G,TMA_Entreprises!A:A=A106))))</f>
        <v/>
      </c>
      <c r="K106" s="235" t="str">
        <f>IF(A106="","",IF(
COUNTIFS(TMA_Entreprises!$A$12:$A$220,A106,TMA_Entreprises!$J$12:$J$220,"Oui")=0,"Non",
IF(
COUNTIFS(TMA_Entreprises!$A$12:$A$220,A106,TMA_Entreprises!$J$12:$J$220,"Oui")=
COUNTIF(TMA_Entreprises!$A$12:$A$220,A106),"Oui",
"Partiel")))</f>
        <v/>
      </c>
      <c r="L106" s="236" t="str">
        <f>IF(A106="","",SUMIF(TMA_Entreprises!A:A,A106,TMA_Entreprises!L:L))</f>
        <v/>
      </c>
      <c r="M106" s="237"/>
      <c r="N106" s="238" t="str">
        <f t="shared" si="4"/>
        <v/>
      </c>
      <c r="O106" s="233"/>
      <c r="P106" s="233"/>
      <c r="Q106" s="239" t="str">
        <f t="shared" si="5"/>
        <v/>
      </c>
      <c r="R106" s="235" t="str">
        <f t="shared" ca="1" si="6"/>
        <v/>
      </c>
      <c r="S106" s="237" t="str">
        <f t="shared" si="7"/>
        <v/>
      </c>
      <c r="T106" s="242"/>
    </row>
    <row r="107" spans="1:20" s="81" customFormat="1" x14ac:dyDescent="0.45">
      <c r="A107" s="231"/>
      <c r="B107" s="232"/>
      <c r="C107" s="232"/>
      <c r="D107" s="232"/>
      <c r="E107" s="232"/>
      <c r="F107" s="232"/>
      <c r="G107" s="232"/>
      <c r="H107" s="240"/>
      <c r="I107" s="233"/>
      <c r="J107" s="234" t="str" cm="1">
        <f t="array" ref="J107">IF(A107="","",COUNTA(_xlfn.UNIQUE(_xlfn._xlws.FILTER(TMA_Entreprises!G:G,TMA_Entreprises!A:A=A107))))</f>
        <v/>
      </c>
      <c r="K107" s="235" t="str">
        <f>IF(A107="","",IF(
COUNTIFS(TMA_Entreprises!$A$12:$A$220,A107,TMA_Entreprises!$J$12:$J$220,"Oui")=0,"Non",
IF(
COUNTIFS(TMA_Entreprises!$A$12:$A$220,A107,TMA_Entreprises!$J$12:$J$220,"Oui")=
COUNTIF(TMA_Entreprises!$A$12:$A$220,A107),"Oui",
"Partiel")))</f>
        <v/>
      </c>
      <c r="L107" s="236" t="str">
        <f>IF(A107="","",SUMIF(TMA_Entreprises!A:A,A107,TMA_Entreprises!L:L))</f>
        <v/>
      </c>
      <c r="M107" s="237"/>
      <c r="N107" s="238" t="str">
        <f t="shared" si="4"/>
        <v/>
      </c>
      <c r="O107" s="233"/>
      <c r="P107" s="233"/>
      <c r="Q107" s="239" t="str">
        <f t="shared" si="5"/>
        <v/>
      </c>
      <c r="R107" s="235" t="str">
        <f t="shared" ca="1" si="6"/>
        <v/>
      </c>
      <c r="S107" s="237" t="str">
        <f t="shared" si="7"/>
        <v/>
      </c>
      <c r="T107" s="242"/>
    </row>
    <row r="108" spans="1:20" s="81" customFormat="1" x14ac:dyDescent="0.45">
      <c r="A108" s="231"/>
      <c r="B108" s="232"/>
      <c r="C108" s="232"/>
      <c r="D108" s="232"/>
      <c r="E108" s="232"/>
      <c r="F108" s="232"/>
      <c r="G108" s="232"/>
      <c r="H108" s="240"/>
      <c r="I108" s="233"/>
      <c r="J108" s="234" t="str" cm="1">
        <f t="array" ref="J108">IF(A108="","",COUNTA(_xlfn.UNIQUE(_xlfn._xlws.FILTER(TMA_Entreprises!G:G,TMA_Entreprises!A:A=A108))))</f>
        <v/>
      </c>
      <c r="K108" s="235" t="str">
        <f>IF(A108="","",IF(
COUNTIFS(TMA_Entreprises!$A$12:$A$220,A108,TMA_Entreprises!$J$12:$J$220,"Oui")=0,"Non",
IF(
COUNTIFS(TMA_Entreprises!$A$12:$A$220,A108,TMA_Entreprises!$J$12:$J$220,"Oui")=
COUNTIF(TMA_Entreprises!$A$12:$A$220,A108),"Oui",
"Partiel")))</f>
        <v/>
      </c>
      <c r="L108" s="236" t="str">
        <f>IF(A108="","",SUMIF(TMA_Entreprises!A:A,A108,TMA_Entreprises!L:L))</f>
        <v/>
      </c>
      <c r="M108" s="237"/>
      <c r="N108" s="238" t="str">
        <f t="shared" si="4"/>
        <v/>
      </c>
      <c r="O108" s="233"/>
      <c r="P108" s="233"/>
      <c r="Q108" s="239" t="str">
        <f t="shared" si="5"/>
        <v/>
      </c>
      <c r="R108" s="235" t="str">
        <f t="shared" ca="1" si="6"/>
        <v/>
      </c>
      <c r="S108" s="237" t="str">
        <f t="shared" si="7"/>
        <v/>
      </c>
      <c r="T108" s="242"/>
    </row>
    <row r="109" spans="1:20" s="81" customFormat="1" x14ac:dyDescent="0.45">
      <c r="A109" s="231"/>
      <c r="B109" s="232"/>
      <c r="C109" s="232"/>
      <c r="D109" s="232"/>
      <c r="E109" s="232"/>
      <c r="F109" s="232"/>
      <c r="G109" s="232"/>
      <c r="H109" s="240"/>
      <c r="I109" s="233"/>
      <c r="J109" s="234" t="str" cm="1">
        <f t="array" ref="J109">IF(A109="","",COUNTA(_xlfn.UNIQUE(_xlfn._xlws.FILTER(TMA_Entreprises!G:G,TMA_Entreprises!A:A=A109))))</f>
        <v/>
      </c>
      <c r="K109" s="235" t="str">
        <f>IF(A109="","",IF(
COUNTIFS(TMA_Entreprises!$A$12:$A$220,A109,TMA_Entreprises!$J$12:$J$220,"Oui")=0,"Non",
IF(
COUNTIFS(TMA_Entreprises!$A$12:$A$220,A109,TMA_Entreprises!$J$12:$J$220,"Oui")=
COUNTIF(TMA_Entreprises!$A$12:$A$220,A109),"Oui",
"Partiel")))</f>
        <v/>
      </c>
      <c r="L109" s="236" t="str">
        <f>IF(A109="","",SUMIF(TMA_Entreprises!A:A,A109,TMA_Entreprises!L:L))</f>
        <v/>
      </c>
      <c r="M109" s="237"/>
      <c r="N109" s="238" t="str">
        <f t="shared" si="4"/>
        <v/>
      </c>
      <c r="O109" s="233"/>
      <c r="P109" s="233"/>
      <c r="Q109" s="239" t="str">
        <f t="shared" si="5"/>
        <v/>
      </c>
      <c r="R109" s="235" t="str">
        <f t="shared" ca="1" si="6"/>
        <v/>
      </c>
      <c r="S109" s="237" t="str">
        <f t="shared" si="7"/>
        <v/>
      </c>
      <c r="T109" s="242"/>
    </row>
    <row r="110" spans="1:20" s="81" customFormat="1" x14ac:dyDescent="0.45">
      <c r="A110" s="231"/>
      <c r="B110" s="232"/>
      <c r="C110" s="232"/>
      <c r="D110" s="232"/>
      <c r="E110" s="232"/>
      <c r="F110" s="232"/>
      <c r="G110" s="232"/>
      <c r="H110" s="240"/>
      <c r="I110" s="233"/>
      <c r="J110" s="234" t="str" cm="1">
        <f t="array" ref="J110">IF(A110="","",COUNTA(_xlfn.UNIQUE(_xlfn._xlws.FILTER(TMA_Entreprises!G:G,TMA_Entreprises!A:A=A110))))</f>
        <v/>
      </c>
      <c r="K110" s="235" t="str">
        <f>IF(A110="","",IF(
COUNTIFS(TMA_Entreprises!$A$12:$A$220,A110,TMA_Entreprises!$J$12:$J$220,"Oui")=0,"Non",
IF(
COUNTIFS(TMA_Entreprises!$A$12:$A$220,A110,TMA_Entreprises!$J$12:$J$220,"Oui")=
COUNTIF(TMA_Entreprises!$A$12:$A$220,A110),"Oui",
"Partiel")))</f>
        <v/>
      </c>
      <c r="L110" s="236" t="str">
        <f>IF(A110="","",SUMIF(TMA_Entreprises!A:A,A110,TMA_Entreprises!L:L))</f>
        <v/>
      </c>
      <c r="M110" s="237"/>
      <c r="N110" s="238" t="str">
        <f t="shared" si="4"/>
        <v/>
      </c>
      <c r="O110" s="233"/>
      <c r="P110" s="233"/>
      <c r="Q110" s="239" t="str">
        <f t="shared" si="5"/>
        <v/>
      </c>
      <c r="R110" s="235" t="str">
        <f t="shared" ca="1" si="6"/>
        <v/>
      </c>
      <c r="S110" s="237" t="str">
        <f t="shared" si="7"/>
        <v/>
      </c>
      <c r="T110" s="242"/>
    </row>
    <row r="111" spans="1:20" s="81" customFormat="1" x14ac:dyDescent="0.45">
      <c r="A111" s="231"/>
      <c r="B111" s="232"/>
      <c r="C111" s="232"/>
      <c r="D111" s="232"/>
      <c r="E111" s="232"/>
      <c r="F111" s="232"/>
      <c r="G111" s="232"/>
      <c r="H111" s="240"/>
      <c r="I111" s="233"/>
      <c r="J111" s="234" t="str" cm="1">
        <f t="array" ref="J111">IF(A111="","",COUNTA(_xlfn.UNIQUE(_xlfn._xlws.FILTER(TMA_Entreprises!G:G,TMA_Entreprises!A:A=A111))))</f>
        <v/>
      </c>
      <c r="K111" s="235" t="str">
        <f>IF(A111="","",IF(
COUNTIFS(TMA_Entreprises!$A$12:$A$220,A111,TMA_Entreprises!$J$12:$J$220,"Oui")=0,"Non",
IF(
COUNTIFS(TMA_Entreprises!$A$12:$A$220,A111,TMA_Entreprises!$J$12:$J$220,"Oui")=
COUNTIF(TMA_Entreprises!$A$12:$A$220,A111),"Oui",
"Partiel")))</f>
        <v/>
      </c>
      <c r="L111" s="236" t="str">
        <f>IF(A111="","",SUMIF(TMA_Entreprises!A:A,A111,TMA_Entreprises!L:L))</f>
        <v/>
      </c>
      <c r="M111" s="237"/>
      <c r="N111" s="238" t="str">
        <f t="shared" si="4"/>
        <v/>
      </c>
      <c r="O111" s="233"/>
      <c r="P111" s="233"/>
      <c r="Q111" s="239" t="str">
        <f t="shared" si="5"/>
        <v/>
      </c>
      <c r="R111" s="235" t="str">
        <f t="shared" ca="1" si="6"/>
        <v/>
      </c>
      <c r="S111" s="237" t="str">
        <f t="shared" si="7"/>
        <v/>
      </c>
      <c r="T111" s="242"/>
    </row>
    <row r="112" spans="1:20" s="81" customFormat="1" x14ac:dyDescent="0.45">
      <c r="A112" s="231"/>
      <c r="B112" s="232"/>
      <c r="C112" s="232"/>
      <c r="D112" s="232"/>
      <c r="E112" s="232"/>
      <c r="F112" s="232"/>
      <c r="G112" s="232"/>
      <c r="H112" s="240"/>
      <c r="I112" s="233"/>
      <c r="J112" s="234" t="str" cm="1">
        <f t="array" ref="J112">IF(A112="","",COUNTA(_xlfn.UNIQUE(_xlfn._xlws.FILTER(TMA_Entreprises!G:G,TMA_Entreprises!A:A=A112))))</f>
        <v/>
      </c>
      <c r="K112" s="235" t="str">
        <f>IF(A112="","",IF(
COUNTIFS(TMA_Entreprises!$A$12:$A$220,A112,TMA_Entreprises!$J$12:$J$220,"Oui")=0,"Non",
IF(
COUNTIFS(TMA_Entreprises!$A$12:$A$220,A112,TMA_Entreprises!$J$12:$J$220,"Oui")=
COUNTIF(TMA_Entreprises!$A$12:$A$220,A112),"Oui",
"Partiel")))</f>
        <v/>
      </c>
      <c r="L112" s="236" t="str">
        <f>IF(A112="","",SUMIF(TMA_Entreprises!A:A,A112,TMA_Entreprises!L:L))</f>
        <v/>
      </c>
      <c r="M112" s="237"/>
      <c r="N112" s="238" t="str">
        <f t="shared" si="4"/>
        <v/>
      </c>
      <c r="O112" s="233"/>
      <c r="P112" s="233"/>
      <c r="Q112" s="239" t="str">
        <f t="shared" si="5"/>
        <v/>
      </c>
      <c r="R112" s="235" t="str">
        <f t="shared" ca="1" si="6"/>
        <v/>
      </c>
      <c r="S112" s="237" t="str">
        <f t="shared" si="7"/>
        <v/>
      </c>
      <c r="T112" s="242"/>
    </row>
    <row r="113" spans="1:20" s="81" customFormat="1" x14ac:dyDescent="0.45">
      <c r="A113" s="231"/>
      <c r="B113" s="232"/>
      <c r="C113" s="232"/>
      <c r="D113" s="232"/>
      <c r="E113" s="232"/>
      <c r="F113" s="232"/>
      <c r="G113" s="232"/>
      <c r="H113" s="240"/>
      <c r="I113" s="233"/>
      <c r="J113" s="234" t="str" cm="1">
        <f t="array" ref="J113">IF(A113="","",COUNTA(_xlfn.UNIQUE(_xlfn._xlws.FILTER(TMA_Entreprises!G:G,TMA_Entreprises!A:A=A113))))</f>
        <v/>
      </c>
      <c r="K113" s="235" t="str">
        <f>IF(A113="","",IF(
COUNTIFS(TMA_Entreprises!$A$12:$A$220,A113,TMA_Entreprises!$J$12:$J$220,"Oui")=0,"Non",
IF(
COUNTIFS(TMA_Entreprises!$A$12:$A$220,A113,TMA_Entreprises!$J$12:$J$220,"Oui")=
COUNTIF(TMA_Entreprises!$A$12:$A$220,A113),"Oui",
"Partiel")))</f>
        <v/>
      </c>
      <c r="L113" s="236" t="str">
        <f>IF(A113="","",SUMIF(TMA_Entreprises!A:A,A113,TMA_Entreprises!L:L))</f>
        <v/>
      </c>
      <c r="M113" s="237"/>
      <c r="N113" s="238" t="str">
        <f t="shared" si="4"/>
        <v/>
      </c>
      <c r="O113" s="233"/>
      <c r="P113" s="233"/>
      <c r="Q113" s="239" t="str">
        <f t="shared" si="5"/>
        <v/>
      </c>
      <c r="R113" s="235" t="str">
        <f t="shared" ca="1" si="6"/>
        <v/>
      </c>
      <c r="S113" s="237" t="str">
        <f t="shared" si="7"/>
        <v/>
      </c>
      <c r="T113" s="242"/>
    </row>
    <row r="114" spans="1:20" s="81" customFormat="1" x14ac:dyDescent="0.45">
      <c r="A114" s="231"/>
      <c r="B114" s="232"/>
      <c r="C114" s="232"/>
      <c r="D114" s="232"/>
      <c r="E114" s="232"/>
      <c r="F114" s="232"/>
      <c r="G114" s="232"/>
      <c r="H114" s="240"/>
      <c r="I114" s="233"/>
      <c r="J114" s="234" t="str" cm="1">
        <f t="array" ref="J114">IF(A114="","",COUNTA(_xlfn.UNIQUE(_xlfn._xlws.FILTER(TMA_Entreprises!G:G,TMA_Entreprises!A:A=A114))))</f>
        <v/>
      </c>
      <c r="K114" s="235" t="str">
        <f>IF(A114="","",IF(
COUNTIFS(TMA_Entreprises!$A$12:$A$220,A114,TMA_Entreprises!$J$12:$J$220,"Oui")=0,"Non",
IF(
COUNTIFS(TMA_Entreprises!$A$12:$A$220,A114,TMA_Entreprises!$J$12:$J$220,"Oui")=
COUNTIF(TMA_Entreprises!$A$12:$A$220,A114),"Oui",
"Partiel")))</f>
        <v/>
      </c>
      <c r="L114" s="236" t="str">
        <f>IF(A114="","",SUMIF(TMA_Entreprises!A:A,A114,TMA_Entreprises!L:L))</f>
        <v/>
      </c>
      <c r="M114" s="237"/>
      <c r="N114" s="238" t="str">
        <f t="shared" si="4"/>
        <v/>
      </c>
      <c r="O114" s="233"/>
      <c r="P114" s="233"/>
      <c r="Q114" s="239" t="str">
        <f t="shared" si="5"/>
        <v/>
      </c>
      <c r="R114" s="235" t="str">
        <f t="shared" ca="1" si="6"/>
        <v/>
      </c>
      <c r="S114" s="237" t="str">
        <f t="shared" si="7"/>
        <v/>
      </c>
      <c r="T114" s="242"/>
    </row>
    <row r="115" spans="1:20" s="81" customFormat="1" x14ac:dyDescent="0.45">
      <c r="A115" s="231"/>
      <c r="B115" s="232"/>
      <c r="C115" s="232"/>
      <c r="D115" s="232"/>
      <c r="E115" s="232"/>
      <c r="F115" s="232"/>
      <c r="G115" s="232"/>
      <c r="H115" s="240"/>
      <c r="I115" s="233"/>
      <c r="J115" s="234" t="str" cm="1">
        <f t="array" ref="J115">IF(A115="","",COUNTA(_xlfn.UNIQUE(_xlfn._xlws.FILTER(TMA_Entreprises!G:G,TMA_Entreprises!A:A=A115))))</f>
        <v/>
      </c>
      <c r="K115" s="235" t="str">
        <f>IF(A115="","",IF(
COUNTIFS(TMA_Entreprises!$A$12:$A$220,A115,TMA_Entreprises!$J$12:$J$220,"Oui")=0,"Non",
IF(
COUNTIFS(TMA_Entreprises!$A$12:$A$220,A115,TMA_Entreprises!$J$12:$J$220,"Oui")=
COUNTIF(TMA_Entreprises!$A$12:$A$220,A115),"Oui",
"Partiel")))</f>
        <v/>
      </c>
      <c r="L115" s="236" t="str">
        <f>IF(A115="","",SUMIF(TMA_Entreprises!A:A,A115,TMA_Entreprises!L:L))</f>
        <v/>
      </c>
      <c r="M115" s="237"/>
      <c r="N115" s="238" t="str">
        <f t="shared" si="4"/>
        <v/>
      </c>
      <c r="O115" s="233"/>
      <c r="P115" s="233"/>
      <c r="Q115" s="239" t="str">
        <f t="shared" si="5"/>
        <v/>
      </c>
      <c r="R115" s="235" t="str">
        <f t="shared" ca="1" si="6"/>
        <v/>
      </c>
      <c r="S115" s="237" t="str">
        <f t="shared" si="7"/>
        <v/>
      </c>
      <c r="T115" s="242"/>
    </row>
    <row r="116" spans="1:20" s="81" customFormat="1" x14ac:dyDescent="0.45">
      <c r="A116" s="231"/>
      <c r="B116" s="232"/>
      <c r="C116" s="232"/>
      <c r="D116" s="232"/>
      <c r="E116" s="232"/>
      <c r="F116" s="232"/>
      <c r="G116" s="232"/>
      <c r="H116" s="240"/>
      <c r="I116" s="233"/>
      <c r="J116" s="234" t="str" cm="1">
        <f t="array" ref="J116">IF(A116="","",COUNTA(_xlfn.UNIQUE(_xlfn._xlws.FILTER(TMA_Entreprises!G:G,TMA_Entreprises!A:A=A116))))</f>
        <v/>
      </c>
      <c r="K116" s="235" t="str">
        <f>IF(A116="","",IF(
COUNTIFS(TMA_Entreprises!$A$12:$A$220,A116,TMA_Entreprises!$J$12:$J$220,"Oui")=0,"Non",
IF(
COUNTIFS(TMA_Entreprises!$A$12:$A$220,A116,TMA_Entreprises!$J$12:$J$220,"Oui")=
COUNTIF(TMA_Entreprises!$A$12:$A$220,A116),"Oui",
"Partiel")))</f>
        <v/>
      </c>
      <c r="L116" s="236" t="str">
        <f>IF(A116="","",SUMIF(TMA_Entreprises!A:A,A116,TMA_Entreprises!L:L))</f>
        <v/>
      </c>
      <c r="M116" s="237"/>
      <c r="N116" s="238" t="str">
        <f t="shared" si="4"/>
        <v/>
      </c>
      <c r="O116" s="233"/>
      <c r="P116" s="233"/>
      <c r="Q116" s="239" t="str">
        <f t="shared" si="5"/>
        <v/>
      </c>
      <c r="R116" s="235" t="str">
        <f t="shared" ca="1" si="6"/>
        <v/>
      </c>
      <c r="S116" s="237" t="str">
        <f t="shared" si="7"/>
        <v/>
      </c>
      <c r="T116" s="242"/>
    </row>
    <row r="117" spans="1:20" s="81" customFormat="1" x14ac:dyDescent="0.45">
      <c r="A117" s="231"/>
      <c r="B117" s="232"/>
      <c r="C117" s="232"/>
      <c r="D117" s="232"/>
      <c r="E117" s="232"/>
      <c r="F117" s="232"/>
      <c r="G117" s="232"/>
      <c r="H117" s="240"/>
      <c r="I117" s="233"/>
      <c r="J117" s="234" t="str" cm="1">
        <f t="array" ref="J117">IF(A117="","",COUNTA(_xlfn.UNIQUE(_xlfn._xlws.FILTER(TMA_Entreprises!G:G,TMA_Entreprises!A:A=A117))))</f>
        <v/>
      </c>
      <c r="K117" s="235" t="str">
        <f>IF(A117="","",IF(
COUNTIFS(TMA_Entreprises!$A$12:$A$220,A117,TMA_Entreprises!$J$12:$J$220,"Oui")=0,"Non",
IF(
COUNTIFS(TMA_Entreprises!$A$12:$A$220,A117,TMA_Entreprises!$J$12:$J$220,"Oui")=
COUNTIF(TMA_Entreprises!$A$12:$A$220,A117),"Oui",
"Partiel")))</f>
        <v/>
      </c>
      <c r="L117" s="236" t="str">
        <f>IF(A117="","",SUMIF(TMA_Entreprises!A:A,A117,TMA_Entreprises!L:L))</f>
        <v/>
      </c>
      <c r="M117" s="237"/>
      <c r="N117" s="238" t="str">
        <f t="shared" si="4"/>
        <v/>
      </c>
      <c r="O117" s="233"/>
      <c r="P117" s="233"/>
      <c r="Q117" s="239" t="str">
        <f t="shared" si="5"/>
        <v/>
      </c>
      <c r="R117" s="235" t="str">
        <f t="shared" ca="1" si="6"/>
        <v/>
      </c>
      <c r="S117" s="237" t="str">
        <f t="shared" si="7"/>
        <v/>
      </c>
      <c r="T117" s="242"/>
    </row>
    <row r="118" spans="1:20" s="81" customFormat="1" x14ac:dyDescent="0.45">
      <c r="A118" s="231"/>
      <c r="B118" s="232"/>
      <c r="C118" s="232"/>
      <c r="D118" s="232"/>
      <c r="E118" s="232"/>
      <c r="F118" s="232"/>
      <c r="G118" s="232"/>
      <c r="H118" s="240"/>
      <c r="I118" s="233"/>
      <c r="J118" s="234" t="str" cm="1">
        <f t="array" ref="J118">IF(A118="","",COUNTA(_xlfn.UNIQUE(_xlfn._xlws.FILTER(TMA_Entreprises!G:G,TMA_Entreprises!A:A=A118))))</f>
        <v/>
      </c>
      <c r="K118" s="235" t="str">
        <f>IF(A118="","",IF(
COUNTIFS(TMA_Entreprises!$A$12:$A$220,A118,TMA_Entreprises!$J$12:$J$220,"Oui")=0,"Non",
IF(
COUNTIFS(TMA_Entreprises!$A$12:$A$220,A118,TMA_Entreprises!$J$12:$J$220,"Oui")=
COUNTIF(TMA_Entreprises!$A$12:$A$220,A118),"Oui",
"Partiel")))</f>
        <v/>
      </c>
      <c r="L118" s="236" t="str">
        <f>IF(A118="","",SUMIF(TMA_Entreprises!A:A,A118,TMA_Entreprises!L:L))</f>
        <v/>
      </c>
      <c r="M118" s="237"/>
      <c r="N118" s="238" t="str">
        <f t="shared" si="4"/>
        <v/>
      </c>
      <c r="O118" s="233"/>
      <c r="P118" s="233"/>
      <c r="Q118" s="239" t="str">
        <f t="shared" si="5"/>
        <v/>
      </c>
      <c r="R118" s="235" t="str">
        <f t="shared" ca="1" si="6"/>
        <v/>
      </c>
      <c r="S118" s="237" t="str">
        <f t="shared" si="7"/>
        <v/>
      </c>
      <c r="T118" s="242"/>
    </row>
    <row r="119" spans="1:20" s="81" customFormat="1" x14ac:dyDescent="0.45">
      <c r="A119" s="231"/>
      <c r="B119" s="232"/>
      <c r="C119" s="232"/>
      <c r="D119" s="232"/>
      <c r="E119" s="232"/>
      <c r="F119" s="232"/>
      <c r="G119" s="232"/>
      <c r="H119" s="240"/>
      <c r="I119" s="233"/>
      <c r="J119" s="234" t="str" cm="1">
        <f t="array" ref="J119">IF(A119="","",COUNTA(_xlfn.UNIQUE(_xlfn._xlws.FILTER(TMA_Entreprises!G:G,TMA_Entreprises!A:A=A119))))</f>
        <v/>
      </c>
      <c r="K119" s="235" t="str">
        <f>IF(A119="","",IF(
COUNTIFS(TMA_Entreprises!$A$12:$A$220,A119,TMA_Entreprises!$J$12:$J$220,"Oui")=0,"Non",
IF(
COUNTIFS(TMA_Entreprises!$A$12:$A$220,A119,TMA_Entreprises!$J$12:$J$220,"Oui")=
COUNTIF(TMA_Entreprises!$A$12:$A$220,A119),"Oui",
"Partiel")))</f>
        <v/>
      </c>
      <c r="L119" s="236" t="str">
        <f>IF(A119="","",SUMIF(TMA_Entreprises!A:A,A119,TMA_Entreprises!L:L))</f>
        <v/>
      </c>
      <c r="M119" s="237"/>
      <c r="N119" s="238" t="str">
        <f t="shared" si="4"/>
        <v/>
      </c>
      <c r="O119" s="233"/>
      <c r="P119" s="233"/>
      <c r="Q119" s="239" t="str">
        <f t="shared" si="5"/>
        <v/>
      </c>
      <c r="R119" s="235" t="str">
        <f t="shared" ca="1" si="6"/>
        <v/>
      </c>
      <c r="S119" s="237" t="str">
        <f t="shared" si="7"/>
        <v/>
      </c>
      <c r="T119" s="242"/>
    </row>
    <row r="120" spans="1:20" s="81" customFormat="1" x14ac:dyDescent="0.45">
      <c r="A120" s="231"/>
      <c r="B120" s="232"/>
      <c r="C120" s="232"/>
      <c r="D120" s="232"/>
      <c r="E120" s="232"/>
      <c r="F120" s="232"/>
      <c r="G120" s="232"/>
      <c r="H120" s="240"/>
      <c r="I120" s="233"/>
      <c r="J120" s="234" t="str" cm="1">
        <f t="array" ref="J120">IF(A120="","",COUNTA(_xlfn.UNIQUE(_xlfn._xlws.FILTER(TMA_Entreprises!G:G,TMA_Entreprises!A:A=A120))))</f>
        <v/>
      </c>
      <c r="K120" s="235" t="str">
        <f>IF(A120="","",IF(
COUNTIFS(TMA_Entreprises!$A$12:$A$220,A120,TMA_Entreprises!$J$12:$J$220,"Oui")=0,"Non",
IF(
COUNTIFS(TMA_Entreprises!$A$12:$A$220,A120,TMA_Entreprises!$J$12:$J$220,"Oui")=
COUNTIF(TMA_Entreprises!$A$12:$A$220,A120),"Oui",
"Partiel")))</f>
        <v/>
      </c>
      <c r="L120" s="236" t="str">
        <f>IF(A120="","",SUMIF(TMA_Entreprises!A:A,A120,TMA_Entreprises!L:L))</f>
        <v/>
      </c>
      <c r="M120" s="237"/>
      <c r="N120" s="238" t="str">
        <f t="shared" si="4"/>
        <v/>
      </c>
      <c r="O120" s="233"/>
      <c r="P120" s="233"/>
      <c r="Q120" s="239" t="str">
        <f t="shared" si="5"/>
        <v/>
      </c>
      <c r="R120" s="235" t="str">
        <f t="shared" ca="1" si="6"/>
        <v/>
      </c>
      <c r="S120" s="237" t="str">
        <f t="shared" si="7"/>
        <v/>
      </c>
      <c r="T120" s="242"/>
    </row>
    <row r="121" spans="1:20" s="81" customFormat="1" x14ac:dyDescent="0.45">
      <c r="A121" s="231"/>
      <c r="B121" s="232"/>
      <c r="C121" s="232"/>
      <c r="D121" s="232"/>
      <c r="E121" s="232"/>
      <c r="F121" s="232"/>
      <c r="G121" s="232"/>
      <c r="H121" s="240"/>
      <c r="I121" s="233"/>
      <c r="J121" s="234" t="str" cm="1">
        <f t="array" ref="J121">IF(A121="","",COUNTA(_xlfn.UNIQUE(_xlfn._xlws.FILTER(TMA_Entreprises!G:G,TMA_Entreprises!A:A=A121))))</f>
        <v/>
      </c>
      <c r="K121" s="235" t="str">
        <f>IF(A121="","",IF(
COUNTIFS(TMA_Entreprises!$A$12:$A$220,A121,TMA_Entreprises!$J$12:$J$220,"Oui")=0,"Non",
IF(
COUNTIFS(TMA_Entreprises!$A$12:$A$220,A121,TMA_Entreprises!$J$12:$J$220,"Oui")=
COUNTIF(TMA_Entreprises!$A$12:$A$220,A121),"Oui",
"Partiel")))</f>
        <v/>
      </c>
      <c r="L121" s="236" t="str">
        <f>IF(A121="","",SUMIF(TMA_Entreprises!A:A,A121,TMA_Entreprises!L:L))</f>
        <v/>
      </c>
      <c r="M121" s="237"/>
      <c r="N121" s="238" t="str">
        <f t="shared" si="4"/>
        <v/>
      </c>
      <c r="O121" s="233"/>
      <c r="P121" s="233"/>
      <c r="Q121" s="239" t="str">
        <f t="shared" si="5"/>
        <v/>
      </c>
      <c r="R121" s="235" t="str">
        <f t="shared" ca="1" si="6"/>
        <v/>
      </c>
      <c r="S121" s="237" t="str">
        <f t="shared" si="7"/>
        <v/>
      </c>
      <c r="T121" s="242"/>
    </row>
    <row r="122" spans="1:20" s="81" customFormat="1" x14ac:dyDescent="0.45">
      <c r="A122" s="231"/>
      <c r="B122" s="232"/>
      <c r="C122" s="232"/>
      <c r="D122" s="232"/>
      <c r="E122" s="232"/>
      <c r="F122" s="232"/>
      <c r="G122" s="232"/>
      <c r="H122" s="240"/>
      <c r="I122" s="233"/>
      <c r="J122" s="234" t="str" cm="1">
        <f t="array" ref="J122">IF(A122="","",COUNTA(_xlfn.UNIQUE(_xlfn._xlws.FILTER(TMA_Entreprises!G:G,TMA_Entreprises!A:A=A122))))</f>
        <v/>
      </c>
      <c r="K122" s="235" t="str">
        <f>IF(A122="","",IF(
COUNTIFS(TMA_Entreprises!$A$12:$A$220,A122,TMA_Entreprises!$J$12:$J$220,"Oui")=0,"Non",
IF(
COUNTIFS(TMA_Entreprises!$A$12:$A$220,A122,TMA_Entreprises!$J$12:$J$220,"Oui")=
COUNTIF(TMA_Entreprises!$A$12:$A$220,A122),"Oui",
"Partiel")))</f>
        <v/>
      </c>
      <c r="L122" s="236" t="str">
        <f>IF(A122="","",SUMIF(TMA_Entreprises!A:A,A122,TMA_Entreprises!L:L))</f>
        <v/>
      </c>
      <c r="M122" s="237"/>
      <c r="N122" s="238" t="str">
        <f t="shared" si="4"/>
        <v/>
      </c>
      <c r="O122" s="233"/>
      <c r="P122" s="233"/>
      <c r="Q122" s="239" t="str">
        <f t="shared" si="5"/>
        <v/>
      </c>
      <c r="R122" s="235" t="str">
        <f t="shared" ca="1" si="6"/>
        <v/>
      </c>
      <c r="S122" s="237" t="str">
        <f t="shared" si="7"/>
        <v/>
      </c>
      <c r="T122" s="242"/>
    </row>
    <row r="123" spans="1:20" s="81" customFormat="1" x14ac:dyDescent="0.45">
      <c r="A123" s="231"/>
      <c r="B123" s="232"/>
      <c r="C123" s="232"/>
      <c r="D123" s="232"/>
      <c r="E123" s="232"/>
      <c r="F123" s="232"/>
      <c r="G123" s="232"/>
      <c r="H123" s="240"/>
      <c r="I123" s="233"/>
      <c r="J123" s="234" t="str" cm="1">
        <f t="array" ref="J123">IF(A123="","",COUNTA(_xlfn.UNIQUE(_xlfn._xlws.FILTER(TMA_Entreprises!G:G,TMA_Entreprises!A:A=A123))))</f>
        <v/>
      </c>
      <c r="K123" s="235" t="str">
        <f>IF(A123="","",IF(
COUNTIFS(TMA_Entreprises!$A$12:$A$220,A123,TMA_Entreprises!$J$12:$J$220,"Oui")=0,"Non",
IF(
COUNTIFS(TMA_Entreprises!$A$12:$A$220,A123,TMA_Entreprises!$J$12:$J$220,"Oui")=
COUNTIF(TMA_Entreprises!$A$12:$A$220,A123),"Oui",
"Partiel")))</f>
        <v/>
      </c>
      <c r="L123" s="236" t="str">
        <f>IF(A123="","",SUMIF(TMA_Entreprises!A:A,A123,TMA_Entreprises!L:L))</f>
        <v/>
      </c>
      <c r="M123" s="237"/>
      <c r="N123" s="238" t="str">
        <f t="shared" si="4"/>
        <v/>
      </c>
      <c r="O123" s="233"/>
      <c r="P123" s="233"/>
      <c r="Q123" s="239" t="str">
        <f t="shared" si="5"/>
        <v/>
      </c>
      <c r="R123" s="235" t="str">
        <f t="shared" ca="1" si="6"/>
        <v/>
      </c>
      <c r="S123" s="237" t="str">
        <f t="shared" si="7"/>
        <v/>
      </c>
      <c r="T123" s="242"/>
    </row>
    <row r="124" spans="1:20" s="81" customFormat="1" x14ac:dyDescent="0.45">
      <c r="A124" s="231"/>
      <c r="B124" s="232"/>
      <c r="C124" s="232"/>
      <c r="D124" s="232"/>
      <c r="E124" s="232"/>
      <c r="F124" s="232"/>
      <c r="G124" s="232"/>
      <c r="H124" s="240"/>
      <c r="I124" s="233"/>
      <c r="J124" s="234" t="str" cm="1">
        <f t="array" ref="J124">IF(A124="","",COUNTA(_xlfn.UNIQUE(_xlfn._xlws.FILTER(TMA_Entreprises!G:G,TMA_Entreprises!A:A=A124))))</f>
        <v/>
      </c>
      <c r="K124" s="235" t="str">
        <f>IF(A124="","",IF(
COUNTIFS(TMA_Entreprises!$A$12:$A$220,A124,TMA_Entreprises!$J$12:$J$220,"Oui")=0,"Non",
IF(
COUNTIFS(TMA_Entreprises!$A$12:$A$220,A124,TMA_Entreprises!$J$12:$J$220,"Oui")=
COUNTIF(TMA_Entreprises!$A$12:$A$220,A124),"Oui",
"Partiel")))</f>
        <v/>
      </c>
      <c r="L124" s="236" t="str">
        <f>IF(A124="","",SUMIF(TMA_Entreprises!A:A,A124,TMA_Entreprises!L:L))</f>
        <v/>
      </c>
      <c r="M124" s="237"/>
      <c r="N124" s="238" t="str">
        <f t="shared" si="4"/>
        <v/>
      </c>
      <c r="O124" s="233"/>
      <c r="P124" s="233"/>
      <c r="Q124" s="239" t="str">
        <f t="shared" si="5"/>
        <v/>
      </c>
      <c r="R124" s="235" t="str">
        <f t="shared" ca="1" si="6"/>
        <v/>
      </c>
      <c r="S124" s="237" t="str">
        <f t="shared" si="7"/>
        <v/>
      </c>
      <c r="T124" s="242"/>
    </row>
    <row r="125" spans="1:20" s="81" customFormat="1" x14ac:dyDescent="0.45">
      <c r="A125" s="231"/>
      <c r="B125" s="232"/>
      <c r="C125" s="232"/>
      <c r="D125" s="232"/>
      <c r="E125" s="232"/>
      <c r="F125" s="232"/>
      <c r="G125" s="232"/>
      <c r="H125" s="240"/>
      <c r="I125" s="233"/>
      <c r="J125" s="234" t="str" cm="1">
        <f t="array" ref="J125">IF(A125="","",COUNTA(_xlfn.UNIQUE(_xlfn._xlws.FILTER(TMA_Entreprises!G:G,TMA_Entreprises!A:A=A125))))</f>
        <v/>
      </c>
      <c r="K125" s="235" t="str">
        <f>IF(A125="","",IF(
COUNTIFS(TMA_Entreprises!$A$12:$A$220,A125,TMA_Entreprises!$J$12:$J$220,"Oui")=0,"Non",
IF(
COUNTIFS(TMA_Entreprises!$A$12:$A$220,A125,TMA_Entreprises!$J$12:$J$220,"Oui")=
COUNTIF(TMA_Entreprises!$A$12:$A$220,A125),"Oui",
"Partiel")))</f>
        <v/>
      </c>
      <c r="L125" s="236" t="str">
        <f>IF(A125="","",SUMIF(TMA_Entreprises!A:A,A125,TMA_Entreprises!L:L))</f>
        <v/>
      </c>
      <c r="M125" s="237"/>
      <c r="N125" s="238" t="str">
        <f t="shared" si="4"/>
        <v/>
      </c>
      <c r="O125" s="233"/>
      <c r="P125" s="233"/>
      <c r="Q125" s="239" t="str">
        <f t="shared" si="5"/>
        <v/>
      </c>
      <c r="R125" s="235" t="str">
        <f t="shared" ca="1" si="6"/>
        <v/>
      </c>
      <c r="S125" s="237" t="str">
        <f t="shared" si="7"/>
        <v/>
      </c>
      <c r="T125" s="242"/>
    </row>
    <row r="126" spans="1:20" s="81" customFormat="1" x14ac:dyDescent="0.45">
      <c r="A126" s="231"/>
      <c r="B126" s="232"/>
      <c r="C126" s="232"/>
      <c r="D126" s="232"/>
      <c r="E126" s="232"/>
      <c r="F126" s="232"/>
      <c r="G126" s="232"/>
      <c r="H126" s="240"/>
      <c r="I126" s="233"/>
      <c r="J126" s="234" t="str" cm="1">
        <f t="array" ref="J126">IF(A126="","",COUNTA(_xlfn.UNIQUE(_xlfn._xlws.FILTER(TMA_Entreprises!G:G,TMA_Entreprises!A:A=A126))))</f>
        <v/>
      </c>
      <c r="K126" s="235" t="str">
        <f>IF(A126="","",IF(
COUNTIFS(TMA_Entreprises!$A$12:$A$220,A126,TMA_Entreprises!$J$12:$J$220,"Oui")=0,"Non",
IF(
COUNTIFS(TMA_Entreprises!$A$12:$A$220,A126,TMA_Entreprises!$J$12:$J$220,"Oui")=
COUNTIF(TMA_Entreprises!$A$12:$A$220,A126),"Oui",
"Partiel")))</f>
        <v/>
      </c>
      <c r="L126" s="236" t="str">
        <f>IF(A126="","",SUMIF(TMA_Entreprises!A:A,A126,TMA_Entreprises!L:L))</f>
        <v/>
      </c>
      <c r="M126" s="237"/>
      <c r="N126" s="238" t="str">
        <f t="shared" si="4"/>
        <v/>
      </c>
      <c r="O126" s="233"/>
      <c r="P126" s="233"/>
      <c r="Q126" s="239" t="str">
        <f t="shared" si="5"/>
        <v/>
      </c>
      <c r="R126" s="235" t="str">
        <f t="shared" ca="1" si="6"/>
        <v/>
      </c>
      <c r="S126" s="237" t="str">
        <f t="shared" si="7"/>
        <v/>
      </c>
      <c r="T126" s="242"/>
    </row>
    <row r="127" spans="1:20" s="81" customFormat="1" x14ac:dyDescent="0.45">
      <c r="A127" s="231"/>
      <c r="B127" s="232"/>
      <c r="C127" s="232"/>
      <c r="D127" s="232"/>
      <c r="E127" s="232"/>
      <c r="F127" s="232"/>
      <c r="G127" s="232"/>
      <c r="H127" s="240"/>
      <c r="I127" s="233"/>
      <c r="J127" s="234" t="str" cm="1">
        <f t="array" ref="J127">IF(A127="","",COUNTA(_xlfn.UNIQUE(_xlfn._xlws.FILTER(TMA_Entreprises!G:G,TMA_Entreprises!A:A=A127))))</f>
        <v/>
      </c>
      <c r="K127" s="235" t="str">
        <f>IF(A127="","",IF(
COUNTIFS(TMA_Entreprises!$A$12:$A$220,A127,TMA_Entreprises!$J$12:$J$220,"Oui")=0,"Non",
IF(
COUNTIFS(TMA_Entreprises!$A$12:$A$220,A127,TMA_Entreprises!$J$12:$J$220,"Oui")=
COUNTIF(TMA_Entreprises!$A$12:$A$220,A127),"Oui",
"Partiel")))</f>
        <v/>
      </c>
      <c r="L127" s="236" t="str">
        <f>IF(A127="","",SUMIF(TMA_Entreprises!A:A,A127,TMA_Entreprises!L:L))</f>
        <v/>
      </c>
      <c r="M127" s="237"/>
      <c r="N127" s="238" t="str">
        <f t="shared" si="4"/>
        <v/>
      </c>
      <c r="O127" s="233"/>
      <c r="P127" s="233"/>
      <c r="Q127" s="239" t="str">
        <f t="shared" si="5"/>
        <v/>
      </c>
      <c r="R127" s="235" t="str">
        <f t="shared" ca="1" si="6"/>
        <v/>
      </c>
      <c r="S127" s="237" t="str">
        <f t="shared" si="7"/>
        <v/>
      </c>
      <c r="T127" s="242"/>
    </row>
    <row r="128" spans="1:20" s="81" customFormat="1" x14ac:dyDescent="0.45">
      <c r="A128" s="231"/>
      <c r="B128" s="232"/>
      <c r="C128" s="232"/>
      <c r="D128" s="232"/>
      <c r="E128" s="232"/>
      <c r="F128" s="232"/>
      <c r="G128" s="232"/>
      <c r="H128" s="240"/>
      <c r="I128" s="233"/>
      <c r="J128" s="234" t="str" cm="1">
        <f t="array" ref="J128">IF(A128="","",COUNTA(_xlfn.UNIQUE(_xlfn._xlws.FILTER(TMA_Entreprises!G:G,TMA_Entreprises!A:A=A128))))</f>
        <v/>
      </c>
      <c r="K128" s="235" t="str">
        <f>IF(A128="","",IF(
COUNTIFS(TMA_Entreprises!$A$12:$A$220,A128,TMA_Entreprises!$J$12:$J$220,"Oui")=0,"Non",
IF(
COUNTIFS(TMA_Entreprises!$A$12:$A$220,A128,TMA_Entreprises!$J$12:$J$220,"Oui")=
COUNTIF(TMA_Entreprises!$A$12:$A$220,A128),"Oui",
"Partiel")))</f>
        <v/>
      </c>
      <c r="L128" s="236" t="str">
        <f>IF(A128="","",SUMIF(TMA_Entreprises!A:A,A128,TMA_Entreprises!L:L))</f>
        <v/>
      </c>
      <c r="M128" s="237"/>
      <c r="N128" s="238" t="str">
        <f t="shared" si="4"/>
        <v/>
      </c>
      <c r="O128" s="233"/>
      <c r="P128" s="233"/>
      <c r="Q128" s="239" t="str">
        <f t="shared" si="5"/>
        <v/>
      </c>
      <c r="R128" s="235" t="str">
        <f t="shared" ca="1" si="6"/>
        <v/>
      </c>
      <c r="S128" s="237" t="str">
        <f t="shared" si="7"/>
        <v/>
      </c>
      <c r="T128" s="242"/>
    </row>
    <row r="129" spans="1:20" s="81" customFormat="1" x14ac:dyDescent="0.45">
      <c r="A129" s="231"/>
      <c r="B129" s="232"/>
      <c r="C129" s="232"/>
      <c r="D129" s="232"/>
      <c r="E129" s="232"/>
      <c r="F129" s="232"/>
      <c r="G129" s="232"/>
      <c r="H129" s="240"/>
      <c r="I129" s="233"/>
      <c r="J129" s="234" t="str" cm="1">
        <f t="array" ref="J129">IF(A129="","",COUNTA(_xlfn.UNIQUE(_xlfn._xlws.FILTER(TMA_Entreprises!G:G,TMA_Entreprises!A:A=A129))))</f>
        <v/>
      </c>
      <c r="K129" s="235" t="str">
        <f>IF(A129="","",IF(
COUNTIFS(TMA_Entreprises!$A$12:$A$220,A129,TMA_Entreprises!$J$12:$J$220,"Oui")=0,"Non",
IF(
COUNTIFS(TMA_Entreprises!$A$12:$A$220,A129,TMA_Entreprises!$J$12:$J$220,"Oui")=
COUNTIF(TMA_Entreprises!$A$12:$A$220,A129),"Oui",
"Partiel")))</f>
        <v/>
      </c>
      <c r="L129" s="236" t="str">
        <f>IF(A129="","",SUMIF(TMA_Entreprises!A:A,A129,TMA_Entreprises!L:L))</f>
        <v/>
      </c>
      <c r="M129" s="237"/>
      <c r="N129" s="238" t="str">
        <f t="shared" si="4"/>
        <v/>
      </c>
      <c r="O129" s="233"/>
      <c r="P129" s="233"/>
      <c r="Q129" s="239" t="str">
        <f t="shared" si="5"/>
        <v/>
      </c>
      <c r="R129" s="235" t="str">
        <f t="shared" ca="1" si="6"/>
        <v/>
      </c>
      <c r="S129" s="237" t="str">
        <f t="shared" si="7"/>
        <v/>
      </c>
      <c r="T129" s="242"/>
    </row>
    <row r="130" spans="1:20" s="81" customFormat="1" x14ac:dyDescent="0.45">
      <c r="A130" s="231"/>
      <c r="B130" s="232"/>
      <c r="C130" s="232"/>
      <c r="D130" s="232"/>
      <c r="E130" s="232"/>
      <c r="F130" s="232"/>
      <c r="G130" s="232"/>
      <c r="H130" s="240"/>
      <c r="I130" s="233"/>
      <c r="J130" s="234" t="str" cm="1">
        <f t="array" ref="J130">IF(A130="","",COUNTA(_xlfn.UNIQUE(_xlfn._xlws.FILTER(TMA_Entreprises!G:G,TMA_Entreprises!A:A=A130))))</f>
        <v/>
      </c>
      <c r="K130" s="235" t="str">
        <f>IF(A130="","",IF(
COUNTIFS(TMA_Entreprises!$A$12:$A$220,A130,TMA_Entreprises!$J$12:$J$220,"Oui")=0,"Non",
IF(
COUNTIFS(TMA_Entreprises!$A$12:$A$220,A130,TMA_Entreprises!$J$12:$J$220,"Oui")=
COUNTIF(TMA_Entreprises!$A$12:$A$220,A130),"Oui",
"Partiel")))</f>
        <v/>
      </c>
      <c r="L130" s="236" t="str">
        <f>IF(A130="","",SUMIF(TMA_Entreprises!A:A,A130,TMA_Entreprises!L:L))</f>
        <v/>
      </c>
      <c r="M130" s="237"/>
      <c r="N130" s="238" t="str">
        <f t="shared" si="4"/>
        <v/>
      </c>
      <c r="O130" s="233"/>
      <c r="P130" s="233"/>
      <c r="Q130" s="239" t="str">
        <f t="shared" si="5"/>
        <v/>
      </c>
      <c r="R130" s="235" t="str">
        <f t="shared" ca="1" si="6"/>
        <v/>
      </c>
      <c r="S130" s="237" t="str">
        <f t="shared" si="7"/>
        <v/>
      </c>
      <c r="T130" s="242"/>
    </row>
    <row r="131" spans="1:20" s="81" customFormat="1" x14ac:dyDescent="0.45">
      <c r="A131" s="231"/>
      <c r="B131" s="232"/>
      <c r="C131" s="232"/>
      <c r="D131" s="232"/>
      <c r="E131" s="232"/>
      <c r="F131" s="232"/>
      <c r="G131" s="232"/>
      <c r="H131" s="240"/>
      <c r="I131" s="233"/>
      <c r="J131" s="234" t="str" cm="1">
        <f t="array" ref="J131">IF(A131="","",COUNTA(_xlfn.UNIQUE(_xlfn._xlws.FILTER(TMA_Entreprises!G:G,TMA_Entreprises!A:A=A131))))</f>
        <v/>
      </c>
      <c r="K131" s="235" t="str">
        <f>IF(A131="","",IF(
COUNTIFS(TMA_Entreprises!$A$12:$A$220,A131,TMA_Entreprises!$J$12:$J$220,"Oui")=0,"Non",
IF(
COUNTIFS(TMA_Entreprises!$A$12:$A$220,A131,TMA_Entreprises!$J$12:$J$220,"Oui")=
COUNTIF(TMA_Entreprises!$A$12:$A$220,A131),"Oui",
"Partiel")))</f>
        <v/>
      </c>
      <c r="L131" s="236" t="str">
        <f>IF(A131="","",SUMIF(TMA_Entreprises!A:A,A131,TMA_Entreprises!L:L))</f>
        <v/>
      </c>
      <c r="M131" s="237"/>
      <c r="N131" s="238" t="str">
        <f t="shared" si="4"/>
        <v/>
      </c>
      <c r="O131" s="233"/>
      <c r="P131" s="233"/>
      <c r="Q131" s="239" t="str">
        <f t="shared" si="5"/>
        <v/>
      </c>
      <c r="R131" s="235" t="str">
        <f t="shared" ca="1" si="6"/>
        <v/>
      </c>
      <c r="S131" s="237" t="str">
        <f t="shared" si="7"/>
        <v/>
      </c>
      <c r="T131" s="242"/>
    </row>
    <row r="132" spans="1:20" s="81" customFormat="1" x14ac:dyDescent="0.45">
      <c r="A132" s="231"/>
      <c r="B132" s="232"/>
      <c r="C132" s="232"/>
      <c r="D132" s="232"/>
      <c r="E132" s="232"/>
      <c r="F132" s="232"/>
      <c r="G132" s="232"/>
      <c r="H132" s="240"/>
      <c r="I132" s="233"/>
      <c r="J132" s="234" t="str" cm="1">
        <f t="array" ref="J132">IF(A132="","",COUNTA(_xlfn.UNIQUE(_xlfn._xlws.FILTER(TMA_Entreprises!G:G,TMA_Entreprises!A:A=A132))))</f>
        <v/>
      </c>
      <c r="K132" s="235" t="str">
        <f>IF(A132="","",IF(
COUNTIFS(TMA_Entreprises!$A$12:$A$220,A132,TMA_Entreprises!$J$12:$J$220,"Oui")=0,"Non",
IF(
COUNTIFS(TMA_Entreprises!$A$12:$A$220,A132,TMA_Entreprises!$J$12:$J$220,"Oui")=
COUNTIF(TMA_Entreprises!$A$12:$A$220,A132),"Oui",
"Partiel")))</f>
        <v/>
      </c>
      <c r="L132" s="236" t="str">
        <f>IF(A132="","",SUMIF(TMA_Entreprises!A:A,A132,TMA_Entreprises!L:L))</f>
        <v/>
      </c>
      <c r="M132" s="237"/>
      <c r="N132" s="238" t="str">
        <f t="shared" si="4"/>
        <v/>
      </c>
      <c r="O132" s="233"/>
      <c r="P132" s="233"/>
      <c r="Q132" s="239" t="str">
        <f t="shared" si="5"/>
        <v/>
      </c>
      <c r="R132" s="235" t="str">
        <f t="shared" ca="1" si="6"/>
        <v/>
      </c>
      <c r="S132" s="237" t="str">
        <f t="shared" si="7"/>
        <v/>
      </c>
      <c r="T132" s="242"/>
    </row>
    <row r="133" spans="1:20" s="81" customFormat="1" x14ac:dyDescent="0.45">
      <c r="A133" s="231"/>
      <c r="B133" s="232"/>
      <c r="C133" s="232"/>
      <c r="D133" s="232"/>
      <c r="E133" s="232"/>
      <c r="F133" s="232"/>
      <c r="G133" s="232"/>
      <c r="H133" s="240"/>
      <c r="I133" s="233"/>
      <c r="J133" s="234" t="str" cm="1">
        <f t="array" ref="J133">IF(A133="","",COUNTA(_xlfn.UNIQUE(_xlfn._xlws.FILTER(TMA_Entreprises!G:G,TMA_Entreprises!A:A=A133))))</f>
        <v/>
      </c>
      <c r="K133" s="235" t="str">
        <f>IF(A133="","",IF(
COUNTIFS(TMA_Entreprises!$A$12:$A$220,A133,TMA_Entreprises!$J$12:$J$220,"Oui")=0,"Non",
IF(
COUNTIFS(TMA_Entreprises!$A$12:$A$220,A133,TMA_Entreprises!$J$12:$J$220,"Oui")=
COUNTIF(TMA_Entreprises!$A$12:$A$220,A133),"Oui",
"Partiel")))</f>
        <v/>
      </c>
      <c r="L133" s="236" t="str">
        <f>IF(A133="","",SUMIF(TMA_Entreprises!A:A,A133,TMA_Entreprises!L:L))</f>
        <v/>
      </c>
      <c r="M133" s="237"/>
      <c r="N133" s="238" t="str">
        <f t="shared" si="4"/>
        <v/>
      </c>
      <c r="O133" s="233"/>
      <c r="P133" s="233"/>
      <c r="Q133" s="239" t="str">
        <f t="shared" si="5"/>
        <v/>
      </c>
      <c r="R133" s="235" t="str">
        <f t="shared" ca="1" si="6"/>
        <v/>
      </c>
      <c r="S133" s="237" t="str">
        <f t="shared" si="7"/>
        <v/>
      </c>
      <c r="T133" s="242"/>
    </row>
    <row r="134" spans="1:20" s="81" customFormat="1" x14ac:dyDescent="0.45">
      <c r="A134" s="231"/>
      <c r="B134" s="232"/>
      <c r="C134" s="232"/>
      <c r="D134" s="232"/>
      <c r="E134" s="232"/>
      <c r="F134" s="232"/>
      <c r="G134" s="232"/>
      <c r="H134" s="240"/>
      <c r="I134" s="233"/>
      <c r="J134" s="234" t="str" cm="1">
        <f t="array" ref="J134">IF(A134="","",COUNTA(_xlfn.UNIQUE(_xlfn._xlws.FILTER(TMA_Entreprises!G:G,TMA_Entreprises!A:A=A134))))</f>
        <v/>
      </c>
      <c r="K134" s="235" t="str">
        <f>IF(A134="","",IF(
COUNTIFS(TMA_Entreprises!$A$12:$A$220,A134,TMA_Entreprises!$J$12:$J$220,"Oui")=0,"Non",
IF(
COUNTIFS(TMA_Entreprises!$A$12:$A$220,A134,TMA_Entreprises!$J$12:$J$220,"Oui")=
COUNTIF(TMA_Entreprises!$A$12:$A$220,A134),"Oui",
"Partiel")))</f>
        <v/>
      </c>
      <c r="L134" s="236" t="str">
        <f>IF(A134="","",SUMIF(TMA_Entreprises!A:A,A134,TMA_Entreprises!L:L))</f>
        <v/>
      </c>
      <c r="M134" s="237"/>
      <c r="N134" s="238" t="str">
        <f t="shared" si="4"/>
        <v/>
      </c>
      <c r="O134" s="233"/>
      <c r="P134" s="233"/>
      <c r="Q134" s="239" t="str">
        <f t="shared" si="5"/>
        <v/>
      </c>
      <c r="R134" s="235" t="str">
        <f t="shared" ca="1" si="6"/>
        <v/>
      </c>
      <c r="S134" s="237" t="str">
        <f t="shared" si="7"/>
        <v/>
      </c>
      <c r="T134" s="242"/>
    </row>
    <row r="135" spans="1:20" s="81" customFormat="1" x14ac:dyDescent="0.45">
      <c r="A135" s="231"/>
      <c r="B135" s="232"/>
      <c r="C135" s="232"/>
      <c r="D135" s="232"/>
      <c r="E135" s="232"/>
      <c r="F135" s="232"/>
      <c r="G135" s="232"/>
      <c r="H135" s="240"/>
      <c r="I135" s="233"/>
      <c r="J135" s="234" t="str" cm="1">
        <f t="array" ref="J135">IF(A135="","",COUNTA(_xlfn.UNIQUE(_xlfn._xlws.FILTER(TMA_Entreprises!G:G,TMA_Entreprises!A:A=A135))))</f>
        <v/>
      </c>
      <c r="K135" s="235" t="str">
        <f>IF(A135="","",IF(
COUNTIFS(TMA_Entreprises!$A$12:$A$220,A135,TMA_Entreprises!$J$12:$J$220,"Oui")=0,"Non",
IF(
COUNTIFS(TMA_Entreprises!$A$12:$A$220,A135,TMA_Entreprises!$J$12:$J$220,"Oui")=
COUNTIF(TMA_Entreprises!$A$12:$A$220,A135),"Oui",
"Partiel")))</f>
        <v/>
      </c>
      <c r="L135" s="236" t="str">
        <f>IF(A135="","",SUMIF(TMA_Entreprises!A:A,A135,TMA_Entreprises!L:L))</f>
        <v/>
      </c>
      <c r="M135" s="237"/>
      <c r="N135" s="238" t="str">
        <f t="shared" si="4"/>
        <v/>
      </c>
      <c r="O135" s="233"/>
      <c r="P135" s="233"/>
      <c r="Q135" s="239" t="str">
        <f t="shared" si="5"/>
        <v/>
      </c>
      <c r="R135" s="235" t="str">
        <f t="shared" ca="1" si="6"/>
        <v/>
      </c>
      <c r="S135" s="237" t="str">
        <f t="shared" si="7"/>
        <v/>
      </c>
      <c r="T135" s="242"/>
    </row>
    <row r="136" spans="1:20" s="81" customFormat="1" x14ac:dyDescent="0.45">
      <c r="A136" s="231"/>
      <c r="B136" s="232"/>
      <c r="C136" s="232"/>
      <c r="D136" s="232"/>
      <c r="E136" s="232"/>
      <c r="F136" s="232"/>
      <c r="G136" s="232"/>
      <c r="H136" s="240"/>
      <c r="I136" s="233"/>
      <c r="J136" s="234" t="str" cm="1">
        <f t="array" ref="J136">IF(A136="","",COUNTA(_xlfn.UNIQUE(_xlfn._xlws.FILTER(TMA_Entreprises!G:G,TMA_Entreprises!A:A=A136))))</f>
        <v/>
      </c>
      <c r="K136" s="235" t="str">
        <f>IF(A136="","",IF(
COUNTIFS(TMA_Entreprises!$A$12:$A$220,A136,TMA_Entreprises!$J$12:$J$220,"Oui")=0,"Non",
IF(
COUNTIFS(TMA_Entreprises!$A$12:$A$220,A136,TMA_Entreprises!$J$12:$J$220,"Oui")=
COUNTIF(TMA_Entreprises!$A$12:$A$220,A136),"Oui",
"Partiel")))</f>
        <v/>
      </c>
      <c r="L136" s="236" t="str">
        <f>IF(A136="","",SUMIF(TMA_Entreprises!A:A,A136,TMA_Entreprises!L:L))</f>
        <v/>
      </c>
      <c r="M136" s="237"/>
      <c r="N136" s="238" t="str">
        <f t="shared" si="4"/>
        <v/>
      </c>
      <c r="O136" s="233"/>
      <c r="P136" s="233"/>
      <c r="Q136" s="239" t="str">
        <f t="shared" si="5"/>
        <v/>
      </c>
      <c r="R136" s="235" t="str">
        <f t="shared" ca="1" si="6"/>
        <v/>
      </c>
      <c r="S136" s="237" t="str">
        <f t="shared" si="7"/>
        <v/>
      </c>
      <c r="T136" s="242"/>
    </row>
    <row r="137" spans="1:20" s="81" customFormat="1" x14ac:dyDescent="0.45">
      <c r="A137" s="231"/>
      <c r="B137" s="232"/>
      <c r="C137" s="232"/>
      <c r="D137" s="232"/>
      <c r="E137" s="232"/>
      <c r="F137" s="232"/>
      <c r="G137" s="232"/>
      <c r="H137" s="240"/>
      <c r="I137" s="233"/>
      <c r="J137" s="234" t="str" cm="1">
        <f t="array" ref="J137">IF(A137="","",COUNTA(_xlfn.UNIQUE(_xlfn._xlws.FILTER(TMA_Entreprises!G:G,TMA_Entreprises!A:A=A137))))</f>
        <v/>
      </c>
      <c r="K137" s="235" t="str">
        <f>IF(A137="","",IF(
COUNTIFS(TMA_Entreprises!$A$12:$A$220,A137,TMA_Entreprises!$J$12:$J$220,"Oui")=0,"Non",
IF(
COUNTIFS(TMA_Entreprises!$A$12:$A$220,A137,TMA_Entreprises!$J$12:$J$220,"Oui")=
COUNTIF(TMA_Entreprises!$A$12:$A$220,A137),"Oui",
"Partiel")))</f>
        <v/>
      </c>
      <c r="L137" s="236" t="str">
        <f>IF(A137="","",SUMIF(TMA_Entreprises!A:A,A137,TMA_Entreprises!L:L))</f>
        <v/>
      </c>
      <c r="M137" s="237"/>
      <c r="N137" s="238" t="str">
        <f t="shared" si="4"/>
        <v/>
      </c>
      <c r="O137" s="233"/>
      <c r="P137" s="233"/>
      <c r="Q137" s="239" t="str">
        <f t="shared" si="5"/>
        <v/>
      </c>
      <c r="R137" s="235" t="str">
        <f t="shared" ca="1" si="6"/>
        <v/>
      </c>
      <c r="S137" s="237" t="str">
        <f t="shared" si="7"/>
        <v/>
      </c>
      <c r="T137" s="242"/>
    </row>
    <row r="138" spans="1:20" s="81" customFormat="1" x14ac:dyDescent="0.45">
      <c r="A138" s="231"/>
      <c r="B138" s="232"/>
      <c r="C138" s="232"/>
      <c r="D138" s="232"/>
      <c r="E138" s="232"/>
      <c r="F138" s="232"/>
      <c r="G138" s="232"/>
      <c r="H138" s="240"/>
      <c r="I138" s="233"/>
      <c r="J138" s="234" t="str" cm="1">
        <f t="array" ref="J138">IF(A138="","",COUNTA(_xlfn.UNIQUE(_xlfn._xlws.FILTER(TMA_Entreprises!G:G,TMA_Entreprises!A:A=A138))))</f>
        <v/>
      </c>
      <c r="K138" s="235" t="str">
        <f>IF(A138="","",IF(
COUNTIFS(TMA_Entreprises!$A$12:$A$220,A138,TMA_Entreprises!$J$12:$J$220,"Oui")=0,"Non",
IF(
COUNTIFS(TMA_Entreprises!$A$12:$A$220,A138,TMA_Entreprises!$J$12:$J$220,"Oui")=
COUNTIF(TMA_Entreprises!$A$12:$A$220,A138),"Oui",
"Partiel")))</f>
        <v/>
      </c>
      <c r="L138" s="236" t="str">
        <f>IF(A138="","",SUMIF(TMA_Entreprises!A:A,A138,TMA_Entreprises!L:L))</f>
        <v/>
      </c>
      <c r="M138" s="237"/>
      <c r="N138" s="238" t="str">
        <f t="shared" si="4"/>
        <v/>
      </c>
      <c r="O138" s="233"/>
      <c r="P138" s="233"/>
      <c r="Q138" s="239" t="str">
        <f t="shared" si="5"/>
        <v/>
      </c>
      <c r="R138" s="235" t="str">
        <f t="shared" ca="1" si="6"/>
        <v/>
      </c>
      <c r="S138" s="237" t="str">
        <f t="shared" si="7"/>
        <v/>
      </c>
      <c r="T138" s="242"/>
    </row>
    <row r="139" spans="1:20" s="81" customFormat="1" x14ac:dyDescent="0.45">
      <c r="A139" s="231"/>
      <c r="B139" s="232"/>
      <c r="C139" s="232"/>
      <c r="D139" s="232"/>
      <c r="E139" s="232"/>
      <c r="F139" s="232"/>
      <c r="G139" s="232"/>
      <c r="H139" s="240"/>
      <c r="I139" s="233"/>
      <c r="J139" s="234" t="str" cm="1">
        <f t="array" ref="J139">IF(A139="","",COUNTA(_xlfn.UNIQUE(_xlfn._xlws.FILTER(TMA_Entreprises!G:G,TMA_Entreprises!A:A=A139))))</f>
        <v/>
      </c>
      <c r="K139" s="235" t="str">
        <f>IF(A139="","",IF(
COUNTIFS(TMA_Entreprises!$A$12:$A$220,A139,TMA_Entreprises!$J$12:$J$220,"Oui")=0,"Non",
IF(
COUNTIFS(TMA_Entreprises!$A$12:$A$220,A139,TMA_Entreprises!$J$12:$J$220,"Oui")=
COUNTIF(TMA_Entreprises!$A$12:$A$220,A139),"Oui",
"Partiel")))</f>
        <v/>
      </c>
      <c r="L139" s="236" t="str">
        <f>IF(A139="","",SUMIF(TMA_Entreprises!A:A,A139,TMA_Entreprises!L:L))</f>
        <v/>
      </c>
      <c r="M139" s="237"/>
      <c r="N139" s="238" t="str">
        <f t="shared" si="4"/>
        <v/>
      </c>
      <c r="O139" s="233"/>
      <c r="P139" s="233"/>
      <c r="Q139" s="239" t="str">
        <f t="shared" si="5"/>
        <v/>
      </c>
      <c r="R139" s="235" t="str">
        <f t="shared" ca="1" si="6"/>
        <v/>
      </c>
      <c r="S139" s="237" t="str">
        <f t="shared" si="7"/>
        <v/>
      </c>
      <c r="T139" s="242"/>
    </row>
    <row r="140" spans="1:20" s="81" customFormat="1" x14ac:dyDescent="0.45">
      <c r="A140" s="231"/>
      <c r="B140" s="232"/>
      <c r="C140" s="232"/>
      <c r="D140" s="232"/>
      <c r="E140" s="232"/>
      <c r="F140" s="232"/>
      <c r="G140" s="232"/>
      <c r="H140" s="240"/>
      <c r="I140" s="233"/>
      <c r="J140" s="234" t="str" cm="1">
        <f t="array" ref="J140">IF(A140="","",COUNTA(_xlfn.UNIQUE(_xlfn._xlws.FILTER(TMA_Entreprises!G:G,TMA_Entreprises!A:A=A140))))</f>
        <v/>
      </c>
      <c r="K140" s="235" t="str">
        <f>IF(A140="","",IF(
COUNTIFS(TMA_Entreprises!$A$12:$A$220,A140,TMA_Entreprises!$J$12:$J$220,"Oui")=0,"Non",
IF(
COUNTIFS(TMA_Entreprises!$A$12:$A$220,A140,TMA_Entreprises!$J$12:$J$220,"Oui")=
COUNTIF(TMA_Entreprises!$A$12:$A$220,A140),"Oui",
"Partiel")))</f>
        <v/>
      </c>
      <c r="L140" s="236" t="str">
        <f>IF(A140="","",SUMIF(TMA_Entreprises!A:A,A140,TMA_Entreprises!L:L))</f>
        <v/>
      </c>
      <c r="M140" s="237"/>
      <c r="N140" s="238" t="str">
        <f t="shared" ref="N140:N203" si="8">IF(L140="","",IF(L140&gt;0,L140*1.3,L140))</f>
        <v/>
      </c>
      <c r="O140" s="233"/>
      <c r="P140" s="233"/>
      <c r="Q140" s="239" t="str">
        <f t="shared" ref="Q140:Q203" si="9">IF(O140="","",O140+15)</f>
        <v/>
      </c>
      <c r="R140" s="235" t="str">
        <f t="shared" ref="R140:R203" ca="1" si="10">IF(A140="","",IF(AND(Q140&lt;TODAY(),P140=""),"Oui","Non"))</f>
        <v/>
      </c>
      <c r="S140" s="237" t="str">
        <f t="shared" ref="S140:S203" si="11">IF(A140="","",IF(P140&lt;&gt;"","Validé",IF(O140="NON","Refusé",IF(K140="Oui","Chiffré",IF(AND(I140&lt;&gt;"",K140&lt;&gt;"Oui"),"Étude",IF(AND(H140&lt;&gt;"",I140=""),"Demande",""))))))</f>
        <v/>
      </c>
      <c r="T140" s="242"/>
    </row>
    <row r="141" spans="1:20" s="81" customFormat="1" x14ac:dyDescent="0.45">
      <c r="A141" s="231"/>
      <c r="B141" s="232"/>
      <c r="C141" s="232"/>
      <c r="D141" s="232"/>
      <c r="E141" s="232"/>
      <c r="F141" s="232"/>
      <c r="G141" s="232"/>
      <c r="H141" s="240"/>
      <c r="I141" s="233"/>
      <c r="J141" s="234" t="str" cm="1">
        <f t="array" ref="J141">IF(A141="","",COUNTA(_xlfn.UNIQUE(_xlfn._xlws.FILTER(TMA_Entreprises!G:G,TMA_Entreprises!A:A=A141))))</f>
        <v/>
      </c>
      <c r="K141" s="235" t="str">
        <f>IF(A141="","",IF(
COUNTIFS(TMA_Entreprises!$A$12:$A$220,A141,TMA_Entreprises!$J$12:$J$220,"Oui")=0,"Non",
IF(
COUNTIFS(TMA_Entreprises!$A$12:$A$220,A141,TMA_Entreprises!$J$12:$J$220,"Oui")=
COUNTIF(TMA_Entreprises!$A$12:$A$220,A141),"Oui",
"Partiel")))</f>
        <v/>
      </c>
      <c r="L141" s="236" t="str">
        <f>IF(A141="","",SUMIF(TMA_Entreprises!A:A,A141,TMA_Entreprises!L:L))</f>
        <v/>
      </c>
      <c r="M141" s="237"/>
      <c r="N141" s="238" t="str">
        <f t="shared" si="8"/>
        <v/>
      </c>
      <c r="O141" s="233"/>
      <c r="P141" s="233"/>
      <c r="Q141" s="239" t="str">
        <f t="shared" si="9"/>
        <v/>
      </c>
      <c r="R141" s="235" t="str">
        <f t="shared" ca="1" si="10"/>
        <v/>
      </c>
      <c r="S141" s="237" t="str">
        <f t="shared" si="11"/>
        <v/>
      </c>
      <c r="T141" s="242"/>
    </row>
    <row r="142" spans="1:20" s="81" customFormat="1" x14ac:dyDescent="0.45">
      <c r="A142" s="231"/>
      <c r="B142" s="232"/>
      <c r="C142" s="232"/>
      <c r="D142" s="232"/>
      <c r="E142" s="232"/>
      <c r="F142" s="232"/>
      <c r="G142" s="232"/>
      <c r="H142" s="240"/>
      <c r="I142" s="233"/>
      <c r="J142" s="234" t="str" cm="1">
        <f t="array" ref="J142">IF(A142="","",COUNTA(_xlfn.UNIQUE(_xlfn._xlws.FILTER(TMA_Entreprises!G:G,TMA_Entreprises!A:A=A142))))</f>
        <v/>
      </c>
      <c r="K142" s="235" t="str">
        <f>IF(A142="","",IF(
COUNTIFS(TMA_Entreprises!$A$12:$A$220,A142,TMA_Entreprises!$J$12:$J$220,"Oui")=0,"Non",
IF(
COUNTIFS(TMA_Entreprises!$A$12:$A$220,A142,TMA_Entreprises!$J$12:$J$220,"Oui")=
COUNTIF(TMA_Entreprises!$A$12:$A$220,A142),"Oui",
"Partiel")))</f>
        <v/>
      </c>
      <c r="L142" s="236" t="str">
        <f>IF(A142="","",SUMIF(TMA_Entreprises!A:A,A142,TMA_Entreprises!L:L))</f>
        <v/>
      </c>
      <c r="M142" s="237"/>
      <c r="N142" s="238" t="str">
        <f t="shared" si="8"/>
        <v/>
      </c>
      <c r="O142" s="233"/>
      <c r="P142" s="233"/>
      <c r="Q142" s="239" t="str">
        <f t="shared" si="9"/>
        <v/>
      </c>
      <c r="R142" s="235" t="str">
        <f t="shared" ca="1" si="10"/>
        <v/>
      </c>
      <c r="S142" s="237" t="str">
        <f t="shared" si="11"/>
        <v/>
      </c>
      <c r="T142" s="242"/>
    </row>
    <row r="143" spans="1:20" s="81" customFormat="1" x14ac:dyDescent="0.45">
      <c r="A143" s="231"/>
      <c r="B143" s="232"/>
      <c r="C143" s="232"/>
      <c r="D143" s="232"/>
      <c r="E143" s="232"/>
      <c r="F143" s="232"/>
      <c r="G143" s="232"/>
      <c r="H143" s="240"/>
      <c r="I143" s="233"/>
      <c r="J143" s="234" t="str" cm="1">
        <f t="array" ref="J143">IF(A143="","",COUNTA(_xlfn.UNIQUE(_xlfn._xlws.FILTER(TMA_Entreprises!G:G,TMA_Entreprises!A:A=A143))))</f>
        <v/>
      </c>
      <c r="K143" s="235" t="str">
        <f>IF(A143="","",IF(
COUNTIFS(TMA_Entreprises!$A$12:$A$220,A143,TMA_Entreprises!$J$12:$J$220,"Oui")=0,"Non",
IF(
COUNTIFS(TMA_Entreprises!$A$12:$A$220,A143,TMA_Entreprises!$J$12:$J$220,"Oui")=
COUNTIF(TMA_Entreprises!$A$12:$A$220,A143),"Oui",
"Partiel")))</f>
        <v/>
      </c>
      <c r="L143" s="236" t="str">
        <f>IF(A143="","",SUMIF(TMA_Entreprises!A:A,A143,TMA_Entreprises!L:L))</f>
        <v/>
      </c>
      <c r="M143" s="237"/>
      <c r="N143" s="238" t="str">
        <f t="shared" si="8"/>
        <v/>
      </c>
      <c r="O143" s="233"/>
      <c r="P143" s="233"/>
      <c r="Q143" s="239" t="str">
        <f t="shared" si="9"/>
        <v/>
      </c>
      <c r="R143" s="235" t="str">
        <f t="shared" ca="1" si="10"/>
        <v/>
      </c>
      <c r="S143" s="237" t="str">
        <f t="shared" si="11"/>
        <v/>
      </c>
      <c r="T143" s="242"/>
    </row>
    <row r="144" spans="1:20" s="81" customFormat="1" x14ac:dyDescent="0.45">
      <c r="A144" s="231"/>
      <c r="B144" s="232"/>
      <c r="C144" s="232"/>
      <c r="D144" s="232"/>
      <c r="E144" s="232"/>
      <c r="F144" s="232"/>
      <c r="G144" s="232"/>
      <c r="H144" s="240"/>
      <c r="I144" s="233"/>
      <c r="J144" s="234" t="str" cm="1">
        <f t="array" ref="J144">IF(A144="","",COUNTA(_xlfn.UNIQUE(_xlfn._xlws.FILTER(TMA_Entreprises!G:G,TMA_Entreprises!A:A=A144))))</f>
        <v/>
      </c>
      <c r="K144" s="235" t="str">
        <f>IF(A144="","",IF(
COUNTIFS(TMA_Entreprises!$A$12:$A$220,A144,TMA_Entreprises!$J$12:$J$220,"Oui")=0,"Non",
IF(
COUNTIFS(TMA_Entreprises!$A$12:$A$220,A144,TMA_Entreprises!$J$12:$J$220,"Oui")=
COUNTIF(TMA_Entreprises!$A$12:$A$220,A144),"Oui",
"Partiel")))</f>
        <v/>
      </c>
      <c r="L144" s="236" t="str">
        <f>IF(A144="","",SUMIF(TMA_Entreprises!A:A,A144,TMA_Entreprises!L:L))</f>
        <v/>
      </c>
      <c r="M144" s="237"/>
      <c r="N144" s="238" t="str">
        <f t="shared" si="8"/>
        <v/>
      </c>
      <c r="O144" s="233"/>
      <c r="P144" s="233"/>
      <c r="Q144" s="239" t="str">
        <f t="shared" si="9"/>
        <v/>
      </c>
      <c r="R144" s="235" t="str">
        <f t="shared" ca="1" si="10"/>
        <v/>
      </c>
      <c r="S144" s="237" t="str">
        <f t="shared" si="11"/>
        <v/>
      </c>
      <c r="T144" s="242"/>
    </row>
    <row r="145" spans="1:20" s="81" customFormat="1" x14ac:dyDescent="0.45">
      <c r="A145" s="231"/>
      <c r="B145" s="232"/>
      <c r="C145" s="232"/>
      <c r="D145" s="232"/>
      <c r="E145" s="232"/>
      <c r="F145" s="232"/>
      <c r="G145" s="232"/>
      <c r="H145" s="240"/>
      <c r="I145" s="233"/>
      <c r="J145" s="234" t="str" cm="1">
        <f t="array" ref="J145">IF(A145="","",COUNTA(_xlfn.UNIQUE(_xlfn._xlws.FILTER(TMA_Entreprises!G:G,TMA_Entreprises!A:A=A145))))</f>
        <v/>
      </c>
      <c r="K145" s="235" t="str">
        <f>IF(A145="","",IF(
COUNTIFS(TMA_Entreprises!$A$12:$A$220,A145,TMA_Entreprises!$J$12:$J$220,"Oui")=0,"Non",
IF(
COUNTIFS(TMA_Entreprises!$A$12:$A$220,A145,TMA_Entreprises!$J$12:$J$220,"Oui")=
COUNTIF(TMA_Entreprises!$A$12:$A$220,A145),"Oui",
"Partiel")))</f>
        <v/>
      </c>
      <c r="L145" s="236" t="str">
        <f>IF(A145="","",SUMIF(TMA_Entreprises!A:A,A145,TMA_Entreprises!L:L))</f>
        <v/>
      </c>
      <c r="M145" s="237"/>
      <c r="N145" s="238" t="str">
        <f t="shared" si="8"/>
        <v/>
      </c>
      <c r="O145" s="233"/>
      <c r="P145" s="233"/>
      <c r="Q145" s="239" t="str">
        <f t="shared" si="9"/>
        <v/>
      </c>
      <c r="R145" s="235" t="str">
        <f t="shared" ca="1" si="10"/>
        <v/>
      </c>
      <c r="S145" s="237" t="str">
        <f t="shared" si="11"/>
        <v/>
      </c>
      <c r="T145" s="242"/>
    </row>
    <row r="146" spans="1:20" s="81" customFormat="1" x14ac:dyDescent="0.45">
      <c r="A146" s="231"/>
      <c r="B146" s="232"/>
      <c r="C146" s="232"/>
      <c r="D146" s="232"/>
      <c r="E146" s="232"/>
      <c r="F146" s="232"/>
      <c r="G146" s="232"/>
      <c r="H146" s="240"/>
      <c r="I146" s="233"/>
      <c r="J146" s="234" t="str" cm="1">
        <f t="array" ref="J146">IF(A146="","",COUNTA(_xlfn.UNIQUE(_xlfn._xlws.FILTER(TMA_Entreprises!G:G,TMA_Entreprises!A:A=A146))))</f>
        <v/>
      </c>
      <c r="K146" s="235" t="str">
        <f>IF(A146="","",IF(
COUNTIFS(TMA_Entreprises!$A$12:$A$220,A146,TMA_Entreprises!$J$12:$J$220,"Oui")=0,"Non",
IF(
COUNTIFS(TMA_Entreprises!$A$12:$A$220,A146,TMA_Entreprises!$J$12:$J$220,"Oui")=
COUNTIF(TMA_Entreprises!$A$12:$A$220,A146),"Oui",
"Partiel")))</f>
        <v/>
      </c>
      <c r="L146" s="236" t="str">
        <f>IF(A146="","",SUMIF(TMA_Entreprises!A:A,A146,TMA_Entreprises!L:L))</f>
        <v/>
      </c>
      <c r="M146" s="237"/>
      <c r="N146" s="238" t="str">
        <f t="shared" si="8"/>
        <v/>
      </c>
      <c r="O146" s="233"/>
      <c r="P146" s="233"/>
      <c r="Q146" s="239" t="str">
        <f t="shared" si="9"/>
        <v/>
      </c>
      <c r="R146" s="235" t="str">
        <f t="shared" ca="1" si="10"/>
        <v/>
      </c>
      <c r="S146" s="237" t="str">
        <f t="shared" si="11"/>
        <v/>
      </c>
      <c r="T146" s="242"/>
    </row>
    <row r="147" spans="1:20" s="81" customFormat="1" x14ac:dyDescent="0.45">
      <c r="A147" s="231"/>
      <c r="B147" s="232"/>
      <c r="C147" s="232"/>
      <c r="D147" s="232"/>
      <c r="E147" s="232"/>
      <c r="F147" s="232"/>
      <c r="G147" s="232"/>
      <c r="H147" s="240"/>
      <c r="I147" s="233"/>
      <c r="J147" s="234" t="str" cm="1">
        <f t="array" ref="J147">IF(A147="","",COUNTA(_xlfn.UNIQUE(_xlfn._xlws.FILTER(TMA_Entreprises!G:G,TMA_Entreprises!A:A=A147))))</f>
        <v/>
      </c>
      <c r="K147" s="235" t="str">
        <f>IF(A147="","",IF(
COUNTIFS(TMA_Entreprises!$A$12:$A$220,A147,TMA_Entreprises!$J$12:$J$220,"Oui")=0,"Non",
IF(
COUNTIFS(TMA_Entreprises!$A$12:$A$220,A147,TMA_Entreprises!$J$12:$J$220,"Oui")=
COUNTIF(TMA_Entreprises!$A$12:$A$220,A147),"Oui",
"Partiel")))</f>
        <v/>
      </c>
      <c r="L147" s="236" t="str">
        <f>IF(A147="","",SUMIF(TMA_Entreprises!A:A,A147,TMA_Entreprises!L:L))</f>
        <v/>
      </c>
      <c r="M147" s="237"/>
      <c r="N147" s="238" t="str">
        <f t="shared" si="8"/>
        <v/>
      </c>
      <c r="O147" s="233"/>
      <c r="P147" s="233"/>
      <c r="Q147" s="239" t="str">
        <f t="shared" si="9"/>
        <v/>
      </c>
      <c r="R147" s="235" t="str">
        <f t="shared" ca="1" si="10"/>
        <v/>
      </c>
      <c r="S147" s="237" t="str">
        <f t="shared" si="11"/>
        <v/>
      </c>
      <c r="T147" s="242"/>
    </row>
    <row r="148" spans="1:20" s="81" customFormat="1" x14ac:dyDescent="0.45">
      <c r="A148" s="231"/>
      <c r="B148" s="232"/>
      <c r="C148" s="232"/>
      <c r="D148" s="232"/>
      <c r="E148" s="232"/>
      <c r="F148" s="232"/>
      <c r="G148" s="232"/>
      <c r="H148" s="240"/>
      <c r="I148" s="233"/>
      <c r="J148" s="234" t="str" cm="1">
        <f t="array" ref="J148">IF(A148="","",COUNTA(_xlfn.UNIQUE(_xlfn._xlws.FILTER(TMA_Entreprises!G:G,TMA_Entreprises!A:A=A148))))</f>
        <v/>
      </c>
      <c r="K148" s="235" t="str">
        <f>IF(A148="","",IF(
COUNTIFS(TMA_Entreprises!$A$12:$A$220,A148,TMA_Entreprises!$J$12:$J$220,"Oui")=0,"Non",
IF(
COUNTIFS(TMA_Entreprises!$A$12:$A$220,A148,TMA_Entreprises!$J$12:$J$220,"Oui")=
COUNTIF(TMA_Entreprises!$A$12:$A$220,A148),"Oui",
"Partiel")))</f>
        <v/>
      </c>
      <c r="L148" s="236" t="str">
        <f>IF(A148="","",SUMIF(TMA_Entreprises!A:A,A148,TMA_Entreprises!L:L))</f>
        <v/>
      </c>
      <c r="M148" s="237"/>
      <c r="N148" s="238" t="str">
        <f t="shared" si="8"/>
        <v/>
      </c>
      <c r="O148" s="233"/>
      <c r="P148" s="233"/>
      <c r="Q148" s="239" t="str">
        <f t="shared" si="9"/>
        <v/>
      </c>
      <c r="R148" s="235" t="str">
        <f t="shared" ca="1" si="10"/>
        <v/>
      </c>
      <c r="S148" s="237" t="str">
        <f t="shared" si="11"/>
        <v/>
      </c>
      <c r="T148" s="242"/>
    </row>
    <row r="149" spans="1:20" s="81" customFormat="1" x14ac:dyDescent="0.45">
      <c r="A149" s="231"/>
      <c r="B149" s="232"/>
      <c r="C149" s="232"/>
      <c r="D149" s="232"/>
      <c r="E149" s="232"/>
      <c r="F149" s="232"/>
      <c r="G149" s="232"/>
      <c r="H149" s="240"/>
      <c r="I149" s="233"/>
      <c r="J149" s="234" t="str" cm="1">
        <f t="array" ref="J149">IF(A149="","",COUNTA(_xlfn.UNIQUE(_xlfn._xlws.FILTER(TMA_Entreprises!G:G,TMA_Entreprises!A:A=A149))))</f>
        <v/>
      </c>
      <c r="K149" s="235" t="str">
        <f>IF(A149="","",IF(
COUNTIFS(TMA_Entreprises!$A$12:$A$220,A149,TMA_Entreprises!$J$12:$J$220,"Oui")=0,"Non",
IF(
COUNTIFS(TMA_Entreprises!$A$12:$A$220,A149,TMA_Entreprises!$J$12:$J$220,"Oui")=
COUNTIF(TMA_Entreprises!$A$12:$A$220,A149),"Oui",
"Partiel")))</f>
        <v/>
      </c>
      <c r="L149" s="236" t="str">
        <f>IF(A149="","",SUMIF(TMA_Entreprises!A:A,A149,TMA_Entreprises!L:L))</f>
        <v/>
      </c>
      <c r="M149" s="237"/>
      <c r="N149" s="238" t="str">
        <f t="shared" si="8"/>
        <v/>
      </c>
      <c r="O149" s="233"/>
      <c r="P149" s="233"/>
      <c r="Q149" s="239" t="str">
        <f t="shared" si="9"/>
        <v/>
      </c>
      <c r="R149" s="235" t="str">
        <f t="shared" ca="1" si="10"/>
        <v/>
      </c>
      <c r="S149" s="237" t="str">
        <f t="shared" si="11"/>
        <v/>
      </c>
      <c r="T149" s="242"/>
    </row>
    <row r="150" spans="1:20" s="81" customFormat="1" x14ac:dyDescent="0.45">
      <c r="A150" s="231"/>
      <c r="B150" s="232"/>
      <c r="C150" s="232"/>
      <c r="D150" s="232"/>
      <c r="E150" s="232"/>
      <c r="F150" s="232"/>
      <c r="G150" s="232"/>
      <c r="H150" s="240"/>
      <c r="I150" s="233"/>
      <c r="J150" s="234" t="str" cm="1">
        <f t="array" ref="J150">IF(A150="","",COUNTA(_xlfn.UNIQUE(_xlfn._xlws.FILTER(TMA_Entreprises!G:G,TMA_Entreprises!A:A=A150))))</f>
        <v/>
      </c>
      <c r="K150" s="235" t="str">
        <f>IF(A150="","",IF(
COUNTIFS(TMA_Entreprises!$A$12:$A$220,A150,TMA_Entreprises!$J$12:$J$220,"Oui")=0,"Non",
IF(
COUNTIFS(TMA_Entreprises!$A$12:$A$220,A150,TMA_Entreprises!$J$12:$J$220,"Oui")=
COUNTIF(TMA_Entreprises!$A$12:$A$220,A150),"Oui",
"Partiel")))</f>
        <v/>
      </c>
      <c r="L150" s="236" t="str">
        <f>IF(A150="","",SUMIF(TMA_Entreprises!A:A,A150,TMA_Entreprises!L:L))</f>
        <v/>
      </c>
      <c r="M150" s="237"/>
      <c r="N150" s="238" t="str">
        <f t="shared" si="8"/>
        <v/>
      </c>
      <c r="O150" s="233"/>
      <c r="P150" s="233"/>
      <c r="Q150" s="239" t="str">
        <f t="shared" si="9"/>
        <v/>
      </c>
      <c r="R150" s="235" t="str">
        <f t="shared" ca="1" si="10"/>
        <v/>
      </c>
      <c r="S150" s="237" t="str">
        <f t="shared" si="11"/>
        <v/>
      </c>
      <c r="T150" s="242"/>
    </row>
    <row r="151" spans="1:20" s="81" customFormat="1" x14ac:dyDescent="0.45">
      <c r="A151" s="231"/>
      <c r="B151" s="232"/>
      <c r="C151" s="232"/>
      <c r="D151" s="232"/>
      <c r="E151" s="232"/>
      <c r="F151" s="232"/>
      <c r="G151" s="232"/>
      <c r="H151" s="240"/>
      <c r="I151" s="233"/>
      <c r="J151" s="234" t="str" cm="1">
        <f t="array" ref="J151">IF(A151="","",COUNTA(_xlfn.UNIQUE(_xlfn._xlws.FILTER(TMA_Entreprises!G:G,TMA_Entreprises!A:A=A151))))</f>
        <v/>
      </c>
      <c r="K151" s="235" t="str">
        <f>IF(A151="","",IF(
COUNTIFS(TMA_Entreprises!$A$12:$A$220,A151,TMA_Entreprises!$J$12:$J$220,"Oui")=0,"Non",
IF(
COUNTIFS(TMA_Entreprises!$A$12:$A$220,A151,TMA_Entreprises!$J$12:$J$220,"Oui")=
COUNTIF(TMA_Entreprises!$A$12:$A$220,A151),"Oui",
"Partiel")))</f>
        <v/>
      </c>
      <c r="L151" s="236" t="str">
        <f>IF(A151="","",SUMIF(TMA_Entreprises!A:A,A151,TMA_Entreprises!L:L))</f>
        <v/>
      </c>
      <c r="M151" s="237"/>
      <c r="N151" s="238" t="str">
        <f t="shared" si="8"/>
        <v/>
      </c>
      <c r="O151" s="233"/>
      <c r="P151" s="233"/>
      <c r="Q151" s="239" t="str">
        <f t="shared" si="9"/>
        <v/>
      </c>
      <c r="R151" s="235" t="str">
        <f t="shared" ca="1" si="10"/>
        <v/>
      </c>
      <c r="S151" s="237" t="str">
        <f t="shared" si="11"/>
        <v/>
      </c>
      <c r="T151" s="242"/>
    </row>
    <row r="152" spans="1:20" s="81" customFormat="1" x14ac:dyDescent="0.45">
      <c r="A152" s="231"/>
      <c r="B152" s="232"/>
      <c r="C152" s="232"/>
      <c r="D152" s="232"/>
      <c r="E152" s="232"/>
      <c r="F152" s="232"/>
      <c r="G152" s="232"/>
      <c r="H152" s="240"/>
      <c r="I152" s="233"/>
      <c r="J152" s="234" t="str" cm="1">
        <f t="array" ref="J152">IF(A152="","",COUNTA(_xlfn.UNIQUE(_xlfn._xlws.FILTER(TMA_Entreprises!G:G,TMA_Entreprises!A:A=A152))))</f>
        <v/>
      </c>
      <c r="K152" s="235" t="str">
        <f>IF(A152="","",IF(
COUNTIFS(TMA_Entreprises!$A$12:$A$220,A152,TMA_Entreprises!$J$12:$J$220,"Oui")=0,"Non",
IF(
COUNTIFS(TMA_Entreprises!$A$12:$A$220,A152,TMA_Entreprises!$J$12:$J$220,"Oui")=
COUNTIF(TMA_Entreprises!$A$12:$A$220,A152),"Oui",
"Partiel")))</f>
        <v/>
      </c>
      <c r="L152" s="236" t="str">
        <f>IF(A152="","",SUMIF(TMA_Entreprises!A:A,A152,TMA_Entreprises!L:L))</f>
        <v/>
      </c>
      <c r="M152" s="237"/>
      <c r="N152" s="238" t="str">
        <f t="shared" si="8"/>
        <v/>
      </c>
      <c r="O152" s="233"/>
      <c r="P152" s="233"/>
      <c r="Q152" s="239" t="str">
        <f t="shared" si="9"/>
        <v/>
      </c>
      <c r="R152" s="235" t="str">
        <f t="shared" ca="1" si="10"/>
        <v/>
      </c>
      <c r="S152" s="237" t="str">
        <f t="shared" si="11"/>
        <v/>
      </c>
      <c r="T152" s="242"/>
    </row>
    <row r="153" spans="1:20" s="81" customFormat="1" x14ac:dyDescent="0.45">
      <c r="A153" s="231"/>
      <c r="B153" s="232"/>
      <c r="C153" s="232"/>
      <c r="D153" s="232"/>
      <c r="E153" s="232"/>
      <c r="F153" s="232"/>
      <c r="G153" s="232"/>
      <c r="H153" s="240"/>
      <c r="I153" s="233"/>
      <c r="J153" s="234" t="str" cm="1">
        <f t="array" ref="J153">IF(A153="","",COUNTA(_xlfn.UNIQUE(_xlfn._xlws.FILTER(TMA_Entreprises!G:G,TMA_Entreprises!A:A=A153))))</f>
        <v/>
      </c>
      <c r="K153" s="235" t="str">
        <f>IF(A153="","",IF(
COUNTIFS(TMA_Entreprises!$A$12:$A$220,A153,TMA_Entreprises!$J$12:$J$220,"Oui")=0,"Non",
IF(
COUNTIFS(TMA_Entreprises!$A$12:$A$220,A153,TMA_Entreprises!$J$12:$J$220,"Oui")=
COUNTIF(TMA_Entreprises!$A$12:$A$220,A153),"Oui",
"Partiel")))</f>
        <v/>
      </c>
      <c r="L153" s="236" t="str">
        <f>IF(A153="","",SUMIF(TMA_Entreprises!A:A,A153,TMA_Entreprises!L:L))</f>
        <v/>
      </c>
      <c r="M153" s="237"/>
      <c r="N153" s="238" t="str">
        <f t="shared" si="8"/>
        <v/>
      </c>
      <c r="O153" s="233"/>
      <c r="P153" s="233"/>
      <c r="Q153" s="239" t="str">
        <f t="shared" si="9"/>
        <v/>
      </c>
      <c r="R153" s="235" t="str">
        <f t="shared" ca="1" si="10"/>
        <v/>
      </c>
      <c r="S153" s="237" t="str">
        <f t="shared" si="11"/>
        <v/>
      </c>
      <c r="T153" s="242"/>
    </row>
    <row r="154" spans="1:20" s="81" customFormat="1" x14ac:dyDescent="0.45">
      <c r="A154" s="231"/>
      <c r="B154" s="232"/>
      <c r="C154" s="232"/>
      <c r="D154" s="232"/>
      <c r="E154" s="232"/>
      <c r="F154" s="232"/>
      <c r="G154" s="232"/>
      <c r="H154" s="240"/>
      <c r="I154" s="233"/>
      <c r="J154" s="234" t="str" cm="1">
        <f t="array" ref="J154">IF(A154="","",COUNTA(_xlfn.UNIQUE(_xlfn._xlws.FILTER(TMA_Entreprises!G:G,TMA_Entreprises!A:A=A154))))</f>
        <v/>
      </c>
      <c r="K154" s="235" t="str">
        <f>IF(A154="","",IF(
COUNTIFS(TMA_Entreprises!$A$12:$A$220,A154,TMA_Entreprises!$J$12:$J$220,"Oui")=0,"Non",
IF(
COUNTIFS(TMA_Entreprises!$A$12:$A$220,A154,TMA_Entreprises!$J$12:$J$220,"Oui")=
COUNTIF(TMA_Entreprises!$A$12:$A$220,A154),"Oui",
"Partiel")))</f>
        <v/>
      </c>
      <c r="L154" s="236" t="str">
        <f>IF(A154="","",SUMIF(TMA_Entreprises!A:A,A154,TMA_Entreprises!L:L))</f>
        <v/>
      </c>
      <c r="M154" s="237"/>
      <c r="N154" s="238" t="str">
        <f t="shared" si="8"/>
        <v/>
      </c>
      <c r="O154" s="233"/>
      <c r="P154" s="233"/>
      <c r="Q154" s="239" t="str">
        <f t="shared" si="9"/>
        <v/>
      </c>
      <c r="R154" s="235" t="str">
        <f t="shared" ca="1" si="10"/>
        <v/>
      </c>
      <c r="S154" s="237" t="str">
        <f t="shared" si="11"/>
        <v/>
      </c>
      <c r="T154" s="242"/>
    </row>
    <row r="155" spans="1:20" s="81" customFormat="1" x14ac:dyDescent="0.45">
      <c r="A155" s="231"/>
      <c r="B155" s="232"/>
      <c r="C155" s="232"/>
      <c r="D155" s="232"/>
      <c r="E155" s="232"/>
      <c r="F155" s="232"/>
      <c r="G155" s="232"/>
      <c r="H155" s="240"/>
      <c r="I155" s="233"/>
      <c r="J155" s="234" t="str" cm="1">
        <f t="array" ref="J155">IF(A155="","",COUNTA(_xlfn.UNIQUE(_xlfn._xlws.FILTER(TMA_Entreprises!G:G,TMA_Entreprises!A:A=A155))))</f>
        <v/>
      </c>
      <c r="K155" s="235" t="str">
        <f>IF(A155="","",IF(
COUNTIFS(TMA_Entreprises!$A$12:$A$220,A155,TMA_Entreprises!$J$12:$J$220,"Oui")=0,"Non",
IF(
COUNTIFS(TMA_Entreprises!$A$12:$A$220,A155,TMA_Entreprises!$J$12:$J$220,"Oui")=
COUNTIF(TMA_Entreprises!$A$12:$A$220,A155),"Oui",
"Partiel")))</f>
        <v/>
      </c>
      <c r="L155" s="236" t="str">
        <f>IF(A155="","",SUMIF(TMA_Entreprises!A:A,A155,TMA_Entreprises!L:L))</f>
        <v/>
      </c>
      <c r="M155" s="237"/>
      <c r="N155" s="238" t="str">
        <f t="shared" si="8"/>
        <v/>
      </c>
      <c r="O155" s="233"/>
      <c r="P155" s="233"/>
      <c r="Q155" s="239" t="str">
        <f t="shared" si="9"/>
        <v/>
      </c>
      <c r="R155" s="235" t="str">
        <f t="shared" ca="1" si="10"/>
        <v/>
      </c>
      <c r="S155" s="237" t="str">
        <f t="shared" si="11"/>
        <v/>
      </c>
      <c r="T155" s="242"/>
    </row>
    <row r="156" spans="1:20" s="81" customFormat="1" x14ac:dyDescent="0.45">
      <c r="A156" s="231"/>
      <c r="B156" s="232"/>
      <c r="C156" s="232"/>
      <c r="D156" s="232"/>
      <c r="E156" s="232"/>
      <c r="F156" s="232"/>
      <c r="G156" s="232"/>
      <c r="H156" s="240"/>
      <c r="I156" s="233"/>
      <c r="J156" s="234" t="str" cm="1">
        <f t="array" ref="J156">IF(A156="","",COUNTA(_xlfn.UNIQUE(_xlfn._xlws.FILTER(TMA_Entreprises!G:G,TMA_Entreprises!A:A=A156))))</f>
        <v/>
      </c>
      <c r="K156" s="235" t="str">
        <f>IF(A156="","",IF(
COUNTIFS(TMA_Entreprises!$A$12:$A$220,A156,TMA_Entreprises!$J$12:$J$220,"Oui")=0,"Non",
IF(
COUNTIFS(TMA_Entreprises!$A$12:$A$220,A156,TMA_Entreprises!$J$12:$J$220,"Oui")=
COUNTIF(TMA_Entreprises!$A$12:$A$220,A156),"Oui",
"Partiel")))</f>
        <v/>
      </c>
      <c r="L156" s="236" t="str">
        <f>IF(A156="","",SUMIF(TMA_Entreprises!A:A,A156,TMA_Entreprises!L:L))</f>
        <v/>
      </c>
      <c r="M156" s="237"/>
      <c r="N156" s="238" t="str">
        <f t="shared" si="8"/>
        <v/>
      </c>
      <c r="O156" s="233"/>
      <c r="P156" s="233"/>
      <c r="Q156" s="239" t="str">
        <f t="shared" si="9"/>
        <v/>
      </c>
      <c r="R156" s="235" t="str">
        <f t="shared" ca="1" si="10"/>
        <v/>
      </c>
      <c r="S156" s="237" t="str">
        <f t="shared" si="11"/>
        <v/>
      </c>
      <c r="T156" s="242"/>
    </row>
    <row r="157" spans="1:20" s="81" customFormat="1" x14ac:dyDescent="0.45">
      <c r="A157" s="231"/>
      <c r="B157" s="232"/>
      <c r="C157" s="232"/>
      <c r="D157" s="232"/>
      <c r="E157" s="232"/>
      <c r="F157" s="232"/>
      <c r="G157" s="232"/>
      <c r="H157" s="240"/>
      <c r="I157" s="233"/>
      <c r="J157" s="234" t="str" cm="1">
        <f t="array" ref="J157">IF(A157="","",COUNTA(_xlfn.UNIQUE(_xlfn._xlws.FILTER(TMA_Entreprises!G:G,TMA_Entreprises!A:A=A157))))</f>
        <v/>
      </c>
      <c r="K157" s="235" t="str">
        <f>IF(A157="","",IF(
COUNTIFS(TMA_Entreprises!$A$12:$A$220,A157,TMA_Entreprises!$J$12:$J$220,"Oui")=0,"Non",
IF(
COUNTIFS(TMA_Entreprises!$A$12:$A$220,A157,TMA_Entreprises!$J$12:$J$220,"Oui")=
COUNTIF(TMA_Entreprises!$A$12:$A$220,A157),"Oui",
"Partiel")))</f>
        <v/>
      </c>
      <c r="L157" s="236" t="str">
        <f>IF(A157="","",SUMIF(TMA_Entreprises!A:A,A157,TMA_Entreprises!L:L))</f>
        <v/>
      </c>
      <c r="M157" s="237"/>
      <c r="N157" s="238" t="str">
        <f t="shared" si="8"/>
        <v/>
      </c>
      <c r="O157" s="233"/>
      <c r="P157" s="233"/>
      <c r="Q157" s="239" t="str">
        <f t="shared" si="9"/>
        <v/>
      </c>
      <c r="R157" s="235" t="str">
        <f t="shared" ca="1" si="10"/>
        <v/>
      </c>
      <c r="S157" s="237" t="str">
        <f t="shared" si="11"/>
        <v/>
      </c>
      <c r="T157" s="242"/>
    </row>
    <row r="158" spans="1:20" s="81" customFormat="1" x14ac:dyDescent="0.45">
      <c r="A158" s="231"/>
      <c r="B158" s="232"/>
      <c r="C158" s="232"/>
      <c r="D158" s="232"/>
      <c r="E158" s="232"/>
      <c r="F158" s="232"/>
      <c r="G158" s="232"/>
      <c r="H158" s="240"/>
      <c r="I158" s="233"/>
      <c r="J158" s="234" t="str" cm="1">
        <f t="array" ref="J158">IF(A158="","",COUNTA(_xlfn.UNIQUE(_xlfn._xlws.FILTER(TMA_Entreprises!G:G,TMA_Entreprises!A:A=A158))))</f>
        <v/>
      </c>
      <c r="K158" s="235" t="str">
        <f>IF(A158="","",IF(
COUNTIFS(TMA_Entreprises!$A$12:$A$220,A158,TMA_Entreprises!$J$12:$J$220,"Oui")=0,"Non",
IF(
COUNTIFS(TMA_Entreprises!$A$12:$A$220,A158,TMA_Entreprises!$J$12:$J$220,"Oui")=
COUNTIF(TMA_Entreprises!$A$12:$A$220,A158),"Oui",
"Partiel")))</f>
        <v/>
      </c>
      <c r="L158" s="236" t="str">
        <f>IF(A158="","",SUMIF(TMA_Entreprises!A:A,A158,TMA_Entreprises!L:L))</f>
        <v/>
      </c>
      <c r="M158" s="237"/>
      <c r="N158" s="238" t="str">
        <f t="shared" si="8"/>
        <v/>
      </c>
      <c r="O158" s="233"/>
      <c r="P158" s="233"/>
      <c r="Q158" s="239" t="str">
        <f t="shared" si="9"/>
        <v/>
      </c>
      <c r="R158" s="235" t="str">
        <f t="shared" ca="1" si="10"/>
        <v/>
      </c>
      <c r="S158" s="237" t="str">
        <f t="shared" si="11"/>
        <v/>
      </c>
      <c r="T158" s="242"/>
    </row>
    <row r="159" spans="1:20" s="81" customFormat="1" x14ac:dyDescent="0.45">
      <c r="A159" s="231"/>
      <c r="B159" s="232"/>
      <c r="C159" s="232"/>
      <c r="D159" s="232"/>
      <c r="E159" s="232"/>
      <c r="F159" s="232"/>
      <c r="G159" s="232"/>
      <c r="H159" s="240"/>
      <c r="I159" s="233"/>
      <c r="J159" s="234" t="str" cm="1">
        <f t="array" ref="J159">IF(A159="","",COUNTA(_xlfn.UNIQUE(_xlfn._xlws.FILTER(TMA_Entreprises!G:G,TMA_Entreprises!A:A=A159))))</f>
        <v/>
      </c>
      <c r="K159" s="235" t="str">
        <f>IF(A159="","",IF(
COUNTIFS(TMA_Entreprises!$A$12:$A$220,A159,TMA_Entreprises!$J$12:$J$220,"Oui")=0,"Non",
IF(
COUNTIFS(TMA_Entreprises!$A$12:$A$220,A159,TMA_Entreprises!$J$12:$J$220,"Oui")=
COUNTIF(TMA_Entreprises!$A$12:$A$220,A159),"Oui",
"Partiel")))</f>
        <v/>
      </c>
      <c r="L159" s="236" t="str">
        <f>IF(A159="","",SUMIF(TMA_Entreprises!A:A,A159,TMA_Entreprises!L:L))</f>
        <v/>
      </c>
      <c r="M159" s="237"/>
      <c r="N159" s="238" t="str">
        <f t="shared" si="8"/>
        <v/>
      </c>
      <c r="O159" s="233"/>
      <c r="P159" s="233"/>
      <c r="Q159" s="239" t="str">
        <f t="shared" si="9"/>
        <v/>
      </c>
      <c r="R159" s="235" t="str">
        <f t="shared" ca="1" si="10"/>
        <v/>
      </c>
      <c r="S159" s="237" t="str">
        <f t="shared" si="11"/>
        <v/>
      </c>
      <c r="T159" s="242"/>
    </row>
    <row r="160" spans="1:20" s="81" customFormat="1" x14ac:dyDescent="0.45">
      <c r="A160" s="231"/>
      <c r="B160" s="232"/>
      <c r="C160" s="232"/>
      <c r="D160" s="232"/>
      <c r="E160" s="232"/>
      <c r="F160" s="232"/>
      <c r="G160" s="232"/>
      <c r="H160" s="240"/>
      <c r="I160" s="233"/>
      <c r="J160" s="234" t="str" cm="1">
        <f t="array" ref="J160">IF(A160="","",COUNTA(_xlfn.UNIQUE(_xlfn._xlws.FILTER(TMA_Entreprises!G:G,TMA_Entreprises!A:A=A160))))</f>
        <v/>
      </c>
      <c r="K160" s="235" t="str">
        <f>IF(A160="","",IF(
COUNTIFS(TMA_Entreprises!$A$12:$A$220,A160,TMA_Entreprises!$J$12:$J$220,"Oui")=0,"Non",
IF(
COUNTIFS(TMA_Entreprises!$A$12:$A$220,A160,TMA_Entreprises!$J$12:$J$220,"Oui")=
COUNTIF(TMA_Entreprises!$A$12:$A$220,A160),"Oui",
"Partiel")))</f>
        <v/>
      </c>
      <c r="L160" s="236" t="str">
        <f>IF(A160="","",SUMIF(TMA_Entreprises!A:A,A160,TMA_Entreprises!L:L))</f>
        <v/>
      </c>
      <c r="M160" s="237"/>
      <c r="N160" s="238" t="str">
        <f t="shared" si="8"/>
        <v/>
      </c>
      <c r="O160" s="233"/>
      <c r="P160" s="233"/>
      <c r="Q160" s="239" t="str">
        <f t="shared" si="9"/>
        <v/>
      </c>
      <c r="R160" s="235" t="str">
        <f t="shared" ca="1" si="10"/>
        <v/>
      </c>
      <c r="S160" s="237" t="str">
        <f t="shared" si="11"/>
        <v/>
      </c>
      <c r="T160" s="242"/>
    </row>
    <row r="161" spans="1:20" s="81" customFormat="1" x14ac:dyDescent="0.45">
      <c r="A161" s="231"/>
      <c r="B161" s="232"/>
      <c r="C161" s="232"/>
      <c r="D161" s="232"/>
      <c r="E161" s="232"/>
      <c r="F161" s="232"/>
      <c r="G161" s="232"/>
      <c r="H161" s="240"/>
      <c r="I161" s="233"/>
      <c r="J161" s="234" t="str" cm="1">
        <f t="array" ref="J161">IF(A161="","",COUNTA(_xlfn.UNIQUE(_xlfn._xlws.FILTER(TMA_Entreprises!G:G,TMA_Entreprises!A:A=A161))))</f>
        <v/>
      </c>
      <c r="K161" s="235" t="str">
        <f>IF(A161="","",IF(
COUNTIFS(TMA_Entreprises!$A$12:$A$220,A161,TMA_Entreprises!$J$12:$J$220,"Oui")=0,"Non",
IF(
COUNTIFS(TMA_Entreprises!$A$12:$A$220,A161,TMA_Entreprises!$J$12:$J$220,"Oui")=
COUNTIF(TMA_Entreprises!$A$12:$A$220,A161),"Oui",
"Partiel")))</f>
        <v/>
      </c>
      <c r="L161" s="236" t="str">
        <f>IF(A161="","",SUMIF(TMA_Entreprises!A:A,A161,TMA_Entreprises!L:L))</f>
        <v/>
      </c>
      <c r="M161" s="237"/>
      <c r="N161" s="238" t="str">
        <f t="shared" si="8"/>
        <v/>
      </c>
      <c r="O161" s="233"/>
      <c r="P161" s="233"/>
      <c r="Q161" s="239" t="str">
        <f t="shared" si="9"/>
        <v/>
      </c>
      <c r="R161" s="235" t="str">
        <f t="shared" ca="1" si="10"/>
        <v/>
      </c>
      <c r="S161" s="237" t="str">
        <f t="shared" si="11"/>
        <v/>
      </c>
      <c r="T161" s="242"/>
    </row>
    <row r="162" spans="1:20" s="81" customFormat="1" x14ac:dyDescent="0.45">
      <c r="A162" s="231"/>
      <c r="B162" s="232"/>
      <c r="C162" s="232"/>
      <c r="D162" s="232"/>
      <c r="E162" s="232"/>
      <c r="F162" s="232"/>
      <c r="G162" s="232"/>
      <c r="H162" s="240"/>
      <c r="I162" s="233"/>
      <c r="J162" s="234" t="str" cm="1">
        <f t="array" ref="J162">IF(A162="","",COUNTA(_xlfn.UNIQUE(_xlfn._xlws.FILTER(TMA_Entreprises!G:G,TMA_Entreprises!A:A=A162))))</f>
        <v/>
      </c>
      <c r="K162" s="235" t="str">
        <f>IF(A162="","",IF(
COUNTIFS(TMA_Entreprises!$A$12:$A$220,A162,TMA_Entreprises!$J$12:$J$220,"Oui")=0,"Non",
IF(
COUNTIFS(TMA_Entreprises!$A$12:$A$220,A162,TMA_Entreprises!$J$12:$J$220,"Oui")=
COUNTIF(TMA_Entreprises!$A$12:$A$220,A162),"Oui",
"Partiel")))</f>
        <v/>
      </c>
      <c r="L162" s="236" t="str">
        <f>IF(A162="","",SUMIF(TMA_Entreprises!A:A,A162,TMA_Entreprises!L:L))</f>
        <v/>
      </c>
      <c r="M162" s="237"/>
      <c r="N162" s="238" t="str">
        <f t="shared" si="8"/>
        <v/>
      </c>
      <c r="O162" s="233"/>
      <c r="P162" s="233"/>
      <c r="Q162" s="239" t="str">
        <f t="shared" si="9"/>
        <v/>
      </c>
      <c r="R162" s="235" t="str">
        <f t="shared" ca="1" si="10"/>
        <v/>
      </c>
      <c r="S162" s="237" t="str">
        <f t="shared" si="11"/>
        <v/>
      </c>
      <c r="T162" s="242"/>
    </row>
    <row r="163" spans="1:20" s="81" customFormat="1" x14ac:dyDescent="0.45">
      <c r="A163" s="231"/>
      <c r="B163" s="232"/>
      <c r="C163" s="232"/>
      <c r="D163" s="232"/>
      <c r="E163" s="232"/>
      <c r="F163" s="232"/>
      <c r="G163" s="232"/>
      <c r="H163" s="240"/>
      <c r="I163" s="233"/>
      <c r="J163" s="234" t="str" cm="1">
        <f t="array" ref="J163">IF(A163="","",COUNTA(_xlfn.UNIQUE(_xlfn._xlws.FILTER(TMA_Entreprises!G:G,TMA_Entreprises!A:A=A163))))</f>
        <v/>
      </c>
      <c r="K163" s="235" t="str">
        <f>IF(A163="","",IF(
COUNTIFS(TMA_Entreprises!$A$12:$A$220,A163,TMA_Entreprises!$J$12:$J$220,"Oui")=0,"Non",
IF(
COUNTIFS(TMA_Entreprises!$A$12:$A$220,A163,TMA_Entreprises!$J$12:$J$220,"Oui")=
COUNTIF(TMA_Entreprises!$A$12:$A$220,A163),"Oui",
"Partiel")))</f>
        <v/>
      </c>
      <c r="L163" s="236" t="str">
        <f>IF(A163="","",SUMIF(TMA_Entreprises!A:A,A163,TMA_Entreprises!L:L))</f>
        <v/>
      </c>
      <c r="M163" s="237"/>
      <c r="N163" s="238" t="str">
        <f t="shared" si="8"/>
        <v/>
      </c>
      <c r="O163" s="233"/>
      <c r="P163" s="233"/>
      <c r="Q163" s="239" t="str">
        <f t="shared" si="9"/>
        <v/>
      </c>
      <c r="R163" s="235" t="str">
        <f t="shared" ca="1" si="10"/>
        <v/>
      </c>
      <c r="S163" s="237" t="str">
        <f t="shared" si="11"/>
        <v/>
      </c>
      <c r="T163" s="242"/>
    </row>
    <row r="164" spans="1:20" s="81" customFormat="1" x14ac:dyDescent="0.45">
      <c r="A164" s="231"/>
      <c r="B164" s="232"/>
      <c r="C164" s="232"/>
      <c r="D164" s="232"/>
      <c r="E164" s="232"/>
      <c r="F164" s="232"/>
      <c r="G164" s="232"/>
      <c r="H164" s="240"/>
      <c r="I164" s="233"/>
      <c r="J164" s="234" t="str" cm="1">
        <f t="array" ref="J164">IF(A164="","",COUNTA(_xlfn.UNIQUE(_xlfn._xlws.FILTER(TMA_Entreprises!G:G,TMA_Entreprises!A:A=A164))))</f>
        <v/>
      </c>
      <c r="K164" s="235" t="str">
        <f>IF(A164="","",IF(
COUNTIFS(TMA_Entreprises!$A$12:$A$220,A164,TMA_Entreprises!$J$12:$J$220,"Oui")=0,"Non",
IF(
COUNTIFS(TMA_Entreprises!$A$12:$A$220,A164,TMA_Entreprises!$J$12:$J$220,"Oui")=
COUNTIF(TMA_Entreprises!$A$12:$A$220,A164),"Oui",
"Partiel")))</f>
        <v/>
      </c>
      <c r="L164" s="236" t="str">
        <f>IF(A164="","",SUMIF(TMA_Entreprises!A:A,A164,TMA_Entreprises!L:L))</f>
        <v/>
      </c>
      <c r="M164" s="237"/>
      <c r="N164" s="238" t="str">
        <f t="shared" si="8"/>
        <v/>
      </c>
      <c r="O164" s="233"/>
      <c r="P164" s="233"/>
      <c r="Q164" s="239" t="str">
        <f t="shared" si="9"/>
        <v/>
      </c>
      <c r="R164" s="235" t="str">
        <f t="shared" ca="1" si="10"/>
        <v/>
      </c>
      <c r="S164" s="237" t="str">
        <f t="shared" si="11"/>
        <v/>
      </c>
      <c r="T164" s="242"/>
    </row>
    <row r="165" spans="1:20" s="81" customFormat="1" x14ac:dyDescent="0.45">
      <c r="A165" s="231"/>
      <c r="B165" s="232"/>
      <c r="C165" s="232"/>
      <c r="D165" s="232"/>
      <c r="E165" s="232"/>
      <c r="F165" s="232"/>
      <c r="G165" s="232"/>
      <c r="H165" s="240"/>
      <c r="I165" s="233"/>
      <c r="J165" s="234" t="str" cm="1">
        <f t="array" ref="J165">IF(A165="","",COUNTA(_xlfn.UNIQUE(_xlfn._xlws.FILTER(TMA_Entreprises!G:G,TMA_Entreprises!A:A=A165))))</f>
        <v/>
      </c>
      <c r="K165" s="235" t="str">
        <f>IF(A165="","",IF(
COUNTIFS(TMA_Entreprises!$A$12:$A$220,A165,TMA_Entreprises!$J$12:$J$220,"Oui")=0,"Non",
IF(
COUNTIFS(TMA_Entreprises!$A$12:$A$220,A165,TMA_Entreprises!$J$12:$J$220,"Oui")=
COUNTIF(TMA_Entreprises!$A$12:$A$220,A165),"Oui",
"Partiel")))</f>
        <v/>
      </c>
      <c r="L165" s="236" t="str">
        <f>IF(A165="","",SUMIF(TMA_Entreprises!A:A,A165,TMA_Entreprises!L:L))</f>
        <v/>
      </c>
      <c r="M165" s="237"/>
      <c r="N165" s="238" t="str">
        <f t="shared" si="8"/>
        <v/>
      </c>
      <c r="O165" s="233"/>
      <c r="P165" s="233"/>
      <c r="Q165" s="239" t="str">
        <f t="shared" si="9"/>
        <v/>
      </c>
      <c r="R165" s="235" t="str">
        <f t="shared" ca="1" si="10"/>
        <v/>
      </c>
      <c r="S165" s="237" t="str">
        <f t="shared" si="11"/>
        <v/>
      </c>
      <c r="T165" s="242"/>
    </row>
    <row r="166" spans="1:20" s="81" customFormat="1" x14ac:dyDescent="0.45">
      <c r="A166" s="231"/>
      <c r="B166" s="232"/>
      <c r="C166" s="232"/>
      <c r="D166" s="232"/>
      <c r="E166" s="232"/>
      <c r="F166" s="232"/>
      <c r="G166" s="232"/>
      <c r="H166" s="240"/>
      <c r="I166" s="233"/>
      <c r="J166" s="234" t="str" cm="1">
        <f t="array" ref="J166">IF(A166="","",COUNTA(_xlfn.UNIQUE(_xlfn._xlws.FILTER(TMA_Entreprises!G:G,TMA_Entreprises!A:A=A166))))</f>
        <v/>
      </c>
      <c r="K166" s="235" t="str">
        <f>IF(A166="","",IF(
COUNTIFS(TMA_Entreprises!$A$12:$A$220,A166,TMA_Entreprises!$J$12:$J$220,"Oui")=0,"Non",
IF(
COUNTIFS(TMA_Entreprises!$A$12:$A$220,A166,TMA_Entreprises!$J$12:$J$220,"Oui")=
COUNTIF(TMA_Entreprises!$A$12:$A$220,A166),"Oui",
"Partiel")))</f>
        <v/>
      </c>
      <c r="L166" s="236" t="str">
        <f>IF(A166="","",SUMIF(TMA_Entreprises!A:A,A166,TMA_Entreprises!L:L))</f>
        <v/>
      </c>
      <c r="M166" s="237"/>
      <c r="N166" s="238" t="str">
        <f t="shared" si="8"/>
        <v/>
      </c>
      <c r="O166" s="233"/>
      <c r="P166" s="233"/>
      <c r="Q166" s="239" t="str">
        <f t="shared" si="9"/>
        <v/>
      </c>
      <c r="R166" s="235" t="str">
        <f t="shared" ca="1" si="10"/>
        <v/>
      </c>
      <c r="S166" s="237" t="str">
        <f t="shared" si="11"/>
        <v/>
      </c>
      <c r="T166" s="242"/>
    </row>
    <row r="167" spans="1:20" s="81" customFormat="1" x14ac:dyDescent="0.45">
      <c r="A167" s="231"/>
      <c r="B167" s="232"/>
      <c r="C167" s="232"/>
      <c r="D167" s="232"/>
      <c r="E167" s="232"/>
      <c r="F167" s="232"/>
      <c r="G167" s="232"/>
      <c r="H167" s="240"/>
      <c r="I167" s="233"/>
      <c r="J167" s="234" t="str" cm="1">
        <f t="array" ref="J167">IF(A167="","",COUNTA(_xlfn.UNIQUE(_xlfn._xlws.FILTER(TMA_Entreprises!G:G,TMA_Entreprises!A:A=A167))))</f>
        <v/>
      </c>
      <c r="K167" s="235" t="str">
        <f>IF(A167="","",IF(
COUNTIFS(TMA_Entreprises!$A$12:$A$220,A167,TMA_Entreprises!$J$12:$J$220,"Oui")=0,"Non",
IF(
COUNTIFS(TMA_Entreprises!$A$12:$A$220,A167,TMA_Entreprises!$J$12:$J$220,"Oui")=
COUNTIF(TMA_Entreprises!$A$12:$A$220,A167),"Oui",
"Partiel")))</f>
        <v/>
      </c>
      <c r="L167" s="236" t="str">
        <f>IF(A167="","",SUMIF(TMA_Entreprises!A:A,A167,TMA_Entreprises!L:L))</f>
        <v/>
      </c>
      <c r="M167" s="237"/>
      <c r="N167" s="238" t="str">
        <f t="shared" si="8"/>
        <v/>
      </c>
      <c r="O167" s="233"/>
      <c r="P167" s="233"/>
      <c r="Q167" s="239" t="str">
        <f t="shared" si="9"/>
        <v/>
      </c>
      <c r="R167" s="235" t="str">
        <f t="shared" ca="1" si="10"/>
        <v/>
      </c>
      <c r="S167" s="237" t="str">
        <f t="shared" si="11"/>
        <v/>
      </c>
      <c r="T167" s="242"/>
    </row>
    <row r="168" spans="1:20" s="81" customFormat="1" x14ac:dyDescent="0.45">
      <c r="A168" s="231"/>
      <c r="B168" s="232"/>
      <c r="C168" s="232"/>
      <c r="D168" s="232"/>
      <c r="E168" s="232"/>
      <c r="F168" s="232"/>
      <c r="G168" s="232"/>
      <c r="H168" s="240"/>
      <c r="I168" s="233"/>
      <c r="J168" s="234" t="str" cm="1">
        <f t="array" ref="J168">IF(A168="","",COUNTA(_xlfn.UNIQUE(_xlfn._xlws.FILTER(TMA_Entreprises!G:G,TMA_Entreprises!A:A=A168))))</f>
        <v/>
      </c>
      <c r="K168" s="235" t="str">
        <f>IF(A168="","",IF(
COUNTIFS(TMA_Entreprises!$A$12:$A$220,A168,TMA_Entreprises!$J$12:$J$220,"Oui")=0,"Non",
IF(
COUNTIFS(TMA_Entreprises!$A$12:$A$220,A168,TMA_Entreprises!$J$12:$J$220,"Oui")=
COUNTIF(TMA_Entreprises!$A$12:$A$220,A168),"Oui",
"Partiel")))</f>
        <v/>
      </c>
      <c r="L168" s="236" t="str">
        <f>IF(A168="","",SUMIF(TMA_Entreprises!A:A,A168,TMA_Entreprises!L:L))</f>
        <v/>
      </c>
      <c r="M168" s="237"/>
      <c r="N168" s="238" t="str">
        <f t="shared" si="8"/>
        <v/>
      </c>
      <c r="O168" s="233"/>
      <c r="P168" s="233"/>
      <c r="Q168" s="239" t="str">
        <f t="shared" si="9"/>
        <v/>
      </c>
      <c r="R168" s="235" t="str">
        <f t="shared" ca="1" si="10"/>
        <v/>
      </c>
      <c r="S168" s="237" t="str">
        <f t="shared" si="11"/>
        <v/>
      </c>
      <c r="T168" s="242"/>
    </row>
    <row r="169" spans="1:20" s="81" customFormat="1" x14ac:dyDescent="0.45">
      <c r="A169" s="231"/>
      <c r="B169" s="232"/>
      <c r="C169" s="232"/>
      <c r="D169" s="232"/>
      <c r="E169" s="232"/>
      <c r="F169" s="232"/>
      <c r="G169" s="232"/>
      <c r="H169" s="240"/>
      <c r="I169" s="233"/>
      <c r="J169" s="234" t="str" cm="1">
        <f t="array" ref="J169">IF(A169="","",COUNTA(_xlfn.UNIQUE(_xlfn._xlws.FILTER(TMA_Entreprises!G:G,TMA_Entreprises!A:A=A169))))</f>
        <v/>
      </c>
      <c r="K169" s="235" t="str">
        <f>IF(A169="","",IF(
COUNTIFS(TMA_Entreprises!$A$12:$A$220,A169,TMA_Entreprises!$J$12:$J$220,"Oui")=0,"Non",
IF(
COUNTIFS(TMA_Entreprises!$A$12:$A$220,A169,TMA_Entreprises!$J$12:$J$220,"Oui")=
COUNTIF(TMA_Entreprises!$A$12:$A$220,A169),"Oui",
"Partiel")))</f>
        <v/>
      </c>
      <c r="L169" s="236" t="str">
        <f>IF(A169="","",SUMIF(TMA_Entreprises!A:A,A169,TMA_Entreprises!L:L))</f>
        <v/>
      </c>
      <c r="M169" s="237"/>
      <c r="N169" s="238" t="str">
        <f t="shared" si="8"/>
        <v/>
      </c>
      <c r="O169" s="233"/>
      <c r="P169" s="233"/>
      <c r="Q169" s="239" t="str">
        <f t="shared" si="9"/>
        <v/>
      </c>
      <c r="R169" s="235" t="str">
        <f t="shared" ca="1" si="10"/>
        <v/>
      </c>
      <c r="S169" s="237" t="str">
        <f t="shared" si="11"/>
        <v/>
      </c>
      <c r="T169" s="242"/>
    </row>
    <row r="170" spans="1:20" s="81" customFormat="1" x14ac:dyDescent="0.45">
      <c r="A170" s="231"/>
      <c r="B170" s="232"/>
      <c r="C170" s="232"/>
      <c r="D170" s="232"/>
      <c r="E170" s="232"/>
      <c r="F170" s="232"/>
      <c r="G170" s="232"/>
      <c r="H170" s="240"/>
      <c r="I170" s="233"/>
      <c r="J170" s="234" t="str" cm="1">
        <f t="array" ref="J170">IF(A170="","",COUNTA(_xlfn.UNIQUE(_xlfn._xlws.FILTER(TMA_Entreprises!G:G,TMA_Entreprises!A:A=A170))))</f>
        <v/>
      </c>
      <c r="K170" s="235" t="str">
        <f>IF(A170="","",IF(
COUNTIFS(TMA_Entreprises!$A$12:$A$220,A170,TMA_Entreprises!$J$12:$J$220,"Oui")=0,"Non",
IF(
COUNTIFS(TMA_Entreprises!$A$12:$A$220,A170,TMA_Entreprises!$J$12:$J$220,"Oui")=
COUNTIF(TMA_Entreprises!$A$12:$A$220,A170),"Oui",
"Partiel")))</f>
        <v/>
      </c>
      <c r="L170" s="236" t="str">
        <f>IF(A170="","",SUMIF(TMA_Entreprises!A:A,A170,TMA_Entreprises!L:L))</f>
        <v/>
      </c>
      <c r="M170" s="237"/>
      <c r="N170" s="238" t="str">
        <f t="shared" si="8"/>
        <v/>
      </c>
      <c r="O170" s="233"/>
      <c r="P170" s="233"/>
      <c r="Q170" s="239" t="str">
        <f t="shared" si="9"/>
        <v/>
      </c>
      <c r="R170" s="235" t="str">
        <f t="shared" ca="1" si="10"/>
        <v/>
      </c>
      <c r="S170" s="237" t="str">
        <f t="shared" si="11"/>
        <v/>
      </c>
      <c r="T170" s="242"/>
    </row>
    <row r="171" spans="1:20" s="81" customFormat="1" x14ac:dyDescent="0.45">
      <c r="A171" s="231"/>
      <c r="B171" s="232"/>
      <c r="C171" s="232"/>
      <c r="D171" s="232"/>
      <c r="E171" s="232"/>
      <c r="F171" s="232"/>
      <c r="G171" s="232"/>
      <c r="H171" s="240"/>
      <c r="I171" s="233"/>
      <c r="J171" s="234" t="str" cm="1">
        <f t="array" ref="J171">IF(A171="","",COUNTA(_xlfn.UNIQUE(_xlfn._xlws.FILTER(TMA_Entreprises!G:G,TMA_Entreprises!A:A=A171))))</f>
        <v/>
      </c>
      <c r="K171" s="235" t="str">
        <f>IF(A171="","",IF(
COUNTIFS(TMA_Entreprises!$A$12:$A$220,A171,TMA_Entreprises!$J$12:$J$220,"Oui")=0,"Non",
IF(
COUNTIFS(TMA_Entreprises!$A$12:$A$220,A171,TMA_Entreprises!$J$12:$J$220,"Oui")=
COUNTIF(TMA_Entreprises!$A$12:$A$220,A171),"Oui",
"Partiel")))</f>
        <v/>
      </c>
      <c r="L171" s="236" t="str">
        <f>IF(A171="","",SUMIF(TMA_Entreprises!A:A,A171,TMA_Entreprises!L:L))</f>
        <v/>
      </c>
      <c r="M171" s="237"/>
      <c r="N171" s="238" t="str">
        <f t="shared" si="8"/>
        <v/>
      </c>
      <c r="O171" s="233"/>
      <c r="P171" s="233"/>
      <c r="Q171" s="239" t="str">
        <f t="shared" si="9"/>
        <v/>
      </c>
      <c r="R171" s="235" t="str">
        <f t="shared" ca="1" si="10"/>
        <v/>
      </c>
      <c r="S171" s="237" t="str">
        <f t="shared" si="11"/>
        <v/>
      </c>
      <c r="T171" s="242"/>
    </row>
    <row r="172" spans="1:20" s="81" customFormat="1" x14ac:dyDescent="0.45">
      <c r="A172" s="231"/>
      <c r="B172" s="232"/>
      <c r="C172" s="232"/>
      <c r="D172" s="232"/>
      <c r="E172" s="232"/>
      <c r="F172" s="232"/>
      <c r="G172" s="232"/>
      <c r="H172" s="240"/>
      <c r="I172" s="233"/>
      <c r="J172" s="234" t="str" cm="1">
        <f t="array" ref="J172">IF(A172="","",COUNTA(_xlfn.UNIQUE(_xlfn._xlws.FILTER(TMA_Entreprises!G:G,TMA_Entreprises!A:A=A172))))</f>
        <v/>
      </c>
      <c r="K172" s="235" t="str">
        <f>IF(A172="","",IF(
COUNTIFS(TMA_Entreprises!$A$12:$A$220,A172,TMA_Entreprises!$J$12:$J$220,"Oui")=0,"Non",
IF(
COUNTIFS(TMA_Entreprises!$A$12:$A$220,A172,TMA_Entreprises!$J$12:$J$220,"Oui")=
COUNTIF(TMA_Entreprises!$A$12:$A$220,A172),"Oui",
"Partiel")))</f>
        <v/>
      </c>
      <c r="L172" s="236" t="str">
        <f>IF(A172="","",SUMIF(TMA_Entreprises!A:A,A172,TMA_Entreprises!L:L))</f>
        <v/>
      </c>
      <c r="M172" s="237"/>
      <c r="N172" s="238" t="str">
        <f t="shared" si="8"/>
        <v/>
      </c>
      <c r="O172" s="233"/>
      <c r="P172" s="233"/>
      <c r="Q172" s="239" t="str">
        <f t="shared" si="9"/>
        <v/>
      </c>
      <c r="R172" s="235" t="str">
        <f t="shared" ca="1" si="10"/>
        <v/>
      </c>
      <c r="S172" s="237" t="str">
        <f t="shared" si="11"/>
        <v/>
      </c>
      <c r="T172" s="242"/>
    </row>
    <row r="173" spans="1:20" s="81" customFormat="1" x14ac:dyDescent="0.45">
      <c r="A173" s="231"/>
      <c r="B173" s="232"/>
      <c r="C173" s="232"/>
      <c r="D173" s="232"/>
      <c r="E173" s="232"/>
      <c r="F173" s="232"/>
      <c r="G173" s="232"/>
      <c r="H173" s="240"/>
      <c r="I173" s="233"/>
      <c r="J173" s="234" t="str" cm="1">
        <f t="array" ref="J173">IF(A173="","",COUNTA(_xlfn.UNIQUE(_xlfn._xlws.FILTER(TMA_Entreprises!G:G,TMA_Entreprises!A:A=A173))))</f>
        <v/>
      </c>
      <c r="K173" s="235" t="str">
        <f>IF(A173="","",IF(
COUNTIFS(TMA_Entreprises!$A$12:$A$220,A173,TMA_Entreprises!$J$12:$J$220,"Oui")=0,"Non",
IF(
COUNTIFS(TMA_Entreprises!$A$12:$A$220,A173,TMA_Entreprises!$J$12:$J$220,"Oui")=
COUNTIF(TMA_Entreprises!$A$12:$A$220,A173),"Oui",
"Partiel")))</f>
        <v/>
      </c>
      <c r="L173" s="236" t="str">
        <f>IF(A173="","",SUMIF(TMA_Entreprises!A:A,A173,TMA_Entreprises!L:L))</f>
        <v/>
      </c>
      <c r="M173" s="237"/>
      <c r="N173" s="238" t="str">
        <f t="shared" si="8"/>
        <v/>
      </c>
      <c r="O173" s="233"/>
      <c r="P173" s="233"/>
      <c r="Q173" s="239" t="str">
        <f t="shared" si="9"/>
        <v/>
      </c>
      <c r="R173" s="235" t="str">
        <f t="shared" ca="1" si="10"/>
        <v/>
      </c>
      <c r="S173" s="237" t="str">
        <f t="shared" si="11"/>
        <v/>
      </c>
      <c r="T173" s="242"/>
    </row>
    <row r="174" spans="1:20" s="81" customFormat="1" x14ac:dyDescent="0.45">
      <c r="A174" s="231"/>
      <c r="B174" s="232"/>
      <c r="C174" s="232"/>
      <c r="D174" s="232"/>
      <c r="E174" s="232"/>
      <c r="F174" s="232"/>
      <c r="G174" s="232"/>
      <c r="H174" s="240"/>
      <c r="I174" s="233"/>
      <c r="J174" s="234" t="str" cm="1">
        <f t="array" ref="J174">IF(A174="","",COUNTA(_xlfn.UNIQUE(_xlfn._xlws.FILTER(TMA_Entreprises!G:G,TMA_Entreprises!A:A=A174))))</f>
        <v/>
      </c>
      <c r="K174" s="235" t="str">
        <f>IF(A174="","",IF(
COUNTIFS(TMA_Entreprises!$A$12:$A$220,A174,TMA_Entreprises!$J$12:$J$220,"Oui")=0,"Non",
IF(
COUNTIFS(TMA_Entreprises!$A$12:$A$220,A174,TMA_Entreprises!$J$12:$J$220,"Oui")=
COUNTIF(TMA_Entreprises!$A$12:$A$220,A174),"Oui",
"Partiel")))</f>
        <v/>
      </c>
      <c r="L174" s="236" t="str">
        <f>IF(A174="","",SUMIF(TMA_Entreprises!A:A,A174,TMA_Entreprises!L:L))</f>
        <v/>
      </c>
      <c r="M174" s="237"/>
      <c r="N174" s="238" t="str">
        <f t="shared" si="8"/>
        <v/>
      </c>
      <c r="O174" s="233"/>
      <c r="P174" s="233"/>
      <c r="Q174" s="239" t="str">
        <f t="shared" si="9"/>
        <v/>
      </c>
      <c r="R174" s="235" t="str">
        <f t="shared" ca="1" si="10"/>
        <v/>
      </c>
      <c r="S174" s="237" t="str">
        <f t="shared" si="11"/>
        <v/>
      </c>
      <c r="T174" s="242"/>
    </row>
    <row r="175" spans="1:20" s="81" customFormat="1" x14ac:dyDescent="0.45">
      <c r="A175" s="231"/>
      <c r="B175" s="232"/>
      <c r="C175" s="232"/>
      <c r="D175" s="232"/>
      <c r="E175" s="232"/>
      <c r="F175" s="232"/>
      <c r="G175" s="232"/>
      <c r="H175" s="240"/>
      <c r="I175" s="233"/>
      <c r="J175" s="234" t="str" cm="1">
        <f t="array" ref="J175">IF(A175="","",COUNTA(_xlfn.UNIQUE(_xlfn._xlws.FILTER(TMA_Entreprises!G:G,TMA_Entreprises!A:A=A175))))</f>
        <v/>
      </c>
      <c r="K175" s="235" t="str">
        <f>IF(A175="","",IF(
COUNTIFS(TMA_Entreprises!$A$12:$A$220,A175,TMA_Entreprises!$J$12:$J$220,"Oui")=0,"Non",
IF(
COUNTIFS(TMA_Entreprises!$A$12:$A$220,A175,TMA_Entreprises!$J$12:$J$220,"Oui")=
COUNTIF(TMA_Entreprises!$A$12:$A$220,A175),"Oui",
"Partiel")))</f>
        <v/>
      </c>
      <c r="L175" s="236" t="str">
        <f>IF(A175="","",SUMIF(TMA_Entreprises!A:A,A175,TMA_Entreprises!L:L))</f>
        <v/>
      </c>
      <c r="M175" s="237"/>
      <c r="N175" s="238" t="str">
        <f t="shared" si="8"/>
        <v/>
      </c>
      <c r="O175" s="233"/>
      <c r="P175" s="233"/>
      <c r="Q175" s="239" t="str">
        <f t="shared" si="9"/>
        <v/>
      </c>
      <c r="R175" s="235" t="str">
        <f t="shared" ca="1" si="10"/>
        <v/>
      </c>
      <c r="S175" s="237" t="str">
        <f t="shared" si="11"/>
        <v/>
      </c>
      <c r="T175" s="242"/>
    </row>
    <row r="176" spans="1:20" s="81" customFormat="1" x14ac:dyDescent="0.45">
      <c r="A176" s="231"/>
      <c r="B176" s="232"/>
      <c r="C176" s="232"/>
      <c r="D176" s="232"/>
      <c r="E176" s="232"/>
      <c r="F176" s="232"/>
      <c r="G176" s="232"/>
      <c r="H176" s="240"/>
      <c r="I176" s="233"/>
      <c r="J176" s="234" t="str" cm="1">
        <f t="array" ref="J176">IF(A176="","",COUNTA(_xlfn.UNIQUE(_xlfn._xlws.FILTER(TMA_Entreprises!G:G,TMA_Entreprises!A:A=A176))))</f>
        <v/>
      </c>
      <c r="K176" s="235" t="str">
        <f>IF(A176="","",IF(
COUNTIFS(TMA_Entreprises!$A$12:$A$220,A176,TMA_Entreprises!$J$12:$J$220,"Oui")=0,"Non",
IF(
COUNTIFS(TMA_Entreprises!$A$12:$A$220,A176,TMA_Entreprises!$J$12:$J$220,"Oui")=
COUNTIF(TMA_Entreprises!$A$12:$A$220,A176),"Oui",
"Partiel")))</f>
        <v/>
      </c>
      <c r="L176" s="236" t="str">
        <f>IF(A176="","",SUMIF(TMA_Entreprises!A:A,A176,TMA_Entreprises!L:L))</f>
        <v/>
      </c>
      <c r="M176" s="237"/>
      <c r="N176" s="238" t="str">
        <f t="shared" si="8"/>
        <v/>
      </c>
      <c r="O176" s="233"/>
      <c r="P176" s="233"/>
      <c r="Q176" s="239" t="str">
        <f t="shared" si="9"/>
        <v/>
      </c>
      <c r="R176" s="235" t="str">
        <f t="shared" ca="1" si="10"/>
        <v/>
      </c>
      <c r="S176" s="237" t="str">
        <f t="shared" si="11"/>
        <v/>
      </c>
      <c r="T176" s="242"/>
    </row>
    <row r="177" spans="1:20" s="81" customFormat="1" x14ac:dyDescent="0.45">
      <c r="A177" s="231"/>
      <c r="B177" s="232"/>
      <c r="C177" s="232"/>
      <c r="D177" s="232"/>
      <c r="E177" s="232"/>
      <c r="F177" s="232"/>
      <c r="G177" s="232"/>
      <c r="H177" s="240"/>
      <c r="I177" s="233"/>
      <c r="J177" s="234" t="str" cm="1">
        <f t="array" ref="J177">IF(A177="","",COUNTA(_xlfn.UNIQUE(_xlfn._xlws.FILTER(TMA_Entreprises!G:G,TMA_Entreprises!A:A=A177))))</f>
        <v/>
      </c>
      <c r="K177" s="235" t="str">
        <f>IF(A177="","",IF(
COUNTIFS(TMA_Entreprises!$A$12:$A$220,A177,TMA_Entreprises!$J$12:$J$220,"Oui")=0,"Non",
IF(
COUNTIFS(TMA_Entreprises!$A$12:$A$220,A177,TMA_Entreprises!$J$12:$J$220,"Oui")=
COUNTIF(TMA_Entreprises!$A$12:$A$220,A177),"Oui",
"Partiel")))</f>
        <v/>
      </c>
      <c r="L177" s="236" t="str">
        <f>IF(A177="","",SUMIF(TMA_Entreprises!A:A,A177,TMA_Entreprises!L:L))</f>
        <v/>
      </c>
      <c r="M177" s="237"/>
      <c r="N177" s="238" t="str">
        <f t="shared" si="8"/>
        <v/>
      </c>
      <c r="O177" s="233"/>
      <c r="P177" s="233"/>
      <c r="Q177" s="239" t="str">
        <f t="shared" si="9"/>
        <v/>
      </c>
      <c r="R177" s="235" t="str">
        <f t="shared" ca="1" si="10"/>
        <v/>
      </c>
      <c r="S177" s="237" t="str">
        <f t="shared" si="11"/>
        <v/>
      </c>
      <c r="T177" s="242"/>
    </row>
    <row r="178" spans="1:20" s="81" customFormat="1" x14ac:dyDescent="0.45">
      <c r="A178" s="231"/>
      <c r="B178" s="232"/>
      <c r="C178" s="232"/>
      <c r="D178" s="232"/>
      <c r="E178" s="232"/>
      <c r="F178" s="232"/>
      <c r="G178" s="232"/>
      <c r="H178" s="240"/>
      <c r="I178" s="233"/>
      <c r="J178" s="234" t="str" cm="1">
        <f t="array" ref="J178">IF(A178="","",COUNTA(_xlfn.UNIQUE(_xlfn._xlws.FILTER(TMA_Entreprises!G:G,TMA_Entreprises!A:A=A178))))</f>
        <v/>
      </c>
      <c r="K178" s="235" t="str">
        <f>IF(A178="","",IF(
COUNTIFS(TMA_Entreprises!$A$12:$A$220,A178,TMA_Entreprises!$J$12:$J$220,"Oui")=0,"Non",
IF(
COUNTIFS(TMA_Entreprises!$A$12:$A$220,A178,TMA_Entreprises!$J$12:$J$220,"Oui")=
COUNTIF(TMA_Entreprises!$A$12:$A$220,A178),"Oui",
"Partiel")))</f>
        <v/>
      </c>
      <c r="L178" s="236" t="str">
        <f>IF(A178="","",SUMIF(TMA_Entreprises!A:A,A178,TMA_Entreprises!L:L))</f>
        <v/>
      </c>
      <c r="M178" s="237"/>
      <c r="N178" s="238" t="str">
        <f t="shared" si="8"/>
        <v/>
      </c>
      <c r="O178" s="233"/>
      <c r="P178" s="233"/>
      <c r="Q178" s="239" t="str">
        <f t="shared" si="9"/>
        <v/>
      </c>
      <c r="R178" s="235" t="str">
        <f t="shared" ca="1" si="10"/>
        <v/>
      </c>
      <c r="S178" s="237" t="str">
        <f t="shared" si="11"/>
        <v/>
      </c>
      <c r="T178" s="242"/>
    </row>
    <row r="179" spans="1:20" s="81" customFormat="1" x14ac:dyDescent="0.45">
      <c r="A179" s="231"/>
      <c r="B179" s="232"/>
      <c r="C179" s="232"/>
      <c r="D179" s="232"/>
      <c r="E179" s="232"/>
      <c r="F179" s="232"/>
      <c r="G179" s="232"/>
      <c r="H179" s="240"/>
      <c r="I179" s="233"/>
      <c r="J179" s="234" t="str" cm="1">
        <f t="array" ref="J179">IF(A179="","",COUNTA(_xlfn.UNIQUE(_xlfn._xlws.FILTER(TMA_Entreprises!G:G,TMA_Entreprises!A:A=A179))))</f>
        <v/>
      </c>
      <c r="K179" s="235" t="str">
        <f>IF(A179="","",IF(
COUNTIFS(TMA_Entreprises!$A$12:$A$220,A179,TMA_Entreprises!$J$12:$J$220,"Oui")=0,"Non",
IF(
COUNTIFS(TMA_Entreprises!$A$12:$A$220,A179,TMA_Entreprises!$J$12:$J$220,"Oui")=
COUNTIF(TMA_Entreprises!$A$12:$A$220,A179),"Oui",
"Partiel")))</f>
        <v/>
      </c>
      <c r="L179" s="236" t="str">
        <f>IF(A179="","",SUMIF(TMA_Entreprises!A:A,A179,TMA_Entreprises!L:L))</f>
        <v/>
      </c>
      <c r="M179" s="237"/>
      <c r="N179" s="238" t="str">
        <f t="shared" si="8"/>
        <v/>
      </c>
      <c r="O179" s="233"/>
      <c r="P179" s="233"/>
      <c r="Q179" s="239" t="str">
        <f t="shared" si="9"/>
        <v/>
      </c>
      <c r="R179" s="235" t="str">
        <f t="shared" ca="1" si="10"/>
        <v/>
      </c>
      <c r="S179" s="237" t="str">
        <f t="shared" si="11"/>
        <v/>
      </c>
      <c r="T179" s="242"/>
    </row>
    <row r="180" spans="1:20" s="81" customFormat="1" x14ac:dyDescent="0.45">
      <c r="A180" s="231"/>
      <c r="B180" s="232"/>
      <c r="C180" s="232"/>
      <c r="D180" s="232"/>
      <c r="E180" s="232"/>
      <c r="F180" s="232"/>
      <c r="G180" s="232"/>
      <c r="H180" s="240"/>
      <c r="I180" s="233"/>
      <c r="J180" s="234" t="str" cm="1">
        <f t="array" ref="J180">IF(A180="","",COUNTA(_xlfn.UNIQUE(_xlfn._xlws.FILTER(TMA_Entreprises!G:G,TMA_Entreprises!A:A=A180))))</f>
        <v/>
      </c>
      <c r="K180" s="235" t="str">
        <f>IF(A180="","",IF(
COUNTIFS(TMA_Entreprises!$A$12:$A$220,A180,TMA_Entreprises!$J$12:$J$220,"Oui")=0,"Non",
IF(
COUNTIFS(TMA_Entreprises!$A$12:$A$220,A180,TMA_Entreprises!$J$12:$J$220,"Oui")=
COUNTIF(TMA_Entreprises!$A$12:$A$220,A180),"Oui",
"Partiel")))</f>
        <v/>
      </c>
      <c r="L180" s="236" t="str">
        <f>IF(A180="","",SUMIF(TMA_Entreprises!A:A,A180,TMA_Entreprises!L:L))</f>
        <v/>
      </c>
      <c r="M180" s="237"/>
      <c r="N180" s="238" t="str">
        <f t="shared" si="8"/>
        <v/>
      </c>
      <c r="O180" s="233"/>
      <c r="P180" s="233"/>
      <c r="Q180" s="239" t="str">
        <f t="shared" si="9"/>
        <v/>
      </c>
      <c r="R180" s="235" t="str">
        <f t="shared" ca="1" si="10"/>
        <v/>
      </c>
      <c r="S180" s="237" t="str">
        <f t="shared" si="11"/>
        <v/>
      </c>
      <c r="T180" s="242"/>
    </row>
    <row r="181" spans="1:20" s="81" customFormat="1" x14ac:dyDescent="0.45">
      <c r="A181" s="231"/>
      <c r="B181" s="232"/>
      <c r="C181" s="232"/>
      <c r="D181" s="232"/>
      <c r="E181" s="232"/>
      <c r="F181" s="232"/>
      <c r="G181" s="232"/>
      <c r="H181" s="240"/>
      <c r="I181" s="233"/>
      <c r="J181" s="234" t="str" cm="1">
        <f t="array" ref="J181">IF(A181="","",COUNTA(_xlfn.UNIQUE(_xlfn._xlws.FILTER(TMA_Entreprises!G:G,TMA_Entreprises!A:A=A181))))</f>
        <v/>
      </c>
      <c r="K181" s="235" t="str">
        <f>IF(A181="","",IF(
COUNTIFS(TMA_Entreprises!$A$12:$A$220,A181,TMA_Entreprises!$J$12:$J$220,"Oui")=0,"Non",
IF(
COUNTIFS(TMA_Entreprises!$A$12:$A$220,A181,TMA_Entreprises!$J$12:$J$220,"Oui")=
COUNTIF(TMA_Entreprises!$A$12:$A$220,A181),"Oui",
"Partiel")))</f>
        <v/>
      </c>
      <c r="L181" s="236" t="str">
        <f>IF(A181="","",SUMIF(TMA_Entreprises!A:A,A181,TMA_Entreprises!L:L))</f>
        <v/>
      </c>
      <c r="M181" s="237"/>
      <c r="N181" s="238" t="str">
        <f t="shared" si="8"/>
        <v/>
      </c>
      <c r="O181" s="233"/>
      <c r="P181" s="233"/>
      <c r="Q181" s="239" t="str">
        <f t="shared" si="9"/>
        <v/>
      </c>
      <c r="R181" s="235" t="str">
        <f t="shared" ca="1" si="10"/>
        <v/>
      </c>
      <c r="S181" s="237" t="str">
        <f t="shared" si="11"/>
        <v/>
      </c>
      <c r="T181" s="242"/>
    </row>
    <row r="182" spans="1:20" s="81" customFormat="1" x14ac:dyDescent="0.45">
      <c r="A182" s="231"/>
      <c r="B182" s="232"/>
      <c r="C182" s="232"/>
      <c r="D182" s="232"/>
      <c r="E182" s="232"/>
      <c r="F182" s="232"/>
      <c r="G182" s="232"/>
      <c r="H182" s="240"/>
      <c r="I182" s="233"/>
      <c r="J182" s="234" t="str" cm="1">
        <f t="array" ref="J182">IF(A182="","",COUNTA(_xlfn.UNIQUE(_xlfn._xlws.FILTER(TMA_Entreprises!G:G,TMA_Entreprises!A:A=A182))))</f>
        <v/>
      </c>
      <c r="K182" s="235" t="str">
        <f>IF(A182="","",IF(
COUNTIFS(TMA_Entreprises!$A$12:$A$220,A182,TMA_Entreprises!$J$12:$J$220,"Oui")=0,"Non",
IF(
COUNTIFS(TMA_Entreprises!$A$12:$A$220,A182,TMA_Entreprises!$J$12:$J$220,"Oui")=
COUNTIF(TMA_Entreprises!$A$12:$A$220,A182),"Oui",
"Partiel")))</f>
        <v/>
      </c>
      <c r="L182" s="236" t="str">
        <f>IF(A182="","",SUMIF(TMA_Entreprises!A:A,A182,TMA_Entreprises!L:L))</f>
        <v/>
      </c>
      <c r="M182" s="237"/>
      <c r="N182" s="238" t="str">
        <f t="shared" si="8"/>
        <v/>
      </c>
      <c r="O182" s="233"/>
      <c r="P182" s="233"/>
      <c r="Q182" s="239" t="str">
        <f t="shared" si="9"/>
        <v/>
      </c>
      <c r="R182" s="235" t="str">
        <f t="shared" ca="1" si="10"/>
        <v/>
      </c>
      <c r="S182" s="237" t="str">
        <f t="shared" si="11"/>
        <v/>
      </c>
      <c r="T182" s="242"/>
    </row>
    <row r="183" spans="1:20" s="81" customFormat="1" x14ac:dyDescent="0.45">
      <c r="A183" s="231"/>
      <c r="B183" s="232"/>
      <c r="C183" s="232"/>
      <c r="D183" s="232"/>
      <c r="E183" s="232"/>
      <c r="F183" s="232"/>
      <c r="G183" s="232"/>
      <c r="H183" s="240"/>
      <c r="I183" s="233"/>
      <c r="J183" s="234" t="str" cm="1">
        <f t="array" ref="J183">IF(A183="","",COUNTA(_xlfn.UNIQUE(_xlfn._xlws.FILTER(TMA_Entreprises!G:G,TMA_Entreprises!A:A=A183))))</f>
        <v/>
      </c>
      <c r="K183" s="235" t="str">
        <f>IF(A183="","",IF(
COUNTIFS(TMA_Entreprises!$A$12:$A$220,A183,TMA_Entreprises!$J$12:$J$220,"Oui")=0,"Non",
IF(
COUNTIFS(TMA_Entreprises!$A$12:$A$220,A183,TMA_Entreprises!$J$12:$J$220,"Oui")=
COUNTIF(TMA_Entreprises!$A$12:$A$220,A183),"Oui",
"Partiel")))</f>
        <v/>
      </c>
      <c r="L183" s="236" t="str">
        <f>IF(A183="","",SUMIF(TMA_Entreprises!A:A,A183,TMA_Entreprises!L:L))</f>
        <v/>
      </c>
      <c r="M183" s="237"/>
      <c r="N183" s="238" t="str">
        <f t="shared" si="8"/>
        <v/>
      </c>
      <c r="O183" s="233"/>
      <c r="P183" s="233"/>
      <c r="Q183" s="239" t="str">
        <f t="shared" si="9"/>
        <v/>
      </c>
      <c r="R183" s="235" t="str">
        <f t="shared" ca="1" si="10"/>
        <v/>
      </c>
      <c r="S183" s="237" t="str">
        <f t="shared" si="11"/>
        <v/>
      </c>
      <c r="T183" s="242"/>
    </row>
    <row r="184" spans="1:20" s="81" customFormat="1" x14ac:dyDescent="0.45">
      <c r="A184" s="231"/>
      <c r="B184" s="232"/>
      <c r="C184" s="232"/>
      <c r="D184" s="232"/>
      <c r="E184" s="232"/>
      <c r="F184" s="232"/>
      <c r="G184" s="232"/>
      <c r="H184" s="240"/>
      <c r="I184" s="233"/>
      <c r="J184" s="234" t="str" cm="1">
        <f t="array" ref="J184">IF(A184="","",COUNTA(_xlfn.UNIQUE(_xlfn._xlws.FILTER(TMA_Entreprises!G:G,TMA_Entreprises!A:A=A184))))</f>
        <v/>
      </c>
      <c r="K184" s="235" t="str">
        <f>IF(A184="","",IF(
COUNTIFS(TMA_Entreprises!$A$12:$A$220,A184,TMA_Entreprises!$J$12:$J$220,"Oui")=0,"Non",
IF(
COUNTIFS(TMA_Entreprises!$A$12:$A$220,A184,TMA_Entreprises!$J$12:$J$220,"Oui")=
COUNTIF(TMA_Entreprises!$A$12:$A$220,A184),"Oui",
"Partiel")))</f>
        <v/>
      </c>
      <c r="L184" s="236" t="str">
        <f>IF(A184="","",SUMIF(TMA_Entreprises!A:A,A184,TMA_Entreprises!L:L))</f>
        <v/>
      </c>
      <c r="M184" s="237"/>
      <c r="N184" s="238" t="str">
        <f t="shared" si="8"/>
        <v/>
      </c>
      <c r="O184" s="233"/>
      <c r="P184" s="233"/>
      <c r="Q184" s="239" t="str">
        <f t="shared" si="9"/>
        <v/>
      </c>
      <c r="R184" s="235" t="str">
        <f t="shared" ca="1" si="10"/>
        <v/>
      </c>
      <c r="S184" s="237" t="str">
        <f t="shared" si="11"/>
        <v/>
      </c>
      <c r="T184" s="242"/>
    </row>
    <row r="185" spans="1:20" s="81" customFormat="1" x14ac:dyDescent="0.45">
      <c r="A185" s="231"/>
      <c r="B185" s="232"/>
      <c r="C185" s="232"/>
      <c r="D185" s="232"/>
      <c r="E185" s="232"/>
      <c r="F185" s="232"/>
      <c r="G185" s="232"/>
      <c r="H185" s="240"/>
      <c r="I185" s="233"/>
      <c r="J185" s="234" t="str" cm="1">
        <f t="array" ref="J185">IF(A185="","",COUNTA(_xlfn.UNIQUE(_xlfn._xlws.FILTER(TMA_Entreprises!G:G,TMA_Entreprises!A:A=A185))))</f>
        <v/>
      </c>
      <c r="K185" s="235" t="str">
        <f>IF(A185="","",IF(
COUNTIFS(TMA_Entreprises!$A$12:$A$220,A185,TMA_Entreprises!$J$12:$J$220,"Oui")=0,"Non",
IF(
COUNTIFS(TMA_Entreprises!$A$12:$A$220,A185,TMA_Entreprises!$J$12:$J$220,"Oui")=
COUNTIF(TMA_Entreprises!$A$12:$A$220,A185),"Oui",
"Partiel")))</f>
        <v/>
      </c>
      <c r="L185" s="236" t="str">
        <f>IF(A185="","",SUMIF(TMA_Entreprises!A:A,A185,TMA_Entreprises!L:L))</f>
        <v/>
      </c>
      <c r="M185" s="237"/>
      <c r="N185" s="238" t="str">
        <f t="shared" si="8"/>
        <v/>
      </c>
      <c r="O185" s="233"/>
      <c r="P185" s="233"/>
      <c r="Q185" s="239" t="str">
        <f t="shared" si="9"/>
        <v/>
      </c>
      <c r="R185" s="235" t="str">
        <f t="shared" ca="1" si="10"/>
        <v/>
      </c>
      <c r="S185" s="237" t="str">
        <f t="shared" si="11"/>
        <v/>
      </c>
      <c r="T185" s="242"/>
    </row>
    <row r="186" spans="1:20" s="81" customFormat="1" x14ac:dyDescent="0.45">
      <c r="A186" s="231"/>
      <c r="B186" s="232"/>
      <c r="C186" s="232"/>
      <c r="D186" s="232"/>
      <c r="E186" s="232"/>
      <c r="F186" s="232"/>
      <c r="G186" s="232"/>
      <c r="H186" s="240"/>
      <c r="I186" s="233"/>
      <c r="J186" s="234" t="str" cm="1">
        <f t="array" ref="J186">IF(A186="","",COUNTA(_xlfn.UNIQUE(_xlfn._xlws.FILTER(TMA_Entreprises!G:G,TMA_Entreprises!A:A=A186))))</f>
        <v/>
      </c>
      <c r="K186" s="235" t="str">
        <f>IF(A186="","",IF(
COUNTIFS(TMA_Entreprises!$A$12:$A$220,A186,TMA_Entreprises!$J$12:$J$220,"Oui")=0,"Non",
IF(
COUNTIFS(TMA_Entreprises!$A$12:$A$220,A186,TMA_Entreprises!$J$12:$J$220,"Oui")=
COUNTIF(TMA_Entreprises!$A$12:$A$220,A186),"Oui",
"Partiel")))</f>
        <v/>
      </c>
      <c r="L186" s="236" t="str">
        <f>IF(A186="","",SUMIF(TMA_Entreprises!A:A,A186,TMA_Entreprises!L:L))</f>
        <v/>
      </c>
      <c r="M186" s="237"/>
      <c r="N186" s="238" t="str">
        <f t="shared" si="8"/>
        <v/>
      </c>
      <c r="O186" s="233"/>
      <c r="P186" s="233"/>
      <c r="Q186" s="239" t="str">
        <f t="shared" si="9"/>
        <v/>
      </c>
      <c r="R186" s="235" t="str">
        <f t="shared" ca="1" si="10"/>
        <v/>
      </c>
      <c r="S186" s="237" t="str">
        <f t="shared" si="11"/>
        <v/>
      </c>
      <c r="T186" s="242"/>
    </row>
    <row r="187" spans="1:20" s="81" customFormat="1" x14ac:dyDescent="0.45">
      <c r="A187" s="231"/>
      <c r="B187" s="232"/>
      <c r="C187" s="232"/>
      <c r="D187" s="232"/>
      <c r="E187" s="232"/>
      <c r="F187" s="232"/>
      <c r="G187" s="232"/>
      <c r="H187" s="240"/>
      <c r="I187" s="233"/>
      <c r="J187" s="234" t="str" cm="1">
        <f t="array" ref="J187">IF(A187="","",COUNTA(_xlfn.UNIQUE(_xlfn._xlws.FILTER(TMA_Entreprises!G:G,TMA_Entreprises!A:A=A187))))</f>
        <v/>
      </c>
      <c r="K187" s="235" t="str">
        <f>IF(A187="","",IF(
COUNTIFS(TMA_Entreprises!$A$12:$A$220,A187,TMA_Entreprises!$J$12:$J$220,"Oui")=0,"Non",
IF(
COUNTIFS(TMA_Entreprises!$A$12:$A$220,A187,TMA_Entreprises!$J$12:$J$220,"Oui")=
COUNTIF(TMA_Entreprises!$A$12:$A$220,A187),"Oui",
"Partiel")))</f>
        <v/>
      </c>
      <c r="L187" s="236" t="str">
        <f>IF(A187="","",SUMIF(TMA_Entreprises!A:A,A187,TMA_Entreprises!L:L))</f>
        <v/>
      </c>
      <c r="M187" s="237"/>
      <c r="N187" s="238" t="str">
        <f t="shared" si="8"/>
        <v/>
      </c>
      <c r="O187" s="233"/>
      <c r="P187" s="233"/>
      <c r="Q187" s="239" t="str">
        <f t="shared" si="9"/>
        <v/>
      </c>
      <c r="R187" s="235" t="str">
        <f t="shared" ca="1" si="10"/>
        <v/>
      </c>
      <c r="S187" s="237" t="str">
        <f t="shared" si="11"/>
        <v/>
      </c>
      <c r="T187" s="242"/>
    </row>
    <row r="188" spans="1:20" s="81" customFormat="1" x14ac:dyDescent="0.45">
      <c r="A188" s="231"/>
      <c r="B188" s="232"/>
      <c r="C188" s="232"/>
      <c r="D188" s="232"/>
      <c r="E188" s="232"/>
      <c r="F188" s="232"/>
      <c r="G188" s="232"/>
      <c r="H188" s="240"/>
      <c r="I188" s="233"/>
      <c r="J188" s="234" t="str" cm="1">
        <f t="array" ref="J188">IF(A188="","",COUNTA(_xlfn.UNIQUE(_xlfn._xlws.FILTER(TMA_Entreprises!G:G,TMA_Entreprises!A:A=A188))))</f>
        <v/>
      </c>
      <c r="K188" s="235" t="str">
        <f>IF(A188="","",IF(
COUNTIFS(TMA_Entreprises!$A$12:$A$220,A188,TMA_Entreprises!$J$12:$J$220,"Oui")=0,"Non",
IF(
COUNTIFS(TMA_Entreprises!$A$12:$A$220,A188,TMA_Entreprises!$J$12:$J$220,"Oui")=
COUNTIF(TMA_Entreprises!$A$12:$A$220,A188),"Oui",
"Partiel")))</f>
        <v/>
      </c>
      <c r="L188" s="236" t="str">
        <f>IF(A188="","",SUMIF(TMA_Entreprises!A:A,A188,TMA_Entreprises!L:L))</f>
        <v/>
      </c>
      <c r="M188" s="237"/>
      <c r="N188" s="238" t="str">
        <f t="shared" si="8"/>
        <v/>
      </c>
      <c r="O188" s="233"/>
      <c r="P188" s="233"/>
      <c r="Q188" s="239" t="str">
        <f t="shared" si="9"/>
        <v/>
      </c>
      <c r="R188" s="235" t="str">
        <f t="shared" ca="1" si="10"/>
        <v/>
      </c>
      <c r="S188" s="237" t="str">
        <f t="shared" si="11"/>
        <v/>
      </c>
      <c r="T188" s="242"/>
    </row>
    <row r="189" spans="1:20" s="81" customFormat="1" x14ac:dyDescent="0.45">
      <c r="A189" s="231"/>
      <c r="B189" s="232"/>
      <c r="C189" s="232"/>
      <c r="D189" s="232"/>
      <c r="E189" s="232"/>
      <c r="F189" s="232"/>
      <c r="G189" s="232"/>
      <c r="H189" s="240"/>
      <c r="I189" s="233"/>
      <c r="J189" s="234" t="str" cm="1">
        <f t="array" ref="J189">IF(A189="","",COUNTA(_xlfn.UNIQUE(_xlfn._xlws.FILTER(TMA_Entreprises!G:G,TMA_Entreprises!A:A=A189))))</f>
        <v/>
      </c>
      <c r="K189" s="235" t="str">
        <f>IF(A189="","",IF(
COUNTIFS(TMA_Entreprises!$A$12:$A$220,A189,TMA_Entreprises!$J$12:$J$220,"Oui")=0,"Non",
IF(
COUNTIFS(TMA_Entreprises!$A$12:$A$220,A189,TMA_Entreprises!$J$12:$J$220,"Oui")=
COUNTIF(TMA_Entreprises!$A$12:$A$220,A189),"Oui",
"Partiel")))</f>
        <v/>
      </c>
      <c r="L189" s="236" t="str">
        <f>IF(A189="","",SUMIF(TMA_Entreprises!A:A,A189,TMA_Entreprises!L:L))</f>
        <v/>
      </c>
      <c r="M189" s="237"/>
      <c r="N189" s="238" t="str">
        <f t="shared" si="8"/>
        <v/>
      </c>
      <c r="O189" s="233"/>
      <c r="P189" s="233"/>
      <c r="Q189" s="239" t="str">
        <f t="shared" si="9"/>
        <v/>
      </c>
      <c r="R189" s="235" t="str">
        <f t="shared" ca="1" si="10"/>
        <v/>
      </c>
      <c r="S189" s="237" t="str">
        <f t="shared" si="11"/>
        <v/>
      </c>
      <c r="T189" s="242"/>
    </row>
    <row r="190" spans="1:20" s="81" customFormat="1" x14ac:dyDescent="0.45">
      <c r="A190" s="231"/>
      <c r="B190" s="232"/>
      <c r="C190" s="232"/>
      <c r="D190" s="232"/>
      <c r="E190" s="232"/>
      <c r="F190" s="232"/>
      <c r="G190" s="232"/>
      <c r="H190" s="240"/>
      <c r="I190" s="233"/>
      <c r="J190" s="234" t="str" cm="1">
        <f t="array" ref="J190">IF(A190="","",COUNTA(_xlfn.UNIQUE(_xlfn._xlws.FILTER(TMA_Entreprises!G:G,TMA_Entreprises!A:A=A190))))</f>
        <v/>
      </c>
      <c r="K190" s="235" t="str">
        <f>IF(A190="","",IF(
COUNTIFS(TMA_Entreprises!$A$12:$A$220,A190,TMA_Entreprises!$J$12:$J$220,"Oui")=0,"Non",
IF(
COUNTIFS(TMA_Entreprises!$A$12:$A$220,A190,TMA_Entreprises!$J$12:$J$220,"Oui")=
COUNTIF(TMA_Entreprises!$A$12:$A$220,A190),"Oui",
"Partiel")))</f>
        <v/>
      </c>
      <c r="L190" s="236" t="str">
        <f>IF(A190="","",SUMIF(TMA_Entreprises!A:A,A190,TMA_Entreprises!L:L))</f>
        <v/>
      </c>
      <c r="M190" s="237"/>
      <c r="N190" s="238" t="str">
        <f t="shared" si="8"/>
        <v/>
      </c>
      <c r="O190" s="233"/>
      <c r="P190" s="233"/>
      <c r="Q190" s="239" t="str">
        <f t="shared" si="9"/>
        <v/>
      </c>
      <c r="R190" s="235" t="str">
        <f t="shared" ca="1" si="10"/>
        <v/>
      </c>
      <c r="S190" s="237" t="str">
        <f t="shared" si="11"/>
        <v/>
      </c>
      <c r="T190" s="242"/>
    </row>
    <row r="191" spans="1:20" s="81" customFormat="1" x14ac:dyDescent="0.45">
      <c r="A191" s="231"/>
      <c r="B191" s="232"/>
      <c r="C191" s="232"/>
      <c r="D191" s="232"/>
      <c r="E191" s="232"/>
      <c r="F191" s="232"/>
      <c r="G191" s="232"/>
      <c r="H191" s="240"/>
      <c r="I191" s="233"/>
      <c r="J191" s="234" t="str" cm="1">
        <f t="array" ref="J191">IF(A191="","",COUNTA(_xlfn.UNIQUE(_xlfn._xlws.FILTER(TMA_Entreprises!G:G,TMA_Entreprises!A:A=A191))))</f>
        <v/>
      </c>
      <c r="K191" s="235" t="str">
        <f>IF(A191="","",IF(
COUNTIFS(TMA_Entreprises!$A$12:$A$220,A191,TMA_Entreprises!$J$12:$J$220,"Oui")=0,"Non",
IF(
COUNTIFS(TMA_Entreprises!$A$12:$A$220,A191,TMA_Entreprises!$J$12:$J$220,"Oui")=
COUNTIF(TMA_Entreprises!$A$12:$A$220,A191),"Oui",
"Partiel")))</f>
        <v/>
      </c>
      <c r="L191" s="236" t="str">
        <f>IF(A191="","",SUMIF(TMA_Entreprises!A:A,A191,TMA_Entreprises!L:L))</f>
        <v/>
      </c>
      <c r="M191" s="237"/>
      <c r="N191" s="238" t="str">
        <f t="shared" si="8"/>
        <v/>
      </c>
      <c r="O191" s="233"/>
      <c r="P191" s="233"/>
      <c r="Q191" s="239" t="str">
        <f t="shared" si="9"/>
        <v/>
      </c>
      <c r="R191" s="235" t="str">
        <f t="shared" ca="1" si="10"/>
        <v/>
      </c>
      <c r="S191" s="237" t="str">
        <f t="shared" si="11"/>
        <v/>
      </c>
      <c r="T191" s="242"/>
    </row>
    <row r="192" spans="1:20" s="81" customFormat="1" x14ac:dyDescent="0.45">
      <c r="A192" s="231"/>
      <c r="B192" s="232"/>
      <c r="C192" s="232"/>
      <c r="D192" s="232"/>
      <c r="E192" s="232"/>
      <c r="F192" s="232"/>
      <c r="G192" s="232"/>
      <c r="H192" s="240"/>
      <c r="I192" s="233"/>
      <c r="J192" s="234" t="str" cm="1">
        <f t="array" ref="J192">IF(A192="","",COUNTA(_xlfn.UNIQUE(_xlfn._xlws.FILTER(TMA_Entreprises!G:G,TMA_Entreprises!A:A=A192))))</f>
        <v/>
      </c>
      <c r="K192" s="235" t="str">
        <f>IF(A192="","",IF(
COUNTIFS(TMA_Entreprises!$A$12:$A$220,A192,TMA_Entreprises!$J$12:$J$220,"Oui")=0,"Non",
IF(
COUNTIFS(TMA_Entreprises!$A$12:$A$220,A192,TMA_Entreprises!$J$12:$J$220,"Oui")=
COUNTIF(TMA_Entreprises!$A$12:$A$220,A192),"Oui",
"Partiel")))</f>
        <v/>
      </c>
      <c r="L192" s="236" t="str">
        <f>IF(A192="","",SUMIF(TMA_Entreprises!A:A,A192,TMA_Entreprises!L:L))</f>
        <v/>
      </c>
      <c r="M192" s="237"/>
      <c r="N192" s="238" t="str">
        <f t="shared" si="8"/>
        <v/>
      </c>
      <c r="O192" s="233"/>
      <c r="P192" s="233"/>
      <c r="Q192" s="239" t="str">
        <f t="shared" si="9"/>
        <v/>
      </c>
      <c r="R192" s="235" t="str">
        <f t="shared" ca="1" si="10"/>
        <v/>
      </c>
      <c r="S192" s="237" t="str">
        <f t="shared" si="11"/>
        <v/>
      </c>
      <c r="T192" s="242"/>
    </row>
    <row r="193" spans="1:20" s="81" customFormat="1" x14ac:dyDescent="0.45">
      <c r="A193" s="231"/>
      <c r="B193" s="232"/>
      <c r="C193" s="232"/>
      <c r="D193" s="232"/>
      <c r="E193" s="232"/>
      <c r="F193" s="232"/>
      <c r="G193" s="232"/>
      <c r="H193" s="240"/>
      <c r="I193" s="233"/>
      <c r="J193" s="234" t="str" cm="1">
        <f t="array" ref="J193">IF(A193="","",COUNTA(_xlfn.UNIQUE(_xlfn._xlws.FILTER(TMA_Entreprises!G:G,TMA_Entreprises!A:A=A193))))</f>
        <v/>
      </c>
      <c r="K193" s="235" t="str">
        <f>IF(A193="","",IF(
COUNTIFS(TMA_Entreprises!$A$12:$A$220,A193,TMA_Entreprises!$J$12:$J$220,"Oui")=0,"Non",
IF(
COUNTIFS(TMA_Entreprises!$A$12:$A$220,A193,TMA_Entreprises!$J$12:$J$220,"Oui")=
COUNTIF(TMA_Entreprises!$A$12:$A$220,A193),"Oui",
"Partiel")))</f>
        <v/>
      </c>
      <c r="L193" s="236" t="str">
        <f>IF(A193="","",SUMIF(TMA_Entreprises!A:A,A193,TMA_Entreprises!L:L))</f>
        <v/>
      </c>
      <c r="M193" s="237"/>
      <c r="N193" s="238" t="str">
        <f t="shared" si="8"/>
        <v/>
      </c>
      <c r="O193" s="233"/>
      <c r="P193" s="233"/>
      <c r="Q193" s="239" t="str">
        <f t="shared" si="9"/>
        <v/>
      </c>
      <c r="R193" s="235" t="str">
        <f t="shared" ca="1" si="10"/>
        <v/>
      </c>
      <c r="S193" s="237" t="str">
        <f t="shared" si="11"/>
        <v/>
      </c>
      <c r="T193" s="242"/>
    </row>
    <row r="194" spans="1:20" s="81" customFormat="1" x14ac:dyDescent="0.45">
      <c r="A194" s="231"/>
      <c r="B194" s="232"/>
      <c r="C194" s="232"/>
      <c r="D194" s="232"/>
      <c r="E194" s="232"/>
      <c r="F194" s="232"/>
      <c r="G194" s="232"/>
      <c r="H194" s="240"/>
      <c r="I194" s="233"/>
      <c r="J194" s="234" t="str" cm="1">
        <f t="array" ref="J194">IF(A194="","",COUNTA(_xlfn.UNIQUE(_xlfn._xlws.FILTER(TMA_Entreprises!G:G,TMA_Entreprises!A:A=A194))))</f>
        <v/>
      </c>
      <c r="K194" s="235" t="str">
        <f>IF(A194="","",IF(
COUNTIFS(TMA_Entreprises!$A$12:$A$220,A194,TMA_Entreprises!$J$12:$J$220,"Oui")=0,"Non",
IF(
COUNTIFS(TMA_Entreprises!$A$12:$A$220,A194,TMA_Entreprises!$J$12:$J$220,"Oui")=
COUNTIF(TMA_Entreprises!$A$12:$A$220,A194),"Oui",
"Partiel")))</f>
        <v/>
      </c>
      <c r="L194" s="236" t="str">
        <f>IF(A194="","",SUMIF(TMA_Entreprises!A:A,A194,TMA_Entreprises!L:L))</f>
        <v/>
      </c>
      <c r="M194" s="237"/>
      <c r="N194" s="238" t="str">
        <f t="shared" si="8"/>
        <v/>
      </c>
      <c r="O194" s="233"/>
      <c r="P194" s="233"/>
      <c r="Q194" s="239" t="str">
        <f t="shared" si="9"/>
        <v/>
      </c>
      <c r="R194" s="235" t="str">
        <f t="shared" ca="1" si="10"/>
        <v/>
      </c>
      <c r="S194" s="237" t="str">
        <f t="shared" si="11"/>
        <v/>
      </c>
      <c r="T194" s="242"/>
    </row>
    <row r="195" spans="1:20" s="81" customFormat="1" x14ac:dyDescent="0.45">
      <c r="A195" s="231"/>
      <c r="B195" s="232"/>
      <c r="C195" s="232"/>
      <c r="D195" s="232"/>
      <c r="E195" s="232"/>
      <c r="F195" s="232"/>
      <c r="G195" s="232"/>
      <c r="H195" s="240"/>
      <c r="I195" s="233"/>
      <c r="J195" s="234" t="str" cm="1">
        <f t="array" ref="J195">IF(A195="","",COUNTA(_xlfn.UNIQUE(_xlfn._xlws.FILTER(TMA_Entreprises!G:G,TMA_Entreprises!A:A=A195))))</f>
        <v/>
      </c>
      <c r="K195" s="235" t="str">
        <f>IF(A195="","",IF(
COUNTIFS(TMA_Entreprises!$A$12:$A$220,A195,TMA_Entreprises!$J$12:$J$220,"Oui")=0,"Non",
IF(
COUNTIFS(TMA_Entreprises!$A$12:$A$220,A195,TMA_Entreprises!$J$12:$J$220,"Oui")=
COUNTIF(TMA_Entreprises!$A$12:$A$220,A195),"Oui",
"Partiel")))</f>
        <v/>
      </c>
      <c r="L195" s="236" t="str">
        <f>IF(A195="","",SUMIF(TMA_Entreprises!A:A,A195,TMA_Entreprises!L:L))</f>
        <v/>
      </c>
      <c r="M195" s="237"/>
      <c r="N195" s="238" t="str">
        <f t="shared" si="8"/>
        <v/>
      </c>
      <c r="O195" s="233"/>
      <c r="P195" s="233"/>
      <c r="Q195" s="239" t="str">
        <f t="shared" si="9"/>
        <v/>
      </c>
      <c r="R195" s="235" t="str">
        <f t="shared" ca="1" si="10"/>
        <v/>
      </c>
      <c r="S195" s="237" t="str">
        <f t="shared" si="11"/>
        <v/>
      </c>
      <c r="T195" s="242"/>
    </row>
    <row r="196" spans="1:20" s="81" customFormat="1" x14ac:dyDescent="0.45">
      <c r="A196" s="231"/>
      <c r="B196" s="232"/>
      <c r="C196" s="232"/>
      <c r="D196" s="232"/>
      <c r="E196" s="232"/>
      <c r="F196" s="232"/>
      <c r="G196" s="232"/>
      <c r="H196" s="240"/>
      <c r="I196" s="233"/>
      <c r="J196" s="234" t="str" cm="1">
        <f t="array" ref="J196">IF(A196="","",COUNTA(_xlfn.UNIQUE(_xlfn._xlws.FILTER(TMA_Entreprises!G:G,TMA_Entreprises!A:A=A196))))</f>
        <v/>
      </c>
      <c r="K196" s="235" t="str">
        <f>IF(A196="","",IF(
COUNTIFS(TMA_Entreprises!$A$12:$A$220,A196,TMA_Entreprises!$J$12:$J$220,"Oui")=0,"Non",
IF(
COUNTIFS(TMA_Entreprises!$A$12:$A$220,A196,TMA_Entreprises!$J$12:$J$220,"Oui")=
COUNTIF(TMA_Entreprises!$A$12:$A$220,A196),"Oui",
"Partiel")))</f>
        <v/>
      </c>
      <c r="L196" s="236" t="str">
        <f>IF(A196="","",SUMIF(TMA_Entreprises!A:A,A196,TMA_Entreprises!L:L))</f>
        <v/>
      </c>
      <c r="M196" s="237"/>
      <c r="N196" s="238" t="str">
        <f t="shared" si="8"/>
        <v/>
      </c>
      <c r="O196" s="233"/>
      <c r="P196" s="233"/>
      <c r="Q196" s="239" t="str">
        <f t="shared" si="9"/>
        <v/>
      </c>
      <c r="R196" s="235" t="str">
        <f t="shared" ca="1" si="10"/>
        <v/>
      </c>
      <c r="S196" s="237" t="str">
        <f t="shared" si="11"/>
        <v/>
      </c>
      <c r="T196" s="242"/>
    </row>
    <row r="197" spans="1:20" s="81" customFormat="1" x14ac:dyDescent="0.45">
      <c r="A197" s="231"/>
      <c r="B197" s="232"/>
      <c r="C197" s="232"/>
      <c r="D197" s="232"/>
      <c r="E197" s="232"/>
      <c r="F197" s="232"/>
      <c r="G197" s="232"/>
      <c r="H197" s="240"/>
      <c r="I197" s="233"/>
      <c r="J197" s="234" t="str" cm="1">
        <f t="array" ref="J197">IF(A197="","",COUNTA(_xlfn.UNIQUE(_xlfn._xlws.FILTER(TMA_Entreprises!G:G,TMA_Entreprises!A:A=A197))))</f>
        <v/>
      </c>
      <c r="K197" s="235" t="str">
        <f>IF(A197="","",IF(
COUNTIFS(TMA_Entreprises!$A$12:$A$220,A197,TMA_Entreprises!$J$12:$J$220,"Oui")=0,"Non",
IF(
COUNTIFS(TMA_Entreprises!$A$12:$A$220,A197,TMA_Entreprises!$J$12:$J$220,"Oui")=
COUNTIF(TMA_Entreprises!$A$12:$A$220,A197),"Oui",
"Partiel")))</f>
        <v/>
      </c>
      <c r="L197" s="236" t="str">
        <f>IF(A197="","",SUMIF(TMA_Entreprises!A:A,A197,TMA_Entreprises!L:L))</f>
        <v/>
      </c>
      <c r="M197" s="237"/>
      <c r="N197" s="238" t="str">
        <f t="shared" si="8"/>
        <v/>
      </c>
      <c r="O197" s="233"/>
      <c r="P197" s="233"/>
      <c r="Q197" s="239" t="str">
        <f t="shared" si="9"/>
        <v/>
      </c>
      <c r="R197" s="235" t="str">
        <f t="shared" ca="1" si="10"/>
        <v/>
      </c>
      <c r="S197" s="237" t="str">
        <f t="shared" si="11"/>
        <v/>
      </c>
      <c r="T197" s="242"/>
    </row>
    <row r="198" spans="1:20" s="81" customFormat="1" x14ac:dyDescent="0.45">
      <c r="A198" s="231"/>
      <c r="B198" s="232"/>
      <c r="C198" s="232"/>
      <c r="D198" s="232"/>
      <c r="E198" s="232"/>
      <c r="F198" s="232"/>
      <c r="G198" s="232"/>
      <c r="H198" s="240"/>
      <c r="I198" s="233"/>
      <c r="J198" s="234" t="str" cm="1">
        <f t="array" ref="J198">IF(A198="","",COUNTA(_xlfn.UNIQUE(_xlfn._xlws.FILTER(TMA_Entreprises!G:G,TMA_Entreprises!A:A=A198))))</f>
        <v/>
      </c>
      <c r="K198" s="235" t="str">
        <f>IF(A198="","",IF(
COUNTIFS(TMA_Entreprises!$A$12:$A$220,A198,TMA_Entreprises!$J$12:$J$220,"Oui")=0,"Non",
IF(
COUNTIFS(TMA_Entreprises!$A$12:$A$220,A198,TMA_Entreprises!$J$12:$J$220,"Oui")=
COUNTIF(TMA_Entreprises!$A$12:$A$220,A198),"Oui",
"Partiel")))</f>
        <v/>
      </c>
      <c r="L198" s="236" t="str">
        <f>IF(A198="","",SUMIF(TMA_Entreprises!A:A,A198,TMA_Entreprises!L:L))</f>
        <v/>
      </c>
      <c r="M198" s="237"/>
      <c r="N198" s="238" t="str">
        <f t="shared" si="8"/>
        <v/>
      </c>
      <c r="O198" s="233"/>
      <c r="P198" s="233"/>
      <c r="Q198" s="239" t="str">
        <f t="shared" si="9"/>
        <v/>
      </c>
      <c r="R198" s="235" t="str">
        <f t="shared" ca="1" si="10"/>
        <v/>
      </c>
      <c r="S198" s="237" t="str">
        <f t="shared" si="11"/>
        <v/>
      </c>
      <c r="T198" s="242"/>
    </row>
    <row r="199" spans="1:20" s="81" customFormat="1" x14ac:dyDescent="0.45">
      <c r="A199" s="231"/>
      <c r="B199" s="232"/>
      <c r="C199" s="232"/>
      <c r="D199" s="232"/>
      <c r="E199" s="232"/>
      <c r="F199" s="232"/>
      <c r="G199" s="232"/>
      <c r="H199" s="240"/>
      <c r="I199" s="233"/>
      <c r="J199" s="234" t="str" cm="1">
        <f t="array" ref="J199">IF(A199="","",COUNTA(_xlfn.UNIQUE(_xlfn._xlws.FILTER(TMA_Entreprises!G:G,TMA_Entreprises!A:A=A199))))</f>
        <v/>
      </c>
      <c r="K199" s="235" t="str">
        <f>IF(A199="","",IF(
COUNTIFS(TMA_Entreprises!$A$12:$A$220,A199,TMA_Entreprises!$J$12:$J$220,"Oui")=0,"Non",
IF(
COUNTIFS(TMA_Entreprises!$A$12:$A$220,A199,TMA_Entreprises!$J$12:$J$220,"Oui")=
COUNTIF(TMA_Entreprises!$A$12:$A$220,A199),"Oui",
"Partiel")))</f>
        <v/>
      </c>
      <c r="L199" s="236" t="str">
        <f>IF(A199="","",SUMIF(TMA_Entreprises!A:A,A199,TMA_Entreprises!L:L))</f>
        <v/>
      </c>
      <c r="M199" s="237"/>
      <c r="N199" s="238" t="str">
        <f t="shared" si="8"/>
        <v/>
      </c>
      <c r="O199" s="233"/>
      <c r="P199" s="233"/>
      <c r="Q199" s="239" t="str">
        <f t="shared" si="9"/>
        <v/>
      </c>
      <c r="R199" s="235" t="str">
        <f t="shared" ca="1" si="10"/>
        <v/>
      </c>
      <c r="S199" s="237" t="str">
        <f t="shared" si="11"/>
        <v/>
      </c>
      <c r="T199" s="242"/>
    </row>
    <row r="200" spans="1:20" s="81" customFormat="1" x14ac:dyDescent="0.45">
      <c r="A200" s="231"/>
      <c r="B200" s="232"/>
      <c r="C200" s="232"/>
      <c r="D200" s="232"/>
      <c r="E200" s="232"/>
      <c r="F200" s="232"/>
      <c r="G200" s="232"/>
      <c r="H200" s="240"/>
      <c r="I200" s="233"/>
      <c r="J200" s="234" t="str" cm="1">
        <f t="array" ref="J200">IF(A200="","",COUNTA(_xlfn.UNIQUE(_xlfn._xlws.FILTER(TMA_Entreprises!G:G,TMA_Entreprises!A:A=A200))))</f>
        <v/>
      </c>
      <c r="K200" s="235" t="str">
        <f>IF(A200="","",IF(
COUNTIFS(TMA_Entreprises!$A$12:$A$220,A200,TMA_Entreprises!$J$12:$J$220,"Oui")=0,"Non",
IF(
COUNTIFS(TMA_Entreprises!$A$12:$A$220,A200,TMA_Entreprises!$J$12:$J$220,"Oui")=
COUNTIF(TMA_Entreprises!$A$12:$A$220,A200),"Oui",
"Partiel")))</f>
        <v/>
      </c>
      <c r="L200" s="236" t="str">
        <f>IF(A200="","",SUMIF(TMA_Entreprises!A:A,A200,TMA_Entreprises!L:L))</f>
        <v/>
      </c>
      <c r="M200" s="237"/>
      <c r="N200" s="238" t="str">
        <f t="shared" si="8"/>
        <v/>
      </c>
      <c r="O200" s="233"/>
      <c r="P200" s="233"/>
      <c r="Q200" s="239" t="str">
        <f t="shared" si="9"/>
        <v/>
      </c>
      <c r="R200" s="235" t="str">
        <f t="shared" ca="1" si="10"/>
        <v/>
      </c>
      <c r="S200" s="237" t="str">
        <f t="shared" si="11"/>
        <v/>
      </c>
      <c r="T200" s="242"/>
    </row>
    <row r="201" spans="1:20" s="81" customFormat="1" x14ac:dyDescent="0.45">
      <c r="A201" s="231"/>
      <c r="B201" s="232"/>
      <c r="C201" s="232"/>
      <c r="D201" s="232"/>
      <c r="E201" s="232"/>
      <c r="F201" s="232"/>
      <c r="G201" s="232"/>
      <c r="H201" s="240"/>
      <c r="I201" s="233"/>
      <c r="J201" s="234" t="str" cm="1">
        <f t="array" ref="J201">IF(A201="","",COUNTA(_xlfn.UNIQUE(_xlfn._xlws.FILTER(TMA_Entreprises!G:G,TMA_Entreprises!A:A=A201))))</f>
        <v/>
      </c>
      <c r="K201" s="235" t="str">
        <f>IF(A201="","",IF(
COUNTIFS(TMA_Entreprises!$A$12:$A$220,A201,TMA_Entreprises!$J$12:$J$220,"Oui")=0,"Non",
IF(
COUNTIFS(TMA_Entreprises!$A$12:$A$220,A201,TMA_Entreprises!$J$12:$J$220,"Oui")=
COUNTIF(TMA_Entreprises!$A$12:$A$220,A201),"Oui",
"Partiel")))</f>
        <v/>
      </c>
      <c r="L201" s="236" t="str">
        <f>IF(A201="","",SUMIF(TMA_Entreprises!A:A,A201,TMA_Entreprises!L:L))</f>
        <v/>
      </c>
      <c r="M201" s="237"/>
      <c r="N201" s="238" t="str">
        <f t="shared" si="8"/>
        <v/>
      </c>
      <c r="O201" s="233"/>
      <c r="P201" s="233"/>
      <c r="Q201" s="239" t="str">
        <f t="shared" si="9"/>
        <v/>
      </c>
      <c r="R201" s="235" t="str">
        <f t="shared" ca="1" si="10"/>
        <v/>
      </c>
      <c r="S201" s="237" t="str">
        <f t="shared" si="11"/>
        <v/>
      </c>
      <c r="T201" s="242"/>
    </row>
    <row r="202" spans="1:20" s="81" customFormat="1" x14ac:dyDescent="0.45">
      <c r="A202" s="231"/>
      <c r="B202" s="232"/>
      <c r="C202" s="232"/>
      <c r="D202" s="232"/>
      <c r="E202" s="232"/>
      <c r="F202" s="232"/>
      <c r="G202" s="232"/>
      <c r="H202" s="240"/>
      <c r="I202" s="233"/>
      <c r="J202" s="234" t="str" cm="1">
        <f t="array" ref="J202">IF(A202="","",COUNTA(_xlfn.UNIQUE(_xlfn._xlws.FILTER(TMA_Entreprises!G:G,TMA_Entreprises!A:A=A202))))</f>
        <v/>
      </c>
      <c r="K202" s="235" t="str">
        <f>IF(A202="","",IF(
COUNTIFS(TMA_Entreprises!$A$12:$A$220,A202,TMA_Entreprises!$J$12:$J$220,"Oui")=0,"Non",
IF(
COUNTIFS(TMA_Entreprises!$A$12:$A$220,A202,TMA_Entreprises!$J$12:$J$220,"Oui")=
COUNTIF(TMA_Entreprises!$A$12:$A$220,A202),"Oui",
"Partiel")))</f>
        <v/>
      </c>
      <c r="L202" s="236" t="str">
        <f>IF(A202="","",SUMIF(TMA_Entreprises!A:A,A202,TMA_Entreprises!L:L))</f>
        <v/>
      </c>
      <c r="M202" s="237"/>
      <c r="N202" s="238" t="str">
        <f t="shared" si="8"/>
        <v/>
      </c>
      <c r="O202" s="233"/>
      <c r="P202" s="233"/>
      <c r="Q202" s="239" t="str">
        <f t="shared" si="9"/>
        <v/>
      </c>
      <c r="R202" s="235" t="str">
        <f t="shared" ca="1" si="10"/>
        <v/>
      </c>
      <c r="S202" s="237" t="str">
        <f t="shared" si="11"/>
        <v/>
      </c>
      <c r="T202" s="242"/>
    </row>
    <row r="203" spans="1:20" s="81" customFormat="1" x14ac:dyDescent="0.45">
      <c r="A203" s="231"/>
      <c r="B203" s="232"/>
      <c r="C203" s="232"/>
      <c r="D203" s="232"/>
      <c r="E203" s="232"/>
      <c r="F203" s="232"/>
      <c r="G203" s="232"/>
      <c r="H203" s="240"/>
      <c r="I203" s="233"/>
      <c r="J203" s="234" t="str" cm="1">
        <f t="array" ref="J203">IF(A203="","",COUNTA(_xlfn.UNIQUE(_xlfn._xlws.FILTER(TMA_Entreprises!G:G,TMA_Entreprises!A:A=A203))))</f>
        <v/>
      </c>
      <c r="K203" s="235" t="str">
        <f>IF(A203="","",IF(
COUNTIFS(TMA_Entreprises!$A$12:$A$220,A203,TMA_Entreprises!$J$12:$J$220,"Oui")=0,"Non",
IF(
COUNTIFS(TMA_Entreprises!$A$12:$A$220,A203,TMA_Entreprises!$J$12:$J$220,"Oui")=
COUNTIF(TMA_Entreprises!$A$12:$A$220,A203),"Oui",
"Partiel")))</f>
        <v/>
      </c>
      <c r="L203" s="236" t="str">
        <f>IF(A203="","",SUMIF(TMA_Entreprises!A:A,A203,TMA_Entreprises!L:L))</f>
        <v/>
      </c>
      <c r="M203" s="237"/>
      <c r="N203" s="238" t="str">
        <f t="shared" si="8"/>
        <v/>
      </c>
      <c r="O203" s="233"/>
      <c r="P203" s="233"/>
      <c r="Q203" s="239" t="str">
        <f t="shared" si="9"/>
        <v/>
      </c>
      <c r="R203" s="235" t="str">
        <f t="shared" ca="1" si="10"/>
        <v/>
      </c>
      <c r="S203" s="237" t="str">
        <f t="shared" si="11"/>
        <v/>
      </c>
      <c r="T203" s="242"/>
    </row>
    <row r="204" spans="1:20" s="81" customFormat="1" x14ac:dyDescent="0.45">
      <c r="A204" s="231"/>
      <c r="B204" s="232"/>
      <c r="C204" s="232"/>
      <c r="D204" s="232"/>
      <c r="E204" s="232"/>
      <c r="F204" s="232"/>
      <c r="G204" s="232"/>
      <c r="H204" s="240"/>
      <c r="I204" s="233"/>
      <c r="J204" s="234" t="str" cm="1">
        <f t="array" ref="J204">IF(A204="","",COUNTA(_xlfn.UNIQUE(_xlfn._xlws.FILTER(TMA_Entreprises!G:G,TMA_Entreprises!A:A=A204))))</f>
        <v/>
      </c>
      <c r="K204" s="235" t="str">
        <f>IF(A204="","",IF(
COUNTIFS(TMA_Entreprises!$A$12:$A$220,A204,TMA_Entreprises!$J$12:$J$220,"Oui")=0,"Non",
IF(
COUNTIFS(TMA_Entreprises!$A$12:$A$220,A204,TMA_Entreprises!$J$12:$J$220,"Oui")=
COUNTIF(TMA_Entreprises!$A$12:$A$220,A204),"Oui",
"Partiel")))</f>
        <v/>
      </c>
      <c r="L204" s="236" t="str">
        <f>IF(A204="","",SUMIF(TMA_Entreprises!A:A,A204,TMA_Entreprises!L:L))</f>
        <v/>
      </c>
      <c r="M204" s="237"/>
      <c r="N204" s="238" t="str">
        <f t="shared" ref="N204:N220" si="12">IF(L204="","",IF(L204&gt;0,L204*1.3,L204))</f>
        <v/>
      </c>
      <c r="O204" s="233"/>
      <c r="P204" s="233"/>
      <c r="Q204" s="239" t="str">
        <f t="shared" ref="Q204:Q220" si="13">IF(O204="","",O204+15)</f>
        <v/>
      </c>
      <c r="R204" s="235" t="str">
        <f t="shared" ref="R204:R220" ca="1" si="14">IF(A204="","",IF(AND(Q204&lt;TODAY(),P204=""),"Oui","Non"))</f>
        <v/>
      </c>
      <c r="S204" s="237" t="str">
        <f t="shared" ref="S204:S220" si="15">IF(A204="","",IF(P204&lt;&gt;"","Validé",IF(O204="NON","Refusé",IF(K204="Oui","Chiffré",IF(AND(I204&lt;&gt;"",K204&lt;&gt;"Oui"),"Étude",IF(AND(H204&lt;&gt;"",I204=""),"Demande",""))))))</f>
        <v/>
      </c>
      <c r="T204" s="242"/>
    </row>
    <row r="205" spans="1:20" s="81" customFormat="1" x14ac:dyDescent="0.45">
      <c r="A205" s="231"/>
      <c r="B205" s="232"/>
      <c r="C205" s="232"/>
      <c r="D205" s="232"/>
      <c r="E205" s="232"/>
      <c r="F205" s="232"/>
      <c r="G205" s="232"/>
      <c r="H205" s="240"/>
      <c r="I205" s="233"/>
      <c r="J205" s="234" t="str" cm="1">
        <f t="array" ref="J205">IF(A205="","",COUNTA(_xlfn.UNIQUE(_xlfn._xlws.FILTER(TMA_Entreprises!G:G,TMA_Entreprises!A:A=A205))))</f>
        <v/>
      </c>
      <c r="K205" s="235" t="str">
        <f>IF(A205="","",IF(
COUNTIFS(TMA_Entreprises!$A$12:$A$220,A205,TMA_Entreprises!$J$12:$J$220,"Oui")=0,"Non",
IF(
COUNTIFS(TMA_Entreprises!$A$12:$A$220,A205,TMA_Entreprises!$J$12:$J$220,"Oui")=
COUNTIF(TMA_Entreprises!$A$12:$A$220,A205),"Oui",
"Partiel")))</f>
        <v/>
      </c>
      <c r="L205" s="236" t="str">
        <f>IF(A205="","",SUMIF(TMA_Entreprises!A:A,A205,TMA_Entreprises!L:L))</f>
        <v/>
      </c>
      <c r="M205" s="237"/>
      <c r="N205" s="238" t="str">
        <f t="shared" si="12"/>
        <v/>
      </c>
      <c r="O205" s="233"/>
      <c r="P205" s="233"/>
      <c r="Q205" s="239" t="str">
        <f t="shared" si="13"/>
        <v/>
      </c>
      <c r="R205" s="235" t="str">
        <f t="shared" ca="1" si="14"/>
        <v/>
      </c>
      <c r="S205" s="237" t="str">
        <f t="shared" si="15"/>
        <v/>
      </c>
      <c r="T205" s="242"/>
    </row>
    <row r="206" spans="1:20" s="81" customFormat="1" x14ac:dyDescent="0.45">
      <c r="A206" s="231"/>
      <c r="B206" s="232"/>
      <c r="C206" s="232"/>
      <c r="D206" s="232"/>
      <c r="E206" s="232"/>
      <c r="F206" s="232"/>
      <c r="G206" s="232"/>
      <c r="H206" s="240"/>
      <c r="I206" s="233"/>
      <c r="J206" s="234" t="str" cm="1">
        <f t="array" ref="J206">IF(A206="","",COUNTA(_xlfn.UNIQUE(_xlfn._xlws.FILTER(TMA_Entreprises!G:G,TMA_Entreprises!A:A=A206))))</f>
        <v/>
      </c>
      <c r="K206" s="235" t="str">
        <f>IF(A206="","",IF(
COUNTIFS(TMA_Entreprises!$A$12:$A$220,A206,TMA_Entreprises!$J$12:$J$220,"Oui")=0,"Non",
IF(
COUNTIFS(TMA_Entreprises!$A$12:$A$220,A206,TMA_Entreprises!$J$12:$J$220,"Oui")=
COUNTIF(TMA_Entreprises!$A$12:$A$220,A206),"Oui",
"Partiel")))</f>
        <v/>
      </c>
      <c r="L206" s="236" t="str">
        <f>IF(A206="","",SUMIF(TMA_Entreprises!A:A,A206,TMA_Entreprises!L:L))</f>
        <v/>
      </c>
      <c r="M206" s="237"/>
      <c r="N206" s="238" t="str">
        <f t="shared" si="12"/>
        <v/>
      </c>
      <c r="O206" s="233"/>
      <c r="P206" s="233"/>
      <c r="Q206" s="239" t="str">
        <f t="shared" si="13"/>
        <v/>
      </c>
      <c r="R206" s="235" t="str">
        <f t="shared" ca="1" si="14"/>
        <v/>
      </c>
      <c r="S206" s="237" t="str">
        <f t="shared" si="15"/>
        <v/>
      </c>
      <c r="T206" s="242"/>
    </row>
    <row r="207" spans="1:20" s="81" customFormat="1" x14ac:dyDescent="0.45">
      <c r="A207" s="231"/>
      <c r="B207" s="232"/>
      <c r="C207" s="232"/>
      <c r="D207" s="232"/>
      <c r="E207" s="232"/>
      <c r="F207" s="232"/>
      <c r="G207" s="232"/>
      <c r="H207" s="240"/>
      <c r="I207" s="233"/>
      <c r="J207" s="234" t="str" cm="1">
        <f t="array" ref="J207">IF(A207="","",COUNTA(_xlfn.UNIQUE(_xlfn._xlws.FILTER(TMA_Entreprises!G:G,TMA_Entreprises!A:A=A207))))</f>
        <v/>
      </c>
      <c r="K207" s="235" t="str">
        <f>IF(A207="","",IF(
COUNTIFS(TMA_Entreprises!$A$12:$A$220,A207,TMA_Entreprises!$J$12:$J$220,"Oui")=0,"Non",
IF(
COUNTIFS(TMA_Entreprises!$A$12:$A$220,A207,TMA_Entreprises!$J$12:$J$220,"Oui")=
COUNTIF(TMA_Entreprises!$A$12:$A$220,A207),"Oui",
"Partiel")))</f>
        <v/>
      </c>
      <c r="L207" s="236" t="str">
        <f>IF(A207="","",SUMIF(TMA_Entreprises!A:A,A207,TMA_Entreprises!L:L))</f>
        <v/>
      </c>
      <c r="M207" s="237"/>
      <c r="N207" s="238" t="str">
        <f t="shared" si="12"/>
        <v/>
      </c>
      <c r="O207" s="233"/>
      <c r="P207" s="233"/>
      <c r="Q207" s="239" t="str">
        <f t="shared" si="13"/>
        <v/>
      </c>
      <c r="R207" s="235" t="str">
        <f t="shared" ca="1" si="14"/>
        <v/>
      </c>
      <c r="S207" s="237" t="str">
        <f t="shared" si="15"/>
        <v/>
      </c>
      <c r="T207" s="242"/>
    </row>
    <row r="208" spans="1:20" s="81" customFormat="1" x14ac:dyDescent="0.45">
      <c r="A208" s="231"/>
      <c r="B208" s="232"/>
      <c r="C208" s="232"/>
      <c r="D208" s="232"/>
      <c r="E208" s="232"/>
      <c r="F208" s="232"/>
      <c r="G208" s="232"/>
      <c r="H208" s="240"/>
      <c r="I208" s="233"/>
      <c r="J208" s="234" t="str" cm="1">
        <f t="array" ref="J208">IF(A208="","",COUNTA(_xlfn.UNIQUE(_xlfn._xlws.FILTER(TMA_Entreprises!G:G,TMA_Entreprises!A:A=A208))))</f>
        <v/>
      </c>
      <c r="K208" s="235" t="str">
        <f>IF(A208="","",IF(
COUNTIFS(TMA_Entreprises!$A$12:$A$220,A208,TMA_Entreprises!$J$12:$J$220,"Oui")=0,"Non",
IF(
COUNTIFS(TMA_Entreprises!$A$12:$A$220,A208,TMA_Entreprises!$J$12:$J$220,"Oui")=
COUNTIF(TMA_Entreprises!$A$12:$A$220,A208),"Oui",
"Partiel")))</f>
        <v/>
      </c>
      <c r="L208" s="236" t="str">
        <f>IF(A208="","",SUMIF(TMA_Entreprises!A:A,A208,TMA_Entreprises!L:L))</f>
        <v/>
      </c>
      <c r="M208" s="237"/>
      <c r="N208" s="238" t="str">
        <f t="shared" si="12"/>
        <v/>
      </c>
      <c r="O208" s="233"/>
      <c r="P208" s="233"/>
      <c r="Q208" s="239" t="str">
        <f t="shared" si="13"/>
        <v/>
      </c>
      <c r="R208" s="235" t="str">
        <f t="shared" ca="1" si="14"/>
        <v/>
      </c>
      <c r="S208" s="237" t="str">
        <f t="shared" si="15"/>
        <v/>
      </c>
      <c r="T208" s="242"/>
    </row>
    <row r="209" spans="1:20" s="81" customFormat="1" x14ac:dyDescent="0.45">
      <c r="A209" s="231"/>
      <c r="B209" s="232"/>
      <c r="C209" s="232"/>
      <c r="D209" s="232"/>
      <c r="E209" s="232"/>
      <c r="F209" s="232"/>
      <c r="G209" s="232"/>
      <c r="H209" s="240"/>
      <c r="I209" s="233"/>
      <c r="J209" s="234" t="str" cm="1">
        <f t="array" ref="J209">IF(A209="","",COUNTA(_xlfn.UNIQUE(_xlfn._xlws.FILTER(TMA_Entreprises!G:G,TMA_Entreprises!A:A=A209))))</f>
        <v/>
      </c>
      <c r="K209" s="235" t="str">
        <f>IF(A209="","",IF(
COUNTIFS(TMA_Entreprises!$A$12:$A$220,A209,TMA_Entreprises!$J$12:$J$220,"Oui")=0,"Non",
IF(
COUNTIFS(TMA_Entreprises!$A$12:$A$220,A209,TMA_Entreprises!$J$12:$J$220,"Oui")=
COUNTIF(TMA_Entreprises!$A$12:$A$220,A209),"Oui",
"Partiel")))</f>
        <v/>
      </c>
      <c r="L209" s="236" t="str">
        <f>IF(A209="","",SUMIF(TMA_Entreprises!A:A,A209,TMA_Entreprises!L:L))</f>
        <v/>
      </c>
      <c r="M209" s="237"/>
      <c r="N209" s="238" t="str">
        <f t="shared" si="12"/>
        <v/>
      </c>
      <c r="O209" s="233"/>
      <c r="P209" s="233"/>
      <c r="Q209" s="239" t="str">
        <f t="shared" si="13"/>
        <v/>
      </c>
      <c r="R209" s="235" t="str">
        <f t="shared" ca="1" si="14"/>
        <v/>
      </c>
      <c r="S209" s="237" t="str">
        <f t="shared" si="15"/>
        <v/>
      </c>
      <c r="T209" s="242"/>
    </row>
    <row r="210" spans="1:20" s="81" customFormat="1" x14ac:dyDescent="0.45">
      <c r="A210" s="231"/>
      <c r="B210" s="232"/>
      <c r="C210" s="232"/>
      <c r="D210" s="232"/>
      <c r="E210" s="232"/>
      <c r="F210" s="232"/>
      <c r="G210" s="232"/>
      <c r="H210" s="240"/>
      <c r="I210" s="233"/>
      <c r="J210" s="234" t="str" cm="1">
        <f t="array" ref="J210">IF(A210="","",COUNTA(_xlfn.UNIQUE(_xlfn._xlws.FILTER(TMA_Entreprises!G:G,TMA_Entreprises!A:A=A210))))</f>
        <v/>
      </c>
      <c r="K210" s="235" t="str">
        <f>IF(A210="","",IF(
COUNTIFS(TMA_Entreprises!$A$12:$A$220,A210,TMA_Entreprises!$J$12:$J$220,"Oui")=0,"Non",
IF(
COUNTIFS(TMA_Entreprises!$A$12:$A$220,A210,TMA_Entreprises!$J$12:$J$220,"Oui")=
COUNTIF(TMA_Entreprises!$A$12:$A$220,A210),"Oui",
"Partiel")))</f>
        <v/>
      </c>
      <c r="L210" s="236" t="str">
        <f>IF(A210="","",SUMIF(TMA_Entreprises!A:A,A210,TMA_Entreprises!L:L))</f>
        <v/>
      </c>
      <c r="M210" s="237"/>
      <c r="N210" s="238" t="str">
        <f t="shared" si="12"/>
        <v/>
      </c>
      <c r="O210" s="233"/>
      <c r="P210" s="233"/>
      <c r="Q210" s="239" t="str">
        <f t="shared" si="13"/>
        <v/>
      </c>
      <c r="R210" s="235" t="str">
        <f t="shared" ca="1" si="14"/>
        <v/>
      </c>
      <c r="S210" s="237" t="str">
        <f t="shared" si="15"/>
        <v/>
      </c>
      <c r="T210" s="242"/>
    </row>
    <row r="211" spans="1:20" s="81" customFormat="1" x14ac:dyDescent="0.45">
      <c r="A211" s="231"/>
      <c r="B211" s="232"/>
      <c r="C211" s="232"/>
      <c r="D211" s="232"/>
      <c r="E211" s="232"/>
      <c r="F211" s="232"/>
      <c r="G211" s="232"/>
      <c r="H211" s="240"/>
      <c r="I211" s="233"/>
      <c r="J211" s="234" t="str" cm="1">
        <f t="array" ref="J211">IF(A211="","",COUNTA(_xlfn.UNIQUE(_xlfn._xlws.FILTER(TMA_Entreprises!G:G,TMA_Entreprises!A:A=A211))))</f>
        <v/>
      </c>
      <c r="K211" s="235" t="str">
        <f>IF(A211="","",IF(
COUNTIFS(TMA_Entreprises!$A$12:$A$220,A211,TMA_Entreprises!$J$12:$J$220,"Oui")=0,"Non",
IF(
COUNTIFS(TMA_Entreprises!$A$12:$A$220,A211,TMA_Entreprises!$J$12:$J$220,"Oui")=
COUNTIF(TMA_Entreprises!$A$12:$A$220,A211),"Oui",
"Partiel")))</f>
        <v/>
      </c>
      <c r="L211" s="236" t="str">
        <f>IF(A211="","",SUMIF(TMA_Entreprises!A:A,A211,TMA_Entreprises!L:L))</f>
        <v/>
      </c>
      <c r="M211" s="237"/>
      <c r="N211" s="238" t="str">
        <f t="shared" si="12"/>
        <v/>
      </c>
      <c r="O211" s="233"/>
      <c r="P211" s="233"/>
      <c r="Q211" s="239" t="str">
        <f t="shared" si="13"/>
        <v/>
      </c>
      <c r="R211" s="235" t="str">
        <f t="shared" ca="1" si="14"/>
        <v/>
      </c>
      <c r="S211" s="237" t="str">
        <f t="shared" si="15"/>
        <v/>
      </c>
      <c r="T211" s="242"/>
    </row>
    <row r="212" spans="1:20" s="81" customFormat="1" x14ac:dyDescent="0.45">
      <c r="A212" s="231"/>
      <c r="B212" s="232"/>
      <c r="C212" s="232"/>
      <c r="D212" s="232"/>
      <c r="E212" s="232"/>
      <c r="F212" s="232"/>
      <c r="G212" s="232"/>
      <c r="H212" s="240"/>
      <c r="I212" s="233"/>
      <c r="J212" s="234" t="str" cm="1">
        <f t="array" ref="J212">IF(A212="","",COUNTA(_xlfn.UNIQUE(_xlfn._xlws.FILTER(TMA_Entreprises!G:G,TMA_Entreprises!A:A=A212))))</f>
        <v/>
      </c>
      <c r="K212" s="235" t="str">
        <f>IF(A212="","",IF(
COUNTIFS(TMA_Entreprises!$A$12:$A$220,A212,TMA_Entreprises!$J$12:$J$220,"Oui")=0,"Non",
IF(
COUNTIFS(TMA_Entreprises!$A$12:$A$220,A212,TMA_Entreprises!$J$12:$J$220,"Oui")=
COUNTIF(TMA_Entreprises!$A$12:$A$220,A212),"Oui",
"Partiel")))</f>
        <v/>
      </c>
      <c r="L212" s="236" t="str">
        <f>IF(A212="","",SUMIF(TMA_Entreprises!A:A,A212,TMA_Entreprises!L:L))</f>
        <v/>
      </c>
      <c r="M212" s="237"/>
      <c r="N212" s="238" t="str">
        <f t="shared" si="12"/>
        <v/>
      </c>
      <c r="O212" s="233"/>
      <c r="P212" s="233"/>
      <c r="Q212" s="239" t="str">
        <f t="shared" si="13"/>
        <v/>
      </c>
      <c r="R212" s="235" t="str">
        <f t="shared" ca="1" si="14"/>
        <v/>
      </c>
      <c r="S212" s="237" t="str">
        <f t="shared" si="15"/>
        <v/>
      </c>
      <c r="T212" s="242"/>
    </row>
    <row r="213" spans="1:20" s="81" customFormat="1" x14ac:dyDescent="0.45">
      <c r="A213" s="231"/>
      <c r="B213" s="232"/>
      <c r="C213" s="232"/>
      <c r="D213" s="232"/>
      <c r="E213" s="232"/>
      <c r="F213" s="232"/>
      <c r="G213" s="232"/>
      <c r="H213" s="240"/>
      <c r="I213" s="233"/>
      <c r="J213" s="234" t="str" cm="1">
        <f t="array" ref="J213">IF(A213="","",COUNTA(_xlfn.UNIQUE(_xlfn._xlws.FILTER(TMA_Entreprises!G:G,TMA_Entreprises!A:A=A213))))</f>
        <v/>
      </c>
      <c r="K213" s="235" t="str">
        <f>IF(A213="","",IF(
COUNTIFS(TMA_Entreprises!$A$12:$A$220,A213,TMA_Entreprises!$J$12:$J$220,"Oui")=0,"Non",
IF(
COUNTIFS(TMA_Entreprises!$A$12:$A$220,A213,TMA_Entreprises!$J$12:$J$220,"Oui")=
COUNTIF(TMA_Entreprises!$A$12:$A$220,A213),"Oui",
"Partiel")))</f>
        <v/>
      </c>
      <c r="L213" s="236" t="str">
        <f>IF(A213="","",SUMIF(TMA_Entreprises!A:A,A213,TMA_Entreprises!L:L))</f>
        <v/>
      </c>
      <c r="M213" s="237"/>
      <c r="N213" s="238" t="str">
        <f t="shared" si="12"/>
        <v/>
      </c>
      <c r="O213" s="233"/>
      <c r="P213" s="233"/>
      <c r="Q213" s="239" t="str">
        <f t="shared" si="13"/>
        <v/>
      </c>
      <c r="R213" s="235" t="str">
        <f t="shared" ca="1" si="14"/>
        <v/>
      </c>
      <c r="S213" s="237" t="str">
        <f t="shared" si="15"/>
        <v/>
      </c>
      <c r="T213" s="242"/>
    </row>
    <row r="214" spans="1:20" s="81" customFormat="1" x14ac:dyDescent="0.45">
      <c r="A214" s="231"/>
      <c r="B214" s="232"/>
      <c r="C214" s="232"/>
      <c r="D214" s="232"/>
      <c r="E214" s="232"/>
      <c r="F214" s="232"/>
      <c r="G214" s="232"/>
      <c r="H214" s="240"/>
      <c r="I214" s="233"/>
      <c r="J214" s="234" t="str" cm="1">
        <f t="array" ref="J214">IF(A214="","",COUNTA(_xlfn.UNIQUE(_xlfn._xlws.FILTER(TMA_Entreprises!G:G,TMA_Entreprises!A:A=A214))))</f>
        <v/>
      </c>
      <c r="K214" s="235" t="str">
        <f>IF(A214="","",IF(
COUNTIFS(TMA_Entreprises!$A$12:$A$220,A214,TMA_Entreprises!$J$12:$J$220,"Oui")=0,"Non",
IF(
COUNTIFS(TMA_Entreprises!$A$12:$A$220,A214,TMA_Entreprises!$J$12:$J$220,"Oui")=
COUNTIF(TMA_Entreprises!$A$12:$A$220,A214),"Oui",
"Partiel")))</f>
        <v/>
      </c>
      <c r="L214" s="236" t="str">
        <f>IF(A214="","",SUMIF(TMA_Entreprises!A:A,A214,TMA_Entreprises!L:L))</f>
        <v/>
      </c>
      <c r="M214" s="237"/>
      <c r="N214" s="238" t="str">
        <f t="shared" si="12"/>
        <v/>
      </c>
      <c r="O214" s="233"/>
      <c r="P214" s="233"/>
      <c r="Q214" s="239" t="str">
        <f t="shared" si="13"/>
        <v/>
      </c>
      <c r="R214" s="235" t="str">
        <f t="shared" ca="1" si="14"/>
        <v/>
      </c>
      <c r="S214" s="237" t="str">
        <f t="shared" si="15"/>
        <v/>
      </c>
      <c r="T214" s="242"/>
    </row>
    <row r="215" spans="1:20" s="81" customFormat="1" x14ac:dyDescent="0.45">
      <c r="A215" s="231"/>
      <c r="B215" s="232"/>
      <c r="C215" s="232"/>
      <c r="D215" s="232"/>
      <c r="E215" s="232"/>
      <c r="F215" s="232"/>
      <c r="G215" s="232"/>
      <c r="H215" s="240"/>
      <c r="I215" s="233"/>
      <c r="J215" s="234" t="str" cm="1">
        <f t="array" ref="J215">IF(A215="","",COUNTA(_xlfn.UNIQUE(_xlfn._xlws.FILTER(TMA_Entreprises!G:G,TMA_Entreprises!A:A=A215))))</f>
        <v/>
      </c>
      <c r="K215" s="235" t="str">
        <f>IF(A215="","",IF(
COUNTIFS(TMA_Entreprises!$A$12:$A$220,A215,TMA_Entreprises!$J$12:$J$220,"Oui")=0,"Non",
IF(
COUNTIFS(TMA_Entreprises!$A$12:$A$220,A215,TMA_Entreprises!$J$12:$J$220,"Oui")=
COUNTIF(TMA_Entreprises!$A$12:$A$220,A215),"Oui",
"Partiel")))</f>
        <v/>
      </c>
      <c r="L215" s="236" t="str">
        <f>IF(A215="","",SUMIF(TMA_Entreprises!A:A,A215,TMA_Entreprises!L:L))</f>
        <v/>
      </c>
      <c r="M215" s="237"/>
      <c r="N215" s="238" t="str">
        <f t="shared" si="12"/>
        <v/>
      </c>
      <c r="O215" s="233"/>
      <c r="P215" s="233"/>
      <c r="Q215" s="239" t="str">
        <f t="shared" si="13"/>
        <v/>
      </c>
      <c r="R215" s="235" t="str">
        <f t="shared" ca="1" si="14"/>
        <v/>
      </c>
      <c r="S215" s="237" t="str">
        <f t="shared" si="15"/>
        <v/>
      </c>
      <c r="T215" s="242"/>
    </row>
    <row r="216" spans="1:20" s="81" customFormat="1" x14ac:dyDescent="0.45">
      <c r="A216" s="231"/>
      <c r="B216" s="232"/>
      <c r="C216" s="232"/>
      <c r="D216" s="232"/>
      <c r="E216" s="232"/>
      <c r="F216" s="232"/>
      <c r="G216" s="232"/>
      <c r="H216" s="240"/>
      <c r="I216" s="233"/>
      <c r="J216" s="234" t="str" cm="1">
        <f t="array" ref="J216">IF(A216="","",COUNTA(_xlfn.UNIQUE(_xlfn._xlws.FILTER(TMA_Entreprises!G:G,TMA_Entreprises!A:A=A216))))</f>
        <v/>
      </c>
      <c r="K216" s="235" t="str">
        <f>IF(A216="","",IF(
COUNTIFS(TMA_Entreprises!$A$12:$A$220,A216,TMA_Entreprises!$J$12:$J$220,"Oui")=0,"Non",
IF(
COUNTIFS(TMA_Entreprises!$A$12:$A$220,A216,TMA_Entreprises!$J$12:$J$220,"Oui")=
COUNTIF(TMA_Entreprises!$A$12:$A$220,A216),"Oui",
"Partiel")))</f>
        <v/>
      </c>
      <c r="L216" s="236" t="str">
        <f>IF(A216="","",SUMIF(TMA_Entreprises!A:A,A216,TMA_Entreprises!L:L))</f>
        <v/>
      </c>
      <c r="M216" s="237"/>
      <c r="N216" s="238" t="str">
        <f t="shared" si="12"/>
        <v/>
      </c>
      <c r="O216" s="233"/>
      <c r="P216" s="233"/>
      <c r="Q216" s="239" t="str">
        <f t="shared" si="13"/>
        <v/>
      </c>
      <c r="R216" s="235" t="str">
        <f t="shared" ca="1" si="14"/>
        <v/>
      </c>
      <c r="S216" s="237" t="str">
        <f t="shared" si="15"/>
        <v/>
      </c>
      <c r="T216" s="242"/>
    </row>
    <row r="217" spans="1:20" s="81" customFormat="1" x14ac:dyDescent="0.45">
      <c r="A217" s="231"/>
      <c r="B217" s="232"/>
      <c r="C217" s="232"/>
      <c r="D217" s="232"/>
      <c r="E217" s="232"/>
      <c r="F217" s="232"/>
      <c r="G217" s="232"/>
      <c r="H217" s="240"/>
      <c r="I217" s="233"/>
      <c r="J217" s="234" t="str" cm="1">
        <f t="array" ref="J217">IF(A217="","",COUNTA(_xlfn.UNIQUE(_xlfn._xlws.FILTER(TMA_Entreprises!G:G,TMA_Entreprises!A:A=A217))))</f>
        <v/>
      </c>
      <c r="K217" s="235" t="str">
        <f>IF(A217="","",IF(
COUNTIFS(TMA_Entreprises!$A$12:$A$220,A217,TMA_Entreprises!$J$12:$J$220,"Oui")=0,"Non",
IF(
COUNTIFS(TMA_Entreprises!$A$12:$A$220,A217,TMA_Entreprises!$J$12:$J$220,"Oui")=
COUNTIF(TMA_Entreprises!$A$12:$A$220,A217),"Oui",
"Partiel")))</f>
        <v/>
      </c>
      <c r="L217" s="236" t="str">
        <f>IF(A217="","",SUMIF(TMA_Entreprises!A:A,A217,TMA_Entreprises!L:L))</f>
        <v/>
      </c>
      <c r="M217" s="237"/>
      <c r="N217" s="238" t="str">
        <f t="shared" si="12"/>
        <v/>
      </c>
      <c r="O217" s="233"/>
      <c r="P217" s="233"/>
      <c r="Q217" s="239" t="str">
        <f t="shared" si="13"/>
        <v/>
      </c>
      <c r="R217" s="235" t="str">
        <f t="shared" ca="1" si="14"/>
        <v/>
      </c>
      <c r="S217" s="237" t="str">
        <f t="shared" si="15"/>
        <v/>
      </c>
      <c r="T217" s="242"/>
    </row>
    <row r="218" spans="1:20" s="81" customFormat="1" x14ac:dyDescent="0.45">
      <c r="A218" s="231"/>
      <c r="B218" s="232"/>
      <c r="C218" s="232"/>
      <c r="D218" s="232"/>
      <c r="E218" s="232"/>
      <c r="F218" s="232"/>
      <c r="G218" s="232"/>
      <c r="H218" s="240"/>
      <c r="I218" s="233"/>
      <c r="J218" s="234" t="str" cm="1">
        <f t="array" ref="J218">IF(A218="","",COUNTA(_xlfn.UNIQUE(_xlfn._xlws.FILTER(TMA_Entreprises!G:G,TMA_Entreprises!A:A=A218))))</f>
        <v/>
      </c>
      <c r="K218" s="235" t="str">
        <f>IF(A218="","",IF(
COUNTIFS(TMA_Entreprises!$A$12:$A$220,A218,TMA_Entreprises!$J$12:$J$220,"Oui")=0,"Non",
IF(
COUNTIFS(TMA_Entreprises!$A$12:$A$220,A218,TMA_Entreprises!$J$12:$J$220,"Oui")=
COUNTIF(TMA_Entreprises!$A$12:$A$220,A218),"Oui",
"Partiel")))</f>
        <v/>
      </c>
      <c r="L218" s="236" t="str">
        <f>IF(A218="","",SUMIF(TMA_Entreprises!A:A,A218,TMA_Entreprises!L:L))</f>
        <v/>
      </c>
      <c r="M218" s="237"/>
      <c r="N218" s="238" t="str">
        <f t="shared" si="12"/>
        <v/>
      </c>
      <c r="O218" s="233"/>
      <c r="P218" s="233"/>
      <c r="Q218" s="239" t="str">
        <f t="shared" si="13"/>
        <v/>
      </c>
      <c r="R218" s="235" t="str">
        <f t="shared" ca="1" si="14"/>
        <v/>
      </c>
      <c r="S218" s="237" t="str">
        <f t="shared" si="15"/>
        <v/>
      </c>
      <c r="T218" s="242"/>
    </row>
    <row r="219" spans="1:20" s="81" customFormat="1" x14ac:dyDescent="0.45">
      <c r="A219" s="231"/>
      <c r="B219" s="232"/>
      <c r="C219" s="232"/>
      <c r="D219" s="232"/>
      <c r="E219" s="232"/>
      <c r="F219" s="232"/>
      <c r="G219" s="232"/>
      <c r="H219" s="240"/>
      <c r="I219" s="233"/>
      <c r="J219" s="234" t="str" cm="1">
        <f t="array" ref="J219">IF(A219="","",COUNTA(_xlfn.UNIQUE(_xlfn._xlws.FILTER(TMA_Entreprises!G:G,TMA_Entreprises!A:A=A219))))</f>
        <v/>
      </c>
      <c r="K219" s="235" t="str">
        <f>IF(A219="","",IF(
COUNTIFS(TMA_Entreprises!$A$12:$A$220,A219,TMA_Entreprises!$J$12:$J$220,"Oui")=0,"Non",
IF(
COUNTIFS(TMA_Entreprises!$A$12:$A$220,A219,TMA_Entreprises!$J$12:$J$220,"Oui")=
COUNTIF(TMA_Entreprises!$A$12:$A$220,A219),"Oui",
"Partiel")))</f>
        <v/>
      </c>
      <c r="L219" s="236" t="str">
        <f>IF(A219="","",SUMIF(TMA_Entreprises!A:A,A219,TMA_Entreprises!L:L))</f>
        <v/>
      </c>
      <c r="M219" s="237"/>
      <c r="N219" s="238" t="str">
        <f t="shared" si="12"/>
        <v/>
      </c>
      <c r="O219" s="233"/>
      <c r="P219" s="233"/>
      <c r="Q219" s="239" t="str">
        <f t="shared" si="13"/>
        <v/>
      </c>
      <c r="R219" s="235" t="str">
        <f t="shared" ca="1" si="14"/>
        <v/>
      </c>
      <c r="S219" s="237" t="str">
        <f t="shared" si="15"/>
        <v/>
      </c>
      <c r="T219" s="242"/>
    </row>
    <row r="220" spans="1:20" s="81" customFormat="1" x14ac:dyDescent="0.45">
      <c r="A220" s="231"/>
      <c r="B220" s="232"/>
      <c r="C220" s="232"/>
      <c r="D220" s="232"/>
      <c r="E220" s="232"/>
      <c r="F220" s="232"/>
      <c r="G220" s="232"/>
      <c r="H220" s="240"/>
      <c r="I220" s="233"/>
      <c r="J220" s="234" t="str" cm="1">
        <f t="array" ref="J220">IF(A220="","",COUNTA(_xlfn.UNIQUE(_xlfn._xlws.FILTER(TMA_Entreprises!G:G,TMA_Entreprises!A:A=A220))))</f>
        <v/>
      </c>
      <c r="K220" s="235" t="str">
        <f>IF(A220="","",IF(
COUNTIFS(TMA_Entreprises!$A$12:$A$220,A220,TMA_Entreprises!$J$12:$J$220,"Oui")=0,"Non",
IF(
COUNTIFS(TMA_Entreprises!$A$12:$A$220,A220,TMA_Entreprises!$J$12:$J$220,"Oui")=
COUNTIF(TMA_Entreprises!$A$12:$A$220,A220),"Oui",
"Partiel")))</f>
        <v/>
      </c>
      <c r="L220" s="236" t="str">
        <f>IF(A220="","",SUMIF(TMA_Entreprises!A:A,A220,TMA_Entreprises!L:L))</f>
        <v/>
      </c>
      <c r="M220" s="237"/>
      <c r="N220" s="238" t="str">
        <f t="shared" si="12"/>
        <v/>
      </c>
      <c r="O220" s="233"/>
      <c r="P220" s="233"/>
      <c r="Q220" s="239" t="str">
        <f t="shared" si="13"/>
        <v/>
      </c>
      <c r="R220" s="235" t="str">
        <f t="shared" ca="1" si="14"/>
        <v/>
      </c>
      <c r="S220" s="237" t="str">
        <f t="shared" si="15"/>
        <v/>
      </c>
      <c r="T220" s="242"/>
    </row>
  </sheetData>
  <sheetProtection selectLockedCells="1"/>
  <mergeCells count="1">
    <mergeCell ref="A1:T1"/>
  </mergeCells>
  <phoneticPr fontId="8" type="noConversion"/>
  <conditionalFormatting sqref="A12:T220">
    <cfRule type="expression" dxfId="56" priority="1">
      <formula>$S12="Terminé"</formula>
    </cfRule>
    <cfRule type="expression" dxfId="55" priority="3">
      <formula>$S12="Travaux"</formula>
    </cfRule>
    <cfRule type="expression" dxfId="54" priority="4">
      <formula>$S12="Refusé"</formula>
    </cfRule>
    <cfRule type="expression" dxfId="53" priority="5">
      <formula>$S12="Validé"</formula>
    </cfRule>
  </conditionalFormatting>
  <dataValidations count="3">
    <dataValidation type="list" allowBlank="1" sqref="M12:M220" xr:uid="{00000000-0002-0000-0100-000001000000}">
      <formula1>"Basse,Moyenne,Haute"</formula1>
    </dataValidation>
    <dataValidation type="list" allowBlank="1" showInputMessage="1" showErrorMessage="1" sqref="G12:G220" xr:uid="{E4E8FD3D-017C-4018-A5E0-725629896DA3}">
      <formula1>"Structure,Second œuvre,Finitions"</formula1>
    </dataValidation>
    <dataValidation allowBlank="1" sqref="S12:S220" xr:uid="{EE225B5E-91F1-4F9D-9640-F3015C551945}"/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100-000002000000}">
          <x14:formula1>
            <xm:f>Paramètres!$A$2:$A$200</xm:f>
          </x14:formula1>
          <xm:sqref>E12:E220</xm:sqref>
        </x14:dataValidation>
        <x14:dataValidation type="list" allowBlank="1" showInputMessage="1" showErrorMessage="1" xr:uid="{D753C231-7883-4C32-9206-5773233050BB}">
          <x14:formula1>
            <xm:f>Paramètres!$B$2:$B$24</xm:f>
          </x14:formula1>
          <xm:sqref>C12:C220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9">
    <tabColor theme="8" tint="0.59999389629810485"/>
  </sheetPr>
  <dimension ref="A1:O220"/>
  <sheetViews>
    <sheetView topLeftCell="A4" zoomScale="80" zoomScaleNormal="80" workbookViewId="0">
      <selection activeCell="N20" sqref="N20"/>
    </sheetView>
  </sheetViews>
  <sheetFormatPr baseColWidth="10" defaultColWidth="9.06640625" defaultRowHeight="14.25" x14ac:dyDescent="0.45"/>
  <cols>
    <col min="1" max="1" width="9.06640625" style="82"/>
    <col min="2" max="3" width="23.86328125" customWidth="1"/>
    <col min="4" max="4" width="44.1328125" style="82" customWidth="1"/>
    <col min="5" max="5" width="21.59765625" style="82" customWidth="1"/>
    <col min="6" max="6" width="28.9296875" style="83" customWidth="1"/>
    <col min="7" max="7" width="22.796875" customWidth="1"/>
    <col min="8" max="8" width="16.265625" customWidth="1"/>
    <col min="9" max="9" width="25.73046875" style="2" customWidth="1"/>
    <col min="10" max="10" width="10.9296875" style="2" customWidth="1"/>
    <col min="11" max="11" width="12.9296875" style="82" customWidth="1"/>
    <col min="12" max="12" width="21.33203125" style="84" customWidth="1"/>
    <col min="13" max="13" width="18.53125" style="136" customWidth="1"/>
    <col min="14" max="14" width="17.19921875" style="137" customWidth="1"/>
    <col min="15" max="15" width="23.73046875" style="4" customWidth="1"/>
    <col min="16" max="16" width="10.19921875" style="82" bestFit="1" customWidth="1"/>
    <col min="17" max="16384" width="9.06640625" style="82"/>
  </cols>
  <sheetData>
    <row r="1" spans="1:15" ht="51.4" customHeight="1" thickBot="1" x14ac:dyDescent="0.5">
      <c r="A1" s="460" t="s">
        <v>89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2"/>
    </row>
    <row r="2" spans="1:15" x14ac:dyDescent="0.45">
      <c r="I2"/>
      <c r="J2"/>
      <c r="L2" s="82"/>
      <c r="M2"/>
    </row>
    <row r="3" spans="1:15" s="78" customFormat="1" ht="28.05" customHeight="1" x14ac:dyDescent="0.45">
      <c r="A3" s="168" t="str">
        <f>Suivi_TMA!A3</f>
        <v>Date :</v>
      </c>
      <c r="B3" s="168"/>
      <c r="C3" s="171">
        <f ca="1">Suivi_TMA!C3</f>
        <v>46133</v>
      </c>
      <c r="F3" s="81"/>
      <c r="G3" s="169"/>
      <c r="H3" s="169"/>
      <c r="I3" s="169"/>
      <c r="J3" s="169"/>
      <c r="M3" s="169"/>
      <c r="N3" s="170"/>
      <c r="O3" s="138"/>
    </row>
    <row r="4" spans="1:15" s="78" customFormat="1" ht="28.05" customHeight="1" x14ac:dyDescent="0.45">
      <c r="A4" s="168" t="str">
        <f>Suivi_TMA!A4</f>
        <v>Maître d'ouvrage</v>
      </c>
      <c r="B4" s="168"/>
      <c r="C4" s="171" t="str">
        <f>Suivi_TMA!C4</f>
        <v>XXX</v>
      </c>
      <c r="E4" s="174" t="s">
        <v>157</v>
      </c>
      <c r="F4" s="81"/>
      <c r="G4" s="169"/>
      <c r="H4" s="169"/>
      <c r="I4" s="169"/>
      <c r="J4" s="169"/>
      <c r="M4" s="169"/>
      <c r="N4" s="170"/>
      <c r="O4" s="138"/>
    </row>
    <row r="5" spans="1:15" s="78" customFormat="1" ht="28.05" customHeight="1" x14ac:dyDescent="0.45">
      <c r="A5" s="168" t="str">
        <f>Suivi_TMA!A5</f>
        <v>Nom du programme</v>
      </c>
      <c r="B5" s="168"/>
      <c r="C5" s="171" t="str">
        <f>Suivi_TMA!C5</f>
        <v>Résidence LES JOLIETTES</v>
      </c>
      <c r="E5" s="175" t="s">
        <v>158</v>
      </c>
      <c r="F5" s="81"/>
      <c r="G5" s="169"/>
      <c r="H5" s="169"/>
      <c r="I5" s="169"/>
      <c r="J5" s="169"/>
      <c r="M5" s="169"/>
      <c r="N5" s="170"/>
      <c r="O5" s="138"/>
    </row>
    <row r="6" spans="1:15" s="78" customFormat="1" ht="28.05" customHeight="1" x14ac:dyDescent="0.45">
      <c r="A6" s="168" t="str">
        <f>Suivi_TMA!A6</f>
        <v>Adresse :</v>
      </c>
      <c r="B6" s="168"/>
      <c r="C6" s="171" t="str">
        <f>Suivi_TMA!C6</f>
        <v>12 avenue Jean JAURES</v>
      </c>
      <c r="E6" s="176" t="s">
        <v>159</v>
      </c>
      <c r="F6" s="81"/>
      <c r="G6" s="169"/>
      <c r="H6" s="169"/>
      <c r="I6" s="169"/>
      <c r="J6" s="169"/>
      <c r="M6" s="169"/>
      <c r="N6" s="170"/>
      <c r="O6" s="138"/>
    </row>
    <row r="7" spans="1:15" s="78" customFormat="1" ht="28.05" customHeight="1" x14ac:dyDescent="0.45">
      <c r="A7" s="168" t="str">
        <f>Suivi_TMA!A7</f>
        <v>Commune :</v>
      </c>
      <c r="B7" s="168"/>
      <c r="C7" s="171" t="str">
        <f>Suivi_TMA!C7</f>
        <v>CIBOURE (64500)</v>
      </c>
      <c r="E7" s="177" t="s">
        <v>160</v>
      </c>
      <c r="F7" s="81"/>
      <c r="G7" s="169"/>
      <c r="H7" s="169"/>
      <c r="I7" s="169"/>
      <c r="J7" s="169"/>
      <c r="M7" s="169"/>
      <c r="N7" s="170"/>
      <c r="O7" s="138"/>
    </row>
    <row r="8" spans="1:15" s="78" customFormat="1" ht="28.05" customHeight="1" x14ac:dyDescent="0.45">
      <c r="A8" s="168" t="str">
        <f>Suivi_TMA!A8</f>
        <v>Nombre de logements :</v>
      </c>
      <c r="B8" s="168"/>
      <c r="C8" s="171" t="str">
        <f>Suivi_TMA!C8</f>
        <v>12</v>
      </c>
      <c r="E8" s="178" t="s">
        <v>161</v>
      </c>
      <c r="F8" s="81"/>
      <c r="G8" s="169"/>
      <c r="H8" s="169"/>
      <c r="I8" s="169"/>
      <c r="J8" s="169"/>
      <c r="M8" s="169"/>
      <c r="N8" s="170"/>
      <c r="O8" s="138"/>
    </row>
    <row r="9" spans="1:15" s="78" customFormat="1" ht="28.05" customHeight="1" x14ac:dyDescent="0.45">
      <c r="A9" s="168" t="str">
        <f>Suivi_TMA!A9</f>
        <v>Date de livraison :</v>
      </c>
      <c r="B9" s="168"/>
      <c r="C9" s="171">
        <f>Suivi_TMA!C9</f>
        <v>46447</v>
      </c>
      <c r="F9" s="81"/>
      <c r="G9" s="169"/>
      <c r="H9" s="169"/>
      <c r="I9" s="169"/>
      <c r="J9" s="169"/>
      <c r="M9" s="169"/>
      <c r="N9" s="170"/>
      <c r="O9" s="138"/>
    </row>
    <row r="10" spans="1:15" x14ac:dyDescent="0.45">
      <c r="I10"/>
      <c r="J10"/>
      <c r="L10" s="82"/>
      <c r="M10"/>
    </row>
    <row r="11" spans="1:15" s="78" customFormat="1" ht="28.9" thickBot="1" x14ac:dyDescent="0.5">
      <c r="A11" s="155" t="s">
        <v>0</v>
      </c>
      <c r="B11" s="156" t="s">
        <v>1</v>
      </c>
      <c r="C11" s="156" t="s">
        <v>4</v>
      </c>
      <c r="D11" s="157" t="s">
        <v>29</v>
      </c>
      <c r="E11" s="157" t="s">
        <v>6</v>
      </c>
      <c r="F11" s="158" t="s">
        <v>30</v>
      </c>
      <c r="G11" s="156" t="s">
        <v>31</v>
      </c>
      <c r="H11" s="163" t="s">
        <v>156</v>
      </c>
      <c r="I11" s="159" t="s">
        <v>32</v>
      </c>
      <c r="J11" s="159" t="s">
        <v>80</v>
      </c>
      <c r="K11" s="157" t="s">
        <v>33</v>
      </c>
      <c r="L11" s="160" t="s">
        <v>34</v>
      </c>
      <c r="M11" s="159" t="s">
        <v>11</v>
      </c>
      <c r="N11" s="161" t="s">
        <v>135</v>
      </c>
      <c r="O11" s="162" t="s">
        <v>136</v>
      </c>
    </row>
    <row r="12" spans="1:15" ht="15" thickTop="1" thickBot="1" x14ac:dyDescent="0.5">
      <c r="A12" s="259">
        <v>1</v>
      </c>
      <c r="B12" s="260" t="str">
        <f>IF(A12="","",IFERROR(_xlfn.XLOOKUP(A12,Suivi_TMA!A:A,Suivi_TMA!B:B),""))</f>
        <v>A01</v>
      </c>
      <c r="C12" s="260" t="str">
        <f>IF(A12="","",IFERROR(_xlfn.XLOOKUP(A12,Suivi_TMA!A:A,Suivi_TMA!E:E),""))</f>
        <v>Chambre 1</v>
      </c>
      <c r="D12" s="261" t="s">
        <v>208</v>
      </c>
      <c r="E12" s="176" t="str">
        <f>IF(N12="Refusé","Refusé",
IF(N12="Validé","Validé",
IF(K12&lt;&gt;"","Reçu",
IF(H12&lt;&gt;"","A chiffrer",""))))</f>
        <v>Validé</v>
      </c>
      <c r="F12" s="261" t="s">
        <v>37</v>
      </c>
      <c r="G12" s="260" t="str">
        <f>IF(F12="","",IFERROR(VLOOKUP(F12,LOTS_ENTREPRISES!A:B,2,FALSE),""))</f>
        <v>APC</v>
      </c>
      <c r="H12" s="262">
        <f>IF(A12="","",IFERROR(IF(_xlfn.XLOOKUP(A12,Suivi_TMA!A:A,Suivi_TMA!I:I)="","",_xlfn.XLOOKUP(A12,Suivi_TMA!A:A,Suivi_TMA!I:I)),""))</f>
        <v>45709</v>
      </c>
      <c r="I12" s="262">
        <f>IF(H12="","",H12+10)</f>
        <v>45719</v>
      </c>
      <c r="J12" s="263" t="str">
        <f>IF($A12="","",IF($K12="","Non","Oui"))</f>
        <v>Oui</v>
      </c>
      <c r="K12" s="264">
        <v>45711</v>
      </c>
      <c r="L12" s="265">
        <v>-402.53</v>
      </c>
      <c r="M12" s="260" t="str">
        <f t="shared" ref="M12:M75" ca="1" si="0">IF(A12="","",IF(OR(I12="",K12&lt;&gt;""),"",IF(I12&lt;TODAY(),"EN RETARD","OK")))</f>
        <v/>
      </c>
      <c r="N12" s="266" t="str">
        <f>_xlfn.LET(_xlpm.x,_xlfn.XLOOKUP(A12,Suivi_TMA!A:A,Suivi_TMA!S:S,""),IF(OR(_xlpm.x="",_xlpm.x=0),"",_xlpm.x))</f>
        <v>Validé</v>
      </c>
      <c r="O12" s="236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>-402.53</v>
      </c>
    </row>
    <row r="13" spans="1:15" ht="15" thickTop="1" thickBot="1" x14ac:dyDescent="0.5">
      <c r="A13" s="267">
        <v>1</v>
      </c>
      <c r="B13" s="263" t="str">
        <f>IF(A13="","",IFERROR(_xlfn.XLOOKUP(A13,Suivi_TMA!A:A,Suivi_TMA!B:B),""))</f>
        <v>A01</v>
      </c>
      <c r="C13" s="263" t="str">
        <f>IF(A13="","",IFERROR(_xlfn.XLOOKUP(A13,Suivi_TMA!A:A,Suivi_TMA!E:E),""))</f>
        <v>Chambre 1</v>
      </c>
      <c r="D13" s="268" t="s">
        <v>209</v>
      </c>
      <c r="E13" s="176" t="str">
        <f t="shared" ref="E13:E76" si="1">IF(N13="Refusé","Refusé",
IF(N13="Validé","Validé",
IF(K13&lt;&gt;"","Reçu",
IF(H13&lt;&gt;"","A chiffrer",""))))</f>
        <v>Validé</v>
      </c>
      <c r="F13" s="268" t="s">
        <v>36</v>
      </c>
      <c r="G13" s="263" t="str">
        <f>IF(F13="","",IFERROR(VLOOKUP(F13,LOTS_ENTREPRISES!A:B,2,FALSE),""))</f>
        <v>APC</v>
      </c>
      <c r="H13" s="262">
        <f>IF(A13="","",IFERROR(IF(_xlfn.XLOOKUP(A13,Suivi_TMA!A:A,Suivi_TMA!I:I)="","",_xlfn.XLOOKUP(A13,Suivi_TMA!A:A,Suivi_TMA!I:I)),""))</f>
        <v>45709</v>
      </c>
      <c r="I13" s="269">
        <f t="shared" ref="I13:I75" si="2">IF(H13="","",H13+10)</f>
        <v>45719</v>
      </c>
      <c r="J13" s="263" t="str">
        <f t="shared" ref="J13:J76" si="3">IF($A13="","",IF($K13="","Non","Oui"))</f>
        <v>Oui</v>
      </c>
      <c r="K13" s="270">
        <v>45711</v>
      </c>
      <c r="L13" s="271">
        <v>458.24</v>
      </c>
      <c r="M13" s="263" t="str">
        <f t="shared" ca="1" si="0"/>
        <v/>
      </c>
      <c r="N13" s="266" t="str">
        <f>_xlfn.LET(_xlpm.x,_xlfn.XLOOKUP(A13,Suivi_TMA!A:A,Suivi_TMA!S:S,""),IF(OR(_xlpm.x="",_xlpm.x=0),"",_xlpm.x))</f>
        <v>Validé</v>
      </c>
      <c r="O13" s="236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>458.24</v>
      </c>
    </row>
    <row r="14" spans="1:15" ht="15" thickTop="1" thickBot="1" x14ac:dyDescent="0.5">
      <c r="A14" s="272">
        <v>2</v>
      </c>
      <c r="B14" s="273" t="str">
        <f>IF(A14="","",IFERROR(_xlfn.XLOOKUP(A14,Suivi_TMA!A:A,Suivi_TMA!B:B),""))</f>
        <v>A03</v>
      </c>
      <c r="C14" s="273" t="str">
        <f>IF(A14="","",IFERROR(_xlfn.XLOOKUP(A14,Suivi_TMA!A:A,Suivi_TMA!E:E),""))</f>
        <v>Séjour</v>
      </c>
      <c r="D14" s="274" t="s">
        <v>212</v>
      </c>
      <c r="E14" s="176" t="str">
        <f t="shared" si="1"/>
        <v>Reçu</v>
      </c>
      <c r="F14" s="274" t="s">
        <v>39</v>
      </c>
      <c r="G14" s="273" t="str">
        <f>IF(F14="","",IFERROR(VLOOKUP(F14,LOTS_ENTREPRISES!A:B,2,FALSE),""))</f>
        <v>LAPIX</v>
      </c>
      <c r="H14" s="262">
        <f>IF(A14="","",IFERROR(IF(_xlfn.XLOOKUP(A14,Suivi_TMA!A:A,Suivi_TMA!I:I)="","",_xlfn.XLOOKUP(A14,Suivi_TMA!A:A,Suivi_TMA!I:I)),""))</f>
        <v>45715</v>
      </c>
      <c r="I14" s="275">
        <f t="shared" si="2"/>
        <v>45725</v>
      </c>
      <c r="J14" s="263" t="str">
        <f t="shared" si="3"/>
        <v>Oui</v>
      </c>
      <c r="K14" s="279">
        <v>45716</v>
      </c>
      <c r="L14" s="277">
        <v>-435.38</v>
      </c>
      <c r="M14" s="273" t="str">
        <f t="shared" ca="1" si="0"/>
        <v/>
      </c>
      <c r="N14" s="266" t="str">
        <f>_xlfn.LET(_xlpm.x,_xlfn.XLOOKUP(A14,Suivi_TMA!A:A,Suivi_TMA!S:S,""),IF(OR(_xlpm.x="",_xlpm.x=0),"",_xlpm.x))</f>
        <v>Étude</v>
      </c>
      <c r="O1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" spans="1:15" ht="15" thickTop="1" thickBot="1" x14ac:dyDescent="0.5">
      <c r="A15" s="267">
        <v>2</v>
      </c>
      <c r="B15" s="263" t="str">
        <f>IF(A15="","",IFERROR(_xlfn.XLOOKUP(A15,Suivi_TMA!A:A,Suivi_TMA!B:B),""))</f>
        <v>A03</v>
      </c>
      <c r="C15" s="263" t="str">
        <f>IF(A15="","",IFERROR(_xlfn.XLOOKUP(A15,Suivi_TMA!A:A,Suivi_TMA!E:E),""))</f>
        <v>Séjour</v>
      </c>
      <c r="D15" s="268" t="s">
        <v>213</v>
      </c>
      <c r="E15" s="176" t="str">
        <f t="shared" si="1"/>
        <v>Reçu</v>
      </c>
      <c r="F15" s="268" t="s">
        <v>38</v>
      </c>
      <c r="G15" s="263" t="str">
        <f>IF(F15="","",IFERROR(VLOOKUP(F15,LOTS_ENTREPRISES!A:B,2,FALSE),""))</f>
        <v>MORLAES</v>
      </c>
      <c r="H15" s="262">
        <f>IF(A15="","",IFERROR(IF(_xlfn.XLOOKUP(A15,Suivi_TMA!A:A,Suivi_TMA!I:I)="","",_xlfn.XLOOKUP(A15,Suivi_TMA!A:A,Suivi_TMA!I:I)),""))</f>
        <v>45715</v>
      </c>
      <c r="I15" s="269">
        <f t="shared" si="2"/>
        <v>45725</v>
      </c>
      <c r="J15" s="263" t="str">
        <f t="shared" si="3"/>
        <v>Oui</v>
      </c>
      <c r="K15" s="270">
        <v>45716</v>
      </c>
      <c r="L15" s="271">
        <v>-128.35</v>
      </c>
      <c r="M15" s="263" t="str">
        <f t="shared" ca="1" si="0"/>
        <v/>
      </c>
      <c r="N15" s="266" t="str">
        <f>_xlfn.LET(_xlpm.x,_xlfn.XLOOKUP(A15,Suivi_TMA!A:A,Suivi_TMA!S:S,""),IF(OR(_xlpm.x="",_xlpm.x=0),"",_xlpm.x))</f>
        <v>Étude</v>
      </c>
      <c r="O1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" spans="1:15" ht="15" thickTop="1" thickBot="1" x14ac:dyDescent="0.5">
      <c r="A16" s="272">
        <v>2</v>
      </c>
      <c r="B16" s="273" t="str">
        <f>IF(A16="","",IFERROR(_xlfn.XLOOKUP(A16,Suivi_TMA!A:A,Suivi_TMA!B:B),""))</f>
        <v>A03</v>
      </c>
      <c r="C16" s="273" t="str">
        <f>IF(A16="","",IFERROR(_xlfn.XLOOKUP(A16,Suivi_TMA!A:A,Suivi_TMA!E:E),""))</f>
        <v>Séjour</v>
      </c>
      <c r="D16" s="274" t="s">
        <v>214</v>
      </c>
      <c r="E16" s="176" t="str">
        <f t="shared" si="1"/>
        <v>Reçu</v>
      </c>
      <c r="F16" s="274" t="s">
        <v>45</v>
      </c>
      <c r="G16" s="273" t="str">
        <f>IF(F16="","",IFERROR(VLOOKUP(F16,LOTS_ENTREPRISES!A:B,2,FALSE),""))</f>
        <v>EMA</v>
      </c>
      <c r="H16" s="262">
        <f>IF(A16="","",IFERROR(IF(_xlfn.XLOOKUP(A16,Suivi_TMA!A:A,Suivi_TMA!I:I)="","",_xlfn.XLOOKUP(A16,Suivi_TMA!A:A,Suivi_TMA!I:I)),""))</f>
        <v>45715</v>
      </c>
      <c r="I16" s="275">
        <f t="shared" si="2"/>
        <v>45725</v>
      </c>
      <c r="J16" s="263" t="str">
        <f t="shared" si="3"/>
        <v>Oui</v>
      </c>
      <c r="K16" s="279">
        <v>45716</v>
      </c>
      <c r="L16" s="277">
        <v>-12</v>
      </c>
      <c r="M16" s="273" t="str">
        <f t="shared" ca="1" si="0"/>
        <v/>
      </c>
      <c r="N16" s="266" t="str">
        <f>_xlfn.LET(_xlpm.x,_xlfn.XLOOKUP(A16,Suivi_TMA!A:A,Suivi_TMA!S:S,""),IF(OR(_xlpm.x="",_xlpm.x=0),"",_xlpm.x))</f>
        <v>Étude</v>
      </c>
      <c r="O1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" spans="1:15" ht="15" thickTop="1" thickBot="1" x14ac:dyDescent="0.5">
      <c r="A17" s="267">
        <v>2</v>
      </c>
      <c r="B17" s="263" t="str">
        <f>IF(A17="","",IFERROR(_xlfn.XLOOKUP(A17,Suivi_TMA!A:A,Suivi_TMA!B:B),""))</f>
        <v>A03</v>
      </c>
      <c r="C17" s="263" t="str">
        <f>IF(A17="","",IFERROR(_xlfn.XLOOKUP(A17,Suivi_TMA!A:A,Suivi_TMA!E:E),""))</f>
        <v>Séjour</v>
      </c>
      <c r="D17" s="268" t="s">
        <v>215</v>
      </c>
      <c r="E17" s="176" t="str">
        <f t="shared" si="1"/>
        <v>A chiffrer</v>
      </c>
      <c r="F17" s="268" t="s">
        <v>36</v>
      </c>
      <c r="G17" s="263" t="str">
        <f>IF(F17="","",IFERROR(VLOOKUP(F17,LOTS_ENTREPRISES!A:B,2,FALSE),""))</f>
        <v>APC</v>
      </c>
      <c r="H17" s="262">
        <f>IF(A17="","",IFERROR(IF(_xlfn.XLOOKUP(A17,Suivi_TMA!A:A,Suivi_TMA!I:I)="","",_xlfn.XLOOKUP(A17,Suivi_TMA!A:A,Suivi_TMA!I:I)),""))</f>
        <v>45715</v>
      </c>
      <c r="I17" s="269">
        <f t="shared" si="2"/>
        <v>45725</v>
      </c>
      <c r="J17" s="263" t="str">
        <f t="shared" si="3"/>
        <v>Non</v>
      </c>
      <c r="K17" s="270"/>
      <c r="L17" s="271"/>
      <c r="M17" s="263" t="str">
        <f t="shared" ca="1" si="0"/>
        <v>EN RETARD</v>
      </c>
      <c r="N17" s="266" t="str">
        <f>_xlfn.LET(_xlpm.x,_xlfn.XLOOKUP(A17,Suivi_TMA!A:A,Suivi_TMA!S:S,""),IF(OR(_xlpm.x="",_xlpm.x=0),"",_xlpm.x))</f>
        <v>Étude</v>
      </c>
      <c r="O1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" spans="1:15" ht="15" thickTop="1" thickBot="1" x14ac:dyDescent="0.5">
      <c r="A18" s="272">
        <v>3</v>
      </c>
      <c r="B18" s="273" t="str">
        <f>IF(A18="","",IFERROR(_xlfn.XLOOKUP(A18,Suivi_TMA!A:A,Suivi_TMA!B:B),""))</f>
        <v>A03</v>
      </c>
      <c r="C18" s="273" t="str">
        <f>IF(A18="","",IFERROR(_xlfn.XLOOKUP(A18,Suivi_TMA!A:A,Suivi_TMA!E:E),""))</f>
        <v>Général</v>
      </c>
      <c r="D18" s="274" t="s">
        <v>219</v>
      </c>
      <c r="E18" s="176" t="str">
        <f t="shared" si="1"/>
        <v>Reçu</v>
      </c>
      <c r="F18" s="274" t="s">
        <v>38</v>
      </c>
      <c r="G18" s="273" t="str">
        <f>IF(F18="","",IFERROR(VLOOKUP(F18,LOTS_ENTREPRISES!A:B,2,FALSE),""))</f>
        <v>MORLAES</v>
      </c>
      <c r="H18" s="262">
        <f>IF(A18="","",IFERROR(IF(_xlfn.XLOOKUP(A18,Suivi_TMA!A:A,Suivi_TMA!I:I)="","",_xlfn.XLOOKUP(A18,Suivi_TMA!A:A,Suivi_TMA!I:I)),""))</f>
        <v>45715</v>
      </c>
      <c r="I18" s="275">
        <f t="shared" si="2"/>
        <v>45725</v>
      </c>
      <c r="J18" s="263" t="str">
        <f t="shared" si="3"/>
        <v>Oui</v>
      </c>
      <c r="K18" s="279">
        <v>45716</v>
      </c>
      <c r="L18" s="277">
        <v>-948</v>
      </c>
      <c r="M18" s="273" t="str">
        <f t="shared" ca="1" si="0"/>
        <v/>
      </c>
      <c r="N18" s="266" t="str">
        <f>_xlfn.LET(_xlpm.x,_xlfn.XLOOKUP(A18,Suivi_TMA!A:A,Suivi_TMA!S:S,""),IF(OR(_xlpm.x="",_xlpm.x=0),"",_xlpm.x))</f>
        <v>Chiffré</v>
      </c>
      <c r="O1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" spans="1:15" ht="15" thickTop="1" thickBot="1" x14ac:dyDescent="0.5">
      <c r="A19" s="267">
        <v>3</v>
      </c>
      <c r="B19" s="263" t="str">
        <f>IF(A19="","",IFERROR(_xlfn.XLOOKUP(A19,Suivi_TMA!A:A,Suivi_TMA!B:B),""))</f>
        <v>A03</v>
      </c>
      <c r="C19" s="263" t="str">
        <f>IF(A19="","",IFERROR(_xlfn.XLOOKUP(A19,Suivi_TMA!A:A,Suivi_TMA!E:E),""))</f>
        <v>Général</v>
      </c>
      <c r="D19" s="268" t="s">
        <v>220</v>
      </c>
      <c r="E19" s="176" t="str">
        <f t="shared" si="1"/>
        <v>Reçu</v>
      </c>
      <c r="F19" s="268" t="s">
        <v>38</v>
      </c>
      <c r="G19" s="263" t="str">
        <f>IF(F19="","",IFERROR(VLOOKUP(F19,LOTS_ENTREPRISES!A:B,2,FALSE),""))</f>
        <v>MORLAES</v>
      </c>
      <c r="H19" s="262">
        <f>IF(A19="","",IFERROR(IF(_xlfn.XLOOKUP(A19,Suivi_TMA!A:A,Suivi_TMA!I:I)="","",_xlfn.XLOOKUP(A19,Suivi_TMA!A:A,Suivi_TMA!I:I)),""))</f>
        <v>45715</v>
      </c>
      <c r="I19" s="269">
        <f t="shared" si="2"/>
        <v>45725</v>
      </c>
      <c r="J19" s="263" t="str">
        <f t="shared" si="3"/>
        <v>Oui</v>
      </c>
      <c r="K19" s="270">
        <v>45716</v>
      </c>
      <c r="L19" s="271">
        <v>1425</v>
      </c>
      <c r="M19" s="263" t="str">
        <f t="shared" ca="1" si="0"/>
        <v/>
      </c>
      <c r="N19" s="266" t="str">
        <f>_xlfn.LET(_xlpm.x,_xlfn.XLOOKUP(A19,Suivi_TMA!A:A,Suivi_TMA!S:S,""),IF(OR(_xlpm.x="",_xlpm.x=0),"",_xlpm.x))</f>
        <v>Chiffré</v>
      </c>
      <c r="O1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" spans="1:15" ht="15" thickTop="1" thickBot="1" x14ac:dyDescent="0.5">
      <c r="A20" s="272">
        <v>4</v>
      </c>
      <c r="B20" s="273" t="str">
        <f>IF(A20="","",IFERROR(_xlfn.XLOOKUP(A20,Suivi_TMA!A:A,Suivi_TMA!B:B),""))</f>
        <v>A03</v>
      </c>
      <c r="C20" s="273" t="str">
        <f>IF(A20="","",IFERROR(_xlfn.XLOOKUP(A20,Suivi_TMA!A:A,Suivi_TMA!E:E),""))</f>
        <v>WC</v>
      </c>
      <c r="D20" s="274" t="s">
        <v>247</v>
      </c>
      <c r="E20" s="176" t="str">
        <f t="shared" si="1"/>
        <v>Reçu</v>
      </c>
      <c r="F20" s="274" t="s">
        <v>50</v>
      </c>
      <c r="G20" s="273" t="str">
        <f>IF(F20="","",IFERROR(VLOOKUP(F20,LOTS_ENTREPRISES!A:B,2,FALSE),""))</f>
        <v>SANICLIM</v>
      </c>
      <c r="H20" s="262">
        <f>IF(A20="","",IFERROR(IF(_xlfn.XLOOKUP(A20,Suivi_TMA!A:A,Suivi_TMA!I:I)="","",_xlfn.XLOOKUP(A20,Suivi_TMA!A:A,Suivi_TMA!I:I)),""))</f>
        <v>45715</v>
      </c>
      <c r="I20" s="275">
        <f t="shared" si="2"/>
        <v>45725</v>
      </c>
      <c r="J20" s="263" t="str">
        <f t="shared" si="3"/>
        <v>Oui</v>
      </c>
      <c r="K20" s="279">
        <v>45716</v>
      </c>
      <c r="L20" s="277">
        <v>-242.68</v>
      </c>
      <c r="M20" s="273" t="str">
        <f t="shared" ca="1" si="0"/>
        <v/>
      </c>
      <c r="N20" s="266" t="str">
        <f>_xlfn.LET(_xlpm.x,_xlfn.XLOOKUP(A20,Suivi_TMA!A:A,Suivi_TMA!S:S,""),IF(OR(_xlpm.x="",_xlpm.x=0),"",_xlpm.x))</f>
        <v>Chiffré</v>
      </c>
      <c r="O2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" spans="1:15" ht="15" thickTop="1" thickBot="1" x14ac:dyDescent="0.5">
      <c r="A21" s="267">
        <v>4</v>
      </c>
      <c r="B21" s="263" t="str">
        <f>IF(A21="","",IFERROR(_xlfn.XLOOKUP(A21,Suivi_TMA!A:A,Suivi_TMA!B:B),""))</f>
        <v>A03</v>
      </c>
      <c r="C21" s="263" t="str">
        <f>IF(A21="","",IFERROR(_xlfn.XLOOKUP(A21,Suivi_TMA!A:A,Suivi_TMA!E:E),""))</f>
        <v>WC</v>
      </c>
      <c r="D21" s="268" t="s">
        <v>248</v>
      </c>
      <c r="E21" s="176" t="str">
        <f t="shared" si="1"/>
        <v>Reçu</v>
      </c>
      <c r="F21" s="268" t="s">
        <v>50</v>
      </c>
      <c r="G21" s="263" t="str">
        <f>IF(F21="","",IFERROR(VLOOKUP(F21,LOTS_ENTREPRISES!A:B,2,FALSE),""))</f>
        <v>SANICLIM</v>
      </c>
      <c r="H21" s="262">
        <f>IF(A21="","",IFERROR(IF(_xlfn.XLOOKUP(A21,Suivi_TMA!A:A,Suivi_TMA!I:I)="","",_xlfn.XLOOKUP(A21,Suivi_TMA!A:A,Suivi_TMA!I:I)),""))</f>
        <v>45715</v>
      </c>
      <c r="I21" s="269">
        <f t="shared" si="2"/>
        <v>45725</v>
      </c>
      <c r="J21" s="263" t="str">
        <f t="shared" si="3"/>
        <v>Oui</v>
      </c>
      <c r="K21" s="270">
        <v>45716</v>
      </c>
      <c r="L21" s="271">
        <v>648.78</v>
      </c>
      <c r="M21" s="263" t="str">
        <f t="shared" ca="1" si="0"/>
        <v/>
      </c>
      <c r="N21" s="266" t="str">
        <f>_xlfn.LET(_xlpm.x,_xlfn.XLOOKUP(A21,Suivi_TMA!A:A,Suivi_TMA!S:S,""),IF(OR(_xlpm.x="",_xlpm.x=0),"",_xlpm.x))</f>
        <v>Chiffré</v>
      </c>
      <c r="O2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2" spans="1:15" ht="29.25" thickTop="1" thickBot="1" x14ac:dyDescent="0.5">
      <c r="A22" s="272">
        <v>4</v>
      </c>
      <c r="B22" s="273" t="str">
        <f>IF(A22="","",IFERROR(_xlfn.XLOOKUP(A22,Suivi_TMA!A:A,Suivi_TMA!B:B),""))</f>
        <v>A03</v>
      </c>
      <c r="C22" s="273" t="str">
        <f>IF(A22="","",IFERROR(_xlfn.XLOOKUP(A22,Suivi_TMA!A:A,Suivi_TMA!E:E),""))</f>
        <v>WC</v>
      </c>
      <c r="D22" s="274" t="s">
        <v>249</v>
      </c>
      <c r="E22" s="176" t="str">
        <f t="shared" si="1"/>
        <v>Reçu</v>
      </c>
      <c r="F22" s="274" t="s">
        <v>46</v>
      </c>
      <c r="G22" s="273" t="str">
        <f>IF(F22="","",IFERROR(VLOOKUP(F22,LOTS_ENTREPRISES!A:B,2,FALSE),""))</f>
        <v>PVN</v>
      </c>
      <c r="H22" s="262">
        <f>IF(A22="","",IFERROR(IF(_xlfn.XLOOKUP(A22,Suivi_TMA!A:A,Suivi_TMA!I:I)="","",_xlfn.XLOOKUP(A22,Suivi_TMA!A:A,Suivi_TMA!I:I)),""))</f>
        <v>45715</v>
      </c>
      <c r="I22" s="275">
        <f t="shared" si="2"/>
        <v>45725</v>
      </c>
      <c r="J22" s="263" t="str">
        <f t="shared" si="3"/>
        <v>Oui</v>
      </c>
      <c r="K22" s="279">
        <v>45717</v>
      </c>
      <c r="L22" s="277">
        <v>120</v>
      </c>
      <c r="M22" s="273" t="str">
        <f t="shared" ca="1" si="0"/>
        <v/>
      </c>
      <c r="N22" s="266" t="str">
        <f>_xlfn.LET(_xlpm.x,_xlfn.XLOOKUP(A22,Suivi_TMA!A:A,Suivi_TMA!S:S,""),IF(OR(_xlpm.x="",_xlpm.x=0),"",_xlpm.x))</f>
        <v>Chiffré</v>
      </c>
      <c r="O2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3" spans="1:15" ht="29.25" thickTop="1" thickBot="1" x14ac:dyDescent="0.5">
      <c r="A23" s="267">
        <v>5</v>
      </c>
      <c r="B23" s="263" t="str">
        <f>IF(A23="","",IFERROR(_xlfn.XLOOKUP(A23,Suivi_TMA!A:A,Suivi_TMA!B:B),""))</f>
        <v>A03</v>
      </c>
      <c r="C23" s="263" t="str">
        <f>IF(A23="","",IFERROR(_xlfn.XLOOKUP(A23,Suivi_TMA!A:A,Suivi_TMA!E:E),""))</f>
        <v>Général</v>
      </c>
      <c r="D23" s="268" t="s">
        <v>251</v>
      </c>
      <c r="E23" s="176" t="str">
        <f t="shared" si="1"/>
        <v>A chiffrer</v>
      </c>
      <c r="F23" s="268" t="s">
        <v>43</v>
      </c>
      <c r="G23" s="263" t="str">
        <f>IF(F23="","",IFERROR(VLOOKUP(F23,LOTS_ENTREPRISES!A:B,2,FALSE),""))</f>
        <v>SOLUTEC</v>
      </c>
      <c r="H23" s="262">
        <f>IF(A23="","",IFERROR(IF(_xlfn.XLOOKUP(A23,Suivi_TMA!A:A,Suivi_TMA!I:I)="","",_xlfn.XLOOKUP(A23,Suivi_TMA!A:A,Suivi_TMA!I:I)),""))</f>
        <v>45715</v>
      </c>
      <c r="I23" s="269">
        <f t="shared" si="2"/>
        <v>45725</v>
      </c>
      <c r="J23" s="263" t="str">
        <f t="shared" si="3"/>
        <v>Non</v>
      </c>
      <c r="K23" s="270"/>
      <c r="L23" s="271"/>
      <c r="M23" s="263" t="str">
        <f t="shared" ca="1" si="0"/>
        <v>EN RETARD</v>
      </c>
      <c r="N23" s="266" t="str">
        <f>_xlfn.LET(_xlpm.x,_xlfn.XLOOKUP(A23,Suivi_TMA!A:A,Suivi_TMA!S:S,""),IF(OR(_xlpm.x="",_xlpm.x=0),"",_xlpm.x))</f>
        <v>Étude</v>
      </c>
      <c r="O2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4" spans="1:15" ht="15" thickTop="1" thickBot="1" x14ac:dyDescent="0.5">
      <c r="A24" s="272">
        <v>6</v>
      </c>
      <c r="B24" s="273" t="str">
        <f>IF(A24="","",IFERROR(_xlfn.XLOOKUP(A24,Suivi_TMA!A:A,Suivi_TMA!B:B),""))</f>
        <v>A06</v>
      </c>
      <c r="C24" s="273" t="str">
        <f>IF(A24="","",IFERROR(_xlfn.XLOOKUP(A24,Suivi_TMA!A:A,Suivi_TMA!E:E),""))</f>
        <v>SDB</v>
      </c>
      <c r="D24" s="274" t="s">
        <v>254</v>
      </c>
      <c r="E24" s="176" t="str">
        <f t="shared" si="1"/>
        <v>Reçu</v>
      </c>
      <c r="F24" s="274" t="s">
        <v>50</v>
      </c>
      <c r="G24" s="273" t="str">
        <f>IF(F24="","",IFERROR(VLOOKUP(F24,LOTS_ENTREPRISES!A:B,2,FALSE),""))</f>
        <v>SANICLIM</v>
      </c>
      <c r="H24" s="262">
        <f>IF(A24="","",IFERROR(IF(_xlfn.XLOOKUP(A24,Suivi_TMA!A:A,Suivi_TMA!I:I)="","",_xlfn.XLOOKUP(A24,Suivi_TMA!A:A,Suivi_TMA!I:I)),""))</f>
        <v>45715</v>
      </c>
      <c r="I24" s="275">
        <f t="shared" si="2"/>
        <v>45725</v>
      </c>
      <c r="J24" s="263" t="str">
        <f t="shared" si="3"/>
        <v>Oui</v>
      </c>
      <c r="K24" s="276" t="s">
        <v>216</v>
      </c>
      <c r="L24" s="277">
        <v>352.6</v>
      </c>
      <c r="M24" s="273" t="str">
        <f t="shared" ca="1" si="0"/>
        <v/>
      </c>
      <c r="N24" s="266" t="str">
        <f>_xlfn.LET(_xlpm.x,_xlfn.XLOOKUP(A24,Suivi_TMA!A:A,Suivi_TMA!S:S,""),IF(OR(_xlpm.x="",_xlpm.x=0),"",_xlpm.x))</f>
        <v>Chiffré</v>
      </c>
      <c r="O2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5" spans="1:15" ht="15" thickTop="1" thickBot="1" x14ac:dyDescent="0.5">
      <c r="A25" s="267">
        <v>8</v>
      </c>
      <c r="B25" s="263" t="str">
        <f>IF(A25="","",IFERROR(_xlfn.XLOOKUP(A25,Suivi_TMA!A:A,Suivi_TMA!B:B),""))</f>
        <v>A10</v>
      </c>
      <c r="C25" s="263" t="str">
        <f>IF(A25="","",IFERROR(_xlfn.XLOOKUP(A25,Suivi_TMA!A:A,Suivi_TMA!E:E),""))</f>
        <v>Général</v>
      </c>
      <c r="D25" s="268" t="s">
        <v>219</v>
      </c>
      <c r="E25" s="176" t="str">
        <f t="shared" si="1"/>
        <v>Validé</v>
      </c>
      <c r="F25" s="268" t="s">
        <v>38</v>
      </c>
      <c r="G25" s="263" t="str">
        <f>IF(F25="","",IFERROR(VLOOKUP(F25,LOTS_ENTREPRISES!A:B,2,FALSE),""))</f>
        <v>MORLAES</v>
      </c>
      <c r="H25" s="262">
        <f>IF(A25="","",IFERROR(IF(_xlfn.XLOOKUP(A25,Suivi_TMA!A:A,Suivi_TMA!I:I)="","",_xlfn.XLOOKUP(A25,Suivi_TMA!A:A,Suivi_TMA!I:I)),""))</f>
        <v>45896</v>
      </c>
      <c r="I25" s="269">
        <f t="shared" si="2"/>
        <v>45906</v>
      </c>
      <c r="J25" s="263" t="str">
        <f t="shared" si="3"/>
        <v>Oui</v>
      </c>
      <c r="K25" s="270">
        <v>45899</v>
      </c>
      <c r="L25" s="271">
        <v>-945.36</v>
      </c>
      <c r="M25" s="263" t="str">
        <f t="shared" ca="1" si="0"/>
        <v/>
      </c>
      <c r="N25" s="266" t="str">
        <f>_xlfn.LET(_xlpm.x,_xlfn.XLOOKUP(A25,Suivi_TMA!A:A,Suivi_TMA!S:S,""),IF(OR(_xlpm.x="",_xlpm.x=0),"",_xlpm.x))</f>
        <v>Validé</v>
      </c>
      <c r="O25" s="236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>-945.36</v>
      </c>
    </row>
    <row r="26" spans="1:15" ht="15" thickTop="1" thickBot="1" x14ac:dyDescent="0.5">
      <c r="A26" s="272">
        <v>8</v>
      </c>
      <c r="B26" s="273" t="str">
        <f>IF(A26="","",IFERROR(_xlfn.XLOOKUP(A26,Suivi_TMA!A:A,Suivi_TMA!B:B),""))</f>
        <v>A10</v>
      </c>
      <c r="C26" s="273" t="str">
        <f>IF(A26="","",IFERROR(_xlfn.XLOOKUP(A26,Suivi_TMA!A:A,Suivi_TMA!E:E),""))</f>
        <v>Général</v>
      </c>
      <c r="D26" s="274" t="s">
        <v>220</v>
      </c>
      <c r="E26" s="176" t="str">
        <f t="shared" si="1"/>
        <v>Validé</v>
      </c>
      <c r="F26" s="274" t="s">
        <v>38</v>
      </c>
      <c r="G26" s="273" t="str">
        <f>IF(F26="","",IFERROR(VLOOKUP(F26,LOTS_ENTREPRISES!A:B,2,FALSE),""))</f>
        <v>MORLAES</v>
      </c>
      <c r="H26" s="262">
        <f>IF(A26="","",IFERROR(IF(_xlfn.XLOOKUP(A26,Suivi_TMA!A:A,Suivi_TMA!I:I)="","",_xlfn.XLOOKUP(A26,Suivi_TMA!A:A,Suivi_TMA!I:I)),""))</f>
        <v>45896</v>
      </c>
      <c r="I26" s="275">
        <f t="shared" si="2"/>
        <v>45906</v>
      </c>
      <c r="J26" s="263" t="str">
        <f t="shared" si="3"/>
        <v>Oui</v>
      </c>
      <c r="K26" s="279">
        <v>45899</v>
      </c>
      <c r="L26" s="277">
        <v>1728.32</v>
      </c>
      <c r="M26" s="273" t="str">
        <f t="shared" ca="1" si="0"/>
        <v/>
      </c>
      <c r="N26" s="266" t="str">
        <f>_xlfn.LET(_xlpm.x,_xlfn.XLOOKUP(A26,Suivi_TMA!A:A,Suivi_TMA!S:S,""),IF(OR(_xlpm.x="",_xlpm.x=0),"",_xlpm.x))</f>
        <v>Validé</v>
      </c>
      <c r="O26" s="236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>1728.32</v>
      </c>
    </row>
    <row r="27" spans="1:15" ht="15" thickTop="1" thickBot="1" x14ac:dyDescent="0.5">
      <c r="A27" s="267">
        <v>9</v>
      </c>
      <c r="B27" s="263" t="str">
        <f>IF(A27="","",IFERROR(_xlfn.XLOOKUP(A27,Suivi_TMA!A:A,Suivi_TMA!B:B),""))</f>
        <v>A12</v>
      </c>
      <c r="C27" s="263" t="str">
        <f>IF(A27="","",IFERROR(_xlfn.XLOOKUP(A27,Suivi_TMA!A:A,Suivi_TMA!E:E),""))</f>
        <v>WC</v>
      </c>
      <c r="D27" s="268" t="s">
        <v>247</v>
      </c>
      <c r="E27" s="176" t="str">
        <f t="shared" si="1"/>
        <v>Reçu</v>
      </c>
      <c r="F27" s="268" t="s">
        <v>50</v>
      </c>
      <c r="G27" s="263" t="str">
        <f>IF(F27="","",IFERROR(VLOOKUP(F27,LOTS_ENTREPRISES!A:B,2,FALSE),""))</f>
        <v>SANICLIM</v>
      </c>
      <c r="H27" s="262">
        <f>IF(A27="","",IFERROR(IF(_xlfn.XLOOKUP(A27,Suivi_TMA!A:A,Suivi_TMA!I:I)="","",_xlfn.XLOOKUP(A27,Suivi_TMA!A:A,Suivi_TMA!I:I)),""))</f>
        <v>45745</v>
      </c>
      <c r="I27" s="269">
        <f t="shared" si="2"/>
        <v>45755</v>
      </c>
      <c r="J27" s="263" t="str">
        <f t="shared" si="3"/>
        <v>Oui</v>
      </c>
      <c r="K27" s="270">
        <v>45746</v>
      </c>
      <c r="L27" s="271">
        <v>-242.68</v>
      </c>
      <c r="M27" s="263" t="str">
        <f t="shared" ca="1" si="0"/>
        <v/>
      </c>
      <c r="N27" s="266" t="str">
        <f>_xlfn.LET(_xlpm.x,_xlfn.XLOOKUP(A27,Suivi_TMA!A:A,Suivi_TMA!S:S,""),IF(OR(_xlpm.x="",_xlpm.x=0),"",_xlpm.x))</f>
        <v>Étude</v>
      </c>
      <c r="O2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8" spans="1:15" ht="15" thickTop="1" thickBot="1" x14ac:dyDescent="0.5">
      <c r="A28" s="272">
        <v>9</v>
      </c>
      <c r="B28" s="273" t="str">
        <f>IF(A28="","",IFERROR(_xlfn.XLOOKUP(A28,Suivi_TMA!A:A,Suivi_TMA!B:B),""))</f>
        <v>A12</v>
      </c>
      <c r="C28" s="273" t="str">
        <f>IF(A28="","",IFERROR(_xlfn.XLOOKUP(A28,Suivi_TMA!A:A,Suivi_TMA!E:E),""))</f>
        <v>WC</v>
      </c>
      <c r="D28" s="274" t="s">
        <v>248</v>
      </c>
      <c r="E28" s="176" t="str">
        <f t="shared" si="1"/>
        <v>Reçu</v>
      </c>
      <c r="F28" s="274" t="s">
        <v>50</v>
      </c>
      <c r="G28" s="273" t="str">
        <f>IF(F28="","",IFERROR(VLOOKUP(F28,LOTS_ENTREPRISES!A:B,2,FALSE),""))</f>
        <v>SANICLIM</v>
      </c>
      <c r="H28" s="262">
        <f>IF(A28="","",IFERROR(IF(_xlfn.XLOOKUP(A28,Suivi_TMA!A:A,Suivi_TMA!I:I)="","",_xlfn.XLOOKUP(A28,Suivi_TMA!A:A,Suivi_TMA!I:I)),""))</f>
        <v>45745</v>
      </c>
      <c r="I28" s="275">
        <f t="shared" si="2"/>
        <v>45755</v>
      </c>
      <c r="J28" s="263" t="str">
        <f t="shared" si="3"/>
        <v>Oui</v>
      </c>
      <c r="K28" s="279">
        <v>45746</v>
      </c>
      <c r="L28" s="277">
        <v>648.78</v>
      </c>
      <c r="M28" s="273" t="str">
        <f t="shared" ca="1" si="0"/>
        <v/>
      </c>
      <c r="N28" s="266" t="str">
        <f>_xlfn.LET(_xlpm.x,_xlfn.XLOOKUP(A28,Suivi_TMA!A:A,Suivi_TMA!S:S,""),IF(OR(_xlpm.x="",_xlpm.x=0),"",_xlpm.x))</f>
        <v>Étude</v>
      </c>
      <c r="O2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9" spans="1:15" ht="29.25" thickTop="1" thickBot="1" x14ac:dyDescent="0.5">
      <c r="A29" s="267">
        <v>9</v>
      </c>
      <c r="B29" s="263" t="str">
        <f>IF(A29="","",IFERROR(_xlfn.XLOOKUP(A29,Suivi_TMA!A:A,Suivi_TMA!B:B),""))</f>
        <v>A12</v>
      </c>
      <c r="C29" s="263" t="str">
        <f>IF(A29="","",IFERROR(_xlfn.XLOOKUP(A29,Suivi_TMA!A:A,Suivi_TMA!E:E),""))</f>
        <v>WC</v>
      </c>
      <c r="D29" s="268" t="s">
        <v>249</v>
      </c>
      <c r="E29" s="176" t="str">
        <f t="shared" si="1"/>
        <v>A chiffrer</v>
      </c>
      <c r="F29" s="268" t="s">
        <v>46</v>
      </c>
      <c r="G29" s="263" t="str">
        <f>IF(F29="","",IFERROR(VLOOKUP(F29,LOTS_ENTREPRISES!A:B,2,FALSE),""))</f>
        <v>PVN</v>
      </c>
      <c r="H29" s="262">
        <f>IF(A29="","",IFERROR(IF(_xlfn.XLOOKUP(A29,Suivi_TMA!A:A,Suivi_TMA!I:I)="","",_xlfn.XLOOKUP(A29,Suivi_TMA!A:A,Suivi_TMA!I:I)),""))</f>
        <v>45745</v>
      </c>
      <c r="I29" s="269">
        <f t="shared" si="2"/>
        <v>45755</v>
      </c>
      <c r="J29" s="263" t="str">
        <f t="shared" si="3"/>
        <v>Non</v>
      </c>
      <c r="K29" s="278"/>
      <c r="L29" s="271"/>
      <c r="M29" s="263" t="str">
        <f t="shared" ca="1" si="0"/>
        <v>EN RETARD</v>
      </c>
      <c r="N29" s="266" t="str">
        <f>_xlfn.LET(_xlpm.x,_xlfn.XLOOKUP(A29,Suivi_TMA!A:A,Suivi_TMA!S:S,""),IF(OR(_xlpm.x="",_xlpm.x=0),"",_xlpm.x))</f>
        <v>Étude</v>
      </c>
      <c r="O2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30" spans="1:15" ht="37.5" customHeight="1" thickTop="1" thickBot="1" x14ac:dyDescent="0.5">
      <c r="A30" s="272">
        <v>10</v>
      </c>
      <c r="B30" s="273" t="str">
        <f>IF(A30="","",IFERROR(_xlfn.XLOOKUP(A30,Suivi_TMA!A:A,Suivi_TMA!B:B),""))</f>
        <v>A12</v>
      </c>
      <c r="C30" s="273" t="str">
        <f>IF(A30="","",IFERROR(_xlfn.XLOOKUP(A30,Suivi_TMA!A:A,Suivi_TMA!E:E),""))</f>
        <v>SDE</v>
      </c>
      <c r="D30" s="274" t="s">
        <v>267</v>
      </c>
      <c r="E30" s="176" t="str">
        <f t="shared" si="1"/>
        <v>Reçu</v>
      </c>
      <c r="F30" s="274" t="s">
        <v>50</v>
      </c>
      <c r="G30" s="273" t="str">
        <f>IF(F30="","",IFERROR(VLOOKUP(F30,LOTS_ENTREPRISES!A:B,2,FALSE),""))</f>
        <v>SANICLIM</v>
      </c>
      <c r="H30" s="262">
        <f>IF(A30="","",IFERROR(IF(_xlfn.XLOOKUP(A30,Suivi_TMA!A:A,Suivi_TMA!I:I)="","",_xlfn.XLOOKUP(A30,Suivi_TMA!A:A,Suivi_TMA!I:I)),""))</f>
        <v>45745</v>
      </c>
      <c r="I30" s="275">
        <f t="shared" si="2"/>
        <v>45755</v>
      </c>
      <c r="J30" s="263" t="str">
        <f t="shared" si="3"/>
        <v>Oui</v>
      </c>
      <c r="K30" s="279">
        <v>45746</v>
      </c>
      <c r="L30" s="277">
        <v>658.47</v>
      </c>
      <c r="M30" s="273" t="str">
        <f t="shared" ca="1" si="0"/>
        <v/>
      </c>
      <c r="N30" s="266" t="str">
        <f>_xlfn.LET(_xlpm.x,_xlfn.XLOOKUP(A30,Suivi_TMA!A:A,Suivi_TMA!S:S,""),IF(OR(_xlpm.x="",_xlpm.x=0),"",_xlpm.x))</f>
        <v>Chiffré</v>
      </c>
      <c r="O3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31" spans="1:15" ht="15" thickTop="1" thickBot="1" x14ac:dyDescent="0.5">
      <c r="A31" s="267">
        <v>11</v>
      </c>
      <c r="B31" s="263" t="str">
        <f>IF(A31="","",IFERROR(_xlfn.XLOOKUP(A31,Suivi_TMA!A:A,Suivi_TMA!B:B),""))</f>
        <v>A05</v>
      </c>
      <c r="C31" s="263" t="str">
        <f>IF(A31="","",IFERROR(_xlfn.XLOOKUP(A31,Suivi_TMA!A:A,Suivi_TMA!E:E),""))</f>
        <v>Général</v>
      </c>
      <c r="D31" s="268" t="s">
        <v>270</v>
      </c>
      <c r="E31" s="176" t="str">
        <f t="shared" si="1"/>
        <v>Reçu</v>
      </c>
      <c r="F31" s="268" t="s">
        <v>36</v>
      </c>
      <c r="G31" s="263" t="str">
        <f>IF(F31="","",IFERROR(VLOOKUP(F31,LOTS_ENTREPRISES!A:B,2,FALSE),""))</f>
        <v>APC</v>
      </c>
      <c r="H31" s="262">
        <f>IF(A31="","",IFERROR(IF(_xlfn.XLOOKUP(A31,Suivi_TMA!A:A,Suivi_TMA!I:I)="","",_xlfn.XLOOKUP(A31,Suivi_TMA!A:A,Suivi_TMA!I:I)),""))</f>
        <v>45956</v>
      </c>
      <c r="I31" s="269">
        <f t="shared" si="2"/>
        <v>45966</v>
      </c>
      <c r="J31" s="263" t="str">
        <f t="shared" si="3"/>
        <v>Oui</v>
      </c>
      <c r="K31" s="270">
        <v>45959</v>
      </c>
      <c r="L31" s="271">
        <v>-1378</v>
      </c>
      <c r="M31" s="263" t="str">
        <f t="shared" ca="1" si="0"/>
        <v/>
      </c>
      <c r="N31" s="266" t="str">
        <f>_xlfn.LET(_xlpm.x,_xlfn.XLOOKUP(A31,Suivi_TMA!A:A,Suivi_TMA!S:S,""),IF(OR(_xlpm.x="",_xlpm.x=0),"",_xlpm.x))</f>
        <v>Chiffré</v>
      </c>
      <c r="O3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32" spans="1:15" ht="15" thickTop="1" thickBot="1" x14ac:dyDescent="0.5">
      <c r="A32" s="272">
        <v>11</v>
      </c>
      <c r="B32" s="273" t="str">
        <f>IF(A32="","",IFERROR(_xlfn.XLOOKUP(A32,Suivi_TMA!A:A,Suivi_TMA!B:B),""))</f>
        <v>A05</v>
      </c>
      <c r="C32" s="273" t="str">
        <f>IF(A32="","",IFERROR(_xlfn.XLOOKUP(A32,Suivi_TMA!A:A,Suivi_TMA!E:E),""))</f>
        <v>Général</v>
      </c>
      <c r="D32" s="274" t="s">
        <v>271</v>
      </c>
      <c r="E32" s="176" t="str">
        <f t="shared" si="1"/>
        <v>Reçu</v>
      </c>
      <c r="F32" s="274" t="s">
        <v>37</v>
      </c>
      <c r="G32" s="273" t="str">
        <f>IF(F32="","",IFERROR(VLOOKUP(F32,LOTS_ENTREPRISES!A:B,2,FALSE),""))</f>
        <v>APC</v>
      </c>
      <c r="H32" s="262">
        <f>IF(A32="","",IFERROR(IF(_xlfn.XLOOKUP(A32,Suivi_TMA!A:A,Suivi_TMA!I:I)="","",_xlfn.XLOOKUP(A32,Suivi_TMA!A:A,Suivi_TMA!I:I)),""))</f>
        <v>45956</v>
      </c>
      <c r="I32" s="275">
        <f t="shared" si="2"/>
        <v>45966</v>
      </c>
      <c r="J32" s="263" t="str">
        <f t="shared" si="3"/>
        <v>Oui</v>
      </c>
      <c r="K32" s="279">
        <v>45959</v>
      </c>
      <c r="L32" s="277">
        <v>1128.3800000000001</v>
      </c>
      <c r="M32" s="273" t="str">
        <f t="shared" ca="1" si="0"/>
        <v/>
      </c>
      <c r="N32" s="266" t="str">
        <f>_xlfn.LET(_xlpm.x,_xlfn.XLOOKUP(A32,Suivi_TMA!A:A,Suivi_TMA!S:S,""),IF(OR(_xlpm.x="",_xlpm.x=0),"",_xlpm.x))</f>
        <v>Chiffré</v>
      </c>
      <c r="O3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33" spans="1:15" ht="15" thickTop="1" thickBot="1" x14ac:dyDescent="0.5">
      <c r="A33" s="267">
        <v>12</v>
      </c>
      <c r="B33" s="263" t="str">
        <f>IF(A33="","",IFERROR(_xlfn.XLOOKUP(A33,Suivi_TMA!A:A,Suivi_TMA!B:B),""))</f>
        <v>A02</v>
      </c>
      <c r="C33" s="263" t="str">
        <f>IF(A33="","",IFERROR(_xlfn.XLOOKUP(A33,Suivi_TMA!A:A,Suivi_TMA!E:E),""))</f>
        <v>Général</v>
      </c>
      <c r="D33" s="274" t="s">
        <v>219</v>
      </c>
      <c r="E33" s="176" t="str">
        <f t="shared" si="1"/>
        <v>Validé</v>
      </c>
      <c r="F33" s="268" t="s">
        <v>38</v>
      </c>
      <c r="G33" s="263" t="str">
        <f>IF(F33="","",IFERROR(VLOOKUP(F33,LOTS_ENTREPRISES!A:B,2,FALSE),""))</f>
        <v>MORLAES</v>
      </c>
      <c r="H33" s="262">
        <f>IF(A33="","",IFERROR(IF(_xlfn.XLOOKUP(A33,Suivi_TMA!A:A,Suivi_TMA!I:I)="","",_xlfn.XLOOKUP(A33,Suivi_TMA!A:A,Suivi_TMA!I:I)),""))</f>
        <v>45957</v>
      </c>
      <c r="I33" s="269">
        <f t="shared" si="2"/>
        <v>45967</v>
      </c>
      <c r="J33" s="263" t="str">
        <f t="shared" si="3"/>
        <v>Oui</v>
      </c>
      <c r="K33" s="270">
        <v>45959</v>
      </c>
      <c r="L33" s="271">
        <v>-684</v>
      </c>
      <c r="M33" s="263" t="str">
        <f t="shared" ca="1" si="0"/>
        <v/>
      </c>
      <c r="N33" s="266" t="str">
        <f>_xlfn.LET(_xlpm.x,_xlfn.XLOOKUP(A33,Suivi_TMA!A:A,Suivi_TMA!S:S,""),IF(OR(_xlpm.x="",_xlpm.x=0),"",_xlpm.x))</f>
        <v>Validé</v>
      </c>
      <c r="O33" s="236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>-684</v>
      </c>
    </row>
    <row r="34" spans="1:15" ht="15" thickTop="1" thickBot="1" x14ac:dyDescent="0.5">
      <c r="A34" s="272">
        <v>12</v>
      </c>
      <c r="B34" s="273" t="str">
        <f>IF(A34="","",IFERROR(_xlfn.XLOOKUP(A34,Suivi_TMA!A:A,Suivi_TMA!B:B),""))</f>
        <v>A02</v>
      </c>
      <c r="C34" s="273" t="str">
        <f>IF(A34="","",IFERROR(_xlfn.XLOOKUP(A34,Suivi_TMA!A:A,Suivi_TMA!E:E),""))</f>
        <v>Général</v>
      </c>
      <c r="D34" s="268" t="s">
        <v>220</v>
      </c>
      <c r="E34" s="176" t="str">
        <f t="shared" si="1"/>
        <v>Validé</v>
      </c>
      <c r="F34" s="274" t="s">
        <v>38</v>
      </c>
      <c r="G34" s="273" t="str">
        <f>IF(F34="","",IFERROR(VLOOKUP(F34,LOTS_ENTREPRISES!A:B,2,FALSE),""))</f>
        <v>MORLAES</v>
      </c>
      <c r="H34" s="262">
        <f>IF(A34="","",IFERROR(IF(_xlfn.XLOOKUP(A34,Suivi_TMA!A:A,Suivi_TMA!I:I)="","",_xlfn.XLOOKUP(A34,Suivi_TMA!A:A,Suivi_TMA!I:I)),""))</f>
        <v>45957</v>
      </c>
      <c r="I34" s="275">
        <f t="shared" si="2"/>
        <v>45967</v>
      </c>
      <c r="J34" s="263" t="str">
        <f t="shared" si="3"/>
        <v>Oui</v>
      </c>
      <c r="K34" s="279">
        <v>45959</v>
      </c>
      <c r="L34" s="277">
        <v>1128</v>
      </c>
      <c r="M34" s="273" t="str">
        <f t="shared" ca="1" si="0"/>
        <v/>
      </c>
      <c r="N34" s="266" t="str">
        <f>_xlfn.LET(_xlpm.x,_xlfn.XLOOKUP(A34,Suivi_TMA!A:A,Suivi_TMA!S:S,""),IF(OR(_xlpm.x="",_xlpm.x=0),"",_xlpm.x))</f>
        <v>Validé</v>
      </c>
      <c r="O34" s="236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>1128</v>
      </c>
    </row>
    <row r="35" spans="1:15" ht="15" thickTop="1" thickBot="1" x14ac:dyDescent="0.5">
      <c r="A35" s="267"/>
      <c r="B35" s="263" t="str">
        <f>IF(A35="","",IFERROR(_xlfn.XLOOKUP(A35,Suivi_TMA!A:A,Suivi_TMA!B:B),""))</f>
        <v/>
      </c>
      <c r="C35" s="263" t="str">
        <f>IF(A35="","",IFERROR(_xlfn.XLOOKUP(A35,Suivi_TMA!A:A,Suivi_TMA!E:E),""))</f>
        <v/>
      </c>
      <c r="D35" s="268"/>
      <c r="E35" s="176" t="str">
        <f t="shared" si="1"/>
        <v/>
      </c>
      <c r="F35" s="268"/>
      <c r="G35" s="263" t="str">
        <f>IF(F35="","",IFERROR(VLOOKUP(F35,LOTS_ENTREPRISES!A:B,2,FALSE),""))</f>
        <v/>
      </c>
      <c r="H35" s="262" t="str">
        <f>IF(A35="","",IFERROR(IF(_xlfn.XLOOKUP(A35,Suivi_TMA!A:A,Suivi_TMA!I:I)="","",_xlfn.XLOOKUP(A35,Suivi_TMA!A:A,Suivi_TMA!I:I)),""))</f>
        <v/>
      </c>
      <c r="I35" s="269" t="str">
        <f t="shared" si="2"/>
        <v/>
      </c>
      <c r="J35" s="263" t="str">
        <f t="shared" si="3"/>
        <v/>
      </c>
      <c r="K35" s="270"/>
      <c r="L35" s="271"/>
      <c r="M35" s="263" t="str">
        <f t="shared" ca="1" si="0"/>
        <v/>
      </c>
      <c r="N35" s="266" t="str">
        <f>_xlfn.LET(_xlpm.x,_xlfn.XLOOKUP(A35,Suivi_TMA!A:A,Suivi_TMA!S:S,""),IF(OR(_xlpm.x="",_xlpm.x=0),"",_xlpm.x))</f>
        <v/>
      </c>
      <c r="O3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36" spans="1:15" ht="15" thickTop="1" thickBot="1" x14ac:dyDescent="0.5">
      <c r="A36" s="272"/>
      <c r="B36" s="273" t="str">
        <f>IF(A36="","",IFERROR(_xlfn.XLOOKUP(A36,Suivi_TMA!A:A,Suivi_TMA!B:B),""))</f>
        <v/>
      </c>
      <c r="C36" s="273" t="str">
        <f>IF(A36="","",IFERROR(_xlfn.XLOOKUP(A36,Suivi_TMA!A:A,Suivi_TMA!E:E),""))</f>
        <v/>
      </c>
      <c r="D36" s="274"/>
      <c r="E36" s="176" t="str">
        <f t="shared" si="1"/>
        <v/>
      </c>
      <c r="F36" s="274"/>
      <c r="G36" s="273" t="str">
        <f>IF(F36="","",IFERROR(VLOOKUP(F36,LOTS_ENTREPRISES!A:B,2,FALSE),""))</f>
        <v/>
      </c>
      <c r="H36" s="262" t="str">
        <f>IF(A36="","",IFERROR(IF(_xlfn.XLOOKUP(A36,Suivi_TMA!A:A,Suivi_TMA!I:I)="","",_xlfn.XLOOKUP(A36,Suivi_TMA!A:A,Suivi_TMA!I:I)),""))</f>
        <v/>
      </c>
      <c r="I36" s="275" t="str">
        <f t="shared" si="2"/>
        <v/>
      </c>
      <c r="J36" s="263" t="str">
        <f t="shared" si="3"/>
        <v/>
      </c>
      <c r="K36" s="276"/>
      <c r="L36" s="277"/>
      <c r="M36" s="273" t="str">
        <f t="shared" ca="1" si="0"/>
        <v/>
      </c>
      <c r="N36" s="266" t="str">
        <f>_xlfn.LET(_xlpm.x,_xlfn.XLOOKUP(A36,Suivi_TMA!A:A,Suivi_TMA!S:S,""),IF(OR(_xlpm.x="",_xlpm.x=0),"",_xlpm.x))</f>
        <v/>
      </c>
      <c r="O3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37" spans="1:15" ht="15" thickTop="1" thickBot="1" x14ac:dyDescent="0.5">
      <c r="A37" s="267"/>
      <c r="B37" s="263" t="str">
        <f>IF(A37="","",IFERROR(_xlfn.XLOOKUP(A37,Suivi_TMA!A:A,Suivi_TMA!B:B),""))</f>
        <v/>
      </c>
      <c r="C37" s="263" t="str">
        <f>IF(A37="","",IFERROR(_xlfn.XLOOKUP(A37,Suivi_TMA!A:A,Suivi_TMA!E:E),""))</f>
        <v/>
      </c>
      <c r="D37" s="268"/>
      <c r="E37" s="176" t="str">
        <f t="shared" si="1"/>
        <v/>
      </c>
      <c r="F37" s="268"/>
      <c r="G37" s="263" t="str">
        <f>IF(F37="","",IFERROR(VLOOKUP(F37,LOTS_ENTREPRISES!A:B,2,FALSE),""))</f>
        <v/>
      </c>
      <c r="H37" s="262" t="str">
        <f>IF(A37="","",IFERROR(IF(_xlfn.XLOOKUP(A37,Suivi_TMA!A:A,Suivi_TMA!I:I)="","",_xlfn.XLOOKUP(A37,Suivi_TMA!A:A,Suivi_TMA!I:I)),""))</f>
        <v/>
      </c>
      <c r="I37" s="269" t="str">
        <f t="shared" si="2"/>
        <v/>
      </c>
      <c r="J37" s="263" t="str">
        <f t="shared" si="3"/>
        <v/>
      </c>
      <c r="K37" s="278"/>
      <c r="L37" s="271"/>
      <c r="M37" s="263" t="str">
        <f t="shared" ca="1" si="0"/>
        <v/>
      </c>
      <c r="N37" s="266" t="str">
        <f>_xlfn.LET(_xlpm.x,_xlfn.XLOOKUP(A37,Suivi_TMA!A:A,Suivi_TMA!S:S,""),IF(OR(_xlpm.x="",_xlpm.x=0),"",_xlpm.x))</f>
        <v/>
      </c>
      <c r="O3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38" spans="1:15" ht="15" thickTop="1" thickBot="1" x14ac:dyDescent="0.5">
      <c r="A38" s="272"/>
      <c r="B38" s="273" t="str">
        <f>IF(A38="","",IFERROR(_xlfn.XLOOKUP(A38,Suivi_TMA!A:A,Suivi_TMA!B:B),""))</f>
        <v/>
      </c>
      <c r="C38" s="273" t="str">
        <f>IF(A38="","",IFERROR(_xlfn.XLOOKUP(A38,Suivi_TMA!A:A,Suivi_TMA!E:E),""))</f>
        <v/>
      </c>
      <c r="D38" s="274"/>
      <c r="E38" s="176" t="str">
        <f t="shared" si="1"/>
        <v/>
      </c>
      <c r="F38" s="274"/>
      <c r="G38" s="273" t="str">
        <f>IF(F38="","",IFERROR(VLOOKUP(F38,LOTS_ENTREPRISES!A:B,2,FALSE),""))</f>
        <v/>
      </c>
      <c r="H38" s="262" t="str">
        <f>IF(A38="","",IFERROR(IF(_xlfn.XLOOKUP(A38,Suivi_TMA!A:A,Suivi_TMA!I:I)="","",_xlfn.XLOOKUP(A38,Suivi_TMA!A:A,Suivi_TMA!I:I)),""))</f>
        <v/>
      </c>
      <c r="I38" s="275" t="str">
        <f t="shared" si="2"/>
        <v/>
      </c>
      <c r="J38" s="263" t="str">
        <f t="shared" si="3"/>
        <v/>
      </c>
      <c r="K38" s="276"/>
      <c r="L38" s="277"/>
      <c r="M38" s="273" t="str">
        <f t="shared" ca="1" si="0"/>
        <v/>
      </c>
      <c r="N38" s="266" t="str">
        <f>_xlfn.LET(_xlpm.x,_xlfn.XLOOKUP(A38,Suivi_TMA!A:A,Suivi_TMA!S:S,""),IF(OR(_xlpm.x="",_xlpm.x=0),"",_xlpm.x))</f>
        <v/>
      </c>
      <c r="O3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39" spans="1:15" ht="15" thickTop="1" thickBot="1" x14ac:dyDescent="0.5">
      <c r="A39" s="267"/>
      <c r="B39" s="263" t="str">
        <f>IF(A39="","",IFERROR(_xlfn.XLOOKUP(A39,Suivi_TMA!A:A,Suivi_TMA!B:B),""))</f>
        <v/>
      </c>
      <c r="C39" s="263" t="str">
        <f>IF(A39="","",IFERROR(_xlfn.XLOOKUP(A39,Suivi_TMA!A:A,Suivi_TMA!E:E),""))</f>
        <v/>
      </c>
      <c r="D39" s="268"/>
      <c r="E39" s="176" t="str">
        <f t="shared" si="1"/>
        <v/>
      </c>
      <c r="F39" s="268"/>
      <c r="G39" s="263" t="str">
        <f>IF(F39="","",IFERROR(VLOOKUP(F39,LOTS_ENTREPRISES!A:B,2,FALSE),""))</f>
        <v/>
      </c>
      <c r="H39" s="262" t="str">
        <f>IF(A39="","",IFERROR(IF(_xlfn.XLOOKUP(A39,Suivi_TMA!A:A,Suivi_TMA!I:I)="","",_xlfn.XLOOKUP(A39,Suivi_TMA!A:A,Suivi_TMA!I:I)),""))</f>
        <v/>
      </c>
      <c r="I39" s="269" t="str">
        <f t="shared" si="2"/>
        <v/>
      </c>
      <c r="J39" s="263" t="str">
        <f t="shared" si="3"/>
        <v/>
      </c>
      <c r="K39" s="278"/>
      <c r="L39" s="271"/>
      <c r="M39" s="263" t="str">
        <f t="shared" ca="1" si="0"/>
        <v/>
      </c>
      <c r="N39" s="266" t="str">
        <f>_xlfn.LET(_xlpm.x,_xlfn.XLOOKUP(A39,Suivi_TMA!A:A,Suivi_TMA!S:S,""),IF(OR(_xlpm.x="",_xlpm.x=0),"",_xlpm.x))</f>
        <v/>
      </c>
      <c r="O3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0" spans="1:15" ht="15" thickTop="1" thickBot="1" x14ac:dyDescent="0.5">
      <c r="A40" s="272"/>
      <c r="B40" s="273" t="str">
        <f>IF(A40="","",IFERROR(_xlfn.XLOOKUP(A40,Suivi_TMA!A:A,Suivi_TMA!B:B),""))</f>
        <v/>
      </c>
      <c r="C40" s="273" t="str">
        <f>IF(A40="","",IFERROR(_xlfn.XLOOKUP(A40,Suivi_TMA!A:A,Suivi_TMA!E:E),""))</f>
        <v/>
      </c>
      <c r="D40" s="274"/>
      <c r="E40" s="176" t="str">
        <f t="shared" si="1"/>
        <v/>
      </c>
      <c r="F40" s="274"/>
      <c r="G40" s="273" t="str">
        <f>IF(F40="","",IFERROR(VLOOKUP(F40,LOTS_ENTREPRISES!A:B,2,FALSE),""))</f>
        <v/>
      </c>
      <c r="H40" s="262" t="str">
        <f>IF(A40="","",IFERROR(IF(_xlfn.XLOOKUP(A40,Suivi_TMA!A:A,Suivi_TMA!I:I)="","",_xlfn.XLOOKUP(A40,Suivi_TMA!A:A,Suivi_TMA!I:I)),""))</f>
        <v/>
      </c>
      <c r="I40" s="275" t="str">
        <f t="shared" si="2"/>
        <v/>
      </c>
      <c r="J40" s="263" t="str">
        <f t="shared" si="3"/>
        <v/>
      </c>
      <c r="K40" s="276"/>
      <c r="L40" s="277"/>
      <c r="M40" s="273" t="str">
        <f t="shared" ca="1" si="0"/>
        <v/>
      </c>
      <c r="N40" s="266" t="str">
        <f>_xlfn.LET(_xlpm.x,_xlfn.XLOOKUP(A40,Suivi_TMA!A:A,Suivi_TMA!S:S,""),IF(OR(_xlpm.x="",_xlpm.x=0),"",_xlpm.x))</f>
        <v/>
      </c>
      <c r="O4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1" spans="1:15" ht="15" thickTop="1" thickBot="1" x14ac:dyDescent="0.5">
      <c r="A41" s="267"/>
      <c r="B41" s="263" t="str">
        <f>IF(A41="","",IFERROR(_xlfn.XLOOKUP(A41,Suivi_TMA!A:A,Suivi_TMA!B:B),""))</f>
        <v/>
      </c>
      <c r="C41" s="263" t="str">
        <f>IF(A41="","",IFERROR(_xlfn.XLOOKUP(A41,Suivi_TMA!A:A,Suivi_TMA!E:E),""))</f>
        <v/>
      </c>
      <c r="D41" s="268"/>
      <c r="E41" s="176" t="str">
        <f t="shared" si="1"/>
        <v/>
      </c>
      <c r="F41" s="268"/>
      <c r="G41" s="263" t="str">
        <f>IF(F41="","",IFERROR(VLOOKUP(F41,LOTS_ENTREPRISES!A:B,2,FALSE),""))</f>
        <v/>
      </c>
      <c r="H41" s="262" t="str">
        <f>IF(A41="","",IFERROR(IF(_xlfn.XLOOKUP(A41,Suivi_TMA!A:A,Suivi_TMA!I:I)="","",_xlfn.XLOOKUP(A41,Suivi_TMA!A:A,Suivi_TMA!I:I)),""))</f>
        <v/>
      </c>
      <c r="I41" s="269" t="str">
        <f t="shared" si="2"/>
        <v/>
      </c>
      <c r="J41" s="263" t="str">
        <f t="shared" si="3"/>
        <v/>
      </c>
      <c r="K41" s="278"/>
      <c r="L41" s="271"/>
      <c r="M41" s="263" t="str">
        <f t="shared" ca="1" si="0"/>
        <v/>
      </c>
      <c r="N41" s="266" t="str">
        <f>_xlfn.LET(_xlpm.x,_xlfn.XLOOKUP(A41,Suivi_TMA!A:A,Suivi_TMA!S:S,""),IF(OR(_xlpm.x="",_xlpm.x=0),"",_xlpm.x))</f>
        <v/>
      </c>
      <c r="O4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2" spans="1:15" ht="15" thickTop="1" thickBot="1" x14ac:dyDescent="0.5">
      <c r="A42" s="272"/>
      <c r="B42" s="273" t="str">
        <f>IF(A42="","",IFERROR(_xlfn.XLOOKUP(A42,Suivi_TMA!A:A,Suivi_TMA!B:B),""))</f>
        <v/>
      </c>
      <c r="C42" s="273" t="str">
        <f>IF(A42="","",IFERROR(_xlfn.XLOOKUP(A42,Suivi_TMA!A:A,Suivi_TMA!E:E),""))</f>
        <v/>
      </c>
      <c r="D42" s="274"/>
      <c r="E42" s="176" t="str">
        <f t="shared" si="1"/>
        <v/>
      </c>
      <c r="F42" s="274"/>
      <c r="G42" s="273" t="str">
        <f>IF(F42="","",IFERROR(VLOOKUP(F42,LOTS_ENTREPRISES!A:B,2,FALSE),""))</f>
        <v/>
      </c>
      <c r="H42" s="262" t="str">
        <f>IF(A42="","",IFERROR(IF(_xlfn.XLOOKUP(A42,Suivi_TMA!A:A,Suivi_TMA!I:I)="","",_xlfn.XLOOKUP(A42,Suivi_TMA!A:A,Suivi_TMA!I:I)),""))</f>
        <v/>
      </c>
      <c r="I42" s="275" t="str">
        <f t="shared" si="2"/>
        <v/>
      </c>
      <c r="J42" s="263" t="str">
        <f t="shared" si="3"/>
        <v/>
      </c>
      <c r="K42" s="276"/>
      <c r="L42" s="277"/>
      <c r="M42" s="273" t="str">
        <f t="shared" ca="1" si="0"/>
        <v/>
      </c>
      <c r="N42" s="266" t="str">
        <f>_xlfn.LET(_xlpm.x,_xlfn.XLOOKUP(A42,Suivi_TMA!A:A,Suivi_TMA!S:S,""),IF(OR(_xlpm.x="",_xlpm.x=0),"",_xlpm.x))</f>
        <v/>
      </c>
      <c r="O4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3" spans="1:15" ht="15" thickTop="1" thickBot="1" x14ac:dyDescent="0.5">
      <c r="A43" s="267"/>
      <c r="B43" s="263" t="str">
        <f>IF(A43="","",IFERROR(_xlfn.XLOOKUP(A43,Suivi_TMA!A:A,Suivi_TMA!B:B),""))</f>
        <v/>
      </c>
      <c r="C43" s="263" t="str">
        <f>IF(A43="","",IFERROR(_xlfn.XLOOKUP(A43,Suivi_TMA!A:A,Suivi_TMA!E:E),""))</f>
        <v/>
      </c>
      <c r="D43" s="268"/>
      <c r="E43" s="176" t="str">
        <f t="shared" si="1"/>
        <v/>
      </c>
      <c r="F43" s="268"/>
      <c r="G43" s="263" t="str">
        <f>IF(F43="","",IFERROR(VLOOKUP(F43,LOTS_ENTREPRISES!A:B,2,FALSE),""))</f>
        <v/>
      </c>
      <c r="H43" s="262" t="str">
        <f>IF(A43="","",IFERROR(IF(_xlfn.XLOOKUP(A43,Suivi_TMA!A:A,Suivi_TMA!I:I)="","",_xlfn.XLOOKUP(A43,Suivi_TMA!A:A,Suivi_TMA!I:I)),""))</f>
        <v/>
      </c>
      <c r="I43" s="269" t="str">
        <f t="shared" si="2"/>
        <v/>
      </c>
      <c r="J43" s="263" t="str">
        <f t="shared" si="3"/>
        <v/>
      </c>
      <c r="K43" s="278"/>
      <c r="L43" s="271"/>
      <c r="M43" s="263" t="str">
        <f t="shared" ca="1" si="0"/>
        <v/>
      </c>
      <c r="N43" s="266" t="str">
        <f>_xlfn.LET(_xlpm.x,_xlfn.XLOOKUP(A43,Suivi_TMA!A:A,Suivi_TMA!S:S,""),IF(OR(_xlpm.x="",_xlpm.x=0),"",_xlpm.x))</f>
        <v/>
      </c>
      <c r="O4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4" spans="1:15" ht="15" thickTop="1" thickBot="1" x14ac:dyDescent="0.5">
      <c r="A44" s="272"/>
      <c r="B44" s="273" t="str">
        <f>IF(A44="","",IFERROR(_xlfn.XLOOKUP(A44,Suivi_TMA!A:A,Suivi_TMA!B:B),""))</f>
        <v/>
      </c>
      <c r="C44" s="273" t="str">
        <f>IF(A44="","",IFERROR(_xlfn.XLOOKUP(A44,Suivi_TMA!A:A,Suivi_TMA!E:E),""))</f>
        <v/>
      </c>
      <c r="D44" s="274"/>
      <c r="E44" s="176" t="str">
        <f t="shared" si="1"/>
        <v/>
      </c>
      <c r="F44" s="274"/>
      <c r="G44" s="273" t="str">
        <f>IF(F44="","",IFERROR(VLOOKUP(F44,LOTS_ENTREPRISES!A:B,2,FALSE),""))</f>
        <v/>
      </c>
      <c r="H44" s="262" t="str">
        <f>IF(A44="","",IFERROR(IF(_xlfn.XLOOKUP(A44,Suivi_TMA!A:A,Suivi_TMA!I:I)="","",_xlfn.XLOOKUP(A44,Suivi_TMA!A:A,Suivi_TMA!I:I)),""))</f>
        <v/>
      </c>
      <c r="I44" s="275" t="str">
        <f t="shared" si="2"/>
        <v/>
      </c>
      <c r="J44" s="263" t="str">
        <f t="shared" si="3"/>
        <v/>
      </c>
      <c r="K44" s="276"/>
      <c r="L44" s="277"/>
      <c r="M44" s="273" t="str">
        <f t="shared" ca="1" si="0"/>
        <v/>
      </c>
      <c r="N44" s="266" t="str">
        <f>_xlfn.LET(_xlpm.x,_xlfn.XLOOKUP(A44,Suivi_TMA!A:A,Suivi_TMA!S:S,""),IF(OR(_xlpm.x="",_xlpm.x=0),"",_xlpm.x))</f>
        <v/>
      </c>
      <c r="O4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5" spans="1:15" ht="15" thickTop="1" thickBot="1" x14ac:dyDescent="0.5">
      <c r="A45" s="267"/>
      <c r="B45" s="263" t="str">
        <f>IF(A45="","",IFERROR(_xlfn.XLOOKUP(A45,Suivi_TMA!A:A,Suivi_TMA!B:B),""))</f>
        <v/>
      </c>
      <c r="C45" s="263" t="str">
        <f>IF(A45="","",IFERROR(_xlfn.XLOOKUP(A45,Suivi_TMA!A:A,Suivi_TMA!E:E),""))</f>
        <v/>
      </c>
      <c r="D45" s="268"/>
      <c r="E45" s="176" t="str">
        <f t="shared" si="1"/>
        <v/>
      </c>
      <c r="F45" s="268"/>
      <c r="G45" s="263" t="str">
        <f>IF(F45="","",IFERROR(VLOOKUP(F45,LOTS_ENTREPRISES!A:B,2,FALSE),""))</f>
        <v/>
      </c>
      <c r="H45" s="262" t="str">
        <f>IF(A45="","",IFERROR(IF(_xlfn.XLOOKUP(A45,Suivi_TMA!A:A,Suivi_TMA!I:I)="","",_xlfn.XLOOKUP(A45,Suivi_TMA!A:A,Suivi_TMA!I:I)),""))</f>
        <v/>
      </c>
      <c r="I45" s="269" t="str">
        <f t="shared" si="2"/>
        <v/>
      </c>
      <c r="J45" s="263" t="str">
        <f t="shared" si="3"/>
        <v/>
      </c>
      <c r="K45" s="278"/>
      <c r="L45" s="271"/>
      <c r="M45" s="263" t="str">
        <f t="shared" ca="1" si="0"/>
        <v/>
      </c>
      <c r="N45" s="266" t="str">
        <f>_xlfn.LET(_xlpm.x,_xlfn.XLOOKUP(A45,Suivi_TMA!A:A,Suivi_TMA!S:S,""),IF(OR(_xlpm.x="",_xlpm.x=0),"",_xlpm.x))</f>
        <v/>
      </c>
      <c r="O4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6" spans="1:15" ht="15" thickTop="1" thickBot="1" x14ac:dyDescent="0.5">
      <c r="A46" s="272"/>
      <c r="B46" s="273" t="str">
        <f>IF(A46="","",IFERROR(_xlfn.XLOOKUP(A46,Suivi_TMA!A:A,Suivi_TMA!B:B),""))</f>
        <v/>
      </c>
      <c r="C46" s="273" t="str">
        <f>IF(A46="","",IFERROR(_xlfn.XLOOKUP(A46,Suivi_TMA!A:A,Suivi_TMA!E:E),""))</f>
        <v/>
      </c>
      <c r="D46" s="274"/>
      <c r="E46" s="176" t="str">
        <f t="shared" si="1"/>
        <v/>
      </c>
      <c r="F46" s="274"/>
      <c r="G46" s="273" t="str">
        <f>IF(F46="","",IFERROR(VLOOKUP(F46,LOTS_ENTREPRISES!A:B,2,FALSE),""))</f>
        <v/>
      </c>
      <c r="H46" s="262" t="str">
        <f>IF(A46="","",IFERROR(IF(_xlfn.XLOOKUP(A46,Suivi_TMA!A:A,Suivi_TMA!I:I)="","",_xlfn.XLOOKUP(A46,Suivi_TMA!A:A,Suivi_TMA!I:I)),""))</f>
        <v/>
      </c>
      <c r="I46" s="275" t="str">
        <f t="shared" si="2"/>
        <v/>
      </c>
      <c r="J46" s="263" t="str">
        <f t="shared" si="3"/>
        <v/>
      </c>
      <c r="K46" s="276"/>
      <c r="L46" s="277"/>
      <c r="M46" s="273" t="str">
        <f t="shared" ca="1" si="0"/>
        <v/>
      </c>
      <c r="N46" s="266" t="str">
        <f>_xlfn.LET(_xlpm.x,_xlfn.XLOOKUP(A46,Suivi_TMA!A:A,Suivi_TMA!S:S,""),IF(OR(_xlpm.x="",_xlpm.x=0),"",_xlpm.x))</f>
        <v/>
      </c>
      <c r="O4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7" spans="1:15" ht="15" thickTop="1" thickBot="1" x14ac:dyDescent="0.5">
      <c r="A47" s="267"/>
      <c r="B47" s="263" t="str">
        <f>IF(A47="","",IFERROR(_xlfn.XLOOKUP(A47,Suivi_TMA!A:A,Suivi_TMA!B:B),""))</f>
        <v/>
      </c>
      <c r="C47" s="263" t="str">
        <f>IF(A47="","",IFERROR(_xlfn.XLOOKUP(A47,Suivi_TMA!A:A,Suivi_TMA!E:E),""))</f>
        <v/>
      </c>
      <c r="D47" s="268"/>
      <c r="E47" s="176" t="str">
        <f t="shared" si="1"/>
        <v/>
      </c>
      <c r="F47" s="268"/>
      <c r="G47" s="263" t="str">
        <f>IF(F47="","",IFERROR(VLOOKUP(F47,LOTS_ENTREPRISES!A:B,2,FALSE),""))</f>
        <v/>
      </c>
      <c r="H47" s="262" t="str">
        <f>IF(A47="","",IFERROR(IF(_xlfn.XLOOKUP(A47,Suivi_TMA!A:A,Suivi_TMA!I:I)="","",_xlfn.XLOOKUP(A47,Suivi_TMA!A:A,Suivi_TMA!I:I)),""))</f>
        <v/>
      </c>
      <c r="I47" s="269" t="str">
        <f t="shared" si="2"/>
        <v/>
      </c>
      <c r="J47" s="263" t="str">
        <f t="shared" si="3"/>
        <v/>
      </c>
      <c r="K47" s="278"/>
      <c r="L47" s="271"/>
      <c r="M47" s="263" t="str">
        <f t="shared" ca="1" si="0"/>
        <v/>
      </c>
      <c r="N47" s="266" t="str">
        <f>_xlfn.LET(_xlpm.x,_xlfn.XLOOKUP(A47,Suivi_TMA!A:A,Suivi_TMA!S:S,""),IF(OR(_xlpm.x="",_xlpm.x=0),"",_xlpm.x))</f>
        <v/>
      </c>
      <c r="O4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8" spans="1:15" ht="15" thickTop="1" thickBot="1" x14ac:dyDescent="0.5">
      <c r="A48" s="272"/>
      <c r="B48" s="273" t="str">
        <f>IF(A48="","",IFERROR(_xlfn.XLOOKUP(A48,Suivi_TMA!A:A,Suivi_TMA!B:B),""))</f>
        <v/>
      </c>
      <c r="C48" s="273" t="str">
        <f>IF(A48="","",IFERROR(_xlfn.XLOOKUP(A48,Suivi_TMA!A:A,Suivi_TMA!E:E),""))</f>
        <v/>
      </c>
      <c r="D48" s="274"/>
      <c r="E48" s="176" t="str">
        <f t="shared" si="1"/>
        <v/>
      </c>
      <c r="F48" s="274"/>
      <c r="G48" s="273" t="str">
        <f>IF(F48="","",IFERROR(VLOOKUP(F48,LOTS_ENTREPRISES!A:B,2,FALSE),""))</f>
        <v/>
      </c>
      <c r="H48" s="262" t="str">
        <f>IF(A48="","",IFERROR(IF(_xlfn.XLOOKUP(A48,Suivi_TMA!A:A,Suivi_TMA!I:I)="","",_xlfn.XLOOKUP(A48,Suivi_TMA!A:A,Suivi_TMA!I:I)),""))</f>
        <v/>
      </c>
      <c r="I48" s="275" t="str">
        <f t="shared" si="2"/>
        <v/>
      </c>
      <c r="J48" s="263" t="str">
        <f t="shared" si="3"/>
        <v/>
      </c>
      <c r="K48" s="276"/>
      <c r="L48" s="277"/>
      <c r="M48" s="273" t="str">
        <f t="shared" ca="1" si="0"/>
        <v/>
      </c>
      <c r="N48" s="266" t="str">
        <f>_xlfn.LET(_xlpm.x,_xlfn.XLOOKUP(A48,Suivi_TMA!A:A,Suivi_TMA!S:S,""),IF(OR(_xlpm.x="",_xlpm.x=0),"",_xlpm.x))</f>
        <v/>
      </c>
      <c r="O4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49" spans="1:15" ht="15" thickTop="1" thickBot="1" x14ac:dyDescent="0.5">
      <c r="A49" s="267"/>
      <c r="B49" s="263" t="str">
        <f>IF(A49="","",IFERROR(_xlfn.XLOOKUP(A49,Suivi_TMA!A:A,Suivi_TMA!B:B),""))</f>
        <v/>
      </c>
      <c r="C49" s="263" t="str">
        <f>IF(A49="","",IFERROR(_xlfn.XLOOKUP(A49,Suivi_TMA!A:A,Suivi_TMA!E:E),""))</f>
        <v/>
      </c>
      <c r="D49" s="268"/>
      <c r="E49" s="176" t="str">
        <f t="shared" si="1"/>
        <v/>
      </c>
      <c r="F49" s="268"/>
      <c r="G49" s="263" t="str">
        <f>IF(F49="","",IFERROR(VLOOKUP(F49,LOTS_ENTREPRISES!A:B,2,FALSE),""))</f>
        <v/>
      </c>
      <c r="H49" s="262" t="str">
        <f>IF(A49="","",IFERROR(IF(_xlfn.XLOOKUP(A49,Suivi_TMA!A:A,Suivi_TMA!I:I)="","",_xlfn.XLOOKUP(A49,Suivi_TMA!A:A,Suivi_TMA!I:I)),""))</f>
        <v/>
      </c>
      <c r="I49" s="269" t="str">
        <f t="shared" si="2"/>
        <v/>
      </c>
      <c r="J49" s="263" t="str">
        <f t="shared" si="3"/>
        <v/>
      </c>
      <c r="K49" s="278"/>
      <c r="L49" s="271"/>
      <c r="M49" s="263" t="str">
        <f t="shared" ca="1" si="0"/>
        <v/>
      </c>
      <c r="N49" s="266" t="str">
        <f>_xlfn.LET(_xlpm.x,_xlfn.XLOOKUP(A49,Suivi_TMA!A:A,Suivi_TMA!S:S,""),IF(OR(_xlpm.x="",_xlpm.x=0),"",_xlpm.x))</f>
        <v/>
      </c>
      <c r="O4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0" spans="1:15" ht="15" thickTop="1" thickBot="1" x14ac:dyDescent="0.5">
      <c r="A50" s="272"/>
      <c r="B50" s="273" t="str">
        <f>IF(A50="","",IFERROR(_xlfn.XLOOKUP(A50,Suivi_TMA!A:A,Suivi_TMA!B:B),""))</f>
        <v/>
      </c>
      <c r="C50" s="273" t="str">
        <f>IF(A50="","",IFERROR(_xlfn.XLOOKUP(A50,Suivi_TMA!A:A,Suivi_TMA!E:E),""))</f>
        <v/>
      </c>
      <c r="D50" s="274"/>
      <c r="E50" s="176" t="str">
        <f t="shared" si="1"/>
        <v/>
      </c>
      <c r="F50" s="274"/>
      <c r="G50" s="273" t="str">
        <f>IF(F50="","",IFERROR(VLOOKUP(F50,LOTS_ENTREPRISES!A:B,2,FALSE),""))</f>
        <v/>
      </c>
      <c r="H50" s="262" t="str">
        <f>IF(A50="","",IFERROR(IF(_xlfn.XLOOKUP(A50,Suivi_TMA!A:A,Suivi_TMA!I:I)="","",_xlfn.XLOOKUP(A50,Suivi_TMA!A:A,Suivi_TMA!I:I)),""))</f>
        <v/>
      </c>
      <c r="I50" s="275" t="str">
        <f t="shared" si="2"/>
        <v/>
      </c>
      <c r="J50" s="263" t="str">
        <f t="shared" si="3"/>
        <v/>
      </c>
      <c r="K50" s="276"/>
      <c r="L50" s="277"/>
      <c r="M50" s="273" t="str">
        <f t="shared" ca="1" si="0"/>
        <v/>
      </c>
      <c r="N50" s="266" t="str">
        <f>_xlfn.LET(_xlpm.x,_xlfn.XLOOKUP(A50,Suivi_TMA!A:A,Suivi_TMA!S:S,""),IF(OR(_xlpm.x="",_xlpm.x=0),"",_xlpm.x))</f>
        <v/>
      </c>
      <c r="O5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1" spans="1:15" ht="15" thickTop="1" thickBot="1" x14ac:dyDescent="0.5">
      <c r="A51" s="267"/>
      <c r="B51" s="263" t="str">
        <f>IF(A51="","",IFERROR(_xlfn.XLOOKUP(A51,Suivi_TMA!A:A,Suivi_TMA!B:B),""))</f>
        <v/>
      </c>
      <c r="C51" s="263" t="str">
        <f>IF(A51="","",IFERROR(_xlfn.XLOOKUP(A51,Suivi_TMA!A:A,Suivi_TMA!E:E),""))</f>
        <v/>
      </c>
      <c r="D51" s="268"/>
      <c r="E51" s="176" t="str">
        <f t="shared" si="1"/>
        <v/>
      </c>
      <c r="F51" s="268"/>
      <c r="G51" s="263" t="str">
        <f>IF(F51="","",IFERROR(VLOOKUP(F51,LOTS_ENTREPRISES!A:B,2,FALSE),""))</f>
        <v/>
      </c>
      <c r="H51" s="262" t="str">
        <f>IF(A51="","",IFERROR(IF(_xlfn.XLOOKUP(A51,Suivi_TMA!A:A,Suivi_TMA!I:I)="","",_xlfn.XLOOKUP(A51,Suivi_TMA!A:A,Suivi_TMA!I:I)),""))</f>
        <v/>
      </c>
      <c r="I51" s="269" t="str">
        <f t="shared" si="2"/>
        <v/>
      </c>
      <c r="J51" s="263" t="str">
        <f t="shared" si="3"/>
        <v/>
      </c>
      <c r="K51" s="278"/>
      <c r="L51" s="271"/>
      <c r="M51" s="263" t="str">
        <f t="shared" ca="1" si="0"/>
        <v/>
      </c>
      <c r="N51" s="266" t="str">
        <f>_xlfn.LET(_xlpm.x,_xlfn.XLOOKUP(A51,Suivi_TMA!A:A,Suivi_TMA!S:S,""),IF(OR(_xlpm.x="",_xlpm.x=0),"",_xlpm.x))</f>
        <v/>
      </c>
      <c r="O5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2" spans="1:15" ht="15" thickTop="1" thickBot="1" x14ac:dyDescent="0.5">
      <c r="A52" s="272"/>
      <c r="B52" s="273" t="str">
        <f>IF(A52="","",IFERROR(_xlfn.XLOOKUP(A52,Suivi_TMA!A:A,Suivi_TMA!B:B),""))</f>
        <v/>
      </c>
      <c r="C52" s="273" t="str">
        <f>IF(A52="","",IFERROR(_xlfn.XLOOKUP(A52,Suivi_TMA!A:A,Suivi_TMA!E:E),""))</f>
        <v/>
      </c>
      <c r="D52" s="274"/>
      <c r="E52" s="176" t="str">
        <f t="shared" si="1"/>
        <v/>
      </c>
      <c r="F52" s="274"/>
      <c r="G52" s="273" t="str">
        <f>IF(F52="","",IFERROR(VLOOKUP(F52,LOTS_ENTREPRISES!A:B,2,FALSE),""))</f>
        <v/>
      </c>
      <c r="H52" s="262" t="str">
        <f>IF(A52="","",IFERROR(IF(_xlfn.XLOOKUP(A52,Suivi_TMA!A:A,Suivi_TMA!I:I)="","",_xlfn.XLOOKUP(A52,Suivi_TMA!A:A,Suivi_TMA!I:I)),""))</f>
        <v/>
      </c>
      <c r="I52" s="275" t="str">
        <f t="shared" si="2"/>
        <v/>
      </c>
      <c r="J52" s="263" t="str">
        <f t="shared" si="3"/>
        <v/>
      </c>
      <c r="K52" s="276"/>
      <c r="L52" s="277"/>
      <c r="M52" s="273" t="str">
        <f t="shared" ca="1" si="0"/>
        <v/>
      </c>
      <c r="N52" s="266" t="str">
        <f>_xlfn.LET(_xlpm.x,_xlfn.XLOOKUP(A52,Suivi_TMA!A:A,Suivi_TMA!S:S,""),IF(OR(_xlpm.x="",_xlpm.x=0),"",_xlpm.x))</f>
        <v/>
      </c>
      <c r="O5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3" spans="1:15" ht="15" thickTop="1" thickBot="1" x14ac:dyDescent="0.5">
      <c r="A53" s="267"/>
      <c r="B53" s="263" t="str">
        <f>IF(A53="","",IFERROR(_xlfn.XLOOKUP(A53,Suivi_TMA!A:A,Suivi_TMA!B:B),""))</f>
        <v/>
      </c>
      <c r="C53" s="263" t="str">
        <f>IF(A53="","",IFERROR(_xlfn.XLOOKUP(A53,Suivi_TMA!A:A,Suivi_TMA!E:E),""))</f>
        <v/>
      </c>
      <c r="D53" s="268"/>
      <c r="E53" s="176" t="str">
        <f t="shared" si="1"/>
        <v/>
      </c>
      <c r="F53" s="268"/>
      <c r="G53" s="263" t="str">
        <f>IF(F53="","",IFERROR(VLOOKUP(F53,LOTS_ENTREPRISES!A:B,2,FALSE),""))</f>
        <v/>
      </c>
      <c r="H53" s="262" t="str">
        <f>IF(A53="","",IFERROR(IF(_xlfn.XLOOKUP(A53,Suivi_TMA!A:A,Suivi_TMA!I:I)="","",_xlfn.XLOOKUP(A53,Suivi_TMA!A:A,Suivi_TMA!I:I)),""))</f>
        <v/>
      </c>
      <c r="I53" s="269" t="str">
        <f t="shared" si="2"/>
        <v/>
      </c>
      <c r="J53" s="263" t="str">
        <f t="shared" si="3"/>
        <v/>
      </c>
      <c r="K53" s="278"/>
      <c r="L53" s="271"/>
      <c r="M53" s="263" t="str">
        <f t="shared" ca="1" si="0"/>
        <v/>
      </c>
      <c r="N53" s="266" t="str">
        <f>_xlfn.LET(_xlpm.x,_xlfn.XLOOKUP(A53,Suivi_TMA!A:A,Suivi_TMA!S:S,""),IF(OR(_xlpm.x="",_xlpm.x=0),"",_xlpm.x))</f>
        <v/>
      </c>
      <c r="O5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4" spans="1:15" ht="15" thickTop="1" thickBot="1" x14ac:dyDescent="0.5">
      <c r="A54" s="272"/>
      <c r="B54" s="273" t="str">
        <f>IF(A54="","",IFERROR(_xlfn.XLOOKUP(A54,Suivi_TMA!A:A,Suivi_TMA!B:B),""))</f>
        <v/>
      </c>
      <c r="C54" s="273" t="str">
        <f>IF(A54="","",IFERROR(_xlfn.XLOOKUP(A54,Suivi_TMA!A:A,Suivi_TMA!E:E),""))</f>
        <v/>
      </c>
      <c r="D54" s="274"/>
      <c r="E54" s="176" t="str">
        <f t="shared" si="1"/>
        <v/>
      </c>
      <c r="F54" s="274"/>
      <c r="G54" s="273" t="str">
        <f>IF(F54="","",IFERROR(VLOOKUP(F54,LOTS_ENTREPRISES!A:B,2,FALSE),""))</f>
        <v/>
      </c>
      <c r="H54" s="262" t="str">
        <f>IF(A54="","",IFERROR(IF(_xlfn.XLOOKUP(A54,Suivi_TMA!A:A,Suivi_TMA!I:I)="","",_xlfn.XLOOKUP(A54,Suivi_TMA!A:A,Suivi_TMA!I:I)),""))</f>
        <v/>
      </c>
      <c r="I54" s="275" t="str">
        <f t="shared" si="2"/>
        <v/>
      </c>
      <c r="J54" s="263" t="str">
        <f t="shared" si="3"/>
        <v/>
      </c>
      <c r="K54" s="276"/>
      <c r="L54" s="277"/>
      <c r="M54" s="273" t="str">
        <f t="shared" ca="1" si="0"/>
        <v/>
      </c>
      <c r="N54" s="266" t="str">
        <f>_xlfn.LET(_xlpm.x,_xlfn.XLOOKUP(A54,Suivi_TMA!A:A,Suivi_TMA!S:S,""),IF(OR(_xlpm.x="",_xlpm.x=0),"",_xlpm.x))</f>
        <v/>
      </c>
      <c r="O5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5" spans="1:15" ht="15" thickTop="1" thickBot="1" x14ac:dyDescent="0.5">
      <c r="A55" s="267"/>
      <c r="B55" s="263" t="str">
        <f>IF(A55="","",IFERROR(_xlfn.XLOOKUP(A55,Suivi_TMA!A:A,Suivi_TMA!B:B),""))</f>
        <v/>
      </c>
      <c r="C55" s="263" t="str">
        <f>IF(A55="","",IFERROR(_xlfn.XLOOKUP(A55,Suivi_TMA!A:A,Suivi_TMA!E:E),""))</f>
        <v/>
      </c>
      <c r="D55" s="268"/>
      <c r="E55" s="176" t="str">
        <f t="shared" si="1"/>
        <v/>
      </c>
      <c r="F55" s="268"/>
      <c r="G55" s="263" t="str">
        <f>IF(F55="","",IFERROR(VLOOKUP(F55,LOTS_ENTREPRISES!A:B,2,FALSE),""))</f>
        <v/>
      </c>
      <c r="H55" s="262" t="str">
        <f>IF(A55="","",IFERROR(IF(_xlfn.XLOOKUP(A55,Suivi_TMA!A:A,Suivi_TMA!I:I)="","",_xlfn.XLOOKUP(A55,Suivi_TMA!A:A,Suivi_TMA!I:I)),""))</f>
        <v/>
      </c>
      <c r="I55" s="269" t="str">
        <f t="shared" si="2"/>
        <v/>
      </c>
      <c r="J55" s="263" t="str">
        <f t="shared" si="3"/>
        <v/>
      </c>
      <c r="K55" s="278"/>
      <c r="L55" s="271"/>
      <c r="M55" s="263" t="str">
        <f t="shared" ca="1" si="0"/>
        <v/>
      </c>
      <c r="N55" s="266" t="str">
        <f>_xlfn.LET(_xlpm.x,_xlfn.XLOOKUP(A55,Suivi_TMA!A:A,Suivi_TMA!S:S,""),IF(OR(_xlpm.x="",_xlpm.x=0),"",_xlpm.x))</f>
        <v/>
      </c>
      <c r="O5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6" spans="1:15" ht="15" thickTop="1" thickBot="1" x14ac:dyDescent="0.5">
      <c r="A56" s="272"/>
      <c r="B56" s="273" t="str">
        <f>IF(A56="","",IFERROR(_xlfn.XLOOKUP(A56,Suivi_TMA!A:A,Suivi_TMA!B:B),""))</f>
        <v/>
      </c>
      <c r="C56" s="273" t="str">
        <f>IF(A56="","",IFERROR(_xlfn.XLOOKUP(A56,Suivi_TMA!A:A,Suivi_TMA!E:E),""))</f>
        <v/>
      </c>
      <c r="D56" s="274"/>
      <c r="E56" s="176" t="str">
        <f t="shared" si="1"/>
        <v/>
      </c>
      <c r="F56" s="274"/>
      <c r="G56" s="273" t="str">
        <f>IF(F56="","",IFERROR(VLOOKUP(F56,LOTS_ENTREPRISES!A:B,2,FALSE),""))</f>
        <v/>
      </c>
      <c r="H56" s="262" t="str">
        <f>IF(A56="","",IFERROR(IF(_xlfn.XLOOKUP(A56,Suivi_TMA!A:A,Suivi_TMA!I:I)="","",_xlfn.XLOOKUP(A56,Suivi_TMA!A:A,Suivi_TMA!I:I)),""))</f>
        <v/>
      </c>
      <c r="I56" s="275" t="str">
        <f t="shared" si="2"/>
        <v/>
      </c>
      <c r="J56" s="263" t="str">
        <f t="shared" si="3"/>
        <v/>
      </c>
      <c r="K56" s="276"/>
      <c r="L56" s="277"/>
      <c r="M56" s="273" t="str">
        <f t="shared" ca="1" si="0"/>
        <v/>
      </c>
      <c r="N56" s="266" t="str">
        <f>_xlfn.LET(_xlpm.x,_xlfn.XLOOKUP(A56,Suivi_TMA!A:A,Suivi_TMA!S:S,""),IF(OR(_xlpm.x="",_xlpm.x=0),"",_xlpm.x))</f>
        <v/>
      </c>
      <c r="O5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7" spans="1:15" ht="15" thickTop="1" thickBot="1" x14ac:dyDescent="0.5">
      <c r="A57" s="267"/>
      <c r="B57" s="263" t="str">
        <f>IF(A57="","",IFERROR(_xlfn.XLOOKUP(A57,Suivi_TMA!A:A,Suivi_TMA!B:B),""))</f>
        <v/>
      </c>
      <c r="C57" s="263" t="str">
        <f>IF(A57="","",IFERROR(_xlfn.XLOOKUP(A57,Suivi_TMA!A:A,Suivi_TMA!E:E),""))</f>
        <v/>
      </c>
      <c r="D57" s="268"/>
      <c r="E57" s="176" t="str">
        <f t="shared" si="1"/>
        <v/>
      </c>
      <c r="F57" s="268"/>
      <c r="G57" s="263" t="str">
        <f>IF(F57="","",IFERROR(VLOOKUP(F57,LOTS_ENTREPRISES!A:B,2,FALSE),""))</f>
        <v/>
      </c>
      <c r="H57" s="262" t="str">
        <f>IF(A57="","",IFERROR(IF(_xlfn.XLOOKUP(A57,Suivi_TMA!A:A,Suivi_TMA!I:I)="","",_xlfn.XLOOKUP(A57,Suivi_TMA!A:A,Suivi_TMA!I:I)),""))</f>
        <v/>
      </c>
      <c r="I57" s="269" t="str">
        <f t="shared" si="2"/>
        <v/>
      </c>
      <c r="J57" s="263" t="str">
        <f t="shared" si="3"/>
        <v/>
      </c>
      <c r="K57" s="278"/>
      <c r="L57" s="271"/>
      <c r="M57" s="263" t="str">
        <f t="shared" ca="1" si="0"/>
        <v/>
      </c>
      <c r="N57" s="266" t="str">
        <f>_xlfn.LET(_xlpm.x,_xlfn.XLOOKUP(A57,Suivi_TMA!A:A,Suivi_TMA!S:S,""),IF(OR(_xlpm.x="",_xlpm.x=0),"",_xlpm.x))</f>
        <v/>
      </c>
      <c r="O5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8" spans="1:15" ht="15" thickTop="1" thickBot="1" x14ac:dyDescent="0.5">
      <c r="A58" s="272"/>
      <c r="B58" s="273" t="str">
        <f>IF(A58="","",IFERROR(_xlfn.XLOOKUP(A58,Suivi_TMA!A:A,Suivi_TMA!B:B),""))</f>
        <v/>
      </c>
      <c r="C58" s="273" t="str">
        <f>IF(A58="","",IFERROR(_xlfn.XLOOKUP(A58,Suivi_TMA!A:A,Suivi_TMA!E:E),""))</f>
        <v/>
      </c>
      <c r="D58" s="274"/>
      <c r="E58" s="176" t="str">
        <f t="shared" si="1"/>
        <v/>
      </c>
      <c r="F58" s="274"/>
      <c r="G58" s="273" t="str">
        <f>IF(F58="","",IFERROR(VLOOKUP(F58,LOTS_ENTREPRISES!A:B,2,FALSE),""))</f>
        <v/>
      </c>
      <c r="H58" s="262" t="str">
        <f>IF(A58="","",IFERROR(IF(_xlfn.XLOOKUP(A58,Suivi_TMA!A:A,Suivi_TMA!I:I)="","",_xlfn.XLOOKUP(A58,Suivi_TMA!A:A,Suivi_TMA!I:I)),""))</f>
        <v/>
      </c>
      <c r="I58" s="275" t="str">
        <f t="shared" si="2"/>
        <v/>
      </c>
      <c r="J58" s="263" t="str">
        <f t="shared" si="3"/>
        <v/>
      </c>
      <c r="K58" s="276"/>
      <c r="L58" s="277"/>
      <c r="M58" s="273" t="str">
        <f t="shared" ca="1" si="0"/>
        <v/>
      </c>
      <c r="N58" s="266" t="str">
        <f>_xlfn.LET(_xlpm.x,_xlfn.XLOOKUP(A58,Suivi_TMA!A:A,Suivi_TMA!S:S,""),IF(OR(_xlpm.x="",_xlpm.x=0),"",_xlpm.x))</f>
        <v/>
      </c>
      <c r="O5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59" spans="1:15" ht="15" thickTop="1" thickBot="1" x14ac:dyDescent="0.5">
      <c r="A59" s="267"/>
      <c r="B59" s="263" t="str">
        <f>IF(A59="","",IFERROR(_xlfn.XLOOKUP(A59,Suivi_TMA!A:A,Suivi_TMA!B:B),""))</f>
        <v/>
      </c>
      <c r="C59" s="263" t="str">
        <f>IF(A59="","",IFERROR(_xlfn.XLOOKUP(A59,Suivi_TMA!A:A,Suivi_TMA!E:E),""))</f>
        <v/>
      </c>
      <c r="D59" s="268"/>
      <c r="E59" s="176" t="str">
        <f t="shared" si="1"/>
        <v/>
      </c>
      <c r="F59" s="268"/>
      <c r="G59" s="263" t="str">
        <f>IF(F59="","",IFERROR(VLOOKUP(F59,LOTS_ENTREPRISES!A:B,2,FALSE),""))</f>
        <v/>
      </c>
      <c r="H59" s="262" t="str">
        <f>IF(A59="","",IFERROR(IF(_xlfn.XLOOKUP(A59,Suivi_TMA!A:A,Suivi_TMA!I:I)="","",_xlfn.XLOOKUP(A59,Suivi_TMA!A:A,Suivi_TMA!I:I)),""))</f>
        <v/>
      </c>
      <c r="I59" s="269" t="str">
        <f t="shared" si="2"/>
        <v/>
      </c>
      <c r="J59" s="263" t="str">
        <f t="shared" si="3"/>
        <v/>
      </c>
      <c r="K59" s="278"/>
      <c r="L59" s="271"/>
      <c r="M59" s="263" t="str">
        <f t="shared" ca="1" si="0"/>
        <v/>
      </c>
      <c r="N59" s="266" t="str">
        <f>_xlfn.LET(_xlpm.x,_xlfn.XLOOKUP(A59,Suivi_TMA!A:A,Suivi_TMA!S:S,""),IF(OR(_xlpm.x="",_xlpm.x=0),"",_xlpm.x))</f>
        <v/>
      </c>
      <c r="O5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0" spans="1:15" ht="15" thickTop="1" thickBot="1" x14ac:dyDescent="0.5">
      <c r="A60" s="272"/>
      <c r="B60" s="273" t="str">
        <f>IF(A60="","",IFERROR(_xlfn.XLOOKUP(A60,Suivi_TMA!A:A,Suivi_TMA!B:B),""))</f>
        <v/>
      </c>
      <c r="C60" s="273" t="str">
        <f>IF(A60="","",IFERROR(_xlfn.XLOOKUP(A60,Suivi_TMA!A:A,Suivi_TMA!E:E),""))</f>
        <v/>
      </c>
      <c r="D60" s="274"/>
      <c r="E60" s="176" t="str">
        <f t="shared" si="1"/>
        <v/>
      </c>
      <c r="F60" s="274"/>
      <c r="G60" s="273" t="str">
        <f>IF(F60="","",IFERROR(VLOOKUP(F60,LOTS_ENTREPRISES!A:B,2,FALSE),""))</f>
        <v/>
      </c>
      <c r="H60" s="262" t="str">
        <f>IF(A60="","",IFERROR(IF(_xlfn.XLOOKUP(A60,Suivi_TMA!A:A,Suivi_TMA!I:I)="","",_xlfn.XLOOKUP(A60,Suivi_TMA!A:A,Suivi_TMA!I:I)),""))</f>
        <v/>
      </c>
      <c r="I60" s="275" t="str">
        <f t="shared" si="2"/>
        <v/>
      </c>
      <c r="J60" s="263" t="str">
        <f t="shared" si="3"/>
        <v/>
      </c>
      <c r="K60" s="276"/>
      <c r="L60" s="277"/>
      <c r="M60" s="273" t="str">
        <f t="shared" ca="1" si="0"/>
        <v/>
      </c>
      <c r="N60" s="266" t="str">
        <f>_xlfn.LET(_xlpm.x,_xlfn.XLOOKUP(A60,Suivi_TMA!A:A,Suivi_TMA!S:S,""),IF(OR(_xlpm.x="",_xlpm.x=0),"",_xlpm.x))</f>
        <v/>
      </c>
      <c r="O6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1" spans="1:15" ht="15" thickTop="1" thickBot="1" x14ac:dyDescent="0.5">
      <c r="A61" s="267"/>
      <c r="B61" s="263" t="str">
        <f>IF(A61="","",IFERROR(_xlfn.XLOOKUP(A61,Suivi_TMA!A:A,Suivi_TMA!B:B),""))</f>
        <v/>
      </c>
      <c r="C61" s="263" t="str">
        <f>IF(A61="","",IFERROR(_xlfn.XLOOKUP(A61,Suivi_TMA!A:A,Suivi_TMA!E:E),""))</f>
        <v/>
      </c>
      <c r="D61" s="268"/>
      <c r="E61" s="176" t="str">
        <f t="shared" si="1"/>
        <v/>
      </c>
      <c r="F61" s="268"/>
      <c r="G61" s="263" t="str">
        <f>IF(F61="","",IFERROR(VLOOKUP(F61,LOTS_ENTREPRISES!A:B,2,FALSE),""))</f>
        <v/>
      </c>
      <c r="H61" s="262" t="str">
        <f>IF(A61="","",IFERROR(IF(_xlfn.XLOOKUP(A61,Suivi_TMA!A:A,Suivi_TMA!I:I)="","",_xlfn.XLOOKUP(A61,Suivi_TMA!A:A,Suivi_TMA!I:I)),""))</f>
        <v/>
      </c>
      <c r="I61" s="269" t="str">
        <f t="shared" si="2"/>
        <v/>
      </c>
      <c r="J61" s="263" t="str">
        <f t="shared" si="3"/>
        <v/>
      </c>
      <c r="K61" s="278"/>
      <c r="L61" s="271"/>
      <c r="M61" s="263" t="str">
        <f t="shared" ca="1" si="0"/>
        <v/>
      </c>
      <c r="N61" s="266" t="str">
        <f>_xlfn.LET(_xlpm.x,_xlfn.XLOOKUP(A61,Suivi_TMA!A:A,Suivi_TMA!S:S,""),IF(OR(_xlpm.x="",_xlpm.x=0),"",_xlpm.x))</f>
        <v/>
      </c>
      <c r="O6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2" spans="1:15" ht="15" thickTop="1" thickBot="1" x14ac:dyDescent="0.5">
      <c r="A62" s="272"/>
      <c r="B62" s="273" t="str">
        <f>IF(A62="","",IFERROR(_xlfn.XLOOKUP(A62,Suivi_TMA!A:A,Suivi_TMA!B:B),""))</f>
        <v/>
      </c>
      <c r="C62" s="273" t="str">
        <f>IF(A62="","",IFERROR(_xlfn.XLOOKUP(A62,Suivi_TMA!A:A,Suivi_TMA!E:E),""))</f>
        <v/>
      </c>
      <c r="D62" s="274"/>
      <c r="E62" s="176" t="str">
        <f t="shared" si="1"/>
        <v/>
      </c>
      <c r="F62" s="274"/>
      <c r="G62" s="273" t="str">
        <f>IF(F62="","",IFERROR(VLOOKUP(F62,LOTS_ENTREPRISES!A:B,2,FALSE),""))</f>
        <v/>
      </c>
      <c r="H62" s="262" t="str">
        <f>IF(A62="","",IFERROR(IF(_xlfn.XLOOKUP(A62,Suivi_TMA!A:A,Suivi_TMA!I:I)="","",_xlfn.XLOOKUP(A62,Suivi_TMA!A:A,Suivi_TMA!I:I)),""))</f>
        <v/>
      </c>
      <c r="I62" s="275" t="str">
        <f t="shared" si="2"/>
        <v/>
      </c>
      <c r="J62" s="263" t="str">
        <f t="shared" si="3"/>
        <v/>
      </c>
      <c r="K62" s="276"/>
      <c r="L62" s="277"/>
      <c r="M62" s="273" t="str">
        <f t="shared" ca="1" si="0"/>
        <v/>
      </c>
      <c r="N62" s="266" t="str">
        <f>_xlfn.LET(_xlpm.x,_xlfn.XLOOKUP(A62,Suivi_TMA!A:A,Suivi_TMA!S:S,""),IF(OR(_xlpm.x="",_xlpm.x=0),"",_xlpm.x))</f>
        <v/>
      </c>
      <c r="O6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3" spans="1:15" ht="15" thickTop="1" thickBot="1" x14ac:dyDescent="0.5">
      <c r="A63" s="267"/>
      <c r="B63" s="263" t="str">
        <f>IF(A63="","",IFERROR(_xlfn.XLOOKUP(A63,Suivi_TMA!A:A,Suivi_TMA!B:B),""))</f>
        <v/>
      </c>
      <c r="C63" s="263" t="str">
        <f>IF(A63="","",IFERROR(_xlfn.XLOOKUP(A63,Suivi_TMA!A:A,Suivi_TMA!E:E),""))</f>
        <v/>
      </c>
      <c r="D63" s="268"/>
      <c r="E63" s="176" t="str">
        <f t="shared" si="1"/>
        <v/>
      </c>
      <c r="F63" s="268"/>
      <c r="G63" s="263" t="str">
        <f>IF(F63="","",IFERROR(VLOOKUP(F63,LOTS_ENTREPRISES!A:B,2,FALSE),""))</f>
        <v/>
      </c>
      <c r="H63" s="262" t="str">
        <f>IF(A63="","",IFERROR(IF(_xlfn.XLOOKUP(A63,Suivi_TMA!A:A,Suivi_TMA!I:I)="","",_xlfn.XLOOKUP(A63,Suivi_TMA!A:A,Suivi_TMA!I:I)),""))</f>
        <v/>
      </c>
      <c r="I63" s="269" t="str">
        <f t="shared" si="2"/>
        <v/>
      </c>
      <c r="J63" s="263" t="str">
        <f t="shared" si="3"/>
        <v/>
      </c>
      <c r="K63" s="278"/>
      <c r="L63" s="271"/>
      <c r="M63" s="263" t="str">
        <f t="shared" ca="1" si="0"/>
        <v/>
      </c>
      <c r="N63" s="266" t="str">
        <f>_xlfn.LET(_xlpm.x,_xlfn.XLOOKUP(A63,Suivi_TMA!A:A,Suivi_TMA!S:S,""),IF(OR(_xlpm.x="",_xlpm.x=0),"",_xlpm.x))</f>
        <v/>
      </c>
      <c r="O6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4" spans="1:15" ht="15" thickTop="1" thickBot="1" x14ac:dyDescent="0.5">
      <c r="A64" s="272"/>
      <c r="B64" s="273" t="str">
        <f>IF(A64="","",IFERROR(_xlfn.XLOOKUP(A64,Suivi_TMA!A:A,Suivi_TMA!B:B),""))</f>
        <v/>
      </c>
      <c r="C64" s="273" t="str">
        <f>IF(A64="","",IFERROR(_xlfn.XLOOKUP(A64,Suivi_TMA!A:A,Suivi_TMA!E:E),""))</f>
        <v/>
      </c>
      <c r="D64" s="274"/>
      <c r="E64" s="176" t="str">
        <f t="shared" si="1"/>
        <v/>
      </c>
      <c r="F64" s="274"/>
      <c r="G64" s="273" t="str">
        <f>IF(F64="","",IFERROR(VLOOKUP(F64,LOTS_ENTREPRISES!A:B,2,FALSE),""))</f>
        <v/>
      </c>
      <c r="H64" s="262" t="str">
        <f>IF(A64="","",IFERROR(IF(_xlfn.XLOOKUP(A64,Suivi_TMA!A:A,Suivi_TMA!I:I)="","",_xlfn.XLOOKUP(A64,Suivi_TMA!A:A,Suivi_TMA!I:I)),""))</f>
        <v/>
      </c>
      <c r="I64" s="275" t="str">
        <f t="shared" si="2"/>
        <v/>
      </c>
      <c r="J64" s="263" t="str">
        <f t="shared" si="3"/>
        <v/>
      </c>
      <c r="K64" s="276"/>
      <c r="L64" s="277"/>
      <c r="M64" s="273" t="str">
        <f t="shared" ca="1" si="0"/>
        <v/>
      </c>
      <c r="N64" s="266" t="str">
        <f>_xlfn.LET(_xlpm.x,_xlfn.XLOOKUP(A64,Suivi_TMA!A:A,Suivi_TMA!S:S,""),IF(OR(_xlpm.x="",_xlpm.x=0),"",_xlpm.x))</f>
        <v/>
      </c>
      <c r="O6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5" spans="1:15" ht="15" thickTop="1" thickBot="1" x14ac:dyDescent="0.5">
      <c r="A65" s="267"/>
      <c r="B65" s="263" t="str">
        <f>IF(A65="","",IFERROR(_xlfn.XLOOKUP(A65,Suivi_TMA!A:A,Suivi_TMA!B:B),""))</f>
        <v/>
      </c>
      <c r="C65" s="263" t="str">
        <f>IF(A65="","",IFERROR(_xlfn.XLOOKUP(A65,Suivi_TMA!A:A,Suivi_TMA!E:E),""))</f>
        <v/>
      </c>
      <c r="D65" s="268"/>
      <c r="E65" s="176" t="str">
        <f t="shared" si="1"/>
        <v/>
      </c>
      <c r="F65" s="268"/>
      <c r="G65" s="263" t="str">
        <f>IF(F65="","",IFERROR(VLOOKUP(F65,LOTS_ENTREPRISES!A:B,2,FALSE),""))</f>
        <v/>
      </c>
      <c r="H65" s="262" t="str">
        <f>IF(A65="","",IFERROR(IF(_xlfn.XLOOKUP(A65,Suivi_TMA!A:A,Suivi_TMA!I:I)="","",_xlfn.XLOOKUP(A65,Suivi_TMA!A:A,Suivi_TMA!I:I)),""))</f>
        <v/>
      </c>
      <c r="I65" s="269" t="str">
        <f t="shared" si="2"/>
        <v/>
      </c>
      <c r="J65" s="263" t="str">
        <f t="shared" si="3"/>
        <v/>
      </c>
      <c r="K65" s="278"/>
      <c r="L65" s="271"/>
      <c r="M65" s="263" t="str">
        <f t="shared" ca="1" si="0"/>
        <v/>
      </c>
      <c r="N65" s="266" t="str">
        <f>_xlfn.LET(_xlpm.x,_xlfn.XLOOKUP(A65,Suivi_TMA!A:A,Suivi_TMA!S:S,""),IF(OR(_xlpm.x="",_xlpm.x=0),"",_xlpm.x))</f>
        <v/>
      </c>
      <c r="O6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6" spans="1:15" ht="15" thickTop="1" thickBot="1" x14ac:dyDescent="0.5">
      <c r="A66" s="272"/>
      <c r="B66" s="273" t="str">
        <f>IF(A66="","",IFERROR(_xlfn.XLOOKUP(A66,Suivi_TMA!A:A,Suivi_TMA!B:B),""))</f>
        <v/>
      </c>
      <c r="C66" s="273" t="str">
        <f>IF(A66="","",IFERROR(_xlfn.XLOOKUP(A66,Suivi_TMA!A:A,Suivi_TMA!E:E),""))</f>
        <v/>
      </c>
      <c r="D66" s="274"/>
      <c r="E66" s="176" t="str">
        <f t="shared" si="1"/>
        <v/>
      </c>
      <c r="F66" s="274"/>
      <c r="G66" s="273" t="str">
        <f>IF(F66="","",IFERROR(VLOOKUP(F66,LOTS_ENTREPRISES!A:B,2,FALSE),""))</f>
        <v/>
      </c>
      <c r="H66" s="262" t="str">
        <f>IF(A66="","",IFERROR(IF(_xlfn.XLOOKUP(A66,Suivi_TMA!A:A,Suivi_TMA!I:I)="","",_xlfn.XLOOKUP(A66,Suivi_TMA!A:A,Suivi_TMA!I:I)),""))</f>
        <v/>
      </c>
      <c r="I66" s="275" t="str">
        <f t="shared" si="2"/>
        <v/>
      </c>
      <c r="J66" s="263" t="str">
        <f t="shared" si="3"/>
        <v/>
      </c>
      <c r="K66" s="276"/>
      <c r="L66" s="277"/>
      <c r="M66" s="273" t="str">
        <f t="shared" ca="1" si="0"/>
        <v/>
      </c>
      <c r="N66" s="266" t="str">
        <f>_xlfn.LET(_xlpm.x,_xlfn.XLOOKUP(A66,Suivi_TMA!A:A,Suivi_TMA!S:S,""),IF(OR(_xlpm.x="",_xlpm.x=0),"",_xlpm.x))</f>
        <v/>
      </c>
      <c r="O6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7" spans="1:15" ht="15" thickTop="1" thickBot="1" x14ac:dyDescent="0.5">
      <c r="A67" s="267"/>
      <c r="B67" s="263" t="str">
        <f>IF(A67="","",IFERROR(_xlfn.XLOOKUP(A67,Suivi_TMA!A:A,Suivi_TMA!B:B),""))</f>
        <v/>
      </c>
      <c r="C67" s="263" t="str">
        <f>IF(A67="","",IFERROR(_xlfn.XLOOKUP(A67,Suivi_TMA!A:A,Suivi_TMA!E:E),""))</f>
        <v/>
      </c>
      <c r="D67" s="268"/>
      <c r="E67" s="176" t="str">
        <f t="shared" si="1"/>
        <v/>
      </c>
      <c r="F67" s="268"/>
      <c r="G67" s="263" t="str">
        <f>IF(F67="","",IFERROR(VLOOKUP(F67,LOTS_ENTREPRISES!A:B,2,FALSE),""))</f>
        <v/>
      </c>
      <c r="H67" s="262" t="str">
        <f>IF(A67="","",IFERROR(IF(_xlfn.XLOOKUP(A67,Suivi_TMA!A:A,Suivi_TMA!I:I)="","",_xlfn.XLOOKUP(A67,Suivi_TMA!A:A,Suivi_TMA!I:I)),""))</f>
        <v/>
      </c>
      <c r="I67" s="269" t="str">
        <f t="shared" si="2"/>
        <v/>
      </c>
      <c r="J67" s="263" t="str">
        <f t="shared" si="3"/>
        <v/>
      </c>
      <c r="K67" s="278"/>
      <c r="L67" s="271"/>
      <c r="M67" s="263" t="str">
        <f t="shared" ca="1" si="0"/>
        <v/>
      </c>
      <c r="N67" s="266" t="str">
        <f>_xlfn.LET(_xlpm.x,_xlfn.XLOOKUP(A67,Suivi_TMA!A:A,Suivi_TMA!S:S,""),IF(OR(_xlpm.x="",_xlpm.x=0),"",_xlpm.x))</f>
        <v/>
      </c>
      <c r="O6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8" spans="1:15" ht="15" thickTop="1" thickBot="1" x14ac:dyDescent="0.5">
      <c r="A68" s="272"/>
      <c r="B68" s="273" t="str">
        <f>IF(A68="","",IFERROR(_xlfn.XLOOKUP(A68,Suivi_TMA!A:A,Suivi_TMA!B:B),""))</f>
        <v/>
      </c>
      <c r="C68" s="273" t="str">
        <f>IF(A68="","",IFERROR(_xlfn.XLOOKUP(A68,Suivi_TMA!A:A,Suivi_TMA!E:E),""))</f>
        <v/>
      </c>
      <c r="D68" s="274"/>
      <c r="E68" s="176" t="str">
        <f t="shared" si="1"/>
        <v/>
      </c>
      <c r="F68" s="274"/>
      <c r="G68" s="273" t="str">
        <f>IF(F68="","",IFERROR(VLOOKUP(F68,LOTS_ENTREPRISES!A:B,2,FALSE),""))</f>
        <v/>
      </c>
      <c r="H68" s="262" t="str">
        <f>IF(A68="","",IFERROR(IF(_xlfn.XLOOKUP(A68,Suivi_TMA!A:A,Suivi_TMA!I:I)="","",_xlfn.XLOOKUP(A68,Suivi_TMA!A:A,Suivi_TMA!I:I)),""))</f>
        <v/>
      </c>
      <c r="I68" s="275" t="str">
        <f t="shared" si="2"/>
        <v/>
      </c>
      <c r="J68" s="263" t="str">
        <f t="shared" si="3"/>
        <v/>
      </c>
      <c r="K68" s="276"/>
      <c r="L68" s="277"/>
      <c r="M68" s="273" t="str">
        <f t="shared" ca="1" si="0"/>
        <v/>
      </c>
      <c r="N68" s="266" t="str">
        <f>_xlfn.LET(_xlpm.x,_xlfn.XLOOKUP(A68,Suivi_TMA!A:A,Suivi_TMA!S:S,""),IF(OR(_xlpm.x="",_xlpm.x=0),"",_xlpm.x))</f>
        <v/>
      </c>
      <c r="O6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69" spans="1:15" ht="15" thickTop="1" thickBot="1" x14ac:dyDescent="0.5">
      <c r="A69" s="267"/>
      <c r="B69" s="263" t="str">
        <f>IF(A69="","",IFERROR(_xlfn.XLOOKUP(A69,Suivi_TMA!A:A,Suivi_TMA!B:B),""))</f>
        <v/>
      </c>
      <c r="C69" s="263" t="str">
        <f>IF(A69="","",IFERROR(_xlfn.XLOOKUP(A69,Suivi_TMA!A:A,Suivi_TMA!E:E),""))</f>
        <v/>
      </c>
      <c r="D69" s="268"/>
      <c r="E69" s="176" t="str">
        <f t="shared" si="1"/>
        <v/>
      </c>
      <c r="F69" s="268"/>
      <c r="G69" s="263" t="str">
        <f>IF(F69="","",IFERROR(VLOOKUP(F69,LOTS_ENTREPRISES!A:B,2,FALSE),""))</f>
        <v/>
      </c>
      <c r="H69" s="262" t="str">
        <f>IF(A69="","",IFERROR(IF(_xlfn.XLOOKUP(A69,Suivi_TMA!A:A,Suivi_TMA!I:I)="","",_xlfn.XLOOKUP(A69,Suivi_TMA!A:A,Suivi_TMA!I:I)),""))</f>
        <v/>
      </c>
      <c r="I69" s="269" t="str">
        <f t="shared" si="2"/>
        <v/>
      </c>
      <c r="J69" s="263" t="str">
        <f t="shared" si="3"/>
        <v/>
      </c>
      <c r="K69" s="278"/>
      <c r="L69" s="271"/>
      <c r="M69" s="263" t="str">
        <f t="shared" ca="1" si="0"/>
        <v/>
      </c>
      <c r="N69" s="266" t="str">
        <f>_xlfn.LET(_xlpm.x,_xlfn.XLOOKUP(A69,Suivi_TMA!A:A,Suivi_TMA!S:S,""),IF(OR(_xlpm.x="",_xlpm.x=0),"",_xlpm.x))</f>
        <v/>
      </c>
      <c r="O6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0" spans="1:15" ht="15" thickTop="1" thickBot="1" x14ac:dyDescent="0.5">
      <c r="A70" s="272"/>
      <c r="B70" s="273" t="str">
        <f>IF(A70="","",IFERROR(_xlfn.XLOOKUP(A70,Suivi_TMA!A:A,Suivi_TMA!B:B),""))</f>
        <v/>
      </c>
      <c r="C70" s="273" t="str">
        <f>IF(A70="","",IFERROR(_xlfn.XLOOKUP(A70,Suivi_TMA!A:A,Suivi_TMA!E:E),""))</f>
        <v/>
      </c>
      <c r="D70" s="274"/>
      <c r="E70" s="176" t="str">
        <f t="shared" si="1"/>
        <v/>
      </c>
      <c r="F70" s="274"/>
      <c r="G70" s="273" t="str">
        <f>IF(F70="","",IFERROR(VLOOKUP(F70,LOTS_ENTREPRISES!A:B,2,FALSE),""))</f>
        <v/>
      </c>
      <c r="H70" s="262" t="str">
        <f>IF(A70="","",IFERROR(IF(_xlfn.XLOOKUP(A70,Suivi_TMA!A:A,Suivi_TMA!I:I)="","",_xlfn.XLOOKUP(A70,Suivi_TMA!A:A,Suivi_TMA!I:I)),""))</f>
        <v/>
      </c>
      <c r="I70" s="275" t="str">
        <f t="shared" si="2"/>
        <v/>
      </c>
      <c r="J70" s="263" t="str">
        <f t="shared" si="3"/>
        <v/>
      </c>
      <c r="K70" s="276"/>
      <c r="L70" s="277"/>
      <c r="M70" s="273" t="str">
        <f t="shared" ca="1" si="0"/>
        <v/>
      </c>
      <c r="N70" s="266" t="str">
        <f>_xlfn.LET(_xlpm.x,_xlfn.XLOOKUP(A70,Suivi_TMA!A:A,Suivi_TMA!S:S,""),IF(OR(_xlpm.x="",_xlpm.x=0),"",_xlpm.x))</f>
        <v/>
      </c>
      <c r="O7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1" spans="1:15" ht="15" thickTop="1" thickBot="1" x14ac:dyDescent="0.5">
      <c r="A71" s="267"/>
      <c r="B71" s="263" t="str">
        <f>IF(A71="","",IFERROR(_xlfn.XLOOKUP(A71,Suivi_TMA!A:A,Suivi_TMA!B:B),""))</f>
        <v/>
      </c>
      <c r="C71" s="263" t="str">
        <f>IF(A71="","",IFERROR(_xlfn.XLOOKUP(A71,Suivi_TMA!A:A,Suivi_TMA!E:E),""))</f>
        <v/>
      </c>
      <c r="D71" s="268"/>
      <c r="E71" s="176" t="str">
        <f t="shared" si="1"/>
        <v/>
      </c>
      <c r="F71" s="268"/>
      <c r="G71" s="263" t="str">
        <f>IF(F71="","",IFERROR(VLOOKUP(F71,LOTS_ENTREPRISES!A:B,2,FALSE),""))</f>
        <v/>
      </c>
      <c r="H71" s="262" t="str">
        <f>IF(A71="","",IFERROR(IF(_xlfn.XLOOKUP(A71,Suivi_TMA!A:A,Suivi_TMA!I:I)="","",_xlfn.XLOOKUP(A71,Suivi_TMA!A:A,Suivi_TMA!I:I)),""))</f>
        <v/>
      </c>
      <c r="I71" s="269" t="str">
        <f t="shared" si="2"/>
        <v/>
      </c>
      <c r="J71" s="263" t="str">
        <f t="shared" si="3"/>
        <v/>
      </c>
      <c r="K71" s="278"/>
      <c r="L71" s="271"/>
      <c r="M71" s="263" t="str">
        <f t="shared" ca="1" si="0"/>
        <v/>
      </c>
      <c r="N71" s="266" t="str">
        <f>_xlfn.LET(_xlpm.x,_xlfn.XLOOKUP(A71,Suivi_TMA!A:A,Suivi_TMA!S:S,""),IF(OR(_xlpm.x="",_xlpm.x=0),"",_xlpm.x))</f>
        <v/>
      </c>
      <c r="O7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2" spans="1:15" ht="15" thickTop="1" thickBot="1" x14ac:dyDescent="0.5">
      <c r="A72" s="272"/>
      <c r="B72" s="273" t="str">
        <f>IF(A72="","",IFERROR(_xlfn.XLOOKUP(A72,Suivi_TMA!A:A,Suivi_TMA!B:B),""))</f>
        <v/>
      </c>
      <c r="C72" s="273" t="str">
        <f>IF(A72="","",IFERROR(_xlfn.XLOOKUP(A72,Suivi_TMA!A:A,Suivi_TMA!E:E),""))</f>
        <v/>
      </c>
      <c r="D72" s="274"/>
      <c r="E72" s="176" t="str">
        <f t="shared" si="1"/>
        <v/>
      </c>
      <c r="F72" s="274"/>
      <c r="G72" s="273" t="str">
        <f>IF(F72="","",IFERROR(VLOOKUP(F72,LOTS_ENTREPRISES!A:B,2,FALSE),""))</f>
        <v/>
      </c>
      <c r="H72" s="262" t="str">
        <f>IF(A72="","",IFERROR(IF(_xlfn.XLOOKUP(A72,Suivi_TMA!A:A,Suivi_TMA!I:I)="","",_xlfn.XLOOKUP(A72,Suivi_TMA!A:A,Suivi_TMA!I:I)),""))</f>
        <v/>
      </c>
      <c r="I72" s="275" t="str">
        <f t="shared" si="2"/>
        <v/>
      </c>
      <c r="J72" s="263" t="str">
        <f t="shared" si="3"/>
        <v/>
      </c>
      <c r="K72" s="276"/>
      <c r="L72" s="277"/>
      <c r="M72" s="273" t="str">
        <f t="shared" ca="1" si="0"/>
        <v/>
      </c>
      <c r="N72" s="266" t="str">
        <f>_xlfn.LET(_xlpm.x,_xlfn.XLOOKUP(A72,Suivi_TMA!A:A,Suivi_TMA!S:S,""),IF(OR(_xlpm.x="",_xlpm.x=0),"",_xlpm.x))</f>
        <v/>
      </c>
      <c r="O7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3" spans="1:15" ht="15" thickTop="1" thickBot="1" x14ac:dyDescent="0.5">
      <c r="A73" s="267"/>
      <c r="B73" s="263" t="str">
        <f>IF(A73="","",IFERROR(_xlfn.XLOOKUP(A73,Suivi_TMA!A:A,Suivi_TMA!B:B),""))</f>
        <v/>
      </c>
      <c r="C73" s="263" t="str">
        <f>IF(A73="","",IFERROR(_xlfn.XLOOKUP(A73,Suivi_TMA!A:A,Suivi_TMA!E:E),""))</f>
        <v/>
      </c>
      <c r="D73" s="268"/>
      <c r="E73" s="176" t="str">
        <f t="shared" si="1"/>
        <v/>
      </c>
      <c r="F73" s="268"/>
      <c r="G73" s="263" t="str">
        <f>IF(F73="","",IFERROR(VLOOKUP(F73,LOTS_ENTREPRISES!A:B,2,FALSE),""))</f>
        <v/>
      </c>
      <c r="H73" s="262" t="str">
        <f>IF(A73="","",IFERROR(IF(_xlfn.XLOOKUP(A73,Suivi_TMA!A:A,Suivi_TMA!I:I)="","",_xlfn.XLOOKUP(A73,Suivi_TMA!A:A,Suivi_TMA!I:I)),""))</f>
        <v/>
      </c>
      <c r="I73" s="269" t="str">
        <f t="shared" si="2"/>
        <v/>
      </c>
      <c r="J73" s="263" t="str">
        <f t="shared" si="3"/>
        <v/>
      </c>
      <c r="K73" s="278"/>
      <c r="L73" s="271"/>
      <c r="M73" s="263" t="str">
        <f t="shared" ca="1" si="0"/>
        <v/>
      </c>
      <c r="N73" s="266" t="str">
        <f>_xlfn.LET(_xlpm.x,_xlfn.XLOOKUP(A73,Suivi_TMA!A:A,Suivi_TMA!S:S,""),IF(OR(_xlpm.x="",_xlpm.x=0),"",_xlpm.x))</f>
        <v/>
      </c>
      <c r="O7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4" spans="1:15" ht="15" thickTop="1" thickBot="1" x14ac:dyDescent="0.5">
      <c r="A74" s="272"/>
      <c r="B74" s="273" t="str">
        <f>IF(A74="","",IFERROR(_xlfn.XLOOKUP(A74,Suivi_TMA!A:A,Suivi_TMA!B:B),""))</f>
        <v/>
      </c>
      <c r="C74" s="273" t="str">
        <f>IF(A74="","",IFERROR(_xlfn.XLOOKUP(A74,Suivi_TMA!A:A,Suivi_TMA!E:E),""))</f>
        <v/>
      </c>
      <c r="D74" s="274"/>
      <c r="E74" s="176" t="str">
        <f t="shared" si="1"/>
        <v/>
      </c>
      <c r="F74" s="274"/>
      <c r="G74" s="273" t="str">
        <f>IF(F74="","",IFERROR(VLOOKUP(F74,LOTS_ENTREPRISES!A:B,2,FALSE),""))</f>
        <v/>
      </c>
      <c r="H74" s="262" t="str">
        <f>IF(A74="","",IFERROR(IF(_xlfn.XLOOKUP(A74,Suivi_TMA!A:A,Suivi_TMA!I:I)="","",_xlfn.XLOOKUP(A74,Suivi_TMA!A:A,Suivi_TMA!I:I)),""))</f>
        <v/>
      </c>
      <c r="I74" s="275" t="str">
        <f t="shared" si="2"/>
        <v/>
      </c>
      <c r="J74" s="263" t="str">
        <f t="shared" si="3"/>
        <v/>
      </c>
      <c r="K74" s="276"/>
      <c r="L74" s="277"/>
      <c r="M74" s="273" t="str">
        <f t="shared" ca="1" si="0"/>
        <v/>
      </c>
      <c r="N74" s="266" t="str">
        <f>_xlfn.LET(_xlpm.x,_xlfn.XLOOKUP(A74,Suivi_TMA!A:A,Suivi_TMA!S:S,""),IF(OR(_xlpm.x="",_xlpm.x=0),"",_xlpm.x))</f>
        <v/>
      </c>
      <c r="O7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5" spans="1:15" ht="15" thickTop="1" thickBot="1" x14ac:dyDescent="0.5">
      <c r="A75" s="267"/>
      <c r="B75" s="263" t="str">
        <f>IF(A75="","",IFERROR(_xlfn.XLOOKUP(A75,Suivi_TMA!A:A,Suivi_TMA!B:B),""))</f>
        <v/>
      </c>
      <c r="C75" s="263" t="str">
        <f>IF(A75="","",IFERROR(_xlfn.XLOOKUP(A75,Suivi_TMA!A:A,Suivi_TMA!E:E),""))</f>
        <v/>
      </c>
      <c r="D75" s="268"/>
      <c r="E75" s="176" t="str">
        <f t="shared" si="1"/>
        <v/>
      </c>
      <c r="F75" s="268"/>
      <c r="G75" s="263" t="str">
        <f>IF(F75="","",IFERROR(VLOOKUP(F75,LOTS_ENTREPRISES!A:B,2,FALSE),""))</f>
        <v/>
      </c>
      <c r="H75" s="262" t="str">
        <f>IF(A75="","",IFERROR(IF(_xlfn.XLOOKUP(A75,Suivi_TMA!A:A,Suivi_TMA!I:I)="","",_xlfn.XLOOKUP(A75,Suivi_TMA!A:A,Suivi_TMA!I:I)),""))</f>
        <v/>
      </c>
      <c r="I75" s="269" t="str">
        <f t="shared" si="2"/>
        <v/>
      </c>
      <c r="J75" s="263" t="str">
        <f t="shared" si="3"/>
        <v/>
      </c>
      <c r="K75" s="278"/>
      <c r="L75" s="271"/>
      <c r="M75" s="263" t="str">
        <f t="shared" ca="1" si="0"/>
        <v/>
      </c>
      <c r="N75" s="266" t="str">
        <f>_xlfn.LET(_xlpm.x,_xlfn.XLOOKUP(A75,Suivi_TMA!A:A,Suivi_TMA!S:S,""),IF(OR(_xlpm.x="",_xlpm.x=0),"",_xlpm.x))</f>
        <v/>
      </c>
      <c r="O7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6" spans="1:15" ht="15" thickTop="1" thickBot="1" x14ac:dyDescent="0.5">
      <c r="A76" s="272"/>
      <c r="B76" s="273" t="str">
        <f>IF(A76="","",IFERROR(_xlfn.XLOOKUP(A76,Suivi_TMA!A:A,Suivi_TMA!B:B),""))</f>
        <v/>
      </c>
      <c r="C76" s="273" t="str">
        <f>IF(A76="","",IFERROR(_xlfn.XLOOKUP(A76,Suivi_TMA!A:A,Suivi_TMA!E:E),""))</f>
        <v/>
      </c>
      <c r="D76" s="274"/>
      <c r="E76" s="176" t="str">
        <f t="shared" si="1"/>
        <v/>
      </c>
      <c r="F76" s="274"/>
      <c r="G76" s="273" t="str">
        <f>IF(F76="","",IFERROR(VLOOKUP(F76,LOTS_ENTREPRISES!A:B,2,FALSE),""))</f>
        <v/>
      </c>
      <c r="H76" s="262" t="str">
        <f>IF(A76="","",IFERROR(IF(_xlfn.XLOOKUP(A76,Suivi_TMA!A:A,Suivi_TMA!I:I)="","",_xlfn.XLOOKUP(A76,Suivi_TMA!A:A,Suivi_TMA!I:I)),""))</f>
        <v/>
      </c>
      <c r="I76" s="275" t="str">
        <f t="shared" ref="I76:I139" si="4">IF(H76="","",H76+10)</f>
        <v/>
      </c>
      <c r="J76" s="263" t="str">
        <f t="shared" si="3"/>
        <v/>
      </c>
      <c r="K76" s="276"/>
      <c r="L76" s="277"/>
      <c r="M76" s="273" t="str">
        <f t="shared" ref="M76:M139" ca="1" si="5">IF(A76="","",IF(OR(I76="",K76&lt;&gt;""),"",IF(I76&lt;TODAY(),"EN RETARD","OK")))</f>
        <v/>
      </c>
      <c r="N76" s="266" t="str">
        <f>_xlfn.LET(_xlpm.x,_xlfn.XLOOKUP(A76,Suivi_TMA!A:A,Suivi_TMA!S:S,""),IF(OR(_xlpm.x="",_xlpm.x=0),"",_xlpm.x))</f>
        <v/>
      </c>
      <c r="O7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7" spans="1:15" ht="15" thickTop="1" thickBot="1" x14ac:dyDescent="0.5">
      <c r="A77" s="267"/>
      <c r="B77" s="263" t="str">
        <f>IF(A77="","",IFERROR(_xlfn.XLOOKUP(A77,Suivi_TMA!A:A,Suivi_TMA!B:B),""))</f>
        <v/>
      </c>
      <c r="C77" s="263" t="str">
        <f>IF(A77="","",IFERROR(_xlfn.XLOOKUP(A77,Suivi_TMA!A:A,Suivi_TMA!E:E),""))</f>
        <v/>
      </c>
      <c r="D77" s="268"/>
      <c r="E77" s="176" t="str">
        <f t="shared" ref="E77:E140" si="6">IF(N77="Refusé","Refusé",
IF(N77="Validé","Validé",
IF(K77&lt;&gt;"","Reçu",
IF(H77&lt;&gt;"","A chiffrer",""))))</f>
        <v/>
      </c>
      <c r="F77" s="268"/>
      <c r="G77" s="263" t="str">
        <f>IF(F77="","",IFERROR(VLOOKUP(F77,LOTS_ENTREPRISES!A:B,2,FALSE),""))</f>
        <v/>
      </c>
      <c r="H77" s="262" t="str">
        <f>IF(A77="","",IFERROR(IF(_xlfn.XLOOKUP(A77,Suivi_TMA!A:A,Suivi_TMA!I:I)="","",_xlfn.XLOOKUP(A77,Suivi_TMA!A:A,Suivi_TMA!I:I)),""))</f>
        <v/>
      </c>
      <c r="I77" s="269" t="str">
        <f t="shared" si="4"/>
        <v/>
      </c>
      <c r="J77" s="263" t="str">
        <f t="shared" ref="J77:J140" si="7">IF($A77="","",IF($K77="","Non","Oui"))</f>
        <v/>
      </c>
      <c r="K77" s="278"/>
      <c r="L77" s="271"/>
      <c r="M77" s="263" t="str">
        <f t="shared" ca="1" si="5"/>
        <v/>
      </c>
      <c r="N77" s="266" t="str">
        <f>_xlfn.LET(_xlpm.x,_xlfn.XLOOKUP(A77,Suivi_TMA!A:A,Suivi_TMA!S:S,""),IF(OR(_xlpm.x="",_xlpm.x=0),"",_xlpm.x))</f>
        <v/>
      </c>
      <c r="O7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8" spans="1:15" ht="15" thickTop="1" thickBot="1" x14ac:dyDescent="0.5">
      <c r="A78" s="272"/>
      <c r="B78" s="273" t="str">
        <f>IF(A78="","",IFERROR(_xlfn.XLOOKUP(A78,Suivi_TMA!A:A,Suivi_TMA!B:B),""))</f>
        <v/>
      </c>
      <c r="C78" s="273" t="str">
        <f>IF(A78="","",IFERROR(_xlfn.XLOOKUP(A78,Suivi_TMA!A:A,Suivi_TMA!E:E),""))</f>
        <v/>
      </c>
      <c r="D78" s="274"/>
      <c r="E78" s="176" t="str">
        <f t="shared" si="6"/>
        <v/>
      </c>
      <c r="F78" s="274"/>
      <c r="G78" s="273" t="str">
        <f>IF(F78="","",IFERROR(VLOOKUP(F78,LOTS_ENTREPRISES!A:B,2,FALSE),""))</f>
        <v/>
      </c>
      <c r="H78" s="262" t="str">
        <f>IF(A78="","",IFERROR(IF(_xlfn.XLOOKUP(A78,Suivi_TMA!A:A,Suivi_TMA!I:I)="","",_xlfn.XLOOKUP(A78,Suivi_TMA!A:A,Suivi_TMA!I:I)),""))</f>
        <v/>
      </c>
      <c r="I78" s="275" t="str">
        <f t="shared" si="4"/>
        <v/>
      </c>
      <c r="J78" s="263" t="str">
        <f t="shared" si="7"/>
        <v/>
      </c>
      <c r="K78" s="276"/>
      <c r="L78" s="277"/>
      <c r="M78" s="273" t="str">
        <f t="shared" ca="1" si="5"/>
        <v/>
      </c>
      <c r="N78" s="266" t="str">
        <f>_xlfn.LET(_xlpm.x,_xlfn.XLOOKUP(A78,Suivi_TMA!A:A,Suivi_TMA!S:S,""),IF(OR(_xlpm.x="",_xlpm.x=0),"",_xlpm.x))</f>
        <v/>
      </c>
      <c r="O7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79" spans="1:15" ht="15" thickTop="1" thickBot="1" x14ac:dyDescent="0.5">
      <c r="A79" s="267"/>
      <c r="B79" s="263" t="str">
        <f>IF(A79="","",IFERROR(_xlfn.XLOOKUP(A79,Suivi_TMA!A:A,Suivi_TMA!B:B),""))</f>
        <v/>
      </c>
      <c r="C79" s="263" t="str">
        <f>IF(A79="","",IFERROR(_xlfn.XLOOKUP(A79,Suivi_TMA!A:A,Suivi_TMA!E:E),""))</f>
        <v/>
      </c>
      <c r="D79" s="268"/>
      <c r="E79" s="176" t="str">
        <f t="shared" si="6"/>
        <v/>
      </c>
      <c r="F79" s="268"/>
      <c r="G79" s="263" t="str">
        <f>IF(F79="","",IFERROR(VLOOKUP(F79,LOTS_ENTREPRISES!A:B,2,FALSE),""))</f>
        <v/>
      </c>
      <c r="H79" s="262" t="str">
        <f>IF(A79="","",IFERROR(IF(_xlfn.XLOOKUP(A79,Suivi_TMA!A:A,Suivi_TMA!I:I)="","",_xlfn.XLOOKUP(A79,Suivi_TMA!A:A,Suivi_TMA!I:I)),""))</f>
        <v/>
      </c>
      <c r="I79" s="269" t="str">
        <f t="shared" si="4"/>
        <v/>
      </c>
      <c r="J79" s="263" t="str">
        <f t="shared" si="7"/>
        <v/>
      </c>
      <c r="K79" s="278"/>
      <c r="L79" s="271"/>
      <c r="M79" s="263" t="str">
        <f t="shared" ca="1" si="5"/>
        <v/>
      </c>
      <c r="N79" s="266" t="str">
        <f>_xlfn.LET(_xlpm.x,_xlfn.XLOOKUP(A79,Suivi_TMA!A:A,Suivi_TMA!S:S,""),IF(OR(_xlpm.x="",_xlpm.x=0),"",_xlpm.x))</f>
        <v/>
      </c>
      <c r="O7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0" spans="1:15" ht="15" thickTop="1" thickBot="1" x14ac:dyDescent="0.5">
      <c r="A80" s="272"/>
      <c r="B80" s="273" t="str">
        <f>IF(A80="","",IFERROR(_xlfn.XLOOKUP(A80,Suivi_TMA!A:A,Suivi_TMA!B:B),""))</f>
        <v/>
      </c>
      <c r="C80" s="273" t="str">
        <f>IF(A80="","",IFERROR(_xlfn.XLOOKUP(A80,Suivi_TMA!A:A,Suivi_TMA!E:E),""))</f>
        <v/>
      </c>
      <c r="D80" s="274"/>
      <c r="E80" s="176" t="str">
        <f t="shared" si="6"/>
        <v/>
      </c>
      <c r="F80" s="274"/>
      <c r="G80" s="273" t="str">
        <f>IF(F80="","",IFERROR(VLOOKUP(F80,LOTS_ENTREPRISES!A:B,2,FALSE),""))</f>
        <v/>
      </c>
      <c r="H80" s="262" t="str">
        <f>IF(A80="","",IFERROR(IF(_xlfn.XLOOKUP(A80,Suivi_TMA!A:A,Suivi_TMA!I:I)="","",_xlfn.XLOOKUP(A80,Suivi_TMA!A:A,Suivi_TMA!I:I)),""))</f>
        <v/>
      </c>
      <c r="I80" s="275" t="str">
        <f t="shared" si="4"/>
        <v/>
      </c>
      <c r="J80" s="263" t="str">
        <f t="shared" si="7"/>
        <v/>
      </c>
      <c r="K80" s="276"/>
      <c r="L80" s="277"/>
      <c r="M80" s="273" t="str">
        <f t="shared" ca="1" si="5"/>
        <v/>
      </c>
      <c r="N80" s="266" t="str">
        <f>_xlfn.LET(_xlpm.x,_xlfn.XLOOKUP(A80,Suivi_TMA!A:A,Suivi_TMA!S:S,""),IF(OR(_xlpm.x="",_xlpm.x=0),"",_xlpm.x))</f>
        <v/>
      </c>
      <c r="O8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1" spans="1:15" ht="15" thickTop="1" thickBot="1" x14ac:dyDescent="0.5">
      <c r="A81" s="267"/>
      <c r="B81" s="263" t="str">
        <f>IF(A81="","",IFERROR(_xlfn.XLOOKUP(A81,Suivi_TMA!A:A,Suivi_TMA!B:B),""))</f>
        <v/>
      </c>
      <c r="C81" s="263" t="str">
        <f>IF(A81="","",IFERROR(_xlfn.XLOOKUP(A81,Suivi_TMA!A:A,Suivi_TMA!E:E),""))</f>
        <v/>
      </c>
      <c r="D81" s="268"/>
      <c r="E81" s="176" t="str">
        <f t="shared" si="6"/>
        <v/>
      </c>
      <c r="F81" s="268"/>
      <c r="G81" s="263" t="str">
        <f>IF(F81="","",IFERROR(VLOOKUP(F81,LOTS_ENTREPRISES!A:B,2,FALSE),""))</f>
        <v/>
      </c>
      <c r="H81" s="262" t="str">
        <f>IF(A81="","",IFERROR(IF(_xlfn.XLOOKUP(A81,Suivi_TMA!A:A,Suivi_TMA!I:I)="","",_xlfn.XLOOKUP(A81,Suivi_TMA!A:A,Suivi_TMA!I:I)),""))</f>
        <v/>
      </c>
      <c r="I81" s="269" t="str">
        <f t="shared" si="4"/>
        <v/>
      </c>
      <c r="J81" s="263" t="str">
        <f t="shared" si="7"/>
        <v/>
      </c>
      <c r="K81" s="278"/>
      <c r="L81" s="271"/>
      <c r="M81" s="263" t="str">
        <f t="shared" ca="1" si="5"/>
        <v/>
      </c>
      <c r="N81" s="266" t="str">
        <f>_xlfn.LET(_xlpm.x,_xlfn.XLOOKUP(A81,Suivi_TMA!A:A,Suivi_TMA!S:S,""),IF(OR(_xlpm.x="",_xlpm.x=0),"",_xlpm.x))</f>
        <v/>
      </c>
      <c r="O8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2" spans="1:15" ht="15" thickTop="1" thickBot="1" x14ac:dyDescent="0.5">
      <c r="A82" s="272"/>
      <c r="B82" s="273" t="str">
        <f>IF(A82="","",IFERROR(_xlfn.XLOOKUP(A82,Suivi_TMA!A:A,Suivi_TMA!B:B),""))</f>
        <v/>
      </c>
      <c r="C82" s="273" t="str">
        <f>IF(A82="","",IFERROR(_xlfn.XLOOKUP(A82,Suivi_TMA!A:A,Suivi_TMA!E:E),""))</f>
        <v/>
      </c>
      <c r="D82" s="274"/>
      <c r="E82" s="176" t="str">
        <f t="shared" si="6"/>
        <v/>
      </c>
      <c r="F82" s="274"/>
      <c r="G82" s="273" t="str">
        <f>IF(F82="","",IFERROR(VLOOKUP(F82,LOTS_ENTREPRISES!A:B,2,FALSE),""))</f>
        <v/>
      </c>
      <c r="H82" s="262" t="str">
        <f>IF(A82="","",IFERROR(IF(_xlfn.XLOOKUP(A82,Suivi_TMA!A:A,Suivi_TMA!I:I)="","",_xlfn.XLOOKUP(A82,Suivi_TMA!A:A,Suivi_TMA!I:I)),""))</f>
        <v/>
      </c>
      <c r="I82" s="275" t="str">
        <f t="shared" si="4"/>
        <v/>
      </c>
      <c r="J82" s="263" t="str">
        <f t="shared" si="7"/>
        <v/>
      </c>
      <c r="K82" s="276"/>
      <c r="L82" s="277"/>
      <c r="M82" s="273" t="str">
        <f t="shared" ca="1" si="5"/>
        <v/>
      </c>
      <c r="N82" s="266" t="str">
        <f>_xlfn.LET(_xlpm.x,_xlfn.XLOOKUP(A82,Suivi_TMA!A:A,Suivi_TMA!S:S,""),IF(OR(_xlpm.x="",_xlpm.x=0),"",_xlpm.x))</f>
        <v/>
      </c>
      <c r="O8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3" spans="1:15" ht="15" thickTop="1" thickBot="1" x14ac:dyDescent="0.5">
      <c r="A83" s="267"/>
      <c r="B83" s="263" t="str">
        <f>IF(A83="","",IFERROR(_xlfn.XLOOKUP(A83,Suivi_TMA!A:A,Suivi_TMA!B:B),""))</f>
        <v/>
      </c>
      <c r="C83" s="263" t="str">
        <f>IF(A83="","",IFERROR(_xlfn.XLOOKUP(A83,Suivi_TMA!A:A,Suivi_TMA!E:E),""))</f>
        <v/>
      </c>
      <c r="D83" s="268"/>
      <c r="E83" s="176" t="str">
        <f t="shared" si="6"/>
        <v/>
      </c>
      <c r="F83" s="268"/>
      <c r="G83" s="263" t="str">
        <f>IF(F83="","",IFERROR(VLOOKUP(F83,LOTS_ENTREPRISES!A:B,2,FALSE),""))</f>
        <v/>
      </c>
      <c r="H83" s="262" t="str">
        <f>IF(A83="","",IFERROR(IF(_xlfn.XLOOKUP(A83,Suivi_TMA!A:A,Suivi_TMA!I:I)="","",_xlfn.XLOOKUP(A83,Suivi_TMA!A:A,Suivi_TMA!I:I)),""))</f>
        <v/>
      </c>
      <c r="I83" s="269" t="str">
        <f t="shared" si="4"/>
        <v/>
      </c>
      <c r="J83" s="263" t="str">
        <f t="shared" si="7"/>
        <v/>
      </c>
      <c r="K83" s="278"/>
      <c r="L83" s="271"/>
      <c r="M83" s="263" t="str">
        <f t="shared" ca="1" si="5"/>
        <v/>
      </c>
      <c r="N83" s="266" t="str">
        <f>_xlfn.LET(_xlpm.x,_xlfn.XLOOKUP(A83,Suivi_TMA!A:A,Suivi_TMA!S:S,""),IF(OR(_xlpm.x="",_xlpm.x=0),"",_xlpm.x))</f>
        <v/>
      </c>
      <c r="O8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4" spans="1:15" ht="15" thickTop="1" thickBot="1" x14ac:dyDescent="0.5">
      <c r="A84" s="272"/>
      <c r="B84" s="273" t="str">
        <f>IF(A84="","",IFERROR(_xlfn.XLOOKUP(A84,Suivi_TMA!A:A,Suivi_TMA!B:B),""))</f>
        <v/>
      </c>
      <c r="C84" s="273" t="str">
        <f>IF(A84="","",IFERROR(_xlfn.XLOOKUP(A84,Suivi_TMA!A:A,Suivi_TMA!E:E),""))</f>
        <v/>
      </c>
      <c r="D84" s="274"/>
      <c r="E84" s="176" t="str">
        <f t="shared" si="6"/>
        <v/>
      </c>
      <c r="F84" s="274"/>
      <c r="G84" s="273" t="str">
        <f>IF(F84="","",IFERROR(VLOOKUP(F84,LOTS_ENTREPRISES!A:B,2,FALSE),""))</f>
        <v/>
      </c>
      <c r="H84" s="262" t="str">
        <f>IF(A84="","",IFERROR(IF(_xlfn.XLOOKUP(A84,Suivi_TMA!A:A,Suivi_TMA!I:I)="","",_xlfn.XLOOKUP(A84,Suivi_TMA!A:A,Suivi_TMA!I:I)),""))</f>
        <v/>
      </c>
      <c r="I84" s="275" t="str">
        <f t="shared" si="4"/>
        <v/>
      </c>
      <c r="J84" s="263" t="str">
        <f t="shared" si="7"/>
        <v/>
      </c>
      <c r="K84" s="276"/>
      <c r="L84" s="277"/>
      <c r="M84" s="273" t="str">
        <f t="shared" ca="1" si="5"/>
        <v/>
      </c>
      <c r="N84" s="266" t="str">
        <f>_xlfn.LET(_xlpm.x,_xlfn.XLOOKUP(A84,Suivi_TMA!A:A,Suivi_TMA!S:S,""),IF(OR(_xlpm.x="",_xlpm.x=0),"",_xlpm.x))</f>
        <v/>
      </c>
      <c r="O8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5" spans="1:15" ht="15" thickTop="1" thickBot="1" x14ac:dyDescent="0.5">
      <c r="A85" s="267"/>
      <c r="B85" s="263" t="str">
        <f>IF(A85="","",IFERROR(_xlfn.XLOOKUP(A85,Suivi_TMA!A:A,Suivi_TMA!B:B),""))</f>
        <v/>
      </c>
      <c r="C85" s="263" t="str">
        <f>IF(A85="","",IFERROR(_xlfn.XLOOKUP(A85,Suivi_TMA!A:A,Suivi_TMA!E:E),""))</f>
        <v/>
      </c>
      <c r="D85" s="268"/>
      <c r="E85" s="176" t="str">
        <f t="shared" si="6"/>
        <v/>
      </c>
      <c r="F85" s="268"/>
      <c r="G85" s="263" t="str">
        <f>IF(F85="","",IFERROR(VLOOKUP(F85,LOTS_ENTREPRISES!A:B,2,FALSE),""))</f>
        <v/>
      </c>
      <c r="H85" s="262" t="str">
        <f>IF(A85="","",IFERROR(IF(_xlfn.XLOOKUP(A85,Suivi_TMA!A:A,Suivi_TMA!I:I)="","",_xlfn.XLOOKUP(A85,Suivi_TMA!A:A,Suivi_TMA!I:I)),""))</f>
        <v/>
      </c>
      <c r="I85" s="269" t="str">
        <f t="shared" si="4"/>
        <v/>
      </c>
      <c r="J85" s="263" t="str">
        <f t="shared" si="7"/>
        <v/>
      </c>
      <c r="K85" s="278"/>
      <c r="L85" s="271"/>
      <c r="M85" s="263" t="str">
        <f t="shared" ca="1" si="5"/>
        <v/>
      </c>
      <c r="N85" s="266" t="str">
        <f>_xlfn.LET(_xlpm.x,_xlfn.XLOOKUP(A85,Suivi_TMA!A:A,Suivi_TMA!S:S,""),IF(OR(_xlpm.x="",_xlpm.x=0),"",_xlpm.x))</f>
        <v/>
      </c>
      <c r="O8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6" spans="1:15" ht="15" thickTop="1" thickBot="1" x14ac:dyDescent="0.5">
      <c r="A86" s="272"/>
      <c r="B86" s="273" t="str">
        <f>IF(A86="","",IFERROR(_xlfn.XLOOKUP(A86,Suivi_TMA!A:A,Suivi_TMA!B:B),""))</f>
        <v/>
      </c>
      <c r="C86" s="273" t="str">
        <f>IF(A86="","",IFERROR(_xlfn.XLOOKUP(A86,Suivi_TMA!A:A,Suivi_TMA!E:E),""))</f>
        <v/>
      </c>
      <c r="D86" s="274"/>
      <c r="E86" s="176" t="str">
        <f t="shared" si="6"/>
        <v/>
      </c>
      <c r="F86" s="274"/>
      <c r="G86" s="273" t="str">
        <f>IF(F86="","",IFERROR(VLOOKUP(F86,LOTS_ENTREPRISES!A:B,2,FALSE),""))</f>
        <v/>
      </c>
      <c r="H86" s="262" t="str">
        <f>IF(A86="","",IFERROR(IF(_xlfn.XLOOKUP(A86,Suivi_TMA!A:A,Suivi_TMA!I:I)="","",_xlfn.XLOOKUP(A86,Suivi_TMA!A:A,Suivi_TMA!I:I)),""))</f>
        <v/>
      </c>
      <c r="I86" s="275" t="str">
        <f t="shared" si="4"/>
        <v/>
      </c>
      <c r="J86" s="263" t="str">
        <f t="shared" si="7"/>
        <v/>
      </c>
      <c r="K86" s="276"/>
      <c r="L86" s="277"/>
      <c r="M86" s="273" t="str">
        <f t="shared" ca="1" si="5"/>
        <v/>
      </c>
      <c r="N86" s="266" t="str">
        <f>_xlfn.LET(_xlpm.x,_xlfn.XLOOKUP(A86,Suivi_TMA!A:A,Suivi_TMA!S:S,""),IF(OR(_xlpm.x="",_xlpm.x=0),"",_xlpm.x))</f>
        <v/>
      </c>
      <c r="O8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7" spans="1:15" ht="15" thickTop="1" thickBot="1" x14ac:dyDescent="0.5">
      <c r="A87" s="267"/>
      <c r="B87" s="263" t="str">
        <f>IF(A87="","",IFERROR(_xlfn.XLOOKUP(A87,Suivi_TMA!A:A,Suivi_TMA!B:B),""))</f>
        <v/>
      </c>
      <c r="C87" s="263" t="str">
        <f>IF(A87="","",IFERROR(_xlfn.XLOOKUP(A87,Suivi_TMA!A:A,Suivi_TMA!E:E),""))</f>
        <v/>
      </c>
      <c r="D87" s="268"/>
      <c r="E87" s="176" t="str">
        <f t="shared" si="6"/>
        <v/>
      </c>
      <c r="F87" s="268"/>
      <c r="G87" s="263" t="str">
        <f>IF(F87="","",IFERROR(VLOOKUP(F87,LOTS_ENTREPRISES!A:B,2,FALSE),""))</f>
        <v/>
      </c>
      <c r="H87" s="262" t="str">
        <f>IF(A87="","",IFERROR(IF(_xlfn.XLOOKUP(A87,Suivi_TMA!A:A,Suivi_TMA!I:I)="","",_xlfn.XLOOKUP(A87,Suivi_TMA!A:A,Suivi_TMA!I:I)),""))</f>
        <v/>
      </c>
      <c r="I87" s="269" t="str">
        <f t="shared" si="4"/>
        <v/>
      </c>
      <c r="J87" s="263" t="str">
        <f t="shared" si="7"/>
        <v/>
      </c>
      <c r="K87" s="278"/>
      <c r="L87" s="271"/>
      <c r="M87" s="263" t="str">
        <f t="shared" ca="1" si="5"/>
        <v/>
      </c>
      <c r="N87" s="266" t="str">
        <f>_xlfn.LET(_xlpm.x,_xlfn.XLOOKUP(A87,Suivi_TMA!A:A,Suivi_TMA!S:S,""),IF(OR(_xlpm.x="",_xlpm.x=0),"",_xlpm.x))</f>
        <v/>
      </c>
      <c r="O8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8" spans="1:15" ht="15" thickTop="1" thickBot="1" x14ac:dyDescent="0.5">
      <c r="A88" s="272"/>
      <c r="B88" s="273" t="str">
        <f>IF(A88="","",IFERROR(_xlfn.XLOOKUP(A88,Suivi_TMA!A:A,Suivi_TMA!B:B),""))</f>
        <v/>
      </c>
      <c r="C88" s="273" t="str">
        <f>IF(A88="","",IFERROR(_xlfn.XLOOKUP(A88,Suivi_TMA!A:A,Suivi_TMA!E:E),""))</f>
        <v/>
      </c>
      <c r="D88" s="274"/>
      <c r="E88" s="176" t="str">
        <f t="shared" si="6"/>
        <v/>
      </c>
      <c r="F88" s="274"/>
      <c r="G88" s="273" t="str">
        <f>IF(F88="","",IFERROR(VLOOKUP(F88,LOTS_ENTREPRISES!A:B,2,FALSE),""))</f>
        <v/>
      </c>
      <c r="H88" s="262" t="str">
        <f>IF(A88="","",IFERROR(IF(_xlfn.XLOOKUP(A88,Suivi_TMA!A:A,Suivi_TMA!I:I)="","",_xlfn.XLOOKUP(A88,Suivi_TMA!A:A,Suivi_TMA!I:I)),""))</f>
        <v/>
      </c>
      <c r="I88" s="275" t="str">
        <f t="shared" si="4"/>
        <v/>
      </c>
      <c r="J88" s="263" t="str">
        <f t="shared" si="7"/>
        <v/>
      </c>
      <c r="K88" s="276"/>
      <c r="L88" s="277"/>
      <c r="M88" s="273" t="str">
        <f t="shared" ca="1" si="5"/>
        <v/>
      </c>
      <c r="N88" s="266" t="str">
        <f>_xlfn.LET(_xlpm.x,_xlfn.XLOOKUP(A88,Suivi_TMA!A:A,Suivi_TMA!S:S,""),IF(OR(_xlpm.x="",_xlpm.x=0),"",_xlpm.x))</f>
        <v/>
      </c>
      <c r="O8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89" spans="1:15" ht="15" thickTop="1" thickBot="1" x14ac:dyDescent="0.5">
      <c r="A89" s="267"/>
      <c r="B89" s="263" t="str">
        <f>IF(A89="","",IFERROR(_xlfn.XLOOKUP(A89,Suivi_TMA!A:A,Suivi_TMA!B:B),""))</f>
        <v/>
      </c>
      <c r="C89" s="263" t="str">
        <f>IF(A89="","",IFERROR(_xlfn.XLOOKUP(A89,Suivi_TMA!A:A,Suivi_TMA!E:E),""))</f>
        <v/>
      </c>
      <c r="D89" s="268"/>
      <c r="E89" s="176" t="str">
        <f t="shared" si="6"/>
        <v/>
      </c>
      <c r="F89" s="268"/>
      <c r="G89" s="263" t="str">
        <f>IF(F89="","",IFERROR(VLOOKUP(F89,LOTS_ENTREPRISES!A:B,2,FALSE),""))</f>
        <v/>
      </c>
      <c r="H89" s="262" t="str">
        <f>IF(A89="","",IFERROR(IF(_xlfn.XLOOKUP(A89,Suivi_TMA!A:A,Suivi_TMA!I:I)="","",_xlfn.XLOOKUP(A89,Suivi_TMA!A:A,Suivi_TMA!I:I)),""))</f>
        <v/>
      </c>
      <c r="I89" s="269" t="str">
        <f t="shared" si="4"/>
        <v/>
      </c>
      <c r="J89" s="263" t="str">
        <f t="shared" si="7"/>
        <v/>
      </c>
      <c r="K89" s="278"/>
      <c r="L89" s="271"/>
      <c r="M89" s="263" t="str">
        <f t="shared" ca="1" si="5"/>
        <v/>
      </c>
      <c r="N89" s="266" t="str">
        <f>_xlfn.LET(_xlpm.x,_xlfn.XLOOKUP(A89,Suivi_TMA!A:A,Suivi_TMA!S:S,""),IF(OR(_xlpm.x="",_xlpm.x=0),"",_xlpm.x))</f>
        <v/>
      </c>
      <c r="O8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0" spans="1:15" ht="15" thickTop="1" thickBot="1" x14ac:dyDescent="0.5">
      <c r="A90" s="272"/>
      <c r="B90" s="273" t="str">
        <f>IF(A90="","",IFERROR(_xlfn.XLOOKUP(A90,Suivi_TMA!A:A,Suivi_TMA!B:B),""))</f>
        <v/>
      </c>
      <c r="C90" s="273" t="str">
        <f>IF(A90="","",IFERROR(_xlfn.XLOOKUP(A90,Suivi_TMA!A:A,Suivi_TMA!E:E),""))</f>
        <v/>
      </c>
      <c r="D90" s="274"/>
      <c r="E90" s="176" t="str">
        <f t="shared" si="6"/>
        <v/>
      </c>
      <c r="F90" s="274"/>
      <c r="G90" s="273" t="str">
        <f>IF(F90="","",IFERROR(VLOOKUP(F90,LOTS_ENTREPRISES!A:B,2,FALSE),""))</f>
        <v/>
      </c>
      <c r="H90" s="262" t="str">
        <f>IF(A90="","",IFERROR(IF(_xlfn.XLOOKUP(A90,Suivi_TMA!A:A,Suivi_TMA!I:I)="","",_xlfn.XLOOKUP(A90,Suivi_TMA!A:A,Suivi_TMA!I:I)),""))</f>
        <v/>
      </c>
      <c r="I90" s="275" t="str">
        <f t="shared" si="4"/>
        <v/>
      </c>
      <c r="J90" s="263" t="str">
        <f t="shared" si="7"/>
        <v/>
      </c>
      <c r="K90" s="276"/>
      <c r="L90" s="277"/>
      <c r="M90" s="273" t="str">
        <f t="shared" ca="1" si="5"/>
        <v/>
      </c>
      <c r="N90" s="266" t="str">
        <f>_xlfn.LET(_xlpm.x,_xlfn.XLOOKUP(A90,Suivi_TMA!A:A,Suivi_TMA!S:S,""),IF(OR(_xlpm.x="",_xlpm.x=0),"",_xlpm.x))</f>
        <v/>
      </c>
      <c r="O9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1" spans="1:15" ht="15" thickTop="1" thickBot="1" x14ac:dyDescent="0.5">
      <c r="A91" s="267"/>
      <c r="B91" s="263" t="str">
        <f>IF(A91="","",IFERROR(_xlfn.XLOOKUP(A91,Suivi_TMA!A:A,Suivi_TMA!B:B),""))</f>
        <v/>
      </c>
      <c r="C91" s="263" t="str">
        <f>IF(A91="","",IFERROR(_xlfn.XLOOKUP(A91,Suivi_TMA!A:A,Suivi_TMA!E:E),""))</f>
        <v/>
      </c>
      <c r="D91" s="268"/>
      <c r="E91" s="176" t="str">
        <f t="shared" si="6"/>
        <v/>
      </c>
      <c r="F91" s="268"/>
      <c r="G91" s="263" t="str">
        <f>IF(F91="","",IFERROR(VLOOKUP(F91,LOTS_ENTREPRISES!A:B,2,FALSE),""))</f>
        <v/>
      </c>
      <c r="H91" s="262" t="str">
        <f>IF(A91="","",IFERROR(IF(_xlfn.XLOOKUP(A91,Suivi_TMA!A:A,Suivi_TMA!I:I)="","",_xlfn.XLOOKUP(A91,Suivi_TMA!A:A,Suivi_TMA!I:I)),""))</f>
        <v/>
      </c>
      <c r="I91" s="269" t="str">
        <f t="shared" si="4"/>
        <v/>
      </c>
      <c r="J91" s="263" t="str">
        <f t="shared" si="7"/>
        <v/>
      </c>
      <c r="K91" s="278"/>
      <c r="L91" s="271"/>
      <c r="M91" s="263" t="str">
        <f t="shared" ca="1" si="5"/>
        <v/>
      </c>
      <c r="N91" s="266" t="str">
        <f>_xlfn.LET(_xlpm.x,_xlfn.XLOOKUP(A91,Suivi_TMA!A:A,Suivi_TMA!S:S,""),IF(OR(_xlpm.x="",_xlpm.x=0),"",_xlpm.x))</f>
        <v/>
      </c>
      <c r="O9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2" spans="1:15" ht="15" thickTop="1" thickBot="1" x14ac:dyDescent="0.5">
      <c r="A92" s="272"/>
      <c r="B92" s="273" t="str">
        <f>IF(A92="","",IFERROR(_xlfn.XLOOKUP(A92,Suivi_TMA!A:A,Suivi_TMA!B:B),""))</f>
        <v/>
      </c>
      <c r="C92" s="273" t="str">
        <f>IF(A92="","",IFERROR(_xlfn.XLOOKUP(A92,Suivi_TMA!A:A,Suivi_TMA!E:E),""))</f>
        <v/>
      </c>
      <c r="D92" s="274"/>
      <c r="E92" s="176" t="str">
        <f t="shared" si="6"/>
        <v/>
      </c>
      <c r="F92" s="274"/>
      <c r="G92" s="273" t="str">
        <f>IF(F92="","",IFERROR(VLOOKUP(F92,LOTS_ENTREPRISES!A:B,2,FALSE),""))</f>
        <v/>
      </c>
      <c r="H92" s="262" t="str">
        <f>IF(A92="","",IFERROR(IF(_xlfn.XLOOKUP(A92,Suivi_TMA!A:A,Suivi_TMA!I:I)="","",_xlfn.XLOOKUP(A92,Suivi_TMA!A:A,Suivi_TMA!I:I)),""))</f>
        <v/>
      </c>
      <c r="I92" s="275" t="str">
        <f t="shared" si="4"/>
        <v/>
      </c>
      <c r="J92" s="263" t="str">
        <f t="shared" si="7"/>
        <v/>
      </c>
      <c r="K92" s="276"/>
      <c r="L92" s="277"/>
      <c r="M92" s="273" t="str">
        <f t="shared" ca="1" si="5"/>
        <v/>
      </c>
      <c r="N92" s="266" t="str">
        <f>_xlfn.LET(_xlpm.x,_xlfn.XLOOKUP(A92,Suivi_TMA!A:A,Suivi_TMA!S:S,""),IF(OR(_xlpm.x="",_xlpm.x=0),"",_xlpm.x))</f>
        <v/>
      </c>
      <c r="O9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3" spans="1:15" ht="15" thickTop="1" thickBot="1" x14ac:dyDescent="0.5">
      <c r="A93" s="267"/>
      <c r="B93" s="263" t="str">
        <f>IF(A93="","",IFERROR(_xlfn.XLOOKUP(A93,Suivi_TMA!A:A,Suivi_TMA!B:B),""))</f>
        <v/>
      </c>
      <c r="C93" s="263" t="str">
        <f>IF(A93="","",IFERROR(_xlfn.XLOOKUP(A93,Suivi_TMA!A:A,Suivi_TMA!E:E),""))</f>
        <v/>
      </c>
      <c r="D93" s="268"/>
      <c r="E93" s="176" t="str">
        <f t="shared" si="6"/>
        <v/>
      </c>
      <c r="F93" s="268"/>
      <c r="G93" s="263" t="str">
        <f>IF(F93="","",IFERROR(VLOOKUP(F93,LOTS_ENTREPRISES!A:B,2,FALSE),""))</f>
        <v/>
      </c>
      <c r="H93" s="262" t="str">
        <f>IF(A93="","",IFERROR(IF(_xlfn.XLOOKUP(A93,Suivi_TMA!A:A,Suivi_TMA!I:I)="","",_xlfn.XLOOKUP(A93,Suivi_TMA!A:A,Suivi_TMA!I:I)),""))</f>
        <v/>
      </c>
      <c r="I93" s="269" t="str">
        <f t="shared" si="4"/>
        <v/>
      </c>
      <c r="J93" s="263" t="str">
        <f t="shared" si="7"/>
        <v/>
      </c>
      <c r="K93" s="278"/>
      <c r="L93" s="271"/>
      <c r="M93" s="263" t="str">
        <f t="shared" ca="1" si="5"/>
        <v/>
      </c>
      <c r="N93" s="266" t="str">
        <f>_xlfn.LET(_xlpm.x,_xlfn.XLOOKUP(A93,Suivi_TMA!A:A,Suivi_TMA!S:S,""),IF(OR(_xlpm.x="",_xlpm.x=0),"",_xlpm.x))</f>
        <v/>
      </c>
      <c r="O9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4" spans="1:15" ht="15" thickTop="1" thickBot="1" x14ac:dyDescent="0.5">
      <c r="A94" s="272"/>
      <c r="B94" s="273" t="str">
        <f>IF(A94="","",IFERROR(_xlfn.XLOOKUP(A94,Suivi_TMA!A:A,Suivi_TMA!B:B),""))</f>
        <v/>
      </c>
      <c r="C94" s="273" t="str">
        <f>IF(A94="","",IFERROR(_xlfn.XLOOKUP(A94,Suivi_TMA!A:A,Suivi_TMA!E:E),""))</f>
        <v/>
      </c>
      <c r="D94" s="274"/>
      <c r="E94" s="176" t="str">
        <f t="shared" si="6"/>
        <v/>
      </c>
      <c r="F94" s="274"/>
      <c r="G94" s="273" t="str">
        <f>IF(F94="","",IFERROR(VLOOKUP(F94,LOTS_ENTREPRISES!A:B,2,FALSE),""))</f>
        <v/>
      </c>
      <c r="H94" s="262" t="str">
        <f>IF(A94="","",IFERROR(IF(_xlfn.XLOOKUP(A94,Suivi_TMA!A:A,Suivi_TMA!I:I)="","",_xlfn.XLOOKUP(A94,Suivi_TMA!A:A,Suivi_TMA!I:I)),""))</f>
        <v/>
      </c>
      <c r="I94" s="275" t="str">
        <f t="shared" si="4"/>
        <v/>
      </c>
      <c r="J94" s="263" t="str">
        <f t="shared" si="7"/>
        <v/>
      </c>
      <c r="K94" s="276"/>
      <c r="L94" s="277"/>
      <c r="M94" s="273" t="str">
        <f t="shared" ca="1" si="5"/>
        <v/>
      </c>
      <c r="N94" s="266" t="str">
        <f>_xlfn.LET(_xlpm.x,_xlfn.XLOOKUP(A94,Suivi_TMA!A:A,Suivi_TMA!S:S,""),IF(OR(_xlpm.x="",_xlpm.x=0),"",_xlpm.x))</f>
        <v/>
      </c>
      <c r="O9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5" spans="1:15" ht="15" thickTop="1" thickBot="1" x14ac:dyDescent="0.5">
      <c r="A95" s="267"/>
      <c r="B95" s="263" t="str">
        <f>IF(A95="","",IFERROR(_xlfn.XLOOKUP(A95,Suivi_TMA!A:A,Suivi_TMA!B:B),""))</f>
        <v/>
      </c>
      <c r="C95" s="263" t="str">
        <f>IF(A95="","",IFERROR(_xlfn.XLOOKUP(A95,Suivi_TMA!A:A,Suivi_TMA!E:E),""))</f>
        <v/>
      </c>
      <c r="D95" s="268"/>
      <c r="E95" s="176" t="str">
        <f t="shared" si="6"/>
        <v/>
      </c>
      <c r="F95" s="268"/>
      <c r="G95" s="263" t="str">
        <f>IF(F95="","",IFERROR(VLOOKUP(F95,LOTS_ENTREPRISES!A:B,2,FALSE),""))</f>
        <v/>
      </c>
      <c r="H95" s="262" t="str">
        <f>IF(A95="","",IFERROR(IF(_xlfn.XLOOKUP(A95,Suivi_TMA!A:A,Suivi_TMA!I:I)="","",_xlfn.XLOOKUP(A95,Suivi_TMA!A:A,Suivi_TMA!I:I)),""))</f>
        <v/>
      </c>
      <c r="I95" s="269" t="str">
        <f t="shared" si="4"/>
        <v/>
      </c>
      <c r="J95" s="263" t="str">
        <f t="shared" si="7"/>
        <v/>
      </c>
      <c r="K95" s="278"/>
      <c r="L95" s="271"/>
      <c r="M95" s="263" t="str">
        <f t="shared" ca="1" si="5"/>
        <v/>
      </c>
      <c r="N95" s="266" t="str">
        <f>_xlfn.LET(_xlpm.x,_xlfn.XLOOKUP(A95,Suivi_TMA!A:A,Suivi_TMA!S:S,""),IF(OR(_xlpm.x="",_xlpm.x=0),"",_xlpm.x))</f>
        <v/>
      </c>
      <c r="O9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6" spans="1:15" ht="15" thickTop="1" thickBot="1" x14ac:dyDescent="0.5">
      <c r="A96" s="272"/>
      <c r="B96" s="273" t="str">
        <f>IF(A96="","",IFERROR(_xlfn.XLOOKUP(A96,Suivi_TMA!A:A,Suivi_TMA!B:B),""))</f>
        <v/>
      </c>
      <c r="C96" s="273" t="str">
        <f>IF(A96="","",IFERROR(_xlfn.XLOOKUP(A96,Suivi_TMA!A:A,Suivi_TMA!E:E),""))</f>
        <v/>
      </c>
      <c r="D96" s="274"/>
      <c r="E96" s="176" t="str">
        <f t="shared" si="6"/>
        <v/>
      </c>
      <c r="F96" s="274"/>
      <c r="G96" s="273" t="str">
        <f>IF(F96="","",IFERROR(VLOOKUP(F96,LOTS_ENTREPRISES!A:B,2,FALSE),""))</f>
        <v/>
      </c>
      <c r="H96" s="262" t="str">
        <f>IF(A96="","",IFERROR(IF(_xlfn.XLOOKUP(A96,Suivi_TMA!A:A,Suivi_TMA!I:I)="","",_xlfn.XLOOKUP(A96,Suivi_TMA!A:A,Suivi_TMA!I:I)),""))</f>
        <v/>
      </c>
      <c r="I96" s="275" t="str">
        <f t="shared" si="4"/>
        <v/>
      </c>
      <c r="J96" s="263" t="str">
        <f t="shared" si="7"/>
        <v/>
      </c>
      <c r="K96" s="276"/>
      <c r="L96" s="277"/>
      <c r="M96" s="273" t="str">
        <f t="shared" ca="1" si="5"/>
        <v/>
      </c>
      <c r="N96" s="266" t="str">
        <f>_xlfn.LET(_xlpm.x,_xlfn.XLOOKUP(A96,Suivi_TMA!A:A,Suivi_TMA!S:S,""),IF(OR(_xlpm.x="",_xlpm.x=0),"",_xlpm.x))</f>
        <v/>
      </c>
      <c r="O9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7" spans="1:15" ht="15" thickTop="1" thickBot="1" x14ac:dyDescent="0.5">
      <c r="A97" s="267"/>
      <c r="B97" s="263" t="str">
        <f>IF(A97="","",IFERROR(_xlfn.XLOOKUP(A97,Suivi_TMA!A:A,Suivi_TMA!B:B),""))</f>
        <v/>
      </c>
      <c r="C97" s="263" t="str">
        <f>IF(A97="","",IFERROR(_xlfn.XLOOKUP(A97,Suivi_TMA!A:A,Suivi_TMA!E:E),""))</f>
        <v/>
      </c>
      <c r="D97" s="268"/>
      <c r="E97" s="176" t="str">
        <f t="shared" si="6"/>
        <v/>
      </c>
      <c r="F97" s="268"/>
      <c r="G97" s="263" t="str">
        <f>IF(F97="","",IFERROR(VLOOKUP(F97,LOTS_ENTREPRISES!A:B,2,FALSE),""))</f>
        <v/>
      </c>
      <c r="H97" s="262" t="str">
        <f>IF(A97="","",IFERROR(IF(_xlfn.XLOOKUP(A97,Suivi_TMA!A:A,Suivi_TMA!I:I)="","",_xlfn.XLOOKUP(A97,Suivi_TMA!A:A,Suivi_TMA!I:I)),""))</f>
        <v/>
      </c>
      <c r="I97" s="269" t="str">
        <f t="shared" si="4"/>
        <v/>
      </c>
      <c r="J97" s="263" t="str">
        <f t="shared" si="7"/>
        <v/>
      </c>
      <c r="K97" s="278"/>
      <c r="L97" s="271"/>
      <c r="M97" s="263" t="str">
        <f t="shared" ca="1" si="5"/>
        <v/>
      </c>
      <c r="N97" s="266" t="str">
        <f>_xlfn.LET(_xlpm.x,_xlfn.XLOOKUP(A97,Suivi_TMA!A:A,Suivi_TMA!S:S,""),IF(OR(_xlpm.x="",_xlpm.x=0),"",_xlpm.x))</f>
        <v/>
      </c>
      <c r="O9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8" spans="1:15" ht="15" thickTop="1" thickBot="1" x14ac:dyDescent="0.5">
      <c r="A98" s="272"/>
      <c r="B98" s="273" t="str">
        <f>IF(A98="","",IFERROR(_xlfn.XLOOKUP(A98,Suivi_TMA!A:A,Suivi_TMA!B:B),""))</f>
        <v/>
      </c>
      <c r="C98" s="273" t="str">
        <f>IF(A98="","",IFERROR(_xlfn.XLOOKUP(A98,Suivi_TMA!A:A,Suivi_TMA!E:E),""))</f>
        <v/>
      </c>
      <c r="D98" s="274"/>
      <c r="E98" s="176" t="str">
        <f t="shared" si="6"/>
        <v/>
      </c>
      <c r="F98" s="274"/>
      <c r="G98" s="273" t="str">
        <f>IF(F98="","",IFERROR(VLOOKUP(F98,LOTS_ENTREPRISES!A:B,2,FALSE),""))</f>
        <v/>
      </c>
      <c r="H98" s="262" t="str">
        <f>IF(A98="","",IFERROR(IF(_xlfn.XLOOKUP(A98,Suivi_TMA!A:A,Suivi_TMA!I:I)="","",_xlfn.XLOOKUP(A98,Suivi_TMA!A:A,Suivi_TMA!I:I)),""))</f>
        <v/>
      </c>
      <c r="I98" s="275" t="str">
        <f t="shared" si="4"/>
        <v/>
      </c>
      <c r="J98" s="263" t="str">
        <f t="shared" si="7"/>
        <v/>
      </c>
      <c r="K98" s="276"/>
      <c r="L98" s="277"/>
      <c r="M98" s="273" t="str">
        <f t="shared" ca="1" si="5"/>
        <v/>
      </c>
      <c r="N98" s="266" t="str">
        <f>_xlfn.LET(_xlpm.x,_xlfn.XLOOKUP(A98,Suivi_TMA!A:A,Suivi_TMA!S:S,""),IF(OR(_xlpm.x="",_xlpm.x=0),"",_xlpm.x))</f>
        <v/>
      </c>
      <c r="O9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99" spans="1:15" ht="15" thickTop="1" thickBot="1" x14ac:dyDescent="0.5">
      <c r="A99" s="267"/>
      <c r="B99" s="263" t="str">
        <f>IF(A99="","",IFERROR(_xlfn.XLOOKUP(A99,Suivi_TMA!A:A,Suivi_TMA!B:B),""))</f>
        <v/>
      </c>
      <c r="C99" s="263" t="str">
        <f>IF(A99="","",IFERROR(_xlfn.XLOOKUP(A99,Suivi_TMA!A:A,Suivi_TMA!E:E),""))</f>
        <v/>
      </c>
      <c r="D99" s="268"/>
      <c r="E99" s="176" t="str">
        <f t="shared" si="6"/>
        <v/>
      </c>
      <c r="F99" s="268"/>
      <c r="G99" s="263" t="str">
        <f>IF(F99="","",IFERROR(VLOOKUP(F99,LOTS_ENTREPRISES!A:B,2,FALSE),""))</f>
        <v/>
      </c>
      <c r="H99" s="262" t="str">
        <f>IF(A99="","",IFERROR(IF(_xlfn.XLOOKUP(A99,Suivi_TMA!A:A,Suivi_TMA!I:I)="","",_xlfn.XLOOKUP(A99,Suivi_TMA!A:A,Suivi_TMA!I:I)),""))</f>
        <v/>
      </c>
      <c r="I99" s="269" t="str">
        <f t="shared" si="4"/>
        <v/>
      </c>
      <c r="J99" s="263" t="str">
        <f t="shared" si="7"/>
        <v/>
      </c>
      <c r="K99" s="278"/>
      <c r="L99" s="271"/>
      <c r="M99" s="263" t="str">
        <f t="shared" ca="1" si="5"/>
        <v/>
      </c>
      <c r="N99" s="266" t="str">
        <f>_xlfn.LET(_xlpm.x,_xlfn.XLOOKUP(A99,Suivi_TMA!A:A,Suivi_TMA!S:S,""),IF(OR(_xlpm.x="",_xlpm.x=0),"",_xlpm.x))</f>
        <v/>
      </c>
      <c r="O9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0" spans="1:15" ht="15" thickTop="1" thickBot="1" x14ac:dyDescent="0.5">
      <c r="A100" s="272"/>
      <c r="B100" s="273" t="str">
        <f>IF(A100="","",IFERROR(_xlfn.XLOOKUP(A100,Suivi_TMA!A:A,Suivi_TMA!B:B),""))</f>
        <v/>
      </c>
      <c r="C100" s="273" t="str">
        <f>IF(A100="","",IFERROR(_xlfn.XLOOKUP(A100,Suivi_TMA!A:A,Suivi_TMA!E:E),""))</f>
        <v/>
      </c>
      <c r="D100" s="274"/>
      <c r="E100" s="176" t="str">
        <f t="shared" si="6"/>
        <v/>
      </c>
      <c r="F100" s="274"/>
      <c r="G100" s="273" t="str">
        <f>IF(F100="","",IFERROR(VLOOKUP(F100,LOTS_ENTREPRISES!A:B,2,FALSE),""))</f>
        <v/>
      </c>
      <c r="H100" s="262" t="str">
        <f>IF(A100="","",IFERROR(IF(_xlfn.XLOOKUP(A100,Suivi_TMA!A:A,Suivi_TMA!I:I)="","",_xlfn.XLOOKUP(A100,Suivi_TMA!A:A,Suivi_TMA!I:I)),""))</f>
        <v/>
      </c>
      <c r="I100" s="275" t="str">
        <f t="shared" si="4"/>
        <v/>
      </c>
      <c r="J100" s="263" t="str">
        <f t="shared" si="7"/>
        <v/>
      </c>
      <c r="K100" s="276"/>
      <c r="L100" s="277"/>
      <c r="M100" s="273" t="str">
        <f t="shared" ca="1" si="5"/>
        <v/>
      </c>
      <c r="N100" s="266" t="str">
        <f>_xlfn.LET(_xlpm.x,_xlfn.XLOOKUP(A100,Suivi_TMA!A:A,Suivi_TMA!S:S,""),IF(OR(_xlpm.x="",_xlpm.x=0),"",_xlpm.x))</f>
        <v/>
      </c>
      <c r="O10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1" spans="1:15" ht="15" thickTop="1" thickBot="1" x14ac:dyDescent="0.5">
      <c r="A101" s="267"/>
      <c r="B101" s="263" t="str">
        <f>IF(A101="","",IFERROR(_xlfn.XLOOKUP(A101,Suivi_TMA!A:A,Suivi_TMA!B:B),""))</f>
        <v/>
      </c>
      <c r="C101" s="263" t="str">
        <f>IF(A101="","",IFERROR(_xlfn.XLOOKUP(A101,Suivi_TMA!A:A,Suivi_TMA!E:E),""))</f>
        <v/>
      </c>
      <c r="D101" s="268"/>
      <c r="E101" s="176" t="str">
        <f t="shared" si="6"/>
        <v/>
      </c>
      <c r="F101" s="268"/>
      <c r="G101" s="263" t="str">
        <f>IF(F101="","",IFERROR(VLOOKUP(F101,LOTS_ENTREPRISES!A:B,2,FALSE),""))</f>
        <v/>
      </c>
      <c r="H101" s="262" t="str">
        <f>IF(A101="","",IFERROR(IF(_xlfn.XLOOKUP(A101,Suivi_TMA!A:A,Suivi_TMA!I:I)="","",_xlfn.XLOOKUP(A101,Suivi_TMA!A:A,Suivi_TMA!I:I)),""))</f>
        <v/>
      </c>
      <c r="I101" s="269" t="str">
        <f t="shared" si="4"/>
        <v/>
      </c>
      <c r="J101" s="263" t="str">
        <f t="shared" si="7"/>
        <v/>
      </c>
      <c r="K101" s="278"/>
      <c r="L101" s="271"/>
      <c r="M101" s="263" t="str">
        <f t="shared" ca="1" si="5"/>
        <v/>
      </c>
      <c r="N101" s="266" t="str">
        <f>_xlfn.LET(_xlpm.x,_xlfn.XLOOKUP(A101,Suivi_TMA!A:A,Suivi_TMA!S:S,""),IF(OR(_xlpm.x="",_xlpm.x=0),"",_xlpm.x))</f>
        <v/>
      </c>
      <c r="O10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2" spans="1:15" ht="15" thickTop="1" thickBot="1" x14ac:dyDescent="0.5">
      <c r="A102" s="272"/>
      <c r="B102" s="273" t="str">
        <f>IF(A102="","",IFERROR(_xlfn.XLOOKUP(A102,Suivi_TMA!A:A,Suivi_TMA!B:B),""))</f>
        <v/>
      </c>
      <c r="C102" s="273" t="str">
        <f>IF(A102="","",IFERROR(_xlfn.XLOOKUP(A102,Suivi_TMA!A:A,Suivi_TMA!E:E),""))</f>
        <v/>
      </c>
      <c r="D102" s="274"/>
      <c r="E102" s="176" t="str">
        <f t="shared" si="6"/>
        <v/>
      </c>
      <c r="F102" s="274"/>
      <c r="G102" s="273" t="str">
        <f>IF(F102="","",IFERROR(VLOOKUP(F102,LOTS_ENTREPRISES!A:B,2,FALSE),""))</f>
        <v/>
      </c>
      <c r="H102" s="262" t="str">
        <f>IF(A102="","",IFERROR(IF(_xlfn.XLOOKUP(A102,Suivi_TMA!A:A,Suivi_TMA!I:I)="","",_xlfn.XLOOKUP(A102,Suivi_TMA!A:A,Suivi_TMA!I:I)),""))</f>
        <v/>
      </c>
      <c r="I102" s="275" t="str">
        <f t="shared" si="4"/>
        <v/>
      </c>
      <c r="J102" s="263" t="str">
        <f t="shared" si="7"/>
        <v/>
      </c>
      <c r="K102" s="276"/>
      <c r="L102" s="277"/>
      <c r="M102" s="273" t="str">
        <f t="shared" ca="1" si="5"/>
        <v/>
      </c>
      <c r="N102" s="266" t="str">
        <f>_xlfn.LET(_xlpm.x,_xlfn.XLOOKUP(A102,Suivi_TMA!A:A,Suivi_TMA!S:S,""),IF(OR(_xlpm.x="",_xlpm.x=0),"",_xlpm.x))</f>
        <v/>
      </c>
      <c r="O10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3" spans="1:15" ht="15" thickTop="1" thickBot="1" x14ac:dyDescent="0.5">
      <c r="A103" s="267"/>
      <c r="B103" s="263" t="str">
        <f>IF(A103="","",IFERROR(_xlfn.XLOOKUP(A103,Suivi_TMA!A:A,Suivi_TMA!B:B),""))</f>
        <v/>
      </c>
      <c r="C103" s="263" t="str">
        <f>IF(A103="","",IFERROR(_xlfn.XLOOKUP(A103,Suivi_TMA!A:A,Suivi_TMA!E:E),""))</f>
        <v/>
      </c>
      <c r="D103" s="268"/>
      <c r="E103" s="176" t="str">
        <f t="shared" si="6"/>
        <v/>
      </c>
      <c r="F103" s="268"/>
      <c r="G103" s="263" t="str">
        <f>IF(F103="","",IFERROR(VLOOKUP(F103,LOTS_ENTREPRISES!A:B,2,FALSE),""))</f>
        <v/>
      </c>
      <c r="H103" s="262" t="str">
        <f>IF(A103="","",IFERROR(IF(_xlfn.XLOOKUP(A103,Suivi_TMA!A:A,Suivi_TMA!I:I)="","",_xlfn.XLOOKUP(A103,Suivi_TMA!A:A,Suivi_TMA!I:I)),""))</f>
        <v/>
      </c>
      <c r="I103" s="269" t="str">
        <f t="shared" si="4"/>
        <v/>
      </c>
      <c r="J103" s="263" t="str">
        <f t="shared" si="7"/>
        <v/>
      </c>
      <c r="K103" s="278"/>
      <c r="L103" s="271"/>
      <c r="M103" s="263" t="str">
        <f t="shared" ca="1" si="5"/>
        <v/>
      </c>
      <c r="N103" s="266" t="str">
        <f>_xlfn.LET(_xlpm.x,_xlfn.XLOOKUP(A103,Suivi_TMA!A:A,Suivi_TMA!S:S,""),IF(OR(_xlpm.x="",_xlpm.x=0),"",_xlpm.x))</f>
        <v/>
      </c>
      <c r="O10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4" spans="1:15" ht="15" thickTop="1" thickBot="1" x14ac:dyDescent="0.5">
      <c r="A104" s="272"/>
      <c r="B104" s="273" t="str">
        <f>IF(A104="","",IFERROR(_xlfn.XLOOKUP(A104,Suivi_TMA!A:A,Suivi_TMA!B:B),""))</f>
        <v/>
      </c>
      <c r="C104" s="273" t="str">
        <f>IF(A104="","",IFERROR(_xlfn.XLOOKUP(A104,Suivi_TMA!A:A,Suivi_TMA!E:E),""))</f>
        <v/>
      </c>
      <c r="D104" s="274"/>
      <c r="E104" s="176" t="str">
        <f t="shared" si="6"/>
        <v/>
      </c>
      <c r="F104" s="274"/>
      <c r="G104" s="273" t="str">
        <f>IF(F104="","",IFERROR(VLOOKUP(F104,LOTS_ENTREPRISES!A:B,2,FALSE),""))</f>
        <v/>
      </c>
      <c r="H104" s="262" t="str">
        <f>IF(A104="","",IFERROR(IF(_xlfn.XLOOKUP(A104,Suivi_TMA!A:A,Suivi_TMA!I:I)="","",_xlfn.XLOOKUP(A104,Suivi_TMA!A:A,Suivi_TMA!I:I)),""))</f>
        <v/>
      </c>
      <c r="I104" s="275" t="str">
        <f t="shared" si="4"/>
        <v/>
      </c>
      <c r="J104" s="263" t="str">
        <f t="shared" si="7"/>
        <v/>
      </c>
      <c r="K104" s="276"/>
      <c r="L104" s="277"/>
      <c r="M104" s="273" t="str">
        <f t="shared" ca="1" si="5"/>
        <v/>
      </c>
      <c r="N104" s="266" t="str">
        <f>_xlfn.LET(_xlpm.x,_xlfn.XLOOKUP(A104,Suivi_TMA!A:A,Suivi_TMA!S:S,""),IF(OR(_xlpm.x="",_xlpm.x=0),"",_xlpm.x))</f>
        <v/>
      </c>
      <c r="O10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5" spans="1:15" ht="15" thickTop="1" thickBot="1" x14ac:dyDescent="0.5">
      <c r="A105" s="267"/>
      <c r="B105" s="263" t="str">
        <f>IF(A105="","",IFERROR(_xlfn.XLOOKUP(A105,Suivi_TMA!A:A,Suivi_TMA!B:B),""))</f>
        <v/>
      </c>
      <c r="C105" s="263" t="str">
        <f>IF(A105="","",IFERROR(_xlfn.XLOOKUP(A105,Suivi_TMA!A:A,Suivi_TMA!E:E),""))</f>
        <v/>
      </c>
      <c r="D105" s="268"/>
      <c r="E105" s="176" t="str">
        <f t="shared" si="6"/>
        <v/>
      </c>
      <c r="F105" s="268"/>
      <c r="G105" s="263" t="str">
        <f>IF(F105="","",IFERROR(VLOOKUP(F105,LOTS_ENTREPRISES!A:B,2,FALSE),""))</f>
        <v/>
      </c>
      <c r="H105" s="262" t="str">
        <f>IF(A105="","",IFERROR(IF(_xlfn.XLOOKUP(A105,Suivi_TMA!A:A,Suivi_TMA!I:I)="","",_xlfn.XLOOKUP(A105,Suivi_TMA!A:A,Suivi_TMA!I:I)),""))</f>
        <v/>
      </c>
      <c r="I105" s="269" t="str">
        <f t="shared" si="4"/>
        <v/>
      </c>
      <c r="J105" s="263" t="str">
        <f t="shared" si="7"/>
        <v/>
      </c>
      <c r="K105" s="278"/>
      <c r="L105" s="271"/>
      <c r="M105" s="263" t="str">
        <f t="shared" ca="1" si="5"/>
        <v/>
      </c>
      <c r="N105" s="266" t="str">
        <f>_xlfn.LET(_xlpm.x,_xlfn.XLOOKUP(A105,Suivi_TMA!A:A,Suivi_TMA!S:S,""),IF(OR(_xlpm.x="",_xlpm.x=0),"",_xlpm.x))</f>
        <v/>
      </c>
      <c r="O10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6" spans="1:15" ht="15" thickTop="1" thickBot="1" x14ac:dyDescent="0.5">
      <c r="A106" s="272"/>
      <c r="B106" s="273" t="str">
        <f>IF(A106="","",IFERROR(_xlfn.XLOOKUP(A106,Suivi_TMA!A:A,Suivi_TMA!B:B),""))</f>
        <v/>
      </c>
      <c r="C106" s="273" t="str">
        <f>IF(A106="","",IFERROR(_xlfn.XLOOKUP(A106,Suivi_TMA!A:A,Suivi_TMA!E:E),""))</f>
        <v/>
      </c>
      <c r="D106" s="274"/>
      <c r="E106" s="176" t="str">
        <f t="shared" si="6"/>
        <v/>
      </c>
      <c r="F106" s="274"/>
      <c r="G106" s="273" t="str">
        <f>IF(F106="","",IFERROR(VLOOKUP(F106,LOTS_ENTREPRISES!A:B,2,FALSE),""))</f>
        <v/>
      </c>
      <c r="H106" s="262" t="str">
        <f>IF(A106="","",IFERROR(IF(_xlfn.XLOOKUP(A106,Suivi_TMA!A:A,Suivi_TMA!I:I)="","",_xlfn.XLOOKUP(A106,Suivi_TMA!A:A,Suivi_TMA!I:I)),""))</f>
        <v/>
      </c>
      <c r="I106" s="275" t="str">
        <f t="shared" si="4"/>
        <v/>
      </c>
      <c r="J106" s="263" t="str">
        <f t="shared" si="7"/>
        <v/>
      </c>
      <c r="K106" s="276"/>
      <c r="L106" s="277"/>
      <c r="M106" s="273" t="str">
        <f t="shared" ca="1" si="5"/>
        <v/>
      </c>
      <c r="N106" s="266" t="str">
        <f>_xlfn.LET(_xlpm.x,_xlfn.XLOOKUP(A106,Suivi_TMA!A:A,Suivi_TMA!S:S,""),IF(OR(_xlpm.x="",_xlpm.x=0),"",_xlpm.x))</f>
        <v/>
      </c>
      <c r="O10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7" spans="1:15" ht="15" thickTop="1" thickBot="1" x14ac:dyDescent="0.5">
      <c r="A107" s="267"/>
      <c r="B107" s="263" t="str">
        <f>IF(A107="","",IFERROR(_xlfn.XLOOKUP(A107,Suivi_TMA!A:A,Suivi_TMA!B:B),""))</f>
        <v/>
      </c>
      <c r="C107" s="263" t="str">
        <f>IF(A107="","",IFERROR(_xlfn.XLOOKUP(A107,Suivi_TMA!A:A,Suivi_TMA!E:E),""))</f>
        <v/>
      </c>
      <c r="D107" s="268"/>
      <c r="E107" s="176" t="str">
        <f t="shared" si="6"/>
        <v/>
      </c>
      <c r="F107" s="268"/>
      <c r="G107" s="263" t="str">
        <f>IF(F107="","",IFERROR(VLOOKUP(F107,LOTS_ENTREPRISES!A:B,2,FALSE),""))</f>
        <v/>
      </c>
      <c r="H107" s="262" t="str">
        <f>IF(A107="","",IFERROR(IF(_xlfn.XLOOKUP(A107,Suivi_TMA!A:A,Suivi_TMA!I:I)="","",_xlfn.XLOOKUP(A107,Suivi_TMA!A:A,Suivi_TMA!I:I)),""))</f>
        <v/>
      </c>
      <c r="I107" s="269" t="str">
        <f t="shared" si="4"/>
        <v/>
      </c>
      <c r="J107" s="263" t="str">
        <f t="shared" si="7"/>
        <v/>
      </c>
      <c r="K107" s="278"/>
      <c r="L107" s="271"/>
      <c r="M107" s="263" t="str">
        <f t="shared" ca="1" si="5"/>
        <v/>
      </c>
      <c r="N107" s="266" t="str">
        <f>_xlfn.LET(_xlpm.x,_xlfn.XLOOKUP(A107,Suivi_TMA!A:A,Suivi_TMA!S:S,""),IF(OR(_xlpm.x="",_xlpm.x=0),"",_xlpm.x))</f>
        <v/>
      </c>
      <c r="O10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8" spans="1:15" ht="15" thickTop="1" thickBot="1" x14ac:dyDescent="0.5">
      <c r="A108" s="272"/>
      <c r="B108" s="273" t="str">
        <f>IF(A108="","",IFERROR(_xlfn.XLOOKUP(A108,Suivi_TMA!A:A,Suivi_TMA!B:B),""))</f>
        <v/>
      </c>
      <c r="C108" s="273" t="str">
        <f>IF(A108="","",IFERROR(_xlfn.XLOOKUP(A108,Suivi_TMA!A:A,Suivi_TMA!E:E),""))</f>
        <v/>
      </c>
      <c r="D108" s="274"/>
      <c r="E108" s="176" t="str">
        <f t="shared" si="6"/>
        <v/>
      </c>
      <c r="F108" s="274"/>
      <c r="G108" s="273" t="str">
        <f>IF(F108="","",IFERROR(VLOOKUP(F108,LOTS_ENTREPRISES!A:B,2,FALSE),""))</f>
        <v/>
      </c>
      <c r="H108" s="262" t="str">
        <f>IF(A108="","",IFERROR(IF(_xlfn.XLOOKUP(A108,Suivi_TMA!A:A,Suivi_TMA!I:I)="","",_xlfn.XLOOKUP(A108,Suivi_TMA!A:A,Suivi_TMA!I:I)),""))</f>
        <v/>
      </c>
      <c r="I108" s="275" t="str">
        <f t="shared" si="4"/>
        <v/>
      </c>
      <c r="J108" s="263" t="str">
        <f t="shared" si="7"/>
        <v/>
      </c>
      <c r="K108" s="276"/>
      <c r="L108" s="277"/>
      <c r="M108" s="273" t="str">
        <f t="shared" ca="1" si="5"/>
        <v/>
      </c>
      <c r="N108" s="266" t="str">
        <f>_xlfn.LET(_xlpm.x,_xlfn.XLOOKUP(A108,Suivi_TMA!A:A,Suivi_TMA!S:S,""),IF(OR(_xlpm.x="",_xlpm.x=0),"",_xlpm.x))</f>
        <v/>
      </c>
      <c r="O10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09" spans="1:15" ht="15" thickTop="1" thickBot="1" x14ac:dyDescent="0.5">
      <c r="A109" s="267"/>
      <c r="B109" s="263" t="str">
        <f>IF(A109="","",IFERROR(_xlfn.XLOOKUP(A109,Suivi_TMA!A:A,Suivi_TMA!B:B),""))</f>
        <v/>
      </c>
      <c r="C109" s="263" t="str">
        <f>IF(A109="","",IFERROR(_xlfn.XLOOKUP(A109,Suivi_TMA!A:A,Suivi_TMA!E:E),""))</f>
        <v/>
      </c>
      <c r="D109" s="268"/>
      <c r="E109" s="176" t="str">
        <f t="shared" si="6"/>
        <v/>
      </c>
      <c r="F109" s="268"/>
      <c r="G109" s="263" t="str">
        <f>IF(F109="","",IFERROR(VLOOKUP(F109,LOTS_ENTREPRISES!A:B,2,FALSE),""))</f>
        <v/>
      </c>
      <c r="H109" s="262" t="str">
        <f>IF(A109="","",IFERROR(IF(_xlfn.XLOOKUP(A109,Suivi_TMA!A:A,Suivi_TMA!I:I)="","",_xlfn.XLOOKUP(A109,Suivi_TMA!A:A,Suivi_TMA!I:I)),""))</f>
        <v/>
      </c>
      <c r="I109" s="269" t="str">
        <f t="shared" si="4"/>
        <v/>
      </c>
      <c r="J109" s="263" t="str">
        <f t="shared" si="7"/>
        <v/>
      </c>
      <c r="K109" s="278"/>
      <c r="L109" s="271"/>
      <c r="M109" s="263" t="str">
        <f t="shared" ca="1" si="5"/>
        <v/>
      </c>
      <c r="N109" s="266" t="str">
        <f>_xlfn.LET(_xlpm.x,_xlfn.XLOOKUP(A109,Suivi_TMA!A:A,Suivi_TMA!S:S,""),IF(OR(_xlpm.x="",_xlpm.x=0),"",_xlpm.x))</f>
        <v/>
      </c>
      <c r="O10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0" spans="1:15" ht="15" thickTop="1" thickBot="1" x14ac:dyDescent="0.5">
      <c r="A110" s="272"/>
      <c r="B110" s="273" t="str">
        <f>IF(A110="","",IFERROR(_xlfn.XLOOKUP(A110,Suivi_TMA!A:A,Suivi_TMA!B:B),""))</f>
        <v/>
      </c>
      <c r="C110" s="273" t="str">
        <f>IF(A110="","",IFERROR(_xlfn.XLOOKUP(A110,Suivi_TMA!A:A,Suivi_TMA!E:E),""))</f>
        <v/>
      </c>
      <c r="D110" s="274"/>
      <c r="E110" s="176" t="str">
        <f t="shared" si="6"/>
        <v/>
      </c>
      <c r="F110" s="274"/>
      <c r="G110" s="273" t="str">
        <f>IF(F110="","",IFERROR(VLOOKUP(F110,LOTS_ENTREPRISES!A:B,2,FALSE),""))</f>
        <v/>
      </c>
      <c r="H110" s="262" t="str">
        <f>IF(A110="","",IFERROR(IF(_xlfn.XLOOKUP(A110,Suivi_TMA!A:A,Suivi_TMA!I:I)="","",_xlfn.XLOOKUP(A110,Suivi_TMA!A:A,Suivi_TMA!I:I)),""))</f>
        <v/>
      </c>
      <c r="I110" s="275" t="str">
        <f t="shared" si="4"/>
        <v/>
      </c>
      <c r="J110" s="263" t="str">
        <f t="shared" si="7"/>
        <v/>
      </c>
      <c r="K110" s="276"/>
      <c r="L110" s="277"/>
      <c r="M110" s="273" t="str">
        <f t="shared" ca="1" si="5"/>
        <v/>
      </c>
      <c r="N110" s="266" t="str">
        <f>_xlfn.LET(_xlpm.x,_xlfn.XLOOKUP(A110,Suivi_TMA!A:A,Suivi_TMA!S:S,""),IF(OR(_xlpm.x="",_xlpm.x=0),"",_xlpm.x))</f>
        <v/>
      </c>
      <c r="O11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1" spans="1:15" ht="15" thickTop="1" thickBot="1" x14ac:dyDescent="0.5">
      <c r="A111" s="267"/>
      <c r="B111" s="263" t="str">
        <f>IF(A111="","",IFERROR(_xlfn.XLOOKUP(A111,Suivi_TMA!A:A,Suivi_TMA!B:B),""))</f>
        <v/>
      </c>
      <c r="C111" s="263" t="str">
        <f>IF(A111="","",IFERROR(_xlfn.XLOOKUP(A111,Suivi_TMA!A:A,Suivi_TMA!E:E),""))</f>
        <v/>
      </c>
      <c r="D111" s="268"/>
      <c r="E111" s="176" t="str">
        <f t="shared" si="6"/>
        <v/>
      </c>
      <c r="F111" s="268"/>
      <c r="G111" s="263" t="str">
        <f>IF(F111="","",IFERROR(VLOOKUP(F111,LOTS_ENTREPRISES!A:B,2,FALSE),""))</f>
        <v/>
      </c>
      <c r="H111" s="262" t="str">
        <f>IF(A111="","",IFERROR(IF(_xlfn.XLOOKUP(A111,Suivi_TMA!A:A,Suivi_TMA!I:I)="","",_xlfn.XLOOKUP(A111,Suivi_TMA!A:A,Suivi_TMA!I:I)),""))</f>
        <v/>
      </c>
      <c r="I111" s="269" t="str">
        <f t="shared" si="4"/>
        <v/>
      </c>
      <c r="J111" s="263" t="str">
        <f t="shared" si="7"/>
        <v/>
      </c>
      <c r="K111" s="278"/>
      <c r="L111" s="271"/>
      <c r="M111" s="263" t="str">
        <f t="shared" ca="1" si="5"/>
        <v/>
      </c>
      <c r="N111" s="266" t="str">
        <f>_xlfn.LET(_xlpm.x,_xlfn.XLOOKUP(A111,Suivi_TMA!A:A,Suivi_TMA!S:S,""),IF(OR(_xlpm.x="",_xlpm.x=0),"",_xlpm.x))</f>
        <v/>
      </c>
      <c r="O11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2" spans="1:15" ht="15" thickTop="1" thickBot="1" x14ac:dyDescent="0.5">
      <c r="A112" s="272"/>
      <c r="B112" s="273" t="str">
        <f>IF(A112="","",IFERROR(_xlfn.XLOOKUP(A112,Suivi_TMA!A:A,Suivi_TMA!B:B),""))</f>
        <v/>
      </c>
      <c r="C112" s="273" t="str">
        <f>IF(A112="","",IFERROR(_xlfn.XLOOKUP(A112,Suivi_TMA!A:A,Suivi_TMA!E:E),""))</f>
        <v/>
      </c>
      <c r="D112" s="274"/>
      <c r="E112" s="176" t="str">
        <f t="shared" si="6"/>
        <v/>
      </c>
      <c r="F112" s="274"/>
      <c r="G112" s="273" t="str">
        <f>IF(F112="","",IFERROR(VLOOKUP(F112,LOTS_ENTREPRISES!A:B,2,FALSE),""))</f>
        <v/>
      </c>
      <c r="H112" s="262" t="str">
        <f>IF(A112="","",IFERROR(IF(_xlfn.XLOOKUP(A112,Suivi_TMA!A:A,Suivi_TMA!I:I)="","",_xlfn.XLOOKUP(A112,Suivi_TMA!A:A,Suivi_TMA!I:I)),""))</f>
        <v/>
      </c>
      <c r="I112" s="275" t="str">
        <f t="shared" si="4"/>
        <v/>
      </c>
      <c r="J112" s="263" t="str">
        <f t="shared" si="7"/>
        <v/>
      </c>
      <c r="K112" s="276"/>
      <c r="L112" s="277"/>
      <c r="M112" s="273" t="str">
        <f t="shared" ca="1" si="5"/>
        <v/>
      </c>
      <c r="N112" s="266" t="str">
        <f>_xlfn.LET(_xlpm.x,_xlfn.XLOOKUP(A112,Suivi_TMA!A:A,Suivi_TMA!S:S,""),IF(OR(_xlpm.x="",_xlpm.x=0),"",_xlpm.x))</f>
        <v/>
      </c>
      <c r="O11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3" spans="1:15" ht="15" thickTop="1" thickBot="1" x14ac:dyDescent="0.5">
      <c r="A113" s="267"/>
      <c r="B113" s="263" t="str">
        <f>IF(A113="","",IFERROR(_xlfn.XLOOKUP(A113,Suivi_TMA!A:A,Suivi_TMA!B:B),""))</f>
        <v/>
      </c>
      <c r="C113" s="263" t="str">
        <f>IF(A113="","",IFERROR(_xlfn.XLOOKUP(A113,Suivi_TMA!A:A,Suivi_TMA!E:E),""))</f>
        <v/>
      </c>
      <c r="D113" s="268"/>
      <c r="E113" s="176" t="str">
        <f t="shared" si="6"/>
        <v/>
      </c>
      <c r="F113" s="268"/>
      <c r="G113" s="263" t="str">
        <f>IF(F113="","",IFERROR(VLOOKUP(F113,LOTS_ENTREPRISES!A:B,2,FALSE),""))</f>
        <v/>
      </c>
      <c r="H113" s="262" t="str">
        <f>IF(A113="","",IFERROR(IF(_xlfn.XLOOKUP(A113,Suivi_TMA!A:A,Suivi_TMA!I:I)="","",_xlfn.XLOOKUP(A113,Suivi_TMA!A:A,Suivi_TMA!I:I)),""))</f>
        <v/>
      </c>
      <c r="I113" s="269" t="str">
        <f t="shared" si="4"/>
        <v/>
      </c>
      <c r="J113" s="263" t="str">
        <f t="shared" si="7"/>
        <v/>
      </c>
      <c r="K113" s="278"/>
      <c r="L113" s="271"/>
      <c r="M113" s="263" t="str">
        <f t="shared" ca="1" si="5"/>
        <v/>
      </c>
      <c r="N113" s="266" t="str">
        <f>_xlfn.LET(_xlpm.x,_xlfn.XLOOKUP(A113,Suivi_TMA!A:A,Suivi_TMA!S:S,""),IF(OR(_xlpm.x="",_xlpm.x=0),"",_xlpm.x))</f>
        <v/>
      </c>
      <c r="O11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4" spans="1:15" ht="15" thickTop="1" thickBot="1" x14ac:dyDescent="0.5">
      <c r="A114" s="272"/>
      <c r="B114" s="273" t="str">
        <f>IF(A114="","",IFERROR(_xlfn.XLOOKUP(A114,Suivi_TMA!A:A,Suivi_TMA!B:B),""))</f>
        <v/>
      </c>
      <c r="C114" s="273" t="str">
        <f>IF(A114="","",IFERROR(_xlfn.XLOOKUP(A114,Suivi_TMA!A:A,Suivi_TMA!E:E),""))</f>
        <v/>
      </c>
      <c r="D114" s="274"/>
      <c r="E114" s="176" t="str">
        <f t="shared" si="6"/>
        <v/>
      </c>
      <c r="F114" s="274"/>
      <c r="G114" s="273" t="str">
        <f>IF(F114="","",IFERROR(VLOOKUP(F114,LOTS_ENTREPRISES!A:B,2,FALSE),""))</f>
        <v/>
      </c>
      <c r="H114" s="262" t="str">
        <f>IF(A114="","",IFERROR(IF(_xlfn.XLOOKUP(A114,Suivi_TMA!A:A,Suivi_TMA!I:I)="","",_xlfn.XLOOKUP(A114,Suivi_TMA!A:A,Suivi_TMA!I:I)),""))</f>
        <v/>
      </c>
      <c r="I114" s="275" t="str">
        <f t="shared" si="4"/>
        <v/>
      </c>
      <c r="J114" s="263" t="str">
        <f t="shared" si="7"/>
        <v/>
      </c>
      <c r="K114" s="276"/>
      <c r="L114" s="277"/>
      <c r="M114" s="273" t="str">
        <f t="shared" ca="1" si="5"/>
        <v/>
      </c>
      <c r="N114" s="266" t="str">
        <f>_xlfn.LET(_xlpm.x,_xlfn.XLOOKUP(A114,Suivi_TMA!A:A,Suivi_TMA!S:S,""),IF(OR(_xlpm.x="",_xlpm.x=0),"",_xlpm.x))</f>
        <v/>
      </c>
      <c r="O11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5" spans="1:15" ht="15" thickTop="1" thickBot="1" x14ac:dyDescent="0.5">
      <c r="A115" s="267"/>
      <c r="B115" s="263" t="str">
        <f>IF(A115="","",IFERROR(_xlfn.XLOOKUP(A115,Suivi_TMA!A:A,Suivi_TMA!B:B),""))</f>
        <v/>
      </c>
      <c r="C115" s="263" t="str">
        <f>IF(A115="","",IFERROR(_xlfn.XLOOKUP(A115,Suivi_TMA!A:A,Suivi_TMA!E:E),""))</f>
        <v/>
      </c>
      <c r="D115" s="268"/>
      <c r="E115" s="176" t="str">
        <f t="shared" si="6"/>
        <v/>
      </c>
      <c r="F115" s="268"/>
      <c r="G115" s="263" t="str">
        <f>IF(F115="","",IFERROR(VLOOKUP(F115,LOTS_ENTREPRISES!A:B,2,FALSE),""))</f>
        <v/>
      </c>
      <c r="H115" s="262" t="str">
        <f>IF(A115="","",IFERROR(IF(_xlfn.XLOOKUP(A115,Suivi_TMA!A:A,Suivi_TMA!I:I)="","",_xlfn.XLOOKUP(A115,Suivi_TMA!A:A,Suivi_TMA!I:I)),""))</f>
        <v/>
      </c>
      <c r="I115" s="269" t="str">
        <f t="shared" si="4"/>
        <v/>
      </c>
      <c r="J115" s="263" t="str">
        <f t="shared" si="7"/>
        <v/>
      </c>
      <c r="K115" s="278"/>
      <c r="L115" s="271"/>
      <c r="M115" s="263" t="str">
        <f t="shared" ca="1" si="5"/>
        <v/>
      </c>
      <c r="N115" s="266" t="str">
        <f>_xlfn.LET(_xlpm.x,_xlfn.XLOOKUP(A115,Suivi_TMA!A:A,Suivi_TMA!S:S,""),IF(OR(_xlpm.x="",_xlpm.x=0),"",_xlpm.x))</f>
        <v/>
      </c>
      <c r="O11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6" spans="1:15" ht="15" thickTop="1" thickBot="1" x14ac:dyDescent="0.5">
      <c r="A116" s="272"/>
      <c r="B116" s="273" t="str">
        <f>IF(A116="","",IFERROR(_xlfn.XLOOKUP(A116,Suivi_TMA!A:A,Suivi_TMA!B:B),""))</f>
        <v/>
      </c>
      <c r="C116" s="273" t="str">
        <f>IF(A116="","",IFERROR(_xlfn.XLOOKUP(A116,Suivi_TMA!A:A,Suivi_TMA!E:E),""))</f>
        <v/>
      </c>
      <c r="D116" s="274"/>
      <c r="E116" s="176" t="str">
        <f t="shared" si="6"/>
        <v/>
      </c>
      <c r="F116" s="274"/>
      <c r="G116" s="273" t="str">
        <f>IF(F116="","",IFERROR(VLOOKUP(F116,LOTS_ENTREPRISES!A:B,2,FALSE),""))</f>
        <v/>
      </c>
      <c r="H116" s="262" t="str">
        <f>IF(A116="","",IFERROR(IF(_xlfn.XLOOKUP(A116,Suivi_TMA!A:A,Suivi_TMA!I:I)="","",_xlfn.XLOOKUP(A116,Suivi_TMA!A:A,Suivi_TMA!I:I)),""))</f>
        <v/>
      </c>
      <c r="I116" s="275" t="str">
        <f t="shared" si="4"/>
        <v/>
      </c>
      <c r="J116" s="263" t="str">
        <f t="shared" si="7"/>
        <v/>
      </c>
      <c r="K116" s="276"/>
      <c r="L116" s="277"/>
      <c r="M116" s="273" t="str">
        <f t="shared" ca="1" si="5"/>
        <v/>
      </c>
      <c r="N116" s="266" t="str">
        <f>_xlfn.LET(_xlpm.x,_xlfn.XLOOKUP(A116,Suivi_TMA!A:A,Suivi_TMA!S:S,""),IF(OR(_xlpm.x="",_xlpm.x=0),"",_xlpm.x))</f>
        <v/>
      </c>
      <c r="O11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7" spans="1:15" ht="15" thickTop="1" thickBot="1" x14ac:dyDescent="0.5">
      <c r="A117" s="267"/>
      <c r="B117" s="263" t="str">
        <f>IF(A117="","",IFERROR(_xlfn.XLOOKUP(A117,Suivi_TMA!A:A,Suivi_TMA!B:B),""))</f>
        <v/>
      </c>
      <c r="C117" s="263" t="str">
        <f>IF(A117="","",IFERROR(_xlfn.XLOOKUP(A117,Suivi_TMA!A:A,Suivi_TMA!E:E),""))</f>
        <v/>
      </c>
      <c r="D117" s="268"/>
      <c r="E117" s="176" t="str">
        <f t="shared" si="6"/>
        <v/>
      </c>
      <c r="F117" s="268"/>
      <c r="G117" s="263" t="str">
        <f>IF(F117="","",IFERROR(VLOOKUP(F117,LOTS_ENTREPRISES!A:B,2,FALSE),""))</f>
        <v/>
      </c>
      <c r="H117" s="262" t="str">
        <f>IF(A117="","",IFERROR(IF(_xlfn.XLOOKUP(A117,Suivi_TMA!A:A,Suivi_TMA!I:I)="","",_xlfn.XLOOKUP(A117,Suivi_TMA!A:A,Suivi_TMA!I:I)),""))</f>
        <v/>
      </c>
      <c r="I117" s="269" t="str">
        <f t="shared" si="4"/>
        <v/>
      </c>
      <c r="J117" s="263" t="str">
        <f t="shared" si="7"/>
        <v/>
      </c>
      <c r="K117" s="278"/>
      <c r="L117" s="271"/>
      <c r="M117" s="263" t="str">
        <f t="shared" ca="1" si="5"/>
        <v/>
      </c>
      <c r="N117" s="266" t="str">
        <f>_xlfn.LET(_xlpm.x,_xlfn.XLOOKUP(A117,Suivi_TMA!A:A,Suivi_TMA!S:S,""),IF(OR(_xlpm.x="",_xlpm.x=0),"",_xlpm.x))</f>
        <v/>
      </c>
      <c r="O11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8" spans="1:15" ht="15" thickTop="1" thickBot="1" x14ac:dyDescent="0.5">
      <c r="A118" s="272"/>
      <c r="B118" s="273" t="str">
        <f>IF(A118="","",IFERROR(_xlfn.XLOOKUP(A118,Suivi_TMA!A:A,Suivi_TMA!B:B),""))</f>
        <v/>
      </c>
      <c r="C118" s="273" t="str">
        <f>IF(A118="","",IFERROR(_xlfn.XLOOKUP(A118,Suivi_TMA!A:A,Suivi_TMA!E:E),""))</f>
        <v/>
      </c>
      <c r="D118" s="274"/>
      <c r="E118" s="176" t="str">
        <f t="shared" si="6"/>
        <v/>
      </c>
      <c r="F118" s="274"/>
      <c r="G118" s="273" t="str">
        <f>IF(F118="","",IFERROR(VLOOKUP(F118,LOTS_ENTREPRISES!A:B,2,FALSE),""))</f>
        <v/>
      </c>
      <c r="H118" s="262" t="str">
        <f>IF(A118="","",IFERROR(IF(_xlfn.XLOOKUP(A118,Suivi_TMA!A:A,Suivi_TMA!I:I)="","",_xlfn.XLOOKUP(A118,Suivi_TMA!A:A,Suivi_TMA!I:I)),""))</f>
        <v/>
      </c>
      <c r="I118" s="275" t="str">
        <f t="shared" si="4"/>
        <v/>
      </c>
      <c r="J118" s="263" t="str">
        <f t="shared" si="7"/>
        <v/>
      </c>
      <c r="K118" s="276"/>
      <c r="L118" s="277"/>
      <c r="M118" s="273" t="str">
        <f t="shared" ca="1" si="5"/>
        <v/>
      </c>
      <c r="N118" s="266" t="str">
        <f>_xlfn.LET(_xlpm.x,_xlfn.XLOOKUP(A118,Suivi_TMA!A:A,Suivi_TMA!S:S,""),IF(OR(_xlpm.x="",_xlpm.x=0),"",_xlpm.x))</f>
        <v/>
      </c>
      <c r="O11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19" spans="1:15" ht="15" thickTop="1" thickBot="1" x14ac:dyDescent="0.5">
      <c r="A119" s="267"/>
      <c r="B119" s="263" t="str">
        <f>IF(A119="","",IFERROR(_xlfn.XLOOKUP(A119,Suivi_TMA!A:A,Suivi_TMA!B:B),""))</f>
        <v/>
      </c>
      <c r="C119" s="263" t="str">
        <f>IF(A119="","",IFERROR(_xlfn.XLOOKUP(A119,Suivi_TMA!A:A,Suivi_TMA!E:E),""))</f>
        <v/>
      </c>
      <c r="D119" s="268"/>
      <c r="E119" s="176" t="str">
        <f t="shared" si="6"/>
        <v/>
      </c>
      <c r="F119" s="268"/>
      <c r="G119" s="263" t="str">
        <f>IF(F119="","",IFERROR(VLOOKUP(F119,LOTS_ENTREPRISES!A:B,2,FALSE),""))</f>
        <v/>
      </c>
      <c r="H119" s="262" t="str">
        <f>IF(A119="","",IFERROR(IF(_xlfn.XLOOKUP(A119,Suivi_TMA!A:A,Suivi_TMA!I:I)="","",_xlfn.XLOOKUP(A119,Suivi_TMA!A:A,Suivi_TMA!I:I)),""))</f>
        <v/>
      </c>
      <c r="I119" s="269" t="str">
        <f t="shared" si="4"/>
        <v/>
      </c>
      <c r="J119" s="263" t="str">
        <f t="shared" si="7"/>
        <v/>
      </c>
      <c r="K119" s="278"/>
      <c r="L119" s="271"/>
      <c r="M119" s="263" t="str">
        <f t="shared" ca="1" si="5"/>
        <v/>
      </c>
      <c r="N119" s="266" t="str">
        <f>_xlfn.LET(_xlpm.x,_xlfn.XLOOKUP(A119,Suivi_TMA!A:A,Suivi_TMA!S:S,""),IF(OR(_xlpm.x="",_xlpm.x=0),"",_xlpm.x))</f>
        <v/>
      </c>
      <c r="O11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0" spans="1:15" ht="15" thickTop="1" thickBot="1" x14ac:dyDescent="0.5">
      <c r="A120" s="272"/>
      <c r="B120" s="273" t="str">
        <f>IF(A120="","",IFERROR(_xlfn.XLOOKUP(A120,Suivi_TMA!A:A,Suivi_TMA!B:B),""))</f>
        <v/>
      </c>
      <c r="C120" s="273" t="str">
        <f>IF(A120="","",IFERROR(_xlfn.XLOOKUP(A120,Suivi_TMA!A:A,Suivi_TMA!E:E),""))</f>
        <v/>
      </c>
      <c r="D120" s="274"/>
      <c r="E120" s="176" t="str">
        <f t="shared" si="6"/>
        <v/>
      </c>
      <c r="F120" s="274"/>
      <c r="G120" s="273" t="str">
        <f>IF(F120="","",IFERROR(VLOOKUP(F120,LOTS_ENTREPRISES!A:B,2,FALSE),""))</f>
        <v/>
      </c>
      <c r="H120" s="262" t="str">
        <f>IF(A120="","",IFERROR(IF(_xlfn.XLOOKUP(A120,Suivi_TMA!A:A,Suivi_TMA!I:I)="","",_xlfn.XLOOKUP(A120,Suivi_TMA!A:A,Suivi_TMA!I:I)),""))</f>
        <v/>
      </c>
      <c r="I120" s="275" t="str">
        <f t="shared" si="4"/>
        <v/>
      </c>
      <c r="J120" s="263" t="str">
        <f t="shared" si="7"/>
        <v/>
      </c>
      <c r="K120" s="276"/>
      <c r="L120" s="277"/>
      <c r="M120" s="273" t="str">
        <f t="shared" ca="1" si="5"/>
        <v/>
      </c>
      <c r="N120" s="266" t="str">
        <f>_xlfn.LET(_xlpm.x,_xlfn.XLOOKUP(A120,Suivi_TMA!A:A,Suivi_TMA!S:S,""),IF(OR(_xlpm.x="",_xlpm.x=0),"",_xlpm.x))</f>
        <v/>
      </c>
      <c r="O12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1" spans="1:15" ht="15" thickTop="1" thickBot="1" x14ac:dyDescent="0.5">
      <c r="A121" s="267"/>
      <c r="B121" s="263" t="str">
        <f>IF(A121="","",IFERROR(_xlfn.XLOOKUP(A121,Suivi_TMA!A:A,Suivi_TMA!B:B),""))</f>
        <v/>
      </c>
      <c r="C121" s="263" t="str">
        <f>IF(A121="","",IFERROR(_xlfn.XLOOKUP(A121,Suivi_TMA!A:A,Suivi_TMA!E:E),""))</f>
        <v/>
      </c>
      <c r="D121" s="268"/>
      <c r="E121" s="176" t="str">
        <f t="shared" si="6"/>
        <v/>
      </c>
      <c r="F121" s="268"/>
      <c r="G121" s="263" t="str">
        <f>IF(F121="","",IFERROR(VLOOKUP(F121,LOTS_ENTREPRISES!A:B,2,FALSE),""))</f>
        <v/>
      </c>
      <c r="H121" s="262" t="str">
        <f>IF(A121="","",IFERROR(IF(_xlfn.XLOOKUP(A121,Suivi_TMA!A:A,Suivi_TMA!I:I)="","",_xlfn.XLOOKUP(A121,Suivi_TMA!A:A,Suivi_TMA!I:I)),""))</f>
        <v/>
      </c>
      <c r="I121" s="269" t="str">
        <f t="shared" si="4"/>
        <v/>
      </c>
      <c r="J121" s="263" t="str">
        <f t="shared" si="7"/>
        <v/>
      </c>
      <c r="K121" s="278"/>
      <c r="L121" s="271"/>
      <c r="M121" s="263" t="str">
        <f t="shared" ca="1" si="5"/>
        <v/>
      </c>
      <c r="N121" s="266" t="str">
        <f>_xlfn.LET(_xlpm.x,_xlfn.XLOOKUP(A121,Suivi_TMA!A:A,Suivi_TMA!S:S,""),IF(OR(_xlpm.x="",_xlpm.x=0),"",_xlpm.x))</f>
        <v/>
      </c>
      <c r="O12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2" spans="1:15" ht="15" thickTop="1" thickBot="1" x14ac:dyDescent="0.5">
      <c r="A122" s="272"/>
      <c r="B122" s="273" t="str">
        <f>IF(A122="","",IFERROR(_xlfn.XLOOKUP(A122,Suivi_TMA!A:A,Suivi_TMA!B:B),""))</f>
        <v/>
      </c>
      <c r="C122" s="273" t="str">
        <f>IF(A122="","",IFERROR(_xlfn.XLOOKUP(A122,Suivi_TMA!A:A,Suivi_TMA!E:E),""))</f>
        <v/>
      </c>
      <c r="D122" s="274"/>
      <c r="E122" s="176" t="str">
        <f t="shared" si="6"/>
        <v/>
      </c>
      <c r="F122" s="274"/>
      <c r="G122" s="273" t="str">
        <f>IF(F122="","",IFERROR(VLOOKUP(F122,LOTS_ENTREPRISES!A:B,2,FALSE),""))</f>
        <v/>
      </c>
      <c r="H122" s="262" t="str">
        <f>IF(A122="","",IFERROR(IF(_xlfn.XLOOKUP(A122,Suivi_TMA!A:A,Suivi_TMA!I:I)="","",_xlfn.XLOOKUP(A122,Suivi_TMA!A:A,Suivi_TMA!I:I)),""))</f>
        <v/>
      </c>
      <c r="I122" s="275" t="str">
        <f t="shared" si="4"/>
        <v/>
      </c>
      <c r="J122" s="263" t="str">
        <f t="shared" si="7"/>
        <v/>
      </c>
      <c r="K122" s="276"/>
      <c r="L122" s="277"/>
      <c r="M122" s="273" t="str">
        <f t="shared" ca="1" si="5"/>
        <v/>
      </c>
      <c r="N122" s="266" t="str">
        <f>_xlfn.LET(_xlpm.x,_xlfn.XLOOKUP(A122,Suivi_TMA!A:A,Suivi_TMA!S:S,""),IF(OR(_xlpm.x="",_xlpm.x=0),"",_xlpm.x))</f>
        <v/>
      </c>
      <c r="O12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3" spans="1:15" ht="15" thickTop="1" thickBot="1" x14ac:dyDescent="0.5">
      <c r="A123" s="267"/>
      <c r="B123" s="263" t="str">
        <f>IF(A123="","",IFERROR(_xlfn.XLOOKUP(A123,Suivi_TMA!A:A,Suivi_TMA!B:B),""))</f>
        <v/>
      </c>
      <c r="C123" s="263" t="str">
        <f>IF(A123="","",IFERROR(_xlfn.XLOOKUP(A123,Suivi_TMA!A:A,Suivi_TMA!E:E),""))</f>
        <v/>
      </c>
      <c r="D123" s="268"/>
      <c r="E123" s="176" t="str">
        <f t="shared" si="6"/>
        <v/>
      </c>
      <c r="F123" s="268"/>
      <c r="G123" s="263" t="str">
        <f>IF(F123="","",IFERROR(VLOOKUP(F123,LOTS_ENTREPRISES!A:B,2,FALSE),""))</f>
        <v/>
      </c>
      <c r="H123" s="262" t="str">
        <f>IF(A123="","",IFERROR(IF(_xlfn.XLOOKUP(A123,Suivi_TMA!A:A,Suivi_TMA!I:I)="","",_xlfn.XLOOKUP(A123,Suivi_TMA!A:A,Suivi_TMA!I:I)),""))</f>
        <v/>
      </c>
      <c r="I123" s="269" t="str">
        <f t="shared" si="4"/>
        <v/>
      </c>
      <c r="J123" s="263" t="str">
        <f t="shared" si="7"/>
        <v/>
      </c>
      <c r="K123" s="278"/>
      <c r="L123" s="271"/>
      <c r="M123" s="263" t="str">
        <f t="shared" ca="1" si="5"/>
        <v/>
      </c>
      <c r="N123" s="266" t="str">
        <f>_xlfn.LET(_xlpm.x,_xlfn.XLOOKUP(A123,Suivi_TMA!A:A,Suivi_TMA!S:S,""),IF(OR(_xlpm.x="",_xlpm.x=0),"",_xlpm.x))</f>
        <v/>
      </c>
      <c r="O12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4" spans="1:15" ht="15" thickTop="1" thickBot="1" x14ac:dyDescent="0.5">
      <c r="A124" s="272"/>
      <c r="B124" s="273" t="str">
        <f>IF(A124="","",IFERROR(_xlfn.XLOOKUP(A124,Suivi_TMA!A:A,Suivi_TMA!B:B),""))</f>
        <v/>
      </c>
      <c r="C124" s="273" t="str">
        <f>IF(A124="","",IFERROR(_xlfn.XLOOKUP(A124,Suivi_TMA!A:A,Suivi_TMA!E:E),""))</f>
        <v/>
      </c>
      <c r="D124" s="274"/>
      <c r="E124" s="176" t="str">
        <f t="shared" si="6"/>
        <v/>
      </c>
      <c r="F124" s="274"/>
      <c r="G124" s="273" t="str">
        <f>IF(F124="","",IFERROR(VLOOKUP(F124,LOTS_ENTREPRISES!A:B,2,FALSE),""))</f>
        <v/>
      </c>
      <c r="H124" s="262" t="str">
        <f>IF(A124="","",IFERROR(IF(_xlfn.XLOOKUP(A124,Suivi_TMA!A:A,Suivi_TMA!I:I)="","",_xlfn.XLOOKUP(A124,Suivi_TMA!A:A,Suivi_TMA!I:I)),""))</f>
        <v/>
      </c>
      <c r="I124" s="275" t="str">
        <f t="shared" si="4"/>
        <v/>
      </c>
      <c r="J124" s="263" t="str">
        <f t="shared" si="7"/>
        <v/>
      </c>
      <c r="K124" s="276"/>
      <c r="L124" s="277"/>
      <c r="M124" s="273" t="str">
        <f t="shared" ca="1" si="5"/>
        <v/>
      </c>
      <c r="N124" s="266" t="str">
        <f>_xlfn.LET(_xlpm.x,_xlfn.XLOOKUP(A124,Suivi_TMA!A:A,Suivi_TMA!S:S,""),IF(OR(_xlpm.x="",_xlpm.x=0),"",_xlpm.x))</f>
        <v/>
      </c>
      <c r="O12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5" spans="1:15" ht="15" thickTop="1" thickBot="1" x14ac:dyDescent="0.5">
      <c r="A125" s="267"/>
      <c r="B125" s="263" t="str">
        <f>IF(A125="","",IFERROR(_xlfn.XLOOKUP(A125,Suivi_TMA!A:A,Suivi_TMA!B:B),""))</f>
        <v/>
      </c>
      <c r="C125" s="263" t="str">
        <f>IF(A125="","",IFERROR(_xlfn.XLOOKUP(A125,Suivi_TMA!A:A,Suivi_TMA!E:E),""))</f>
        <v/>
      </c>
      <c r="D125" s="268"/>
      <c r="E125" s="176" t="str">
        <f t="shared" si="6"/>
        <v/>
      </c>
      <c r="F125" s="268"/>
      <c r="G125" s="263" t="str">
        <f>IF(F125="","",IFERROR(VLOOKUP(F125,LOTS_ENTREPRISES!A:B,2,FALSE),""))</f>
        <v/>
      </c>
      <c r="H125" s="262" t="str">
        <f>IF(A125="","",IFERROR(IF(_xlfn.XLOOKUP(A125,Suivi_TMA!A:A,Suivi_TMA!I:I)="","",_xlfn.XLOOKUP(A125,Suivi_TMA!A:A,Suivi_TMA!I:I)),""))</f>
        <v/>
      </c>
      <c r="I125" s="269" t="str">
        <f t="shared" si="4"/>
        <v/>
      </c>
      <c r="J125" s="263" t="str">
        <f t="shared" si="7"/>
        <v/>
      </c>
      <c r="K125" s="278"/>
      <c r="L125" s="271"/>
      <c r="M125" s="263" t="str">
        <f t="shared" ca="1" si="5"/>
        <v/>
      </c>
      <c r="N125" s="266" t="str">
        <f>_xlfn.LET(_xlpm.x,_xlfn.XLOOKUP(A125,Suivi_TMA!A:A,Suivi_TMA!S:S,""),IF(OR(_xlpm.x="",_xlpm.x=0),"",_xlpm.x))</f>
        <v/>
      </c>
      <c r="O12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6" spans="1:15" ht="15" thickTop="1" thickBot="1" x14ac:dyDescent="0.5">
      <c r="A126" s="272"/>
      <c r="B126" s="273" t="str">
        <f>IF(A126="","",IFERROR(_xlfn.XLOOKUP(A126,Suivi_TMA!A:A,Suivi_TMA!B:B),""))</f>
        <v/>
      </c>
      <c r="C126" s="273" t="str">
        <f>IF(A126="","",IFERROR(_xlfn.XLOOKUP(A126,Suivi_TMA!A:A,Suivi_TMA!E:E),""))</f>
        <v/>
      </c>
      <c r="D126" s="274"/>
      <c r="E126" s="176" t="str">
        <f t="shared" si="6"/>
        <v/>
      </c>
      <c r="F126" s="274"/>
      <c r="G126" s="273" t="str">
        <f>IF(F126="","",IFERROR(VLOOKUP(F126,LOTS_ENTREPRISES!A:B,2,FALSE),""))</f>
        <v/>
      </c>
      <c r="H126" s="262" t="str">
        <f>IF(A126="","",IFERROR(IF(_xlfn.XLOOKUP(A126,Suivi_TMA!A:A,Suivi_TMA!I:I)="","",_xlfn.XLOOKUP(A126,Suivi_TMA!A:A,Suivi_TMA!I:I)),""))</f>
        <v/>
      </c>
      <c r="I126" s="275" t="str">
        <f t="shared" si="4"/>
        <v/>
      </c>
      <c r="J126" s="263" t="str">
        <f t="shared" si="7"/>
        <v/>
      </c>
      <c r="K126" s="276"/>
      <c r="L126" s="277"/>
      <c r="M126" s="273" t="str">
        <f t="shared" ca="1" si="5"/>
        <v/>
      </c>
      <c r="N126" s="266" t="str">
        <f>_xlfn.LET(_xlpm.x,_xlfn.XLOOKUP(A126,Suivi_TMA!A:A,Suivi_TMA!S:S,""),IF(OR(_xlpm.x="",_xlpm.x=0),"",_xlpm.x))</f>
        <v/>
      </c>
      <c r="O12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7" spans="1:15" ht="15" thickTop="1" thickBot="1" x14ac:dyDescent="0.5">
      <c r="A127" s="267"/>
      <c r="B127" s="263" t="str">
        <f>IF(A127="","",IFERROR(_xlfn.XLOOKUP(A127,Suivi_TMA!A:A,Suivi_TMA!B:B),""))</f>
        <v/>
      </c>
      <c r="C127" s="263" t="str">
        <f>IF(A127="","",IFERROR(_xlfn.XLOOKUP(A127,Suivi_TMA!A:A,Suivi_TMA!E:E),""))</f>
        <v/>
      </c>
      <c r="D127" s="268"/>
      <c r="E127" s="176" t="str">
        <f t="shared" si="6"/>
        <v/>
      </c>
      <c r="F127" s="268"/>
      <c r="G127" s="263" t="str">
        <f>IF(F127="","",IFERROR(VLOOKUP(F127,LOTS_ENTREPRISES!A:B,2,FALSE),""))</f>
        <v/>
      </c>
      <c r="H127" s="262" t="str">
        <f>IF(A127="","",IFERROR(IF(_xlfn.XLOOKUP(A127,Suivi_TMA!A:A,Suivi_TMA!I:I)="","",_xlfn.XLOOKUP(A127,Suivi_TMA!A:A,Suivi_TMA!I:I)),""))</f>
        <v/>
      </c>
      <c r="I127" s="269" t="str">
        <f t="shared" si="4"/>
        <v/>
      </c>
      <c r="J127" s="263" t="str">
        <f t="shared" si="7"/>
        <v/>
      </c>
      <c r="K127" s="278"/>
      <c r="L127" s="271"/>
      <c r="M127" s="263" t="str">
        <f t="shared" ca="1" si="5"/>
        <v/>
      </c>
      <c r="N127" s="266" t="str">
        <f>_xlfn.LET(_xlpm.x,_xlfn.XLOOKUP(A127,Suivi_TMA!A:A,Suivi_TMA!S:S,""),IF(OR(_xlpm.x="",_xlpm.x=0),"",_xlpm.x))</f>
        <v/>
      </c>
      <c r="O12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8" spans="1:15" ht="15" thickTop="1" thickBot="1" x14ac:dyDescent="0.5">
      <c r="A128" s="272"/>
      <c r="B128" s="273" t="str">
        <f>IF(A128="","",IFERROR(_xlfn.XLOOKUP(A128,Suivi_TMA!A:A,Suivi_TMA!B:B),""))</f>
        <v/>
      </c>
      <c r="C128" s="273" t="str">
        <f>IF(A128="","",IFERROR(_xlfn.XLOOKUP(A128,Suivi_TMA!A:A,Suivi_TMA!E:E),""))</f>
        <v/>
      </c>
      <c r="D128" s="274"/>
      <c r="E128" s="176" t="str">
        <f t="shared" si="6"/>
        <v/>
      </c>
      <c r="F128" s="274"/>
      <c r="G128" s="273" t="str">
        <f>IF(F128="","",IFERROR(VLOOKUP(F128,LOTS_ENTREPRISES!A:B,2,FALSE),""))</f>
        <v/>
      </c>
      <c r="H128" s="262" t="str">
        <f>IF(A128="","",IFERROR(IF(_xlfn.XLOOKUP(A128,Suivi_TMA!A:A,Suivi_TMA!I:I)="","",_xlfn.XLOOKUP(A128,Suivi_TMA!A:A,Suivi_TMA!I:I)),""))</f>
        <v/>
      </c>
      <c r="I128" s="275" t="str">
        <f t="shared" si="4"/>
        <v/>
      </c>
      <c r="J128" s="263" t="str">
        <f t="shared" si="7"/>
        <v/>
      </c>
      <c r="K128" s="276"/>
      <c r="L128" s="277"/>
      <c r="M128" s="273" t="str">
        <f t="shared" ca="1" si="5"/>
        <v/>
      </c>
      <c r="N128" s="266" t="str">
        <f>_xlfn.LET(_xlpm.x,_xlfn.XLOOKUP(A128,Suivi_TMA!A:A,Suivi_TMA!S:S,""),IF(OR(_xlpm.x="",_xlpm.x=0),"",_xlpm.x))</f>
        <v/>
      </c>
      <c r="O12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29" spans="1:15" ht="15" thickTop="1" thickBot="1" x14ac:dyDescent="0.5">
      <c r="A129" s="267"/>
      <c r="B129" s="263" t="str">
        <f>IF(A129="","",IFERROR(_xlfn.XLOOKUP(A129,Suivi_TMA!A:A,Suivi_TMA!B:B),""))</f>
        <v/>
      </c>
      <c r="C129" s="263" t="str">
        <f>IF(A129="","",IFERROR(_xlfn.XLOOKUP(A129,Suivi_TMA!A:A,Suivi_TMA!E:E),""))</f>
        <v/>
      </c>
      <c r="D129" s="268"/>
      <c r="E129" s="176" t="str">
        <f t="shared" si="6"/>
        <v/>
      </c>
      <c r="F129" s="268"/>
      <c r="G129" s="263" t="str">
        <f>IF(F129="","",IFERROR(VLOOKUP(F129,LOTS_ENTREPRISES!A:B,2,FALSE),""))</f>
        <v/>
      </c>
      <c r="H129" s="262" t="str">
        <f>IF(A129="","",IFERROR(IF(_xlfn.XLOOKUP(A129,Suivi_TMA!A:A,Suivi_TMA!I:I)="","",_xlfn.XLOOKUP(A129,Suivi_TMA!A:A,Suivi_TMA!I:I)),""))</f>
        <v/>
      </c>
      <c r="I129" s="269" t="str">
        <f t="shared" si="4"/>
        <v/>
      </c>
      <c r="J129" s="263" t="str">
        <f t="shared" si="7"/>
        <v/>
      </c>
      <c r="K129" s="278"/>
      <c r="L129" s="271"/>
      <c r="M129" s="263" t="str">
        <f t="shared" ca="1" si="5"/>
        <v/>
      </c>
      <c r="N129" s="266" t="str">
        <f>_xlfn.LET(_xlpm.x,_xlfn.XLOOKUP(A129,Suivi_TMA!A:A,Suivi_TMA!S:S,""),IF(OR(_xlpm.x="",_xlpm.x=0),"",_xlpm.x))</f>
        <v/>
      </c>
      <c r="O12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0" spans="1:15" ht="15" thickTop="1" thickBot="1" x14ac:dyDescent="0.5">
      <c r="A130" s="272"/>
      <c r="B130" s="273" t="str">
        <f>IF(A130="","",IFERROR(_xlfn.XLOOKUP(A130,Suivi_TMA!A:A,Suivi_TMA!B:B),""))</f>
        <v/>
      </c>
      <c r="C130" s="273" t="str">
        <f>IF(A130="","",IFERROR(_xlfn.XLOOKUP(A130,Suivi_TMA!A:A,Suivi_TMA!E:E),""))</f>
        <v/>
      </c>
      <c r="D130" s="274"/>
      <c r="E130" s="176" t="str">
        <f t="shared" si="6"/>
        <v/>
      </c>
      <c r="F130" s="274"/>
      <c r="G130" s="273" t="str">
        <f>IF(F130="","",IFERROR(VLOOKUP(F130,LOTS_ENTREPRISES!A:B,2,FALSE),""))</f>
        <v/>
      </c>
      <c r="H130" s="262" t="str">
        <f>IF(A130="","",IFERROR(IF(_xlfn.XLOOKUP(A130,Suivi_TMA!A:A,Suivi_TMA!I:I)="","",_xlfn.XLOOKUP(A130,Suivi_TMA!A:A,Suivi_TMA!I:I)),""))</f>
        <v/>
      </c>
      <c r="I130" s="275" t="str">
        <f t="shared" si="4"/>
        <v/>
      </c>
      <c r="J130" s="263" t="str">
        <f t="shared" si="7"/>
        <v/>
      </c>
      <c r="K130" s="276"/>
      <c r="L130" s="277"/>
      <c r="M130" s="273" t="str">
        <f t="shared" ca="1" si="5"/>
        <v/>
      </c>
      <c r="N130" s="266" t="str">
        <f>_xlfn.LET(_xlpm.x,_xlfn.XLOOKUP(A130,Suivi_TMA!A:A,Suivi_TMA!S:S,""),IF(OR(_xlpm.x="",_xlpm.x=0),"",_xlpm.x))</f>
        <v/>
      </c>
      <c r="O13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1" spans="1:15" ht="15" thickTop="1" thickBot="1" x14ac:dyDescent="0.5">
      <c r="A131" s="267"/>
      <c r="B131" s="263" t="str">
        <f>IF(A131="","",IFERROR(_xlfn.XLOOKUP(A131,Suivi_TMA!A:A,Suivi_TMA!B:B),""))</f>
        <v/>
      </c>
      <c r="C131" s="263" t="str">
        <f>IF(A131="","",IFERROR(_xlfn.XLOOKUP(A131,Suivi_TMA!A:A,Suivi_TMA!E:E),""))</f>
        <v/>
      </c>
      <c r="D131" s="268"/>
      <c r="E131" s="176" t="str">
        <f t="shared" si="6"/>
        <v/>
      </c>
      <c r="F131" s="268"/>
      <c r="G131" s="263" t="str">
        <f>IF(F131="","",IFERROR(VLOOKUP(F131,LOTS_ENTREPRISES!A:B,2,FALSE),""))</f>
        <v/>
      </c>
      <c r="H131" s="262" t="str">
        <f>IF(A131="","",IFERROR(IF(_xlfn.XLOOKUP(A131,Suivi_TMA!A:A,Suivi_TMA!I:I)="","",_xlfn.XLOOKUP(A131,Suivi_TMA!A:A,Suivi_TMA!I:I)),""))</f>
        <v/>
      </c>
      <c r="I131" s="269" t="str">
        <f t="shared" si="4"/>
        <v/>
      </c>
      <c r="J131" s="263" t="str">
        <f t="shared" si="7"/>
        <v/>
      </c>
      <c r="K131" s="278"/>
      <c r="L131" s="271"/>
      <c r="M131" s="263" t="str">
        <f t="shared" ca="1" si="5"/>
        <v/>
      </c>
      <c r="N131" s="266" t="str">
        <f>_xlfn.LET(_xlpm.x,_xlfn.XLOOKUP(A131,Suivi_TMA!A:A,Suivi_TMA!S:S,""),IF(OR(_xlpm.x="",_xlpm.x=0),"",_xlpm.x))</f>
        <v/>
      </c>
      <c r="O13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2" spans="1:15" ht="15" thickTop="1" thickBot="1" x14ac:dyDescent="0.5">
      <c r="A132" s="272"/>
      <c r="B132" s="273" t="str">
        <f>IF(A132="","",IFERROR(_xlfn.XLOOKUP(A132,Suivi_TMA!A:A,Suivi_TMA!B:B),""))</f>
        <v/>
      </c>
      <c r="C132" s="273" t="str">
        <f>IF(A132="","",IFERROR(_xlfn.XLOOKUP(A132,Suivi_TMA!A:A,Suivi_TMA!E:E),""))</f>
        <v/>
      </c>
      <c r="D132" s="274"/>
      <c r="E132" s="176" t="str">
        <f t="shared" si="6"/>
        <v/>
      </c>
      <c r="F132" s="274"/>
      <c r="G132" s="273" t="str">
        <f>IF(F132="","",IFERROR(VLOOKUP(F132,LOTS_ENTREPRISES!A:B,2,FALSE),""))</f>
        <v/>
      </c>
      <c r="H132" s="262" t="str">
        <f>IF(A132="","",IFERROR(IF(_xlfn.XLOOKUP(A132,Suivi_TMA!A:A,Suivi_TMA!I:I)="","",_xlfn.XLOOKUP(A132,Suivi_TMA!A:A,Suivi_TMA!I:I)),""))</f>
        <v/>
      </c>
      <c r="I132" s="275" t="str">
        <f t="shared" si="4"/>
        <v/>
      </c>
      <c r="J132" s="263" t="str">
        <f t="shared" si="7"/>
        <v/>
      </c>
      <c r="K132" s="276"/>
      <c r="L132" s="277"/>
      <c r="M132" s="273" t="str">
        <f t="shared" ca="1" si="5"/>
        <v/>
      </c>
      <c r="N132" s="266" t="str">
        <f>_xlfn.LET(_xlpm.x,_xlfn.XLOOKUP(A132,Suivi_TMA!A:A,Suivi_TMA!S:S,""),IF(OR(_xlpm.x="",_xlpm.x=0),"",_xlpm.x))</f>
        <v/>
      </c>
      <c r="O13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3" spans="1:15" ht="15" thickTop="1" thickBot="1" x14ac:dyDescent="0.5">
      <c r="A133" s="267"/>
      <c r="B133" s="263" t="str">
        <f>IF(A133="","",IFERROR(_xlfn.XLOOKUP(A133,Suivi_TMA!A:A,Suivi_TMA!B:B),""))</f>
        <v/>
      </c>
      <c r="C133" s="263" t="str">
        <f>IF(A133="","",IFERROR(_xlfn.XLOOKUP(A133,Suivi_TMA!A:A,Suivi_TMA!E:E),""))</f>
        <v/>
      </c>
      <c r="D133" s="268"/>
      <c r="E133" s="176" t="str">
        <f t="shared" si="6"/>
        <v/>
      </c>
      <c r="F133" s="268"/>
      <c r="G133" s="263" t="str">
        <f>IF(F133="","",IFERROR(VLOOKUP(F133,LOTS_ENTREPRISES!A:B,2,FALSE),""))</f>
        <v/>
      </c>
      <c r="H133" s="262" t="str">
        <f>IF(A133="","",IFERROR(IF(_xlfn.XLOOKUP(A133,Suivi_TMA!A:A,Suivi_TMA!I:I)="","",_xlfn.XLOOKUP(A133,Suivi_TMA!A:A,Suivi_TMA!I:I)),""))</f>
        <v/>
      </c>
      <c r="I133" s="269" t="str">
        <f t="shared" si="4"/>
        <v/>
      </c>
      <c r="J133" s="263" t="str">
        <f t="shared" si="7"/>
        <v/>
      </c>
      <c r="K133" s="278"/>
      <c r="L133" s="271"/>
      <c r="M133" s="263" t="str">
        <f t="shared" ca="1" si="5"/>
        <v/>
      </c>
      <c r="N133" s="266" t="str">
        <f>_xlfn.LET(_xlpm.x,_xlfn.XLOOKUP(A133,Suivi_TMA!A:A,Suivi_TMA!S:S,""),IF(OR(_xlpm.x="",_xlpm.x=0),"",_xlpm.x))</f>
        <v/>
      </c>
      <c r="O13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4" spans="1:15" ht="15" thickTop="1" thickBot="1" x14ac:dyDescent="0.5">
      <c r="A134" s="272"/>
      <c r="B134" s="273" t="str">
        <f>IF(A134="","",IFERROR(_xlfn.XLOOKUP(A134,Suivi_TMA!A:A,Suivi_TMA!B:B),""))</f>
        <v/>
      </c>
      <c r="C134" s="273" t="str">
        <f>IF(A134="","",IFERROR(_xlfn.XLOOKUP(A134,Suivi_TMA!A:A,Suivi_TMA!E:E),""))</f>
        <v/>
      </c>
      <c r="D134" s="274"/>
      <c r="E134" s="176" t="str">
        <f t="shared" si="6"/>
        <v/>
      </c>
      <c r="F134" s="274"/>
      <c r="G134" s="273" t="str">
        <f>IF(F134="","",IFERROR(VLOOKUP(F134,LOTS_ENTREPRISES!A:B,2,FALSE),""))</f>
        <v/>
      </c>
      <c r="H134" s="262" t="str">
        <f>IF(A134="","",IFERROR(IF(_xlfn.XLOOKUP(A134,Suivi_TMA!A:A,Suivi_TMA!I:I)="","",_xlfn.XLOOKUP(A134,Suivi_TMA!A:A,Suivi_TMA!I:I)),""))</f>
        <v/>
      </c>
      <c r="I134" s="275" t="str">
        <f t="shared" si="4"/>
        <v/>
      </c>
      <c r="J134" s="263" t="str">
        <f t="shared" si="7"/>
        <v/>
      </c>
      <c r="K134" s="276"/>
      <c r="L134" s="277"/>
      <c r="M134" s="273" t="str">
        <f t="shared" ca="1" si="5"/>
        <v/>
      </c>
      <c r="N134" s="266" t="str">
        <f>_xlfn.LET(_xlpm.x,_xlfn.XLOOKUP(A134,Suivi_TMA!A:A,Suivi_TMA!S:S,""),IF(OR(_xlpm.x="",_xlpm.x=0),"",_xlpm.x))</f>
        <v/>
      </c>
      <c r="O13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5" spans="1:15" ht="15" thickTop="1" thickBot="1" x14ac:dyDescent="0.5">
      <c r="A135" s="267"/>
      <c r="B135" s="263" t="str">
        <f>IF(A135="","",IFERROR(_xlfn.XLOOKUP(A135,Suivi_TMA!A:A,Suivi_TMA!B:B),""))</f>
        <v/>
      </c>
      <c r="C135" s="263" t="str">
        <f>IF(A135="","",IFERROR(_xlfn.XLOOKUP(A135,Suivi_TMA!A:A,Suivi_TMA!E:E),""))</f>
        <v/>
      </c>
      <c r="D135" s="268"/>
      <c r="E135" s="176" t="str">
        <f t="shared" si="6"/>
        <v/>
      </c>
      <c r="F135" s="268"/>
      <c r="G135" s="263" t="str">
        <f>IF(F135="","",IFERROR(VLOOKUP(F135,LOTS_ENTREPRISES!A:B,2,FALSE),""))</f>
        <v/>
      </c>
      <c r="H135" s="262" t="str">
        <f>IF(A135="","",IFERROR(IF(_xlfn.XLOOKUP(A135,Suivi_TMA!A:A,Suivi_TMA!I:I)="","",_xlfn.XLOOKUP(A135,Suivi_TMA!A:A,Suivi_TMA!I:I)),""))</f>
        <v/>
      </c>
      <c r="I135" s="269" t="str">
        <f t="shared" si="4"/>
        <v/>
      </c>
      <c r="J135" s="263" t="str">
        <f t="shared" si="7"/>
        <v/>
      </c>
      <c r="K135" s="278"/>
      <c r="L135" s="271"/>
      <c r="M135" s="263" t="str">
        <f t="shared" ca="1" si="5"/>
        <v/>
      </c>
      <c r="N135" s="266" t="str">
        <f>_xlfn.LET(_xlpm.x,_xlfn.XLOOKUP(A135,Suivi_TMA!A:A,Suivi_TMA!S:S,""),IF(OR(_xlpm.x="",_xlpm.x=0),"",_xlpm.x))</f>
        <v/>
      </c>
      <c r="O13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6" spans="1:15" ht="15" thickTop="1" thickBot="1" x14ac:dyDescent="0.5">
      <c r="A136" s="272"/>
      <c r="B136" s="273" t="str">
        <f>IF(A136="","",IFERROR(_xlfn.XLOOKUP(A136,Suivi_TMA!A:A,Suivi_TMA!B:B),""))</f>
        <v/>
      </c>
      <c r="C136" s="273" t="str">
        <f>IF(A136="","",IFERROR(_xlfn.XLOOKUP(A136,Suivi_TMA!A:A,Suivi_TMA!E:E),""))</f>
        <v/>
      </c>
      <c r="D136" s="274"/>
      <c r="E136" s="176" t="str">
        <f t="shared" si="6"/>
        <v/>
      </c>
      <c r="F136" s="274"/>
      <c r="G136" s="273" t="str">
        <f>IF(F136="","",IFERROR(VLOOKUP(F136,LOTS_ENTREPRISES!A:B,2,FALSE),""))</f>
        <v/>
      </c>
      <c r="H136" s="262" t="str">
        <f>IF(A136="","",IFERROR(IF(_xlfn.XLOOKUP(A136,Suivi_TMA!A:A,Suivi_TMA!I:I)="","",_xlfn.XLOOKUP(A136,Suivi_TMA!A:A,Suivi_TMA!I:I)),""))</f>
        <v/>
      </c>
      <c r="I136" s="275" t="str">
        <f t="shared" si="4"/>
        <v/>
      </c>
      <c r="J136" s="263" t="str">
        <f t="shared" si="7"/>
        <v/>
      </c>
      <c r="K136" s="276"/>
      <c r="L136" s="277"/>
      <c r="M136" s="273" t="str">
        <f t="shared" ca="1" si="5"/>
        <v/>
      </c>
      <c r="N136" s="266" t="str">
        <f>_xlfn.LET(_xlpm.x,_xlfn.XLOOKUP(A136,Suivi_TMA!A:A,Suivi_TMA!S:S,""),IF(OR(_xlpm.x="",_xlpm.x=0),"",_xlpm.x))</f>
        <v/>
      </c>
      <c r="O13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7" spans="1:15" ht="15" thickTop="1" thickBot="1" x14ac:dyDescent="0.5">
      <c r="A137" s="267"/>
      <c r="B137" s="263" t="str">
        <f>IF(A137="","",IFERROR(_xlfn.XLOOKUP(A137,Suivi_TMA!A:A,Suivi_TMA!B:B),""))</f>
        <v/>
      </c>
      <c r="C137" s="263" t="str">
        <f>IF(A137="","",IFERROR(_xlfn.XLOOKUP(A137,Suivi_TMA!A:A,Suivi_TMA!E:E),""))</f>
        <v/>
      </c>
      <c r="D137" s="268"/>
      <c r="E137" s="176" t="str">
        <f t="shared" si="6"/>
        <v/>
      </c>
      <c r="F137" s="268"/>
      <c r="G137" s="263" t="str">
        <f>IF(F137="","",IFERROR(VLOOKUP(F137,LOTS_ENTREPRISES!A:B,2,FALSE),""))</f>
        <v/>
      </c>
      <c r="H137" s="262" t="str">
        <f>IF(A137="","",IFERROR(IF(_xlfn.XLOOKUP(A137,Suivi_TMA!A:A,Suivi_TMA!I:I)="","",_xlfn.XLOOKUP(A137,Suivi_TMA!A:A,Suivi_TMA!I:I)),""))</f>
        <v/>
      </c>
      <c r="I137" s="269" t="str">
        <f t="shared" si="4"/>
        <v/>
      </c>
      <c r="J137" s="263" t="str">
        <f t="shared" si="7"/>
        <v/>
      </c>
      <c r="K137" s="278"/>
      <c r="L137" s="271"/>
      <c r="M137" s="263" t="str">
        <f t="shared" ca="1" si="5"/>
        <v/>
      </c>
      <c r="N137" s="266" t="str">
        <f>_xlfn.LET(_xlpm.x,_xlfn.XLOOKUP(A137,Suivi_TMA!A:A,Suivi_TMA!S:S,""),IF(OR(_xlpm.x="",_xlpm.x=0),"",_xlpm.x))</f>
        <v/>
      </c>
      <c r="O13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8" spans="1:15" ht="15" thickTop="1" thickBot="1" x14ac:dyDescent="0.5">
      <c r="A138" s="272"/>
      <c r="B138" s="273" t="str">
        <f>IF(A138="","",IFERROR(_xlfn.XLOOKUP(A138,Suivi_TMA!A:A,Suivi_TMA!B:B),""))</f>
        <v/>
      </c>
      <c r="C138" s="273" t="str">
        <f>IF(A138="","",IFERROR(_xlfn.XLOOKUP(A138,Suivi_TMA!A:A,Suivi_TMA!E:E),""))</f>
        <v/>
      </c>
      <c r="D138" s="274"/>
      <c r="E138" s="176" t="str">
        <f t="shared" si="6"/>
        <v/>
      </c>
      <c r="F138" s="274"/>
      <c r="G138" s="273" t="str">
        <f>IF(F138="","",IFERROR(VLOOKUP(F138,LOTS_ENTREPRISES!A:B,2,FALSE),""))</f>
        <v/>
      </c>
      <c r="H138" s="262" t="str">
        <f>IF(A138="","",IFERROR(IF(_xlfn.XLOOKUP(A138,Suivi_TMA!A:A,Suivi_TMA!I:I)="","",_xlfn.XLOOKUP(A138,Suivi_TMA!A:A,Suivi_TMA!I:I)),""))</f>
        <v/>
      </c>
      <c r="I138" s="275" t="str">
        <f t="shared" si="4"/>
        <v/>
      </c>
      <c r="J138" s="263" t="str">
        <f t="shared" si="7"/>
        <v/>
      </c>
      <c r="K138" s="276"/>
      <c r="L138" s="277"/>
      <c r="M138" s="273" t="str">
        <f t="shared" ca="1" si="5"/>
        <v/>
      </c>
      <c r="N138" s="266" t="str">
        <f>_xlfn.LET(_xlpm.x,_xlfn.XLOOKUP(A138,Suivi_TMA!A:A,Suivi_TMA!S:S,""),IF(OR(_xlpm.x="",_xlpm.x=0),"",_xlpm.x))</f>
        <v/>
      </c>
      <c r="O13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39" spans="1:15" ht="15" thickTop="1" thickBot="1" x14ac:dyDescent="0.5">
      <c r="A139" s="267"/>
      <c r="B139" s="263" t="str">
        <f>IF(A139="","",IFERROR(_xlfn.XLOOKUP(A139,Suivi_TMA!A:A,Suivi_TMA!B:B),""))</f>
        <v/>
      </c>
      <c r="C139" s="263" t="str">
        <f>IF(A139="","",IFERROR(_xlfn.XLOOKUP(A139,Suivi_TMA!A:A,Suivi_TMA!E:E),""))</f>
        <v/>
      </c>
      <c r="D139" s="268"/>
      <c r="E139" s="176" t="str">
        <f t="shared" si="6"/>
        <v/>
      </c>
      <c r="F139" s="268"/>
      <c r="G139" s="263" t="str">
        <f>IF(F139="","",IFERROR(VLOOKUP(F139,LOTS_ENTREPRISES!A:B,2,FALSE),""))</f>
        <v/>
      </c>
      <c r="H139" s="262" t="str">
        <f>IF(A139="","",IFERROR(IF(_xlfn.XLOOKUP(A139,Suivi_TMA!A:A,Suivi_TMA!I:I)="","",_xlfn.XLOOKUP(A139,Suivi_TMA!A:A,Suivi_TMA!I:I)),""))</f>
        <v/>
      </c>
      <c r="I139" s="269" t="str">
        <f t="shared" si="4"/>
        <v/>
      </c>
      <c r="J139" s="263" t="str">
        <f t="shared" si="7"/>
        <v/>
      </c>
      <c r="K139" s="278"/>
      <c r="L139" s="271"/>
      <c r="M139" s="263" t="str">
        <f t="shared" ca="1" si="5"/>
        <v/>
      </c>
      <c r="N139" s="266" t="str">
        <f>_xlfn.LET(_xlpm.x,_xlfn.XLOOKUP(A139,Suivi_TMA!A:A,Suivi_TMA!S:S,""),IF(OR(_xlpm.x="",_xlpm.x=0),"",_xlpm.x))</f>
        <v/>
      </c>
      <c r="O13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0" spans="1:15" ht="15" thickTop="1" thickBot="1" x14ac:dyDescent="0.5">
      <c r="A140" s="272"/>
      <c r="B140" s="273" t="str">
        <f>IF(A140="","",IFERROR(_xlfn.XLOOKUP(A140,Suivi_TMA!A:A,Suivi_TMA!B:B),""))</f>
        <v/>
      </c>
      <c r="C140" s="273" t="str">
        <f>IF(A140="","",IFERROR(_xlfn.XLOOKUP(A140,Suivi_TMA!A:A,Suivi_TMA!E:E),""))</f>
        <v/>
      </c>
      <c r="D140" s="274"/>
      <c r="E140" s="176" t="str">
        <f t="shared" si="6"/>
        <v/>
      </c>
      <c r="F140" s="274"/>
      <c r="G140" s="273" t="str">
        <f>IF(F140="","",IFERROR(VLOOKUP(F140,LOTS_ENTREPRISES!A:B,2,FALSE),""))</f>
        <v/>
      </c>
      <c r="H140" s="262" t="str">
        <f>IF(A140="","",IFERROR(IF(_xlfn.XLOOKUP(A140,Suivi_TMA!A:A,Suivi_TMA!I:I)="","",_xlfn.XLOOKUP(A140,Suivi_TMA!A:A,Suivi_TMA!I:I)),""))</f>
        <v/>
      </c>
      <c r="I140" s="275" t="str">
        <f t="shared" ref="I140:I203" si="8">IF(H140="","",H140+10)</f>
        <v/>
      </c>
      <c r="J140" s="263" t="str">
        <f t="shared" si="7"/>
        <v/>
      </c>
      <c r="K140" s="276"/>
      <c r="L140" s="277"/>
      <c r="M140" s="273" t="str">
        <f t="shared" ref="M140:M203" ca="1" si="9">IF(A140="","",IF(OR(I140="",K140&lt;&gt;""),"",IF(I140&lt;TODAY(),"EN RETARD","OK")))</f>
        <v/>
      </c>
      <c r="N140" s="266" t="str">
        <f>_xlfn.LET(_xlpm.x,_xlfn.XLOOKUP(A140,Suivi_TMA!A:A,Suivi_TMA!S:S,""),IF(OR(_xlpm.x="",_xlpm.x=0),"",_xlpm.x))</f>
        <v/>
      </c>
      <c r="O14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1" spans="1:15" ht="15" thickTop="1" thickBot="1" x14ac:dyDescent="0.5">
      <c r="A141" s="267"/>
      <c r="B141" s="263" t="str">
        <f>IF(A141="","",IFERROR(_xlfn.XLOOKUP(A141,Suivi_TMA!A:A,Suivi_TMA!B:B),""))</f>
        <v/>
      </c>
      <c r="C141" s="263" t="str">
        <f>IF(A141="","",IFERROR(_xlfn.XLOOKUP(A141,Suivi_TMA!A:A,Suivi_TMA!E:E),""))</f>
        <v/>
      </c>
      <c r="D141" s="268"/>
      <c r="E141" s="176" t="str">
        <f t="shared" ref="E141:E204" si="10">IF(N141="Refusé","Refusé",
IF(N141="Validé","Validé",
IF(K141&lt;&gt;"","Reçu",
IF(H141&lt;&gt;"","A chiffrer",""))))</f>
        <v/>
      </c>
      <c r="F141" s="268"/>
      <c r="G141" s="263" t="str">
        <f>IF(F141="","",IFERROR(VLOOKUP(F141,LOTS_ENTREPRISES!A:B,2,FALSE),""))</f>
        <v/>
      </c>
      <c r="H141" s="262" t="str">
        <f>IF(A141="","",IFERROR(IF(_xlfn.XLOOKUP(A141,Suivi_TMA!A:A,Suivi_TMA!I:I)="","",_xlfn.XLOOKUP(A141,Suivi_TMA!A:A,Suivi_TMA!I:I)),""))</f>
        <v/>
      </c>
      <c r="I141" s="269" t="str">
        <f t="shared" si="8"/>
        <v/>
      </c>
      <c r="J141" s="263" t="str">
        <f t="shared" ref="J141:J204" si="11">IF($A141="","",IF($K141="","Non","Oui"))</f>
        <v/>
      </c>
      <c r="K141" s="278"/>
      <c r="L141" s="271"/>
      <c r="M141" s="263" t="str">
        <f t="shared" ca="1" si="9"/>
        <v/>
      </c>
      <c r="N141" s="266" t="str">
        <f>_xlfn.LET(_xlpm.x,_xlfn.XLOOKUP(A141,Suivi_TMA!A:A,Suivi_TMA!S:S,""),IF(OR(_xlpm.x="",_xlpm.x=0),"",_xlpm.x))</f>
        <v/>
      </c>
      <c r="O14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2" spans="1:15" ht="15" thickTop="1" thickBot="1" x14ac:dyDescent="0.5">
      <c r="A142" s="272"/>
      <c r="B142" s="273" t="str">
        <f>IF(A142="","",IFERROR(_xlfn.XLOOKUP(A142,Suivi_TMA!A:A,Suivi_TMA!B:B),""))</f>
        <v/>
      </c>
      <c r="C142" s="273" t="str">
        <f>IF(A142="","",IFERROR(_xlfn.XLOOKUP(A142,Suivi_TMA!A:A,Suivi_TMA!E:E),""))</f>
        <v/>
      </c>
      <c r="D142" s="274"/>
      <c r="E142" s="176" t="str">
        <f t="shared" si="10"/>
        <v/>
      </c>
      <c r="F142" s="274"/>
      <c r="G142" s="273" t="str">
        <f>IF(F142="","",IFERROR(VLOOKUP(F142,LOTS_ENTREPRISES!A:B,2,FALSE),""))</f>
        <v/>
      </c>
      <c r="H142" s="262" t="str">
        <f>IF(A142="","",IFERROR(IF(_xlfn.XLOOKUP(A142,Suivi_TMA!A:A,Suivi_TMA!I:I)="","",_xlfn.XLOOKUP(A142,Suivi_TMA!A:A,Suivi_TMA!I:I)),""))</f>
        <v/>
      </c>
      <c r="I142" s="275" t="str">
        <f t="shared" si="8"/>
        <v/>
      </c>
      <c r="J142" s="263" t="str">
        <f t="shared" si="11"/>
        <v/>
      </c>
      <c r="K142" s="276"/>
      <c r="L142" s="277"/>
      <c r="M142" s="273" t="str">
        <f t="shared" ca="1" si="9"/>
        <v/>
      </c>
      <c r="N142" s="266" t="str">
        <f>_xlfn.LET(_xlpm.x,_xlfn.XLOOKUP(A142,Suivi_TMA!A:A,Suivi_TMA!S:S,""),IF(OR(_xlpm.x="",_xlpm.x=0),"",_xlpm.x))</f>
        <v/>
      </c>
      <c r="O14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3" spans="1:15" ht="15" thickTop="1" thickBot="1" x14ac:dyDescent="0.5">
      <c r="A143" s="267"/>
      <c r="B143" s="263" t="str">
        <f>IF(A143="","",IFERROR(_xlfn.XLOOKUP(A143,Suivi_TMA!A:A,Suivi_TMA!B:B),""))</f>
        <v/>
      </c>
      <c r="C143" s="263" t="str">
        <f>IF(A143="","",IFERROR(_xlfn.XLOOKUP(A143,Suivi_TMA!A:A,Suivi_TMA!E:E),""))</f>
        <v/>
      </c>
      <c r="D143" s="268"/>
      <c r="E143" s="176" t="str">
        <f t="shared" si="10"/>
        <v/>
      </c>
      <c r="F143" s="268"/>
      <c r="G143" s="263" t="str">
        <f>IF(F143="","",IFERROR(VLOOKUP(F143,LOTS_ENTREPRISES!A:B,2,FALSE),""))</f>
        <v/>
      </c>
      <c r="H143" s="262" t="str">
        <f>IF(A143="","",IFERROR(IF(_xlfn.XLOOKUP(A143,Suivi_TMA!A:A,Suivi_TMA!I:I)="","",_xlfn.XLOOKUP(A143,Suivi_TMA!A:A,Suivi_TMA!I:I)),""))</f>
        <v/>
      </c>
      <c r="I143" s="269" t="str">
        <f t="shared" si="8"/>
        <v/>
      </c>
      <c r="J143" s="263" t="str">
        <f t="shared" si="11"/>
        <v/>
      </c>
      <c r="K143" s="278"/>
      <c r="L143" s="271"/>
      <c r="M143" s="263" t="str">
        <f t="shared" ca="1" si="9"/>
        <v/>
      </c>
      <c r="N143" s="266" t="str">
        <f>_xlfn.LET(_xlpm.x,_xlfn.XLOOKUP(A143,Suivi_TMA!A:A,Suivi_TMA!S:S,""),IF(OR(_xlpm.x="",_xlpm.x=0),"",_xlpm.x))</f>
        <v/>
      </c>
      <c r="O14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4" spans="1:15" ht="15" thickTop="1" thickBot="1" x14ac:dyDescent="0.5">
      <c r="A144" s="272"/>
      <c r="B144" s="273" t="str">
        <f>IF(A144="","",IFERROR(_xlfn.XLOOKUP(A144,Suivi_TMA!A:A,Suivi_TMA!B:B),""))</f>
        <v/>
      </c>
      <c r="C144" s="273" t="str">
        <f>IF(A144="","",IFERROR(_xlfn.XLOOKUP(A144,Suivi_TMA!A:A,Suivi_TMA!E:E),""))</f>
        <v/>
      </c>
      <c r="D144" s="274"/>
      <c r="E144" s="176" t="str">
        <f t="shared" si="10"/>
        <v/>
      </c>
      <c r="F144" s="274"/>
      <c r="G144" s="273" t="str">
        <f>IF(F144="","",IFERROR(VLOOKUP(F144,LOTS_ENTREPRISES!A:B,2,FALSE),""))</f>
        <v/>
      </c>
      <c r="H144" s="262" t="str">
        <f>IF(A144="","",IFERROR(IF(_xlfn.XLOOKUP(A144,Suivi_TMA!A:A,Suivi_TMA!I:I)="","",_xlfn.XLOOKUP(A144,Suivi_TMA!A:A,Suivi_TMA!I:I)),""))</f>
        <v/>
      </c>
      <c r="I144" s="275" t="str">
        <f t="shared" si="8"/>
        <v/>
      </c>
      <c r="J144" s="263" t="str">
        <f t="shared" si="11"/>
        <v/>
      </c>
      <c r="K144" s="276"/>
      <c r="L144" s="277"/>
      <c r="M144" s="273" t="str">
        <f t="shared" ca="1" si="9"/>
        <v/>
      </c>
      <c r="N144" s="266" t="str">
        <f>_xlfn.LET(_xlpm.x,_xlfn.XLOOKUP(A144,Suivi_TMA!A:A,Suivi_TMA!S:S,""),IF(OR(_xlpm.x="",_xlpm.x=0),"",_xlpm.x))</f>
        <v/>
      </c>
      <c r="O14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5" spans="1:15" ht="15" thickTop="1" thickBot="1" x14ac:dyDescent="0.5">
      <c r="A145" s="267"/>
      <c r="B145" s="263" t="str">
        <f>IF(A145="","",IFERROR(_xlfn.XLOOKUP(A145,Suivi_TMA!A:A,Suivi_TMA!B:B),""))</f>
        <v/>
      </c>
      <c r="C145" s="263" t="str">
        <f>IF(A145="","",IFERROR(_xlfn.XLOOKUP(A145,Suivi_TMA!A:A,Suivi_TMA!E:E),""))</f>
        <v/>
      </c>
      <c r="D145" s="268"/>
      <c r="E145" s="176" t="str">
        <f t="shared" si="10"/>
        <v/>
      </c>
      <c r="F145" s="268"/>
      <c r="G145" s="263" t="str">
        <f>IF(F145="","",IFERROR(VLOOKUP(F145,LOTS_ENTREPRISES!A:B,2,FALSE),""))</f>
        <v/>
      </c>
      <c r="H145" s="262" t="str">
        <f>IF(A145="","",IFERROR(IF(_xlfn.XLOOKUP(A145,Suivi_TMA!A:A,Suivi_TMA!I:I)="","",_xlfn.XLOOKUP(A145,Suivi_TMA!A:A,Suivi_TMA!I:I)),""))</f>
        <v/>
      </c>
      <c r="I145" s="269" t="str">
        <f t="shared" si="8"/>
        <v/>
      </c>
      <c r="J145" s="263" t="str">
        <f t="shared" si="11"/>
        <v/>
      </c>
      <c r="K145" s="278"/>
      <c r="L145" s="271"/>
      <c r="M145" s="263" t="str">
        <f t="shared" ca="1" si="9"/>
        <v/>
      </c>
      <c r="N145" s="266" t="str">
        <f>_xlfn.LET(_xlpm.x,_xlfn.XLOOKUP(A145,Suivi_TMA!A:A,Suivi_TMA!S:S,""),IF(OR(_xlpm.x="",_xlpm.x=0),"",_xlpm.x))</f>
        <v/>
      </c>
      <c r="O14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6" spans="1:15" ht="15" thickTop="1" thickBot="1" x14ac:dyDescent="0.5">
      <c r="A146" s="272"/>
      <c r="B146" s="273" t="str">
        <f>IF(A146="","",IFERROR(_xlfn.XLOOKUP(A146,Suivi_TMA!A:A,Suivi_TMA!B:B),""))</f>
        <v/>
      </c>
      <c r="C146" s="273" t="str">
        <f>IF(A146="","",IFERROR(_xlfn.XLOOKUP(A146,Suivi_TMA!A:A,Suivi_TMA!E:E),""))</f>
        <v/>
      </c>
      <c r="D146" s="274"/>
      <c r="E146" s="176" t="str">
        <f t="shared" si="10"/>
        <v/>
      </c>
      <c r="F146" s="274"/>
      <c r="G146" s="273" t="str">
        <f>IF(F146="","",IFERROR(VLOOKUP(F146,LOTS_ENTREPRISES!A:B,2,FALSE),""))</f>
        <v/>
      </c>
      <c r="H146" s="262" t="str">
        <f>IF(A146="","",IFERROR(IF(_xlfn.XLOOKUP(A146,Suivi_TMA!A:A,Suivi_TMA!I:I)="","",_xlfn.XLOOKUP(A146,Suivi_TMA!A:A,Suivi_TMA!I:I)),""))</f>
        <v/>
      </c>
      <c r="I146" s="275" t="str">
        <f t="shared" si="8"/>
        <v/>
      </c>
      <c r="J146" s="263" t="str">
        <f t="shared" si="11"/>
        <v/>
      </c>
      <c r="K146" s="276"/>
      <c r="L146" s="277"/>
      <c r="M146" s="273" t="str">
        <f t="shared" ca="1" si="9"/>
        <v/>
      </c>
      <c r="N146" s="266" t="str">
        <f>_xlfn.LET(_xlpm.x,_xlfn.XLOOKUP(A146,Suivi_TMA!A:A,Suivi_TMA!S:S,""),IF(OR(_xlpm.x="",_xlpm.x=0),"",_xlpm.x))</f>
        <v/>
      </c>
      <c r="O14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7" spans="1:15" ht="15" thickTop="1" thickBot="1" x14ac:dyDescent="0.5">
      <c r="A147" s="267"/>
      <c r="B147" s="263" t="str">
        <f>IF(A147="","",IFERROR(_xlfn.XLOOKUP(A147,Suivi_TMA!A:A,Suivi_TMA!B:B),""))</f>
        <v/>
      </c>
      <c r="C147" s="263" t="str">
        <f>IF(A147="","",IFERROR(_xlfn.XLOOKUP(A147,Suivi_TMA!A:A,Suivi_TMA!E:E),""))</f>
        <v/>
      </c>
      <c r="D147" s="268"/>
      <c r="E147" s="176" t="str">
        <f t="shared" si="10"/>
        <v/>
      </c>
      <c r="F147" s="268"/>
      <c r="G147" s="263" t="str">
        <f>IF(F147="","",IFERROR(VLOOKUP(F147,LOTS_ENTREPRISES!A:B,2,FALSE),""))</f>
        <v/>
      </c>
      <c r="H147" s="262" t="str">
        <f>IF(A147="","",IFERROR(IF(_xlfn.XLOOKUP(A147,Suivi_TMA!A:A,Suivi_TMA!I:I)="","",_xlfn.XLOOKUP(A147,Suivi_TMA!A:A,Suivi_TMA!I:I)),""))</f>
        <v/>
      </c>
      <c r="I147" s="269" t="str">
        <f t="shared" si="8"/>
        <v/>
      </c>
      <c r="J147" s="263" t="str">
        <f t="shared" si="11"/>
        <v/>
      </c>
      <c r="K147" s="278"/>
      <c r="L147" s="271"/>
      <c r="M147" s="263" t="str">
        <f t="shared" ca="1" si="9"/>
        <v/>
      </c>
      <c r="N147" s="266" t="str">
        <f>_xlfn.LET(_xlpm.x,_xlfn.XLOOKUP(A147,Suivi_TMA!A:A,Suivi_TMA!S:S,""),IF(OR(_xlpm.x="",_xlpm.x=0),"",_xlpm.x))</f>
        <v/>
      </c>
      <c r="O14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8" spans="1:15" ht="15" thickTop="1" thickBot="1" x14ac:dyDescent="0.5">
      <c r="A148" s="272"/>
      <c r="B148" s="273" t="str">
        <f>IF(A148="","",IFERROR(_xlfn.XLOOKUP(A148,Suivi_TMA!A:A,Suivi_TMA!B:B),""))</f>
        <v/>
      </c>
      <c r="C148" s="273" t="str">
        <f>IF(A148="","",IFERROR(_xlfn.XLOOKUP(A148,Suivi_TMA!A:A,Suivi_TMA!E:E),""))</f>
        <v/>
      </c>
      <c r="D148" s="274"/>
      <c r="E148" s="176" t="str">
        <f t="shared" si="10"/>
        <v/>
      </c>
      <c r="F148" s="274"/>
      <c r="G148" s="273" t="str">
        <f>IF(F148="","",IFERROR(VLOOKUP(F148,LOTS_ENTREPRISES!A:B,2,FALSE),""))</f>
        <v/>
      </c>
      <c r="H148" s="262" t="str">
        <f>IF(A148="","",IFERROR(IF(_xlfn.XLOOKUP(A148,Suivi_TMA!A:A,Suivi_TMA!I:I)="","",_xlfn.XLOOKUP(A148,Suivi_TMA!A:A,Suivi_TMA!I:I)),""))</f>
        <v/>
      </c>
      <c r="I148" s="275" t="str">
        <f t="shared" si="8"/>
        <v/>
      </c>
      <c r="J148" s="263" t="str">
        <f t="shared" si="11"/>
        <v/>
      </c>
      <c r="K148" s="276"/>
      <c r="L148" s="277"/>
      <c r="M148" s="273" t="str">
        <f t="shared" ca="1" si="9"/>
        <v/>
      </c>
      <c r="N148" s="266" t="str">
        <f>_xlfn.LET(_xlpm.x,_xlfn.XLOOKUP(A148,Suivi_TMA!A:A,Suivi_TMA!S:S,""),IF(OR(_xlpm.x="",_xlpm.x=0),"",_xlpm.x))</f>
        <v/>
      </c>
      <c r="O14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49" spans="1:15" ht="15" thickTop="1" thickBot="1" x14ac:dyDescent="0.5">
      <c r="A149" s="267"/>
      <c r="B149" s="263" t="str">
        <f>IF(A149="","",IFERROR(_xlfn.XLOOKUP(A149,Suivi_TMA!A:A,Suivi_TMA!B:B),""))</f>
        <v/>
      </c>
      <c r="C149" s="263" t="str">
        <f>IF(A149="","",IFERROR(_xlfn.XLOOKUP(A149,Suivi_TMA!A:A,Suivi_TMA!E:E),""))</f>
        <v/>
      </c>
      <c r="D149" s="268"/>
      <c r="E149" s="176" t="str">
        <f t="shared" si="10"/>
        <v/>
      </c>
      <c r="F149" s="268"/>
      <c r="G149" s="263" t="str">
        <f>IF(F149="","",IFERROR(VLOOKUP(F149,LOTS_ENTREPRISES!A:B,2,FALSE),""))</f>
        <v/>
      </c>
      <c r="H149" s="262" t="str">
        <f>IF(A149="","",IFERROR(IF(_xlfn.XLOOKUP(A149,Suivi_TMA!A:A,Suivi_TMA!I:I)="","",_xlfn.XLOOKUP(A149,Suivi_TMA!A:A,Suivi_TMA!I:I)),""))</f>
        <v/>
      </c>
      <c r="I149" s="269" t="str">
        <f t="shared" si="8"/>
        <v/>
      </c>
      <c r="J149" s="263" t="str">
        <f t="shared" si="11"/>
        <v/>
      </c>
      <c r="K149" s="278"/>
      <c r="L149" s="271"/>
      <c r="M149" s="263" t="str">
        <f t="shared" ca="1" si="9"/>
        <v/>
      </c>
      <c r="N149" s="266" t="str">
        <f>_xlfn.LET(_xlpm.x,_xlfn.XLOOKUP(A149,Suivi_TMA!A:A,Suivi_TMA!S:S,""),IF(OR(_xlpm.x="",_xlpm.x=0),"",_xlpm.x))</f>
        <v/>
      </c>
      <c r="O14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0" spans="1:15" ht="15" thickTop="1" thickBot="1" x14ac:dyDescent="0.5">
      <c r="A150" s="272"/>
      <c r="B150" s="273" t="str">
        <f>IF(A150="","",IFERROR(_xlfn.XLOOKUP(A150,Suivi_TMA!A:A,Suivi_TMA!B:B),""))</f>
        <v/>
      </c>
      <c r="C150" s="273" t="str">
        <f>IF(A150="","",IFERROR(_xlfn.XLOOKUP(A150,Suivi_TMA!A:A,Suivi_TMA!E:E),""))</f>
        <v/>
      </c>
      <c r="D150" s="274"/>
      <c r="E150" s="176" t="str">
        <f t="shared" si="10"/>
        <v/>
      </c>
      <c r="F150" s="274"/>
      <c r="G150" s="273" t="str">
        <f>IF(F150="","",IFERROR(VLOOKUP(F150,LOTS_ENTREPRISES!A:B,2,FALSE),""))</f>
        <v/>
      </c>
      <c r="H150" s="262" t="str">
        <f>IF(A150="","",IFERROR(IF(_xlfn.XLOOKUP(A150,Suivi_TMA!A:A,Suivi_TMA!I:I)="","",_xlfn.XLOOKUP(A150,Suivi_TMA!A:A,Suivi_TMA!I:I)),""))</f>
        <v/>
      </c>
      <c r="I150" s="275" t="str">
        <f t="shared" si="8"/>
        <v/>
      </c>
      <c r="J150" s="263" t="str">
        <f t="shared" si="11"/>
        <v/>
      </c>
      <c r="K150" s="276"/>
      <c r="L150" s="277"/>
      <c r="M150" s="273" t="str">
        <f t="shared" ca="1" si="9"/>
        <v/>
      </c>
      <c r="N150" s="266" t="str">
        <f>_xlfn.LET(_xlpm.x,_xlfn.XLOOKUP(A150,Suivi_TMA!A:A,Suivi_TMA!S:S,""),IF(OR(_xlpm.x="",_xlpm.x=0),"",_xlpm.x))</f>
        <v/>
      </c>
      <c r="O15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1" spans="1:15" ht="15" thickTop="1" thickBot="1" x14ac:dyDescent="0.5">
      <c r="A151" s="267"/>
      <c r="B151" s="263" t="str">
        <f>IF(A151="","",IFERROR(_xlfn.XLOOKUP(A151,Suivi_TMA!A:A,Suivi_TMA!B:B),""))</f>
        <v/>
      </c>
      <c r="C151" s="263" t="str">
        <f>IF(A151="","",IFERROR(_xlfn.XLOOKUP(A151,Suivi_TMA!A:A,Suivi_TMA!E:E),""))</f>
        <v/>
      </c>
      <c r="D151" s="268"/>
      <c r="E151" s="176" t="str">
        <f t="shared" si="10"/>
        <v/>
      </c>
      <c r="F151" s="268"/>
      <c r="G151" s="263" t="str">
        <f>IF(F151="","",IFERROR(VLOOKUP(F151,LOTS_ENTREPRISES!A:B,2,FALSE),""))</f>
        <v/>
      </c>
      <c r="H151" s="262" t="str">
        <f>IF(A151="","",IFERROR(IF(_xlfn.XLOOKUP(A151,Suivi_TMA!A:A,Suivi_TMA!I:I)="","",_xlfn.XLOOKUP(A151,Suivi_TMA!A:A,Suivi_TMA!I:I)),""))</f>
        <v/>
      </c>
      <c r="I151" s="269" t="str">
        <f t="shared" si="8"/>
        <v/>
      </c>
      <c r="J151" s="263" t="str">
        <f t="shared" si="11"/>
        <v/>
      </c>
      <c r="K151" s="278"/>
      <c r="L151" s="271"/>
      <c r="M151" s="263" t="str">
        <f t="shared" ca="1" si="9"/>
        <v/>
      </c>
      <c r="N151" s="266" t="str">
        <f>_xlfn.LET(_xlpm.x,_xlfn.XLOOKUP(A151,Suivi_TMA!A:A,Suivi_TMA!S:S,""),IF(OR(_xlpm.x="",_xlpm.x=0),"",_xlpm.x))</f>
        <v/>
      </c>
      <c r="O15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2" spans="1:15" ht="15" thickTop="1" thickBot="1" x14ac:dyDescent="0.5">
      <c r="A152" s="272"/>
      <c r="B152" s="273" t="str">
        <f>IF(A152="","",IFERROR(_xlfn.XLOOKUP(A152,Suivi_TMA!A:A,Suivi_TMA!B:B),""))</f>
        <v/>
      </c>
      <c r="C152" s="273" t="str">
        <f>IF(A152="","",IFERROR(_xlfn.XLOOKUP(A152,Suivi_TMA!A:A,Suivi_TMA!E:E),""))</f>
        <v/>
      </c>
      <c r="D152" s="274"/>
      <c r="E152" s="176" t="str">
        <f t="shared" si="10"/>
        <v/>
      </c>
      <c r="F152" s="274"/>
      <c r="G152" s="273" t="str">
        <f>IF(F152="","",IFERROR(VLOOKUP(F152,LOTS_ENTREPRISES!A:B,2,FALSE),""))</f>
        <v/>
      </c>
      <c r="H152" s="262" t="str">
        <f>IF(A152="","",IFERROR(IF(_xlfn.XLOOKUP(A152,Suivi_TMA!A:A,Suivi_TMA!I:I)="","",_xlfn.XLOOKUP(A152,Suivi_TMA!A:A,Suivi_TMA!I:I)),""))</f>
        <v/>
      </c>
      <c r="I152" s="275" t="str">
        <f t="shared" si="8"/>
        <v/>
      </c>
      <c r="J152" s="263" t="str">
        <f t="shared" si="11"/>
        <v/>
      </c>
      <c r="K152" s="276"/>
      <c r="L152" s="277"/>
      <c r="M152" s="273" t="str">
        <f t="shared" ca="1" si="9"/>
        <v/>
      </c>
      <c r="N152" s="266" t="str">
        <f>_xlfn.LET(_xlpm.x,_xlfn.XLOOKUP(A152,Suivi_TMA!A:A,Suivi_TMA!S:S,""),IF(OR(_xlpm.x="",_xlpm.x=0),"",_xlpm.x))</f>
        <v/>
      </c>
      <c r="O15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3" spans="1:15" ht="15" thickTop="1" thickBot="1" x14ac:dyDescent="0.5">
      <c r="A153" s="267"/>
      <c r="B153" s="263" t="str">
        <f>IF(A153="","",IFERROR(_xlfn.XLOOKUP(A153,Suivi_TMA!A:A,Suivi_TMA!B:B),""))</f>
        <v/>
      </c>
      <c r="C153" s="263" t="str">
        <f>IF(A153="","",IFERROR(_xlfn.XLOOKUP(A153,Suivi_TMA!A:A,Suivi_TMA!E:E),""))</f>
        <v/>
      </c>
      <c r="D153" s="268"/>
      <c r="E153" s="176" t="str">
        <f t="shared" si="10"/>
        <v/>
      </c>
      <c r="F153" s="268"/>
      <c r="G153" s="263" t="str">
        <f>IF(F153="","",IFERROR(VLOOKUP(F153,LOTS_ENTREPRISES!A:B,2,FALSE),""))</f>
        <v/>
      </c>
      <c r="H153" s="262" t="str">
        <f>IF(A153="","",IFERROR(IF(_xlfn.XLOOKUP(A153,Suivi_TMA!A:A,Suivi_TMA!I:I)="","",_xlfn.XLOOKUP(A153,Suivi_TMA!A:A,Suivi_TMA!I:I)),""))</f>
        <v/>
      </c>
      <c r="I153" s="269" t="str">
        <f t="shared" si="8"/>
        <v/>
      </c>
      <c r="J153" s="263" t="str">
        <f t="shared" si="11"/>
        <v/>
      </c>
      <c r="K153" s="278"/>
      <c r="L153" s="271"/>
      <c r="M153" s="263" t="str">
        <f t="shared" ca="1" si="9"/>
        <v/>
      </c>
      <c r="N153" s="266" t="str">
        <f>_xlfn.LET(_xlpm.x,_xlfn.XLOOKUP(A153,Suivi_TMA!A:A,Suivi_TMA!S:S,""),IF(OR(_xlpm.x="",_xlpm.x=0),"",_xlpm.x))</f>
        <v/>
      </c>
      <c r="O15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4" spans="1:15" ht="15" thickTop="1" thickBot="1" x14ac:dyDescent="0.5">
      <c r="A154" s="272"/>
      <c r="B154" s="273" t="str">
        <f>IF(A154="","",IFERROR(_xlfn.XLOOKUP(A154,Suivi_TMA!A:A,Suivi_TMA!B:B),""))</f>
        <v/>
      </c>
      <c r="C154" s="273" t="str">
        <f>IF(A154="","",IFERROR(_xlfn.XLOOKUP(A154,Suivi_TMA!A:A,Suivi_TMA!E:E),""))</f>
        <v/>
      </c>
      <c r="D154" s="274"/>
      <c r="E154" s="176" t="str">
        <f t="shared" si="10"/>
        <v/>
      </c>
      <c r="F154" s="274"/>
      <c r="G154" s="273" t="str">
        <f>IF(F154="","",IFERROR(VLOOKUP(F154,LOTS_ENTREPRISES!A:B,2,FALSE),""))</f>
        <v/>
      </c>
      <c r="H154" s="262" t="str">
        <f>IF(A154="","",IFERROR(IF(_xlfn.XLOOKUP(A154,Suivi_TMA!A:A,Suivi_TMA!I:I)="","",_xlfn.XLOOKUP(A154,Suivi_TMA!A:A,Suivi_TMA!I:I)),""))</f>
        <v/>
      </c>
      <c r="I154" s="275" t="str">
        <f t="shared" si="8"/>
        <v/>
      </c>
      <c r="J154" s="263" t="str">
        <f t="shared" si="11"/>
        <v/>
      </c>
      <c r="K154" s="276"/>
      <c r="L154" s="277"/>
      <c r="M154" s="273" t="str">
        <f t="shared" ca="1" si="9"/>
        <v/>
      </c>
      <c r="N154" s="266" t="str">
        <f>_xlfn.LET(_xlpm.x,_xlfn.XLOOKUP(A154,Suivi_TMA!A:A,Suivi_TMA!S:S,""),IF(OR(_xlpm.x="",_xlpm.x=0),"",_xlpm.x))</f>
        <v/>
      </c>
      <c r="O15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5" spans="1:15" ht="15" thickTop="1" thickBot="1" x14ac:dyDescent="0.5">
      <c r="A155" s="267"/>
      <c r="B155" s="263" t="str">
        <f>IF(A155="","",IFERROR(_xlfn.XLOOKUP(A155,Suivi_TMA!A:A,Suivi_TMA!B:B),""))</f>
        <v/>
      </c>
      <c r="C155" s="263" t="str">
        <f>IF(A155="","",IFERROR(_xlfn.XLOOKUP(A155,Suivi_TMA!A:A,Suivi_TMA!E:E),""))</f>
        <v/>
      </c>
      <c r="D155" s="268"/>
      <c r="E155" s="176" t="str">
        <f t="shared" si="10"/>
        <v/>
      </c>
      <c r="F155" s="268"/>
      <c r="G155" s="263" t="str">
        <f>IF(F155="","",IFERROR(VLOOKUP(F155,LOTS_ENTREPRISES!A:B,2,FALSE),""))</f>
        <v/>
      </c>
      <c r="H155" s="262" t="str">
        <f>IF(A155="","",IFERROR(IF(_xlfn.XLOOKUP(A155,Suivi_TMA!A:A,Suivi_TMA!I:I)="","",_xlfn.XLOOKUP(A155,Suivi_TMA!A:A,Suivi_TMA!I:I)),""))</f>
        <v/>
      </c>
      <c r="I155" s="269" t="str">
        <f t="shared" si="8"/>
        <v/>
      </c>
      <c r="J155" s="263" t="str">
        <f t="shared" si="11"/>
        <v/>
      </c>
      <c r="K155" s="278"/>
      <c r="L155" s="271"/>
      <c r="M155" s="263" t="str">
        <f t="shared" ca="1" si="9"/>
        <v/>
      </c>
      <c r="N155" s="266" t="str">
        <f>_xlfn.LET(_xlpm.x,_xlfn.XLOOKUP(A155,Suivi_TMA!A:A,Suivi_TMA!S:S,""),IF(OR(_xlpm.x="",_xlpm.x=0),"",_xlpm.x))</f>
        <v/>
      </c>
      <c r="O15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6" spans="1:15" ht="15" thickTop="1" thickBot="1" x14ac:dyDescent="0.5">
      <c r="A156" s="272"/>
      <c r="B156" s="273" t="str">
        <f>IF(A156="","",IFERROR(_xlfn.XLOOKUP(A156,Suivi_TMA!A:A,Suivi_TMA!B:B),""))</f>
        <v/>
      </c>
      <c r="C156" s="273" t="str">
        <f>IF(A156="","",IFERROR(_xlfn.XLOOKUP(A156,Suivi_TMA!A:A,Suivi_TMA!E:E),""))</f>
        <v/>
      </c>
      <c r="D156" s="274"/>
      <c r="E156" s="176" t="str">
        <f t="shared" si="10"/>
        <v/>
      </c>
      <c r="F156" s="274"/>
      <c r="G156" s="273" t="str">
        <f>IF(F156="","",IFERROR(VLOOKUP(F156,LOTS_ENTREPRISES!A:B,2,FALSE),""))</f>
        <v/>
      </c>
      <c r="H156" s="262" t="str">
        <f>IF(A156="","",IFERROR(IF(_xlfn.XLOOKUP(A156,Suivi_TMA!A:A,Suivi_TMA!I:I)="","",_xlfn.XLOOKUP(A156,Suivi_TMA!A:A,Suivi_TMA!I:I)),""))</f>
        <v/>
      </c>
      <c r="I156" s="275" t="str">
        <f t="shared" si="8"/>
        <v/>
      </c>
      <c r="J156" s="263" t="str">
        <f t="shared" si="11"/>
        <v/>
      </c>
      <c r="K156" s="276"/>
      <c r="L156" s="277"/>
      <c r="M156" s="273" t="str">
        <f t="shared" ca="1" si="9"/>
        <v/>
      </c>
      <c r="N156" s="266" t="str">
        <f>_xlfn.LET(_xlpm.x,_xlfn.XLOOKUP(A156,Suivi_TMA!A:A,Suivi_TMA!S:S,""),IF(OR(_xlpm.x="",_xlpm.x=0),"",_xlpm.x))</f>
        <v/>
      </c>
      <c r="O15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7" spans="1:15" ht="15" thickTop="1" thickBot="1" x14ac:dyDescent="0.5">
      <c r="A157" s="267"/>
      <c r="B157" s="263" t="str">
        <f>IF(A157="","",IFERROR(_xlfn.XLOOKUP(A157,Suivi_TMA!A:A,Suivi_TMA!B:B),""))</f>
        <v/>
      </c>
      <c r="C157" s="263" t="str">
        <f>IF(A157="","",IFERROR(_xlfn.XLOOKUP(A157,Suivi_TMA!A:A,Suivi_TMA!E:E),""))</f>
        <v/>
      </c>
      <c r="D157" s="268"/>
      <c r="E157" s="176" t="str">
        <f t="shared" si="10"/>
        <v/>
      </c>
      <c r="F157" s="268"/>
      <c r="G157" s="263" t="str">
        <f>IF(F157="","",IFERROR(VLOOKUP(F157,LOTS_ENTREPRISES!A:B,2,FALSE),""))</f>
        <v/>
      </c>
      <c r="H157" s="262" t="str">
        <f>IF(A157="","",IFERROR(IF(_xlfn.XLOOKUP(A157,Suivi_TMA!A:A,Suivi_TMA!I:I)="","",_xlfn.XLOOKUP(A157,Suivi_TMA!A:A,Suivi_TMA!I:I)),""))</f>
        <v/>
      </c>
      <c r="I157" s="269" t="str">
        <f t="shared" si="8"/>
        <v/>
      </c>
      <c r="J157" s="263" t="str">
        <f t="shared" si="11"/>
        <v/>
      </c>
      <c r="K157" s="278"/>
      <c r="L157" s="271"/>
      <c r="M157" s="263" t="str">
        <f t="shared" ca="1" si="9"/>
        <v/>
      </c>
      <c r="N157" s="266" t="str">
        <f>_xlfn.LET(_xlpm.x,_xlfn.XLOOKUP(A157,Suivi_TMA!A:A,Suivi_TMA!S:S,""),IF(OR(_xlpm.x="",_xlpm.x=0),"",_xlpm.x))</f>
        <v/>
      </c>
      <c r="O15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8" spans="1:15" ht="15" thickTop="1" thickBot="1" x14ac:dyDescent="0.5">
      <c r="A158" s="272"/>
      <c r="B158" s="273" t="str">
        <f>IF(A158="","",IFERROR(_xlfn.XLOOKUP(A158,Suivi_TMA!A:A,Suivi_TMA!B:B),""))</f>
        <v/>
      </c>
      <c r="C158" s="273" t="str">
        <f>IF(A158="","",IFERROR(_xlfn.XLOOKUP(A158,Suivi_TMA!A:A,Suivi_TMA!E:E),""))</f>
        <v/>
      </c>
      <c r="D158" s="274"/>
      <c r="E158" s="176" t="str">
        <f t="shared" si="10"/>
        <v/>
      </c>
      <c r="F158" s="274"/>
      <c r="G158" s="273" t="str">
        <f>IF(F158="","",IFERROR(VLOOKUP(F158,LOTS_ENTREPRISES!A:B,2,FALSE),""))</f>
        <v/>
      </c>
      <c r="H158" s="262" t="str">
        <f>IF(A158="","",IFERROR(IF(_xlfn.XLOOKUP(A158,Suivi_TMA!A:A,Suivi_TMA!I:I)="","",_xlfn.XLOOKUP(A158,Suivi_TMA!A:A,Suivi_TMA!I:I)),""))</f>
        <v/>
      </c>
      <c r="I158" s="275" t="str">
        <f t="shared" si="8"/>
        <v/>
      </c>
      <c r="J158" s="263" t="str">
        <f t="shared" si="11"/>
        <v/>
      </c>
      <c r="K158" s="276"/>
      <c r="L158" s="277"/>
      <c r="M158" s="273" t="str">
        <f t="shared" ca="1" si="9"/>
        <v/>
      </c>
      <c r="N158" s="266" t="str">
        <f>_xlfn.LET(_xlpm.x,_xlfn.XLOOKUP(A158,Suivi_TMA!A:A,Suivi_TMA!S:S,""),IF(OR(_xlpm.x="",_xlpm.x=0),"",_xlpm.x))</f>
        <v/>
      </c>
      <c r="O15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59" spans="1:15" ht="15" thickTop="1" thickBot="1" x14ac:dyDescent="0.5">
      <c r="A159" s="267"/>
      <c r="B159" s="263" t="str">
        <f>IF(A159="","",IFERROR(_xlfn.XLOOKUP(A159,Suivi_TMA!A:A,Suivi_TMA!B:B),""))</f>
        <v/>
      </c>
      <c r="C159" s="263" t="str">
        <f>IF(A159="","",IFERROR(_xlfn.XLOOKUP(A159,Suivi_TMA!A:A,Suivi_TMA!E:E),""))</f>
        <v/>
      </c>
      <c r="D159" s="268"/>
      <c r="E159" s="176" t="str">
        <f t="shared" si="10"/>
        <v/>
      </c>
      <c r="F159" s="268"/>
      <c r="G159" s="263" t="str">
        <f>IF(F159="","",IFERROR(VLOOKUP(F159,LOTS_ENTREPRISES!A:B,2,FALSE),""))</f>
        <v/>
      </c>
      <c r="H159" s="262" t="str">
        <f>IF(A159="","",IFERROR(IF(_xlfn.XLOOKUP(A159,Suivi_TMA!A:A,Suivi_TMA!I:I)="","",_xlfn.XLOOKUP(A159,Suivi_TMA!A:A,Suivi_TMA!I:I)),""))</f>
        <v/>
      </c>
      <c r="I159" s="269" t="str">
        <f t="shared" si="8"/>
        <v/>
      </c>
      <c r="J159" s="263" t="str">
        <f t="shared" si="11"/>
        <v/>
      </c>
      <c r="K159" s="278"/>
      <c r="L159" s="271"/>
      <c r="M159" s="263" t="str">
        <f t="shared" ca="1" si="9"/>
        <v/>
      </c>
      <c r="N159" s="266" t="str">
        <f>_xlfn.LET(_xlpm.x,_xlfn.XLOOKUP(A159,Suivi_TMA!A:A,Suivi_TMA!S:S,""),IF(OR(_xlpm.x="",_xlpm.x=0),"",_xlpm.x))</f>
        <v/>
      </c>
      <c r="O15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0" spans="1:15" ht="15" thickTop="1" thickBot="1" x14ac:dyDescent="0.5">
      <c r="A160" s="272"/>
      <c r="B160" s="273" t="str">
        <f>IF(A160="","",IFERROR(_xlfn.XLOOKUP(A160,Suivi_TMA!A:A,Suivi_TMA!B:B),""))</f>
        <v/>
      </c>
      <c r="C160" s="273" t="str">
        <f>IF(A160="","",IFERROR(_xlfn.XLOOKUP(A160,Suivi_TMA!A:A,Suivi_TMA!E:E),""))</f>
        <v/>
      </c>
      <c r="D160" s="274"/>
      <c r="E160" s="176" t="str">
        <f t="shared" si="10"/>
        <v/>
      </c>
      <c r="F160" s="274"/>
      <c r="G160" s="273" t="str">
        <f>IF(F160="","",IFERROR(VLOOKUP(F160,LOTS_ENTREPRISES!A:B,2,FALSE),""))</f>
        <v/>
      </c>
      <c r="H160" s="262" t="str">
        <f>IF(A160="","",IFERROR(IF(_xlfn.XLOOKUP(A160,Suivi_TMA!A:A,Suivi_TMA!I:I)="","",_xlfn.XLOOKUP(A160,Suivi_TMA!A:A,Suivi_TMA!I:I)),""))</f>
        <v/>
      </c>
      <c r="I160" s="275" t="str">
        <f t="shared" si="8"/>
        <v/>
      </c>
      <c r="J160" s="263" t="str">
        <f t="shared" si="11"/>
        <v/>
      </c>
      <c r="K160" s="276"/>
      <c r="L160" s="277"/>
      <c r="M160" s="273" t="str">
        <f t="shared" ca="1" si="9"/>
        <v/>
      </c>
      <c r="N160" s="266" t="str">
        <f>_xlfn.LET(_xlpm.x,_xlfn.XLOOKUP(A160,Suivi_TMA!A:A,Suivi_TMA!S:S,""),IF(OR(_xlpm.x="",_xlpm.x=0),"",_xlpm.x))</f>
        <v/>
      </c>
      <c r="O16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1" spans="1:15" ht="15" thickTop="1" thickBot="1" x14ac:dyDescent="0.5">
      <c r="A161" s="267"/>
      <c r="B161" s="263" t="str">
        <f>IF(A161="","",IFERROR(_xlfn.XLOOKUP(A161,Suivi_TMA!A:A,Suivi_TMA!B:B),""))</f>
        <v/>
      </c>
      <c r="C161" s="263" t="str">
        <f>IF(A161="","",IFERROR(_xlfn.XLOOKUP(A161,Suivi_TMA!A:A,Suivi_TMA!E:E),""))</f>
        <v/>
      </c>
      <c r="D161" s="268"/>
      <c r="E161" s="176" t="str">
        <f t="shared" si="10"/>
        <v/>
      </c>
      <c r="F161" s="268"/>
      <c r="G161" s="263" t="str">
        <f>IF(F161="","",IFERROR(VLOOKUP(F161,LOTS_ENTREPRISES!A:B,2,FALSE),""))</f>
        <v/>
      </c>
      <c r="H161" s="262" t="str">
        <f>IF(A161="","",IFERROR(IF(_xlfn.XLOOKUP(A161,Suivi_TMA!A:A,Suivi_TMA!I:I)="","",_xlfn.XLOOKUP(A161,Suivi_TMA!A:A,Suivi_TMA!I:I)),""))</f>
        <v/>
      </c>
      <c r="I161" s="269" t="str">
        <f t="shared" si="8"/>
        <v/>
      </c>
      <c r="J161" s="263" t="str">
        <f t="shared" si="11"/>
        <v/>
      </c>
      <c r="K161" s="278"/>
      <c r="L161" s="271"/>
      <c r="M161" s="263" t="str">
        <f t="shared" ca="1" si="9"/>
        <v/>
      </c>
      <c r="N161" s="266" t="str">
        <f>_xlfn.LET(_xlpm.x,_xlfn.XLOOKUP(A161,Suivi_TMA!A:A,Suivi_TMA!S:S,""),IF(OR(_xlpm.x="",_xlpm.x=0),"",_xlpm.x))</f>
        <v/>
      </c>
      <c r="O16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2" spans="1:15" ht="15" thickTop="1" thickBot="1" x14ac:dyDescent="0.5">
      <c r="A162" s="272"/>
      <c r="B162" s="273" t="str">
        <f>IF(A162="","",IFERROR(_xlfn.XLOOKUP(A162,Suivi_TMA!A:A,Suivi_TMA!B:B),""))</f>
        <v/>
      </c>
      <c r="C162" s="273" t="str">
        <f>IF(A162="","",IFERROR(_xlfn.XLOOKUP(A162,Suivi_TMA!A:A,Suivi_TMA!E:E),""))</f>
        <v/>
      </c>
      <c r="D162" s="274"/>
      <c r="E162" s="176" t="str">
        <f t="shared" si="10"/>
        <v/>
      </c>
      <c r="F162" s="274"/>
      <c r="G162" s="273" t="str">
        <f>IF(F162="","",IFERROR(VLOOKUP(F162,LOTS_ENTREPRISES!A:B,2,FALSE),""))</f>
        <v/>
      </c>
      <c r="H162" s="262" t="str">
        <f>IF(A162="","",IFERROR(IF(_xlfn.XLOOKUP(A162,Suivi_TMA!A:A,Suivi_TMA!I:I)="","",_xlfn.XLOOKUP(A162,Suivi_TMA!A:A,Suivi_TMA!I:I)),""))</f>
        <v/>
      </c>
      <c r="I162" s="275" t="str">
        <f t="shared" si="8"/>
        <v/>
      </c>
      <c r="J162" s="263" t="str">
        <f t="shared" si="11"/>
        <v/>
      </c>
      <c r="K162" s="276"/>
      <c r="L162" s="277"/>
      <c r="M162" s="273" t="str">
        <f t="shared" ca="1" si="9"/>
        <v/>
      </c>
      <c r="N162" s="266" t="str">
        <f>_xlfn.LET(_xlpm.x,_xlfn.XLOOKUP(A162,Suivi_TMA!A:A,Suivi_TMA!S:S,""),IF(OR(_xlpm.x="",_xlpm.x=0),"",_xlpm.x))</f>
        <v/>
      </c>
      <c r="O16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3" spans="1:15" ht="15" thickTop="1" thickBot="1" x14ac:dyDescent="0.5">
      <c r="A163" s="267"/>
      <c r="B163" s="263" t="str">
        <f>IF(A163="","",IFERROR(_xlfn.XLOOKUP(A163,Suivi_TMA!A:A,Suivi_TMA!B:B),""))</f>
        <v/>
      </c>
      <c r="C163" s="263" t="str">
        <f>IF(A163="","",IFERROR(_xlfn.XLOOKUP(A163,Suivi_TMA!A:A,Suivi_TMA!E:E),""))</f>
        <v/>
      </c>
      <c r="D163" s="268"/>
      <c r="E163" s="176" t="str">
        <f t="shared" si="10"/>
        <v/>
      </c>
      <c r="F163" s="268"/>
      <c r="G163" s="263" t="str">
        <f>IF(F163="","",IFERROR(VLOOKUP(F163,LOTS_ENTREPRISES!A:B,2,FALSE),""))</f>
        <v/>
      </c>
      <c r="H163" s="262" t="str">
        <f>IF(A163="","",IFERROR(IF(_xlfn.XLOOKUP(A163,Suivi_TMA!A:A,Suivi_TMA!I:I)="","",_xlfn.XLOOKUP(A163,Suivi_TMA!A:A,Suivi_TMA!I:I)),""))</f>
        <v/>
      </c>
      <c r="I163" s="269" t="str">
        <f t="shared" si="8"/>
        <v/>
      </c>
      <c r="J163" s="263" t="str">
        <f t="shared" si="11"/>
        <v/>
      </c>
      <c r="K163" s="278"/>
      <c r="L163" s="271"/>
      <c r="M163" s="263" t="str">
        <f t="shared" ca="1" si="9"/>
        <v/>
      </c>
      <c r="N163" s="266" t="str">
        <f>_xlfn.LET(_xlpm.x,_xlfn.XLOOKUP(A163,Suivi_TMA!A:A,Suivi_TMA!S:S,""),IF(OR(_xlpm.x="",_xlpm.x=0),"",_xlpm.x))</f>
        <v/>
      </c>
      <c r="O16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4" spans="1:15" ht="15" thickTop="1" thickBot="1" x14ac:dyDescent="0.5">
      <c r="A164" s="272"/>
      <c r="B164" s="273" t="str">
        <f>IF(A164="","",IFERROR(_xlfn.XLOOKUP(A164,Suivi_TMA!A:A,Suivi_TMA!B:B),""))</f>
        <v/>
      </c>
      <c r="C164" s="273" t="str">
        <f>IF(A164="","",IFERROR(_xlfn.XLOOKUP(A164,Suivi_TMA!A:A,Suivi_TMA!E:E),""))</f>
        <v/>
      </c>
      <c r="D164" s="274"/>
      <c r="E164" s="176" t="str">
        <f t="shared" si="10"/>
        <v/>
      </c>
      <c r="F164" s="274"/>
      <c r="G164" s="273" t="str">
        <f>IF(F164="","",IFERROR(VLOOKUP(F164,LOTS_ENTREPRISES!A:B,2,FALSE),""))</f>
        <v/>
      </c>
      <c r="H164" s="262" t="str">
        <f>IF(A164="","",IFERROR(IF(_xlfn.XLOOKUP(A164,Suivi_TMA!A:A,Suivi_TMA!I:I)="","",_xlfn.XLOOKUP(A164,Suivi_TMA!A:A,Suivi_TMA!I:I)),""))</f>
        <v/>
      </c>
      <c r="I164" s="275" t="str">
        <f t="shared" si="8"/>
        <v/>
      </c>
      <c r="J164" s="263" t="str">
        <f t="shared" si="11"/>
        <v/>
      </c>
      <c r="K164" s="276"/>
      <c r="L164" s="277"/>
      <c r="M164" s="273" t="str">
        <f t="shared" ca="1" si="9"/>
        <v/>
      </c>
      <c r="N164" s="266" t="str">
        <f>_xlfn.LET(_xlpm.x,_xlfn.XLOOKUP(A164,Suivi_TMA!A:A,Suivi_TMA!S:S,""),IF(OR(_xlpm.x="",_xlpm.x=0),"",_xlpm.x))</f>
        <v/>
      </c>
      <c r="O16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5" spans="1:15" ht="15" thickTop="1" thickBot="1" x14ac:dyDescent="0.5">
      <c r="A165" s="267"/>
      <c r="B165" s="263" t="str">
        <f>IF(A165="","",IFERROR(_xlfn.XLOOKUP(A165,Suivi_TMA!A:A,Suivi_TMA!B:B),""))</f>
        <v/>
      </c>
      <c r="C165" s="263" t="str">
        <f>IF(A165="","",IFERROR(_xlfn.XLOOKUP(A165,Suivi_TMA!A:A,Suivi_TMA!E:E),""))</f>
        <v/>
      </c>
      <c r="D165" s="268"/>
      <c r="E165" s="176" t="str">
        <f t="shared" si="10"/>
        <v/>
      </c>
      <c r="F165" s="268"/>
      <c r="G165" s="263" t="str">
        <f>IF(F165="","",IFERROR(VLOOKUP(F165,LOTS_ENTREPRISES!A:B,2,FALSE),""))</f>
        <v/>
      </c>
      <c r="H165" s="262" t="str">
        <f>IF(A165="","",IFERROR(IF(_xlfn.XLOOKUP(A165,Suivi_TMA!A:A,Suivi_TMA!I:I)="","",_xlfn.XLOOKUP(A165,Suivi_TMA!A:A,Suivi_TMA!I:I)),""))</f>
        <v/>
      </c>
      <c r="I165" s="269" t="str">
        <f t="shared" si="8"/>
        <v/>
      </c>
      <c r="J165" s="263" t="str">
        <f t="shared" si="11"/>
        <v/>
      </c>
      <c r="K165" s="278"/>
      <c r="L165" s="271"/>
      <c r="M165" s="263" t="str">
        <f t="shared" ca="1" si="9"/>
        <v/>
      </c>
      <c r="N165" s="266" t="str">
        <f>_xlfn.LET(_xlpm.x,_xlfn.XLOOKUP(A165,Suivi_TMA!A:A,Suivi_TMA!S:S,""),IF(OR(_xlpm.x="",_xlpm.x=0),"",_xlpm.x))</f>
        <v/>
      </c>
      <c r="O16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6" spans="1:15" ht="15" thickTop="1" thickBot="1" x14ac:dyDescent="0.5">
      <c r="A166" s="272"/>
      <c r="B166" s="273" t="str">
        <f>IF(A166="","",IFERROR(_xlfn.XLOOKUP(A166,Suivi_TMA!A:A,Suivi_TMA!B:B),""))</f>
        <v/>
      </c>
      <c r="C166" s="273" t="str">
        <f>IF(A166="","",IFERROR(_xlfn.XLOOKUP(A166,Suivi_TMA!A:A,Suivi_TMA!E:E),""))</f>
        <v/>
      </c>
      <c r="D166" s="274"/>
      <c r="E166" s="176" t="str">
        <f t="shared" si="10"/>
        <v/>
      </c>
      <c r="F166" s="274"/>
      <c r="G166" s="273" t="str">
        <f>IF(F166="","",IFERROR(VLOOKUP(F166,LOTS_ENTREPRISES!A:B,2,FALSE),""))</f>
        <v/>
      </c>
      <c r="H166" s="262" t="str">
        <f>IF(A166="","",IFERROR(IF(_xlfn.XLOOKUP(A166,Suivi_TMA!A:A,Suivi_TMA!I:I)="","",_xlfn.XLOOKUP(A166,Suivi_TMA!A:A,Suivi_TMA!I:I)),""))</f>
        <v/>
      </c>
      <c r="I166" s="275" t="str">
        <f t="shared" si="8"/>
        <v/>
      </c>
      <c r="J166" s="263" t="str">
        <f t="shared" si="11"/>
        <v/>
      </c>
      <c r="K166" s="276"/>
      <c r="L166" s="277"/>
      <c r="M166" s="273" t="str">
        <f t="shared" ca="1" si="9"/>
        <v/>
      </c>
      <c r="N166" s="266" t="str">
        <f>_xlfn.LET(_xlpm.x,_xlfn.XLOOKUP(A166,Suivi_TMA!A:A,Suivi_TMA!S:S,""),IF(OR(_xlpm.x="",_xlpm.x=0),"",_xlpm.x))</f>
        <v/>
      </c>
      <c r="O16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7" spans="1:15" ht="15" thickTop="1" thickBot="1" x14ac:dyDescent="0.5">
      <c r="A167" s="267"/>
      <c r="B167" s="263" t="str">
        <f>IF(A167="","",IFERROR(_xlfn.XLOOKUP(A167,Suivi_TMA!A:A,Suivi_TMA!B:B),""))</f>
        <v/>
      </c>
      <c r="C167" s="263" t="str">
        <f>IF(A167="","",IFERROR(_xlfn.XLOOKUP(A167,Suivi_TMA!A:A,Suivi_TMA!E:E),""))</f>
        <v/>
      </c>
      <c r="D167" s="268"/>
      <c r="E167" s="176" t="str">
        <f t="shared" si="10"/>
        <v/>
      </c>
      <c r="F167" s="268"/>
      <c r="G167" s="263" t="str">
        <f>IF(F167="","",IFERROR(VLOOKUP(F167,LOTS_ENTREPRISES!A:B,2,FALSE),""))</f>
        <v/>
      </c>
      <c r="H167" s="262" t="str">
        <f>IF(A167="","",IFERROR(IF(_xlfn.XLOOKUP(A167,Suivi_TMA!A:A,Suivi_TMA!I:I)="","",_xlfn.XLOOKUP(A167,Suivi_TMA!A:A,Suivi_TMA!I:I)),""))</f>
        <v/>
      </c>
      <c r="I167" s="269" t="str">
        <f t="shared" si="8"/>
        <v/>
      </c>
      <c r="J167" s="263" t="str">
        <f t="shared" si="11"/>
        <v/>
      </c>
      <c r="K167" s="278"/>
      <c r="L167" s="271"/>
      <c r="M167" s="263" t="str">
        <f t="shared" ca="1" si="9"/>
        <v/>
      </c>
      <c r="N167" s="266" t="str">
        <f>_xlfn.LET(_xlpm.x,_xlfn.XLOOKUP(A167,Suivi_TMA!A:A,Suivi_TMA!S:S,""),IF(OR(_xlpm.x="",_xlpm.x=0),"",_xlpm.x))</f>
        <v/>
      </c>
      <c r="O16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8" spans="1:15" ht="15" thickTop="1" thickBot="1" x14ac:dyDescent="0.5">
      <c r="A168" s="272"/>
      <c r="B168" s="273" t="str">
        <f>IF(A168="","",IFERROR(_xlfn.XLOOKUP(A168,Suivi_TMA!A:A,Suivi_TMA!B:B),""))</f>
        <v/>
      </c>
      <c r="C168" s="273" t="str">
        <f>IF(A168="","",IFERROR(_xlfn.XLOOKUP(A168,Suivi_TMA!A:A,Suivi_TMA!E:E),""))</f>
        <v/>
      </c>
      <c r="D168" s="274"/>
      <c r="E168" s="176" t="str">
        <f t="shared" si="10"/>
        <v/>
      </c>
      <c r="F168" s="274"/>
      <c r="G168" s="273" t="str">
        <f>IF(F168="","",IFERROR(VLOOKUP(F168,LOTS_ENTREPRISES!A:B,2,FALSE),""))</f>
        <v/>
      </c>
      <c r="H168" s="262" t="str">
        <f>IF(A168="","",IFERROR(IF(_xlfn.XLOOKUP(A168,Suivi_TMA!A:A,Suivi_TMA!I:I)="","",_xlfn.XLOOKUP(A168,Suivi_TMA!A:A,Suivi_TMA!I:I)),""))</f>
        <v/>
      </c>
      <c r="I168" s="275" t="str">
        <f t="shared" si="8"/>
        <v/>
      </c>
      <c r="J168" s="263" t="str">
        <f t="shared" si="11"/>
        <v/>
      </c>
      <c r="K168" s="276"/>
      <c r="L168" s="277"/>
      <c r="M168" s="273" t="str">
        <f t="shared" ca="1" si="9"/>
        <v/>
      </c>
      <c r="N168" s="266" t="str">
        <f>_xlfn.LET(_xlpm.x,_xlfn.XLOOKUP(A168,Suivi_TMA!A:A,Suivi_TMA!S:S,""),IF(OR(_xlpm.x="",_xlpm.x=0),"",_xlpm.x))</f>
        <v/>
      </c>
      <c r="O16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69" spans="1:15" ht="15" thickTop="1" thickBot="1" x14ac:dyDescent="0.5">
      <c r="A169" s="267"/>
      <c r="B169" s="263" t="str">
        <f>IF(A169="","",IFERROR(_xlfn.XLOOKUP(A169,Suivi_TMA!A:A,Suivi_TMA!B:B),""))</f>
        <v/>
      </c>
      <c r="C169" s="263" t="str">
        <f>IF(A169="","",IFERROR(_xlfn.XLOOKUP(A169,Suivi_TMA!A:A,Suivi_TMA!E:E),""))</f>
        <v/>
      </c>
      <c r="D169" s="268"/>
      <c r="E169" s="176" t="str">
        <f t="shared" si="10"/>
        <v/>
      </c>
      <c r="F169" s="268"/>
      <c r="G169" s="263" t="str">
        <f>IF(F169="","",IFERROR(VLOOKUP(F169,LOTS_ENTREPRISES!A:B,2,FALSE),""))</f>
        <v/>
      </c>
      <c r="H169" s="262" t="str">
        <f>IF(A169="","",IFERROR(IF(_xlfn.XLOOKUP(A169,Suivi_TMA!A:A,Suivi_TMA!I:I)="","",_xlfn.XLOOKUP(A169,Suivi_TMA!A:A,Suivi_TMA!I:I)),""))</f>
        <v/>
      </c>
      <c r="I169" s="269" t="str">
        <f t="shared" si="8"/>
        <v/>
      </c>
      <c r="J169" s="263" t="str">
        <f t="shared" si="11"/>
        <v/>
      </c>
      <c r="K169" s="278"/>
      <c r="L169" s="271"/>
      <c r="M169" s="263" t="str">
        <f t="shared" ca="1" si="9"/>
        <v/>
      </c>
      <c r="N169" s="266" t="str">
        <f>_xlfn.LET(_xlpm.x,_xlfn.XLOOKUP(A169,Suivi_TMA!A:A,Suivi_TMA!S:S,""),IF(OR(_xlpm.x="",_xlpm.x=0),"",_xlpm.x))</f>
        <v/>
      </c>
      <c r="O16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0" spans="1:15" ht="15" thickTop="1" thickBot="1" x14ac:dyDescent="0.5">
      <c r="A170" s="272"/>
      <c r="B170" s="273" t="str">
        <f>IF(A170="","",IFERROR(_xlfn.XLOOKUP(A170,Suivi_TMA!A:A,Suivi_TMA!B:B),""))</f>
        <v/>
      </c>
      <c r="C170" s="273" t="str">
        <f>IF(A170="","",IFERROR(_xlfn.XLOOKUP(A170,Suivi_TMA!A:A,Suivi_TMA!E:E),""))</f>
        <v/>
      </c>
      <c r="D170" s="274"/>
      <c r="E170" s="176" t="str">
        <f t="shared" si="10"/>
        <v/>
      </c>
      <c r="F170" s="274"/>
      <c r="G170" s="273" t="str">
        <f>IF(F170="","",IFERROR(VLOOKUP(F170,LOTS_ENTREPRISES!A:B,2,FALSE),""))</f>
        <v/>
      </c>
      <c r="H170" s="262" t="str">
        <f>IF(A170="","",IFERROR(IF(_xlfn.XLOOKUP(A170,Suivi_TMA!A:A,Suivi_TMA!I:I)="","",_xlfn.XLOOKUP(A170,Suivi_TMA!A:A,Suivi_TMA!I:I)),""))</f>
        <v/>
      </c>
      <c r="I170" s="275" t="str">
        <f t="shared" si="8"/>
        <v/>
      </c>
      <c r="J170" s="263" t="str">
        <f t="shared" si="11"/>
        <v/>
      </c>
      <c r="K170" s="276"/>
      <c r="L170" s="277"/>
      <c r="M170" s="273" t="str">
        <f t="shared" ca="1" si="9"/>
        <v/>
      </c>
      <c r="N170" s="266" t="str">
        <f>_xlfn.LET(_xlpm.x,_xlfn.XLOOKUP(A170,Suivi_TMA!A:A,Suivi_TMA!S:S,""),IF(OR(_xlpm.x="",_xlpm.x=0),"",_xlpm.x))</f>
        <v/>
      </c>
      <c r="O17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1" spans="1:15" ht="15" thickTop="1" thickBot="1" x14ac:dyDescent="0.5">
      <c r="A171" s="267"/>
      <c r="B171" s="263" t="str">
        <f>IF(A171="","",IFERROR(_xlfn.XLOOKUP(A171,Suivi_TMA!A:A,Suivi_TMA!B:B),""))</f>
        <v/>
      </c>
      <c r="C171" s="263" t="str">
        <f>IF(A171="","",IFERROR(_xlfn.XLOOKUP(A171,Suivi_TMA!A:A,Suivi_TMA!E:E),""))</f>
        <v/>
      </c>
      <c r="D171" s="268"/>
      <c r="E171" s="176" t="str">
        <f t="shared" si="10"/>
        <v/>
      </c>
      <c r="F171" s="268"/>
      <c r="G171" s="263" t="str">
        <f>IF(F171="","",IFERROR(VLOOKUP(F171,LOTS_ENTREPRISES!A:B,2,FALSE),""))</f>
        <v/>
      </c>
      <c r="H171" s="262" t="str">
        <f>IF(A171="","",IFERROR(IF(_xlfn.XLOOKUP(A171,Suivi_TMA!A:A,Suivi_TMA!I:I)="","",_xlfn.XLOOKUP(A171,Suivi_TMA!A:A,Suivi_TMA!I:I)),""))</f>
        <v/>
      </c>
      <c r="I171" s="269" t="str">
        <f t="shared" si="8"/>
        <v/>
      </c>
      <c r="J171" s="263" t="str">
        <f t="shared" si="11"/>
        <v/>
      </c>
      <c r="K171" s="278"/>
      <c r="L171" s="271"/>
      <c r="M171" s="263" t="str">
        <f t="shared" ca="1" si="9"/>
        <v/>
      </c>
      <c r="N171" s="266" t="str">
        <f>_xlfn.LET(_xlpm.x,_xlfn.XLOOKUP(A171,Suivi_TMA!A:A,Suivi_TMA!S:S,""),IF(OR(_xlpm.x="",_xlpm.x=0),"",_xlpm.x))</f>
        <v/>
      </c>
      <c r="O17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2" spans="1:15" ht="15" thickTop="1" thickBot="1" x14ac:dyDescent="0.5">
      <c r="A172" s="272"/>
      <c r="B172" s="273" t="str">
        <f>IF(A172="","",IFERROR(_xlfn.XLOOKUP(A172,Suivi_TMA!A:A,Suivi_TMA!B:B),""))</f>
        <v/>
      </c>
      <c r="C172" s="273" t="str">
        <f>IF(A172="","",IFERROR(_xlfn.XLOOKUP(A172,Suivi_TMA!A:A,Suivi_TMA!E:E),""))</f>
        <v/>
      </c>
      <c r="D172" s="274"/>
      <c r="E172" s="176" t="str">
        <f t="shared" si="10"/>
        <v/>
      </c>
      <c r="F172" s="274"/>
      <c r="G172" s="273" t="str">
        <f>IF(F172="","",IFERROR(VLOOKUP(F172,LOTS_ENTREPRISES!A:B,2,FALSE),""))</f>
        <v/>
      </c>
      <c r="H172" s="262" t="str">
        <f>IF(A172="","",IFERROR(IF(_xlfn.XLOOKUP(A172,Suivi_TMA!A:A,Suivi_TMA!I:I)="","",_xlfn.XLOOKUP(A172,Suivi_TMA!A:A,Suivi_TMA!I:I)),""))</f>
        <v/>
      </c>
      <c r="I172" s="275" t="str">
        <f t="shared" si="8"/>
        <v/>
      </c>
      <c r="J172" s="263" t="str">
        <f t="shared" si="11"/>
        <v/>
      </c>
      <c r="K172" s="276"/>
      <c r="L172" s="277"/>
      <c r="M172" s="273" t="str">
        <f t="shared" ca="1" si="9"/>
        <v/>
      </c>
      <c r="N172" s="266" t="str">
        <f>_xlfn.LET(_xlpm.x,_xlfn.XLOOKUP(A172,Suivi_TMA!A:A,Suivi_TMA!S:S,""),IF(OR(_xlpm.x="",_xlpm.x=0),"",_xlpm.x))</f>
        <v/>
      </c>
      <c r="O17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3" spans="1:15" ht="15" thickTop="1" thickBot="1" x14ac:dyDescent="0.5">
      <c r="A173" s="267"/>
      <c r="B173" s="263" t="str">
        <f>IF(A173="","",IFERROR(_xlfn.XLOOKUP(A173,Suivi_TMA!A:A,Suivi_TMA!B:B),""))</f>
        <v/>
      </c>
      <c r="C173" s="263" t="str">
        <f>IF(A173="","",IFERROR(_xlfn.XLOOKUP(A173,Suivi_TMA!A:A,Suivi_TMA!E:E),""))</f>
        <v/>
      </c>
      <c r="D173" s="268"/>
      <c r="E173" s="176" t="str">
        <f t="shared" si="10"/>
        <v/>
      </c>
      <c r="F173" s="268"/>
      <c r="G173" s="263" t="str">
        <f>IF(F173="","",IFERROR(VLOOKUP(F173,LOTS_ENTREPRISES!A:B,2,FALSE),""))</f>
        <v/>
      </c>
      <c r="H173" s="262" t="str">
        <f>IF(A173="","",IFERROR(IF(_xlfn.XLOOKUP(A173,Suivi_TMA!A:A,Suivi_TMA!I:I)="","",_xlfn.XLOOKUP(A173,Suivi_TMA!A:A,Suivi_TMA!I:I)),""))</f>
        <v/>
      </c>
      <c r="I173" s="269" t="str">
        <f t="shared" si="8"/>
        <v/>
      </c>
      <c r="J173" s="263" t="str">
        <f t="shared" si="11"/>
        <v/>
      </c>
      <c r="K173" s="278"/>
      <c r="L173" s="271"/>
      <c r="M173" s="263" t="str">
        <f t="shared" ca="1" si="9"/>
        <v/>
      </c>
      <c r="N173" s="266" t="str">
        <f>_xlfn.LET(_xlpm.x,_xlfn.XLOOKUP(A173,Suivi_TMA!A:A,Suivi_TMA!S:S,""),IF(OR(_xlpm.x="",_xlpm.x=0),"",_xlpm.x))</f>
        <v/>
      </c>
      <c r="O17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4" spans="1:15" ht="15" thickTop="1" thickBot="1" x14ac:dyDescent="0.5">
      <c r="A174" s="272"/>
      <c r="B174" s="273" t="str">
        <f>IF(A174="","",IFERROR(_xlfn.XLOOKUP(A174,Suivi_TMA!A:A,Suivi_TMA!B:B),""))</f>
        <v/>
      </c>
      <c r="C174" s="273" t="str">
        <f>IF(A174="","",IFERROR(_xlfn.XLOOKUP(A174,Suivi_TMA!A:A,Suivi_TMA!E:E),""))</f>
        <v/>
      </c>
      <c r="D174" s="274"/>
      <c r="E174" s="176" t="str">
        <f t="shared" si="10"/>
        <v/>
      </c>
      <c r="F174" s="274"/>
      <c r="G174" s="273" t="str">
        <f>IF(F174="","",IFERROR(VLOOKUP(F174,LOTS_ENTREPRISES!A:B,2,FALSE),""))</f>
        <v/>
      </c>
      <c r="H174" s="262" t="str">
        <f>IF(A174="","",IFERROR(IF(_xlfn.XLOOKUP(A174,Suivi_TMA!A:A,Suivi_TMA!I:I)="","",_xlfn.XLOOKUP(A174,Suivi_TMA!A:A,Suivi_TMA!I:I)),""))</f>
        <v/>
      </c>
      <c r="I174" s="275" t="str">
        <f t="shared" si="8"/>
        <v/>
      </c>
      <c r="J174" s="263" t="str">
        <f t="shared" si="11"/>
        <v/>
      </c>
      <c r="K174" s="276"/>
      <c r="L174" s="277"/>
      <c r="M174" s="273" t="str">
        <f t="shared" ca="1" si="9"/>
        <v/>
      </c>
      <c r="N174" s="266" t="str">
        <f>_xlfn.LET(_xlpm.x,_xlfn.XLOOKUP(A174,Suivi_TMA!A:A,Suivi_TMA!S:S,""),IF(OR(_xlpm.x="",_xlpm.x=0),"",_xlpm.x))</f>
        <v/>
      </c>
      <c r="O17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5" spans="1:15" ht="15" thickTop="1" thickBot="1" x14ac:dyDescent="0.5">
      <c r="A175" s="267"/>
      <c r="B175" s="263" t="str">
        <f>IF(A175="","",IFERROR(_xlfn.XLOOKUP(A175,Suivi_TMA!A:A,Suivi_TMA!B:B),""))</f>
        <v/>
      </c>
      <c r="C175" s="263" t="str">
        <f>IF(A175="","",IFERROR(_xlfn.XLOOKUP(A175,Suivi_TMA!A:A,Suivi_TMA!E:E),""))</f>
        <v/>
      </c>
      <c r="D175" s="268"/>
      <c r="E175" s="176" t="str">
        <f t="shared" si="10"/>
        <v/>
      </c>
      <c r="F175" s="268"/>
      <c r="G175" s="263" t="str">
        <f>IF(F175="","",IFERROR(VLOOKUP(F175,LOTS_ENTREPRISES!A:B,2,FALSE),""))</f>
        <v/>
      </c>
      <c r="H175" s="262" t="str">
        <f>IF(A175="","",IFERROR(IF(_xlfn.XLOOKUP(A175,Suivi_TMA!A:A,Suivi_TMA!I:I)="","",_xlfn.XLOOKUP(A175,Suivi_TMA!A:A,Suivi_TMA!I:I)),""))</f>
        <v/>
      </c>
      <c r="I175" s="269" t="str">
        <f t="shared" si="8"/>
        <v/>
      </c>
      <c r="J175" s="263" t="str">
        <f t="shared" si="11"/>
        <v/>
      </c>
      <c r="K175" s="278"/>
      <c r="L175" s="271"/>
      <c r="M175" s="263" t="str">
        <f t="shared" ca="1" si="9"/>
        <v/>
      </c>
      <c r="N175" s="266" t="str">
        <f>_xlfn.LET(_xlpm.x,_xlfn.XLOOKUP(A175,Suivi_TMA!A:A,Suivi_TMA!S:S,""),IF(OR(_xlpm.x="",_xlpm.x=0),"",_xlpm.x))</f>
        <v/>
      </c>
      <c r="O17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6" spans="1:15" ht="15" thickTop="1" thickBot="1" x14ac:dyDescent="0.5">
      <c r="A176" s="272"/>
      <c r="B176" s="273" t="str">
        <f>IF(A176="","",IFERROR(_xlfn.XLOOKUP(A176,Suivi_TMA!A:A,Suivi_TMA!B:B),""))</f>
        <v/>
      </c>
      <c r="C176" s="273" t="str">
        <f>IF(A176="","",IFERROR(_xlfn.XLOOKUP(A176,Suivi_TMA!A:A,Suivi_TMA!E:E),""))</f>
        <v/>
      </c>
      <c r="D176" s="274"/>
      <c r="E176" s="176" t="str">
        <f t="shared" si="10"/>
        <v/>
      </c>
      <c r="F176" s="274"/>
      <c r="G176" s="273" t="str">
        <f>IF(F176="","",IFERROR(VLOOKUP(F176,LOTS_ENTREPRISES!A:B,2,FALSE),""))</f>
        <v/>
      </c>
      <c r="H176" s="262" t="str">
        <f>IF(A176="","",IFERROR(IF(_xlfn.XLOOKUP(A176,Suivi_TMA!A:A,Suivi_TMA!I:I)="","",_xlfn.XLOOKUP(A176,Suivi_TMA!A:A,Suivi_TMA!I:I)),""))</f>
        <v/>
      </c>
      <c r="I176" s="275" t="str">
        <f t="shared" si="8"/>
        <v/>
      </c>
      <c r="J176" s="263" t="str">
        <f t="shared" si="11"/>
        <v/>
      </c>
      <c r="K176" s="276"/>
      <c r="L176" s="277"/>
      <c r="M176" s="273" t="str">
        <f t="shared" ca="1" si="9"/>
        <v/>
      </c>
      <c r="N176" s="266" t="str">
        <f>_xlfn.LET(_xlpm.x,_xlfn.XLOOKUP(A176,Suivi_TMA!A:A,Suivi_TMA!S:S,""),IF(OR(_xlpm.x="",_xlpm.x=0),"",_xlpm.x))</f>
        <v/>
      </c>
      <c r="O17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7" spans="1:15" ht="15" thickTop="1" thickBot="1" x14ac:dyDescent="0.5">
      <c r="A177" s="267"/>
      <c r="B177" s="263" t="str">
        <f>IF(A177="","",IFERROR(_xlfn.XLOOKUP(A177,Suivi_TMA!A:A,Suivi_TMA!B:B),""))</f>
        <v/>
      </c>
      <c r="C177" s="263" t="str">
        <f>IF(A177="","",IFERROR(_xlfn.XLOOKUP(A177,Suivi_TMA!A:A,Suivi_TMA!E:E),""))</f>
        <v/>
      </c>
      <c r="D177" s="268"/>
      <c r="E177" s="176" t="str">
        <f t="shared" si="10"/>
        <v/>
      </c>
      <c r="F177" s="268"/>
      <c r="G177" s="263" t="str">
        <f>IF(F177="","",IFERROR(VLOOKUP(F177,LOTS_ENTREPRISES!A:B,2,FALSE),""))</f>
        <v/>
      </c>
      <c r="H177" s="262" t="str">
        <f>IF(A177="","",IFERROR(IF(_xlfn.XLOOKUP(A177,Suivi_TMA!A:A,Suivi_TMA!I:I)="","",_xlfn.XLOOKUP(A177,Suivi_TMA!A:A,Suivi_TMA!I:I)),""))</f>
        <v/>
      </c>
      <c r="I177" s="269" t="str">
        <f t="shared" si="8"/>
        <v/>
      </c>
      <c r="J177" s="263" t="str">
        <f t="shared" si="11"/>
        <v/>
      </c>
      <c r="K177" s="278"/>
      <c r="L177" s="271"/>
      <c r="M177" s="263" t="str">
        <f t="shared" ca="1" si="9"/>
        <v/>
      </c>
      <c r="N177" s="266" t="str">
        <f>_xlfn.LET(_xlpm.x,_xlfn.XLOOKUP(A177,Suivi_TMA!A:A,Suivi_TMA!S:S,""),IF(OR(_xlpm.x="",_xlpm.x=0),"",_xlpm.x))</f>
        <v/>
      </c>
      <c r="O17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8" spans="1:15" ht="15" thickTop="1" thickBot="1" x14ac:dyDescent="0.5">
      <c r="A178" s="272"/>
      <c r="B178" s="273" t="str">
        <f>IF(A178="","",IFERROR(_xlfn.XLOOKUP(A178,Suivi_TMA!A:A,Suivi_TMA!B:B),""))</f>
        <v/>
      </c>
      <c r="C178" s="273" t="str">
        <f>IF(A178="","",IFERROR(_xlfn.XLOOKUP(A178,Suivi_TMA!A:A,Suivi_TMA!E:E),""))</f>
        <v/>
      </c>
      <c r="D178" s="274"/>
      <c r="E178" s="176" t="str">
        <f t="shared" si="10"/>
        <v/>
      </c>
      <c r="F178" s="274"/>
      <c r="G178" s="273" t="str">
        <f>IF(F178="","",IFERROR(VLOOKUP(F178,LOTS_ENTREPRISES!A:B,2,FALSE),""))</f>
        <v/>
      </c>
      <c r="H178" s="262" t="str">
        <f>IF(A178="","",IFERROR(IF(_xlfn.XLOOKUP(A178,Suivi_TMA!A:A,Suivi_TMA!I:I)="","",_xlfn.XLOOKUP(A178,Suivi_TMA!A:A,Suivi_TMA!I:I)),""))</f>
        <v/>
      </c>
      <c r="I178" s="275" t="str">
        <f t="shared" si="8"/>
        <v/>
      </c>
      <c r="J178" s="263" t="str">
        <f t="shared" si="11"/>
        <v/>
      </c>
      <c r="K178" s="276"/>
      <c r="L178" s="277"/>
      <c r="M178" s="273" t="str">
        <f t="shared" ca="1" si="9"/>
        <v/>
      </c>
      <c r="N178" s="266" t="str">
        <f>_xlfn.LET(_xlpm.x,_xlfn.XLOOKUP(A178,Suivi_TMA!A:A,Suivi_TMA!S:S,""),IF(OR(_xlpm.x="",_xlpm.x=0),"",_xlpm.x))</f>
        <v/>
      </c>
      <c r="O17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79" spans="1:15" ht="15" thickTop="1" thickBot="1" x14ac:dyDescent="0.5">
      <c r="A179" s="267"/>
      <c r="B179" s="263" t="str">
        <f>IF(A179="","",IFERROR(_xlfn.XLOOKUP(A179,Suivi_TMA!A:A,Suivi_TMA!B:B),""))</f>
        <v/>
      </c>
      <c r="C179" s="263" t="str">
        <f>IF(A179="","",IFERROR(_xlfn.XLOOKUP(A179,Suivi_TMA!A:A,Suivi_TMA!E:E),""))</f>
        <v/>
      </c>
      <c r="D179" s="268"/>
      <c r="E179" s="176" t="str">
        <f t="shared" si="10"/>
        <v/>
      </c>
      <c r="F179" s="268"/>
      <c r="G179" s="263" t="str">
        <f>IF(F179="","",IFERROR(VLOOKUP(F179,LOTS_ENTREPRISES!A:B,2,FALSE),""))</f>
        <v/>
      </c>
      <c r="H179" s="262" t="str">
        <f>IF(A179="","",IFERROR(IF(_xlfn.XLOOKUP(A179,Suivi_TMA!A:A,Suivi_TMA!I:I)="","",_xlfn.XLOOKUP(A179,Suivi_TMA!A:A,Suivi_TMA!I:I)),""))</f>
        <v/>
      </c>
      <c r="I179" s="269" t="str">
        <f t="shared" si="8"/>
        <v/>
      </c>
      <c r="J179" s="263" t="str">
        <f t="shared" si="11"/>
        <v/>
      </c>
      <c r="K179" s="278"/>
      <c r="L179" s="271"/>
      <c r="M179" s="263" t="str">
        <f t="shared" ca="1" si="9"/>
        <v/>
      </c>
      <c r="N179" s="266" t="str">
        <f>_xlfn.LET(_xlpm.x,_xlfn.XLOOKUP(A179,Suivi_TMA!A:A,Suivi_TMA!S:S,""),IF(OR(_xlpm.x="",_xlpm.x=0),"",_xlpm.x))</f>
        <v/>
      </c>
      <c r="O17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0" spans="1:15" ht="15" thickTop="1" thickBot="1" x14ac:dyDescent="0.5">
      <c r="A180" s="272"/>
      <c r="B180" s="273" t="str">
        <f>IF(A180="","",IFERROR(_xlfn.XLOOKUP(A180,Suivi_TMA!A:A,Suivi_TMA!B:B),""))</f>
        <v/>
      </c>
      <c r="C180" s="273" t="str">
        <f>IF(A180="","",IFERROR(_xlfn.XLOOKUP(A180,Suivi_TMA!A:A,Suivi_TMA!E:E),""))</f>
        <v/>
      </c>
      <c r="D180" s="274"/>
      <c r="E180" s="176" t="str">
        <f t="shared" si="10"/>
        <v/>
      </c>
      <c r="F180" s="274"/>
      <c r="G180" s="273" t="str">
        <f>IF(F180="","",IFERROR(VLOOKUP(F180,LOTS_ENTREPRISES!A:B,2,FALSE),""))</f>
        <v/>
      </c>
      <c r="H180" s="262" t="str">
        <f>IF(A180="","",IFERROR(IF(_xlfn.XLOOKUP(A180,Suivi_TMA!A:A,Suivi_TMA!I:I)="","",_xlfn.XLOOKUP(A180,Suivi_TMA!A:A,Suivi_TMA!I:I)),""))</f>
        <v/>
      </c>
      <c r="I180" s="275" t="str">
        <f t="shared" si="8"/>
        <v/>
      </c>
      <c r="J180" s="263" t="str">
        <f t="shared" si="11"/>
        <v/>
      </c>
      <c r="K180" s="276"/>
      <c r="L180" s="277"/>
      <c r="M180" s="273" t="str">
        <f t="shared" ca="1" si="9"/>
        <v/>
      </c>
      <c r="N180" s="266" t="str">
        <f>_xlfn.LET(_xlpm.x,_xlfn.XLOOKUP(A180,Suivi_TMA!A:A,Suivi_TMA!S:S,""),IF(OR(_xlpm.x="",_xlpm.x=0),"",_xlpm.x))</f>
        <v/>
      </c>
      <c r="O18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1" spans="1:15" ht="15" thickTop="1" thickBot="1" x14ac:dyDescent="0.5">
      <c r="A181" s="267"/>
      <c r="B181" s="263" t="str">
        <f>IF(A181="","",IFERROR(_xlfn.XLOOKUP(A181,Suivi_TMA!A:A,Suivi_TMA!B:B),""))</f>
        <v/>
      </c>
      <c r="C181" s="263" t="str">
        <f>IF(A181="","",IFERROR(_xlfn.XLOOKUP(A181,Suivi_TMA!A:A,Suivi_TMA!E:E),""))</f>
        <v/>
      </c>
      <c r="D181" s="268"/>
      <c r="E181" s="176" t="str">
        <f t="shared" si="10"/>
        <v/>
      </c>
      <c r="F181" s="268"/>
      <c r="G181" s="263" t="str">
        <f>IF(F181="","",IFERROR(VLOOKUP(F181,LOTS_ENTREPRISES!A:B,2,FALSE),""))</f>
        <v/>
      </c>
      <c r="H181" s="262" t="str">
        <f>IF(A181="","",IFERROR(IF(_xlfn.XLOOKUP(A181,Suivi_TMA!A:A,Suivi_TMA!I:I)="","",_xlfn.XLOOKUP(A181,Suivi_TMA!A:A,Suivi_TMA!I:I)),""))</f>
        <v/>
      </c>
      <c r="I181" s="269" t="str">
        <f t="shared" si="8"/>
        <v/>
      </c>
      <c r="J181" s="263" t="str">
        <f t="shared" si="11"/>
        <v/>
      </c>
      <c r="K181" s="278"/>
      <c r="L181" s="271"/>
      <c r="M181" s="263" t="str">
        <f t="shared" ca="1" si="9"/>
        <v/>
      </c>
      <c r="N181" s="266" t="str">
        <f>_xlfn.LET(_xlpm.x,_xlfn.XLOOKUP(A181,Suivi_TMA!A:A,Suivi_TMA!S:S,""),IF(OR(_xlpm.x="",_xlpm.x=0),"",_xlpm.x))</f>
        <v/>
      </c>
      <c r="O18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2" spans="1:15" ht="15" thickTop="1" thickBot="1" x14ac:dyDescent="0.5">
      <c r="A182" s="272"/>
      <c r="B182" s="273" t="str">
        <f>IF(A182="","",IFERROR(_xlfn.XLOOKUP(A182,Suivi_TMA!A:A,Suivi_TMA!B:B),""))</f>
        <v/>
      </c>
      <c r="C182" s="273" t="str">
        <f>IF(A182="","",IFERROR(_xlfn.XLOOKUP(A182,Suivi_TMA!A:A,Suivi_TMA!E:E),""))</f>
        <v/>
      </c>
      <c r="D182" s="274"/>
      <c r="E182" s="176" t="str">
        <f t="shared" si="10"/>
        <v/>
      </c>
      <c r="F182" s="274"/>
      <c r="G182" s="273" t="str">
        <f>IF(F182="","",IFERROR(VLOOKUP(F182,LOTS_ENTREPRISES!A:B,2,FALSE),""))</f>
        <v/>
      </c>
      <c r="H182" s="262" t="str">
        <f>IF(A182="","",IFERROR(IF(_xlfn.XLOOKUP(A182,Suivi_TMA!A:A,Suivi_TMA!I:I)="","",_xlfn.XLOOKUP(A182,Suivi_TMA!A:A,Suivi_TMA!I:I)),""))</f>
        <v/>
      </c>
      <c r="I182" s="275" t="str">
        <f t="shared" si="8"/>
        <v/>
      </c>
      <c r="J182" s="263" t="str">
        <f t="shared" si="11"/>
        <v/>
      </c>
      <c r="K182" s="276"/>
      <c r="L182" s="277"/>
      <c r="M182" s="273" t="str">
        <f t="shared" ca="1" si="9"/>
        <v/>
      </c>
      <c r="N182" s="266" t="str">
        <f>_xlfn.LET(_xlpm.x,_xlfn.XLOOKUP(A182,Suivi_TMA!A:A,Suivi_TMA!S:S,""),IF(OR(_xlpm.x="",_xlpm.x=0),"",_xlpm.x))</f>
        <v/>
      </c>
      <c r="O18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3" spans="1:15" ht="15" thickTop="1" thickBot="1" x14ac:dyDescent="0.5">
      <c r="A183" s="267"/>
      <c r="B183" s="263" t="str">
        <f>IF(A183="","",IFERROR(_xlfn.XLOOKUP(A183,Suivi_TMA!A:A,Suivi_TMA!B:B),""))</f>
        <v/>
      </c>
      <c r="C183" s="263" t="str">
        <f>IF(A183="","",IFERROR(_xlfn.XLOOKUP(A183,Suivi_TMA!A:A,Suivi_TMA!E:E),""))</f>
        <v/>
      </c>
      <c r="D183" s="268"/>
      <c r="E183" s="176" t="str">
        <f t="shared" si="10"/>
        <v/>
      </c>
      <c r="F183" s="268"/>
      <c r="G183" s="263" t="str">
        <f>IF(F183="","",IFERROR(VLOOKUP(F183,LOTS_ENTREPRISES!A:B,2,FALSE),""))</f>
        <v/>
      </c>
      <c r="H183" s="262" t="str">
        <f>IF(A183="","",IFERROR(IF(_xlfn.XLOOKUP(A183,Suivi_TMA!A:A,Suivi_TMA!I:I)="","",_xlfn.XLOOKUP(A183,Suivi_TMA!A:A,Suivi_TMA!I:I)),""))</f>
        <v/>
      </c>
      <c r="I183" s="269" t="str">
        <f t="shared" si="8"/>
        <v/>
      </c>
      <c r="J183" s="263" t="str">
        <f t="shared" si="11"/>
        <v/>
      </c>
      <c r="K183" s="278"/>
      <c r="L183" s="271"/>
      <c r="M183" s="263" t="str">
        <f t="shared" ca="1" si="9"/>
        <v/>
      </c>
      <c r="N183" s="266" t="str">
        <f>_xlfn.LET(_xlpm.x,_xlfn.XLOOKUP(A183,Suivi_TMA!A:A,Suivi_TMA!S:S,""),IF(OR(_xlpm.x="",_xlpm.x=0),"",_xlpm.x))</f>
        <v/>
      </c>
      <c r="O18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4" spans="1:15" ht="15" thickTop="1" thickBot="1" x14ac:dyDescent="0.5">
      <c r="A184" s="272"/>
      <c r="B184" s="273" t="str">
        <f>IF(A184="","",IFERROR(_xlfn.XLOOKUP(A184,Suivi_TMA!A:A,Suivi_TMA!B:B),""))</f>
        <v/>
      </c>
      <c r="C184" s="273" t="str">
        <f>IF(A184="","",IFERROR(_xlfn.XLOOKUP(A184,Suivi_TMA!A:A,Suivi_TMA!E:E),""))</f>
        <v/>
      </c>
      <c r="D184" s="274"/>
      <c r="E184" s="176" t="str">
        <f t="shared" si="10"/>
        <v/>
      </c>
      <c r="F184" s="274"/>
      <c r="G184" s="273" t="str">
        <f>IF(F184="","",IFERROR(VLOOKUP(F184,LOTS_ENTREPRISES!A:B,2,FALSE),""))</f>
        <v/>
      </c>
      <c r="H184" s="262" t="str">
        <f>IF(A184="","",IFERROR(IF(_xlfn.XLOOKUP(A184,Suivi_TMA!A:A,Suivi_TMA!I:I)="","",_xlfn.XLOOKUP(A184,Suivi_TMA!A:A,Suivi_TMA!I:I)),""))</f>
        <v/>
      </c>
      <c r="I184" s="275" t="str">
        <f t="shared" si="8"/>
        <v/>
      </c>
      <c r="J184" s="263" t="str">
        <f t="shared" si="11"/>
        <v/>
      </c>
      <c r="K184" s="276"/>
      <c r="L184" s="277"/>
      <c r="M184" s="273" t="str">
        <f t="shared" ca="1" si="9"/>
        <v/>
      </c>
      <c r="N184" s="266" t="str">
        <f>_xlfn.LET(_xlpm.x,_xlfn.XLOOKUP(A184,Suivi_TMA!A:A,Suivi_TMA!S:S,""),IF(OR(_xlpm.x="",_xlpm.x=0),"",_xlpm.x))</f>
        <v/>
      </c>
      <c r="O18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5" spans="1:15" ht="15" thickTop="1" thickBot="1" x14ac:dyDescent="0.5">
      <c r="A185" s="267"/>
      <c r="B185" s="263" t="str">
        <f>IF(A185="","",IFERROR(_xlfn.XLOOKUP(A185,Suivi_TMA!A:A,Suivi_TMA!B:B),""))</f>
        <v/>
      </c>
      <c r="C185" s="263" t="str">
        <f>IF(A185="","",IFERROR(_xlfn.XLOOKUP(A185,Suivi_TMA!A:A,Suivi_TMA!E:E),""))</f>
        <v/>
      </c>
      <c r="D185" s="268"/>
      <c r="E185" s="176" t="str">
        <f t="shared" si="10"/>
        <v/>
      </c>
      <c r="F185" s="268"/>
      <c r="G185" s="263" t="str">
        <f>IF(F185="","",IFERROR(VLOOKUP(F185,LOTS_ENTREPRISES!A:B,2,FALSE),""))</f>
        <v/>
      </c>
      <c r="H185" s="262" t="str">
        <f>IF(A185="","",IFERROR(IF(_xlfn.XLOOKUP(A185,Suivi_TMA!A:A,Suivi_TMA!I:I)="","",_xlfn.XLOOKUP(A185,Suivi_TMA!A:A,Suivi_TMA!I:I)),""))</f>
        <v/>
      </c>
      <c r="I185" s="269" t="str">
        <f t="shared" si="8"/>
        <v/>
      </c>
      <c r="J185" s="263" t="str">
        <f t="shared" si="11"/>
        <v/>
      </c>
      <c r="K185" s="278"/>
      <c r="L185" s="271"/>
      <c r="M185" s="263" t="str">
        <f t="shared" ca="1" si="9"/>
        <v/>
      </c>
      <c r="N185" s="266" t="str">
        <f>_xlfn.LET(_xlpm.x,_xlfn.XLOOKUP(A185,Suivi_TMA!A:A,Suivi_TMA!S:S,""),IF(OR(_xlpm.x="",_xlpm.x=0),"",_xlpm.x))</f>
        <v/>
      </c>
      <c r="O18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6" spans="1:15" ht="15" thickTop="1" thickBot="1" x14ac:dyDescent="0.5">
      <c r="A186" s="272"/>
      <c r="B186" s="273" t="str">
        <f>IF(A186="","",IFERROR(_xlfn.XLOOKUP(A186,Suivi_TMA!A:A,Suivi_TMA!B:B),""))</f>
        <v/>
      </c>
      <c r="C186" s="273" t="str">
        <f>IF(A186="","",IFERROR(_xlfn.XLOOKUP(A186,Suivi_TMA!A:A,Suivi_TMA!E:E),""))</f>
        <v/>
      </c>
      <c r="D186" s="274"/>
      <c r="E186" s="176" t="str">
        <f t="shared" si="10"/>
        <v/>
      </c>
      <c r="F186" s="274"/>
      <c r="G186" s="273" t="str">
        <f>IF(F186="","",IFERROR(VLOOKUP(F186,LOTS_ENTREPRISES!A:B,2,FALSE),""))</f>
        <v/>
      </c>
      <c r="H186" s="262" t="str">
        <f>IF(A186="","",IFERROR(IF(_xlfn.XLOOKUP(A186,Suivi_TMA!A:A,Suivi_TMA!I:I)="","",_xlfn.XLOOKUP(A186,Suivi_TMA!A:A,Suivi_TMA!I:I)),""))</f>
        <v/>
      </c>
      <c r="I186" s="275" t="str">
        <f t="shared" si="8"/>
        <v/>
      </c>
      <c r="J186" s="263" t="str">
        <f t="shared" si="11"/>
        <v/>
      </c>
      <c r="K186" s="276"/>
      <c r="L186" s="277"/>
      <c r="M186" s="273" t="str">
        <f t="shared" ca="1" si="9"/>
        <v/>
      </c>
      <c r="N186" s="266" t="str">
        <f>_xlfn.LET(_xlpm.x,_xlfn.XLOOKUP(A186,Suivi_TMA!A:A,Suivi_TMA!S:S,""),IF(OR(_xlpm.x="",_xlpm.x=0),"",_xlpm.x))</f>
        <v/>
      </c>
      <c r="O18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7" spans="1:15" ht="15" thickTop="1" thickBot="1" x14ac:dyDescent="0.5">
      <c r="A187" s="267"/>
      <c r="B187" s="263" t="str">
        <f>IF(A187="","",IFERROR(_xlfn.XLOOKUP(A187,Suivi_TMA!A:A,Suivi_TMA!B:B),""))</f>
        <v/>
      </c>
      <c r="C187" s="263" t="str">
        <f>IF(A187="","",IFERROR(_xlfn.XLOOKUP(A187,Suivi_TMA!A:A,Suivi_TMA!E:E),""))</f>
        <v/>
      </c>
      <c r="D187" s="268"/>
      <c r="E187" s="176" t="str">
        <f t="shared" si="10"/>
        <v/>
      </c>
      <c r="F187" s="268"/>
      <c r="G187" s="263" t="str">
        <f>IF(F187="","",IFERROR(VLOOKUP(F187,LOTS_ENTREPRISES!A:B,2,FALSE),""))</f>
        <v/>
      </c>
      <c r="H187" s="262" t="str">
        <f>IF(A187="","",IFERROR(IF(_xlfn.XLOOKUP(A187,Suivi_TMA!A:A,Suivi_TMA!I:I)="","",_xlfn.XLOOKUP(A187,Suivi_TMA!A:A,Suivi_TMA!I:I)),""))</f>
        <v/>
      </c>
      <c r="I187" s="269" t="str">
        <f t="shared" si="8"/>
        <v/>
      </c>
      <c r="J187" s="263" t="str">
        <f t="shared" si="11"/>
        <v/>
      </c>
      <c r="K187" s="278"/>
      <c r="L187" s="271"/>
      <c r="M187" s="263" t="str">
        <f t="shared" ca="1" si="9"/>
        <v/>
      </c>
      <c r="N187" s="266" t="str">
        <f>_xlfn.LET(_xlpm.x,_xlfn.XLOOKUP(A187,Suivi_TMA!A:A,Suivi_TMA!S:S,""),IF(OR(_xlpm.x="",_xlpm.x=0),"",_xlpm.x))</f>
        <v/>
      </c>
      <c r="O18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8" spans="1:15" ht="15" thickTop="1" thickBot="1" x14ac:dyDescent="0.5">
      <c r="A188" s="272"/>
      <c r="B188" s="273" t="str">
        <f>IF(A188="","",IFERROR(_xlfn.XLOOKUP(A188,Suivi_TMA!A:A,Suivi_TMA!B:B),""))</f>
        <v/>
      </c>
      <c r="C188" s="273" t="str">
        <f>IF(A188="","",IFERROR(_xlfn.XLOOKUP(A188,Suivi_TMA!A:A,Suivi_TMA!E:E),""))</f>
        <v/>
      </c>
      <c r="D188" s="274"/>
      <c r="E188" s="176" t="str">
        <f t="shared" si="10"/>
        <v/>
      </c>
      <c r="F188" s="274"/>
      <c r="G188" s="273" t="str">
        <f>IF(F188="","",IFERROR(VLOOKUP(F188,LOTS_ENTREPRISES!A:B,2,FALSE),""))</f>
        <v/>
      </c>
      <c r="H188" s="262" t="str">
        <f>IF(A188="","",IFERROR(IF(_xlfn.XLOOKUP(A188,Suivi_TMA!A:A,Suivi_TMA!I:I)="","",_xlfn.XLOOKUP(A188,Suivi_TMA!A:A,Suivi_TMA!I:I)),""))</f>
        <v/>
      </c>
      <c r="I188" s="275" t="str">
        <f t="shared" si="8"/>
        <v/>
      </c>
      <c r="J188" s="263" t="str">
        <f t="shared" si="11"/>
        <v/>
      </c>
      <c r="K188" s="276"/>
      <c r="L188" s="277"/>
      <c r="M188" s="273" t="str">
        <f t="shared" ca="1" si="9"/>
        <v/>
      </c>
      <c r="N188" s="266" t="str">
        <f>_xlfn.LET(_xlpm.x,_xlfn.XLOOKUP(A188,Suivi_TMA!A:A,Suivi_TMA!S:S,""),IF(OR(_xlpm.x="",_xlpm.x=0),"",_xlpm.x))</f>
        <v/>
      </c>
      <c r="O18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89" spans="1:15" ht="15" thickTop="1" thickBot="1" x14ac:dyDescent="0.5">
      <c r="A189" s="267"/>
      <c r="B189" s="263" t="str">
        <f>IF(A189="","",IFERROR(_xlfn.XLOOKUP(A189,Suivi_TMA!A:A,Suivi_TMA!B:B),""))</f>
        <v/>
      </c>
      <c r="C189" s="263" t="str">
        <f>IF(A189="","",IFERROR(_xlfn.XLOOKUP(A189,Suivi_TMA!A:A,Suivi_TMA!E:E),""))</f>
        <v/>
      </c>
      <c r="D189" s="268"/>
      <c r="E189" s="176" t="str">
        <f t="shared" si="10"/>
        <v/>
      </c>
      <c r="F189" s="268"/>
      <c r="G189" s="263" t="str">
        <f>IF(F189="","",IFERROR(VLOOKUP(F189,LOTS_ENTREPRISES!A:B,2,FALSE),""))</f>
        <v/>
      </c>
      <c r="H189" s="262" t="str">
        <f>IF(A189="","",IFERROR(IF(_xlfn.XLOOKUP(A189,Suivi_TMA!A:A,Suivi_TMA!I:I)="","",_xlfn.XLOOKUP(A189,Suivi_TMA!A:A,Suivi_TMA!I:I)),""))</f>
        <v/>
      </c>
      <c r="I189" s="269" t="str">
        <f t="shared" si="8"/>
        <v/>
      </c>
      <c r="J189" s="263" t="str">
        <f t="shared" si="11"/>
        <v/>
      </c>
      <c r="K189" s="278"/>
      <c r="L189" s="271"/>
      <c r="M189" s="263" t="str">
        <f t="shared" ca="1" si="9"/>
        <v/>
      </c>
      <c r="N189" s="266" t="str">
        <f>_xlfn.LET(_xlpm.x,_xlfn.XLOOKUP(A189,Suivi_TMA!A:A,Suivi_TMA!S:S,""),IF(OR(_xlpm.x="",_xlpm.x=0),"",_xlpm.x))</f>
        <v/>
      </c>
      <c r="O18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0" spans="1:15" ht="15" thickTop="1" thickBot="1" x14ac:dyDescent="0.5">
      <c r="A190" s="272"/>
      <c r="B190" s="273" t="str">
        <f>IF(A190="","",IFERROR(_xlfn.XLOOKUP(A190,Suivi_TMA!A:A,Suivi_TMA!B:B),""))</f>
        <v/>
      </c>
      <c r="C190" s="273" t="str">
        <f>IF(A190="","",IFERROR(_xlfn.XLOOKUP(A190,Suivi_TMA!A:A,Suivi_TMA!E:E),""))</f>
        <v/>
      </c>
      <c r="D190" s="274"/>
      <c r="E190" s="176" t="str">
        <f t="shared" si="10"/>
        <v/>
      </c>
      <c r="F190" s="274"/>
      <c r="G190" s="273" t="str">
        <f>IF(F190="","",IFERROR(VLOOKUP(F190,LOTS_ENTREPRISES!A:B,2,FALSE),""))</f>
        <v/>
      </c>
      <c r="H190" s="262" t="str">
        <f>IF(A190="","",IFERROR(IF(_xlfn.XLOOKUP(A190,Suivi_TMA!A:A,Suivi_TMA!I:I)="","",_xlfn.XLOOKUP(A190,Suivi_TMA!A:A,Suivi_TMA!I:I)),""))</f>
        <v/>
      </c>
      <c r="I190" s="275" t="str">
        <f t="shared" si="8"/>
        <v/>
      </c>
      <c r="J190" s="263" t="str">
        <f t="shared" si="11"/>
        <v/>
      </c>
      <c r="K190" s="276"/>
      <c r="L190" s="277"/>
      <c r="M190" s="273" t="str">
        <f t="shared" ca="1" si="9"/>
        <v/>
      </c>
      <c r="N190" s="266" t="str">
        <f>_xlfn.LET(_xlpm.x,_xlfn.XLOOKUP(A190,Suivi_TMA!A:A,Suivi_TMA!S:S,""),IF(OR(_xlpm.x="",_xlpm.x=0),"",_xlpm.x))</f>
        <v/>
      </c>
      <c r="O19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1" spans="1:15" ht="15" thickTop="1" thickBot="1" x14ac:dyDescent="0.5">
      <c r="A191" s="267"/>
      <c r="B191" s="263" t="str">
        <f>IF(A191="","",IFERROR(_xlfn.XLOOKUP(A191,Suivi_TMA!A:A,Suivi_TMA!B:B),""))</f>
        <v/>
      </c>
      <c r="C191" s="263" t="str">
        <f>IF(A191="","",IFERROR(_xlfn.XLOOKUP(A191,Suivi_TMA!A:A,Suivi_TMA!E:E),""))</f>
        <v/>
      </c>
      <c r="D191" s="268"/>
      <c r="E191" s="176" t="str">
        <f t="shared" si="10"/>
        <v/>
      </c>
      <c r="F191" s="268"/>
      <c r="G191" s="263" t="str">
        <f>IF(F191="","",IFERROR(VLOOKUP(F191,LOTS_ENTREPRISES!A:B,2,FALSE),""))</f>
        <v/>
      </c>
      <c r="H191" s="262" t="str">
        <f>IF(A191="","",IFERROR(IF(_xlfn.XLOOKUP(A191,Suivi_TMA!A:A,Suivi_TMA!I:I)="","",_xlfn.XLOOKUP(A191,Suivi_TMA!A:A,Suivi_TMA!I:I)),""))</f>
        <v/>
      </c>
      <c r="I191" s="269" t="str">
        <f t="shared" si="8"/>
        <v/>
      </c>
      <c r="J191" s="263" t="str">
        <f t="shared" si="11"/>
        <v/>
      </c>
      <c r="K191" s="278"/>
      <c r="L191" s="271"/>
      <c r="M191" s="263" t="str">
        <f t="shared" ca="1" si="9"/>
        <v/>
      </c>
      <c r="N191" s="266" t="str">
        <f>_xlfn.LET(_xlpm.x,_xlfn.XLOOKUP(A191,Suivi_TMA!A:A,Suivi_TMA!S:S,""),IF(OR(_xlpm.x="",_xlpm.x=0),"",_xlpm.x))</f>
        <v/>
      </c>
      <c r="O19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2" spans="1:15" ht="15" thickTop="1" thickBot="1" x14ac:dyDescent="0.5">
      <c r="A192" s="272"/>
      <c r="B192" s="273" t="str">
        <f>IF(A192="","",IFERROR(_xlfn.XLOOKUP(A192,Suivi_TMA!A:A,Suivi_TMA!B:B),""))</f>
        <v/>
      </c>
      <c r="C192" s="273" t="str">
        <f>IF(A192="","",IFERROR(_xlfn.XLOOKUP(A192,Suivi_TMA!A:A,Suivi_TMA!E:E),""))</f>
        <v/>
      </c>
      <c r="D192" s="274"/>
      <c r="E192" s="176" t="str">
        <f t="shared" si="10"/>
        <v/>
      </c>
      <c r="F192" s="274"/>
      <c r="G192" s="273" t="str">
        <f>IF(F192="","",IFERROR(VLOOKUP(F192,LOTS_ENTREPRISES!A:B,2,FALSE),""))</f>
        <v/>
      </c>
      <c r="H192" s="262" t="str">
        <f>IF(A192="","",IFERROR(IF(_xlfn.XLOOKUP(A192,Suivi_TMA!A:A,Suivi_TMA!I:I)="","",_xlfn.XLOOKUP(A192,Suivi_TMA!A:A,Suivi_TMA!I:I)),""))</f>
        <v/>
      </c>
      <c r="I192" s="275" t="str">
        <f t="shared" si="8"/>
        <v/>
      </c>
      <c r="J192" s="263" t="str">
        <f t="shared" si="11"/>
        <v/>
      </c>
      <c r="K192" s="276"/>
      <c r="L192" s="277"/>
      <c r="M192" s="273" t="str">
        <f t="shared" ca="1" si="9"/>
        <v/>
      </c>
      <c r="N192" s="266" t="str">
        <f>_xlfn.LET(_xlpm.x,_xlfn.XLOOKUP(A192,Suivi_TMA!A:A,Suivi_TMA!S:S,""),IF(OR(_xlpm.x="",_xlpm.x=0),"",_xlpm.x))</f>
        <v/>
      </c>
      <c r="O19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3" spans="1:15" ht="15" thickTop="1" thickBot="1" x14ac:dyDescent="0.5">
      <c r="A193" s="267"/>
      <c r="B193" s="263" t="str">
        <f>IF(A193="","",IFERROR(_xlfn.XLOOKUP(A193,Suivi_TMA!A:A,Suivi_TMA!B:B),""))</f>
        <v/>
      </c>
      <c r="C193" s="263" t="str">
        <f>IF(A193="","",IFERROR(_xlfn.XLOOKUP(A193,Suivi_TMA!A:A,Suivi_TMA!E:E),""))</f>
        <v/>
      </c>
      <c r="D193" s="268"/>
      <c r="E193" s="176" t="str">
        <f t="shared" si="10"/>
        <v/>
      </c>
      <c r="F193" s="268"/>
      <c r="G193" s="263" t="str">
        <f>IF(F193="","",IFERROR(VLOOKUP(F193,LOTS_ENTREPRISES!A:B,2,FALSE),""))</f>
        <v/>
      </c>
      <c r="H193" s="262" t="str">
        <f>IF(A193="","",IFERROR(IF(_xlfn.XLOOKUP(A193,Suivi_TMA!A:A,Suivi_TMA!I:I)="","",_xlfn.XLOOKUP(A193,Suivi_TMA!A:A,Suivi_TMA!I:I)),""))</f>
        <v/>
      </c>
      <c r="I193" s="269" t="str">
        <f t="shared" si="8"/>
        <v/>
      </c>
      <c r="J193" s="263" t="str">
        <f t="shared" si="11"/>
        <v/>
      </c>
      <c r="K193" s="278"/>
      <c r="L193" s="271"/>
      <c r="M193" s="263" t="str">
        <f t="shared" ca="1" si="9"/>
        <v/>
      </c>
      <c r="N193" s="266" t="str">
        <f>_xlfn.LET(_xlpm.x,_xlfn.XLOOKUP(A193,Suivi_TMA!A:A,Suivi_TMA!S:S,""),IF(OR(_xlpm.x="",_xlpm.x=0),"",_xlpm.x))</f>
        <v/>
      </c>
      <c r="O19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4" spans="1:15" ht="15" thickTop="1" thickBot="1" x14ac:dyDescent="0.5">
      <c r="A194" s="272"/>
      <c r="B194" s="273" t="str">
        <f>IF(A194="","",IFERROR(_xlfn.XLOOKUP(A194,Suivi_TMA!A:A,Suivi_TMA!B:B),""))</f>
        <v/>
      </c>
      <c r="C194" s="273" t="str">
        <f>IF(A194="","",IFERROR(_xlfn.XLOOKUP(A194,Suivi_TMA!A:A,Suivi_TMA!E:E),""))</f>
        <v/>
      </c>
      <c r="D194" s="274"/>
      <c r="E194" s="176" t="str">
        <f t="shared" si="10"/>
        <v/>
      </c>
      <c r="F194" s="274"/>
      <c r="G194" s="273" t="str">
        <f>IF(F194="","",IFERROR(VLOOKUP(F194,LOTS_ENTREPRISES!A:B,2,FALSE),""))</f>
        <v/>
      </c>
      <c r="H194" s="262" t="str">
        <f>IF(A194="","",IFERROR(IF(_xlfn.XLOOKUP(A194,Suivi_TMA!A:A,Suivi_TMA!I:I)="","",_xlfn.XLOOKUP(A194,Suivi_TMA!A:A,Suivi_TMA!I:I)),""))</f>
        <v/>
      </c>
      <c r="I194" s="275" t="str">
        <f t="shared" si="8"/>
        <v/>
      </c>
      <c r="J194" s="263" t="str">
        <f t="shared" si="11"/>
        <v/>
      </c>
      <c r="K194" s="276"/>
      <c r="L194" s="277"/>
      <c r="M194" s="273" t="str">
        <f t="shared" ca="1" si="9"/>
        <v/>
      </c>
      <c r="N194" s="266" t="str">
        <f>_xlfn.LET(_xlpm.x,_xlfn.XLOOKUP(A194,Suivi_TMA!A:A,Suivi_TMA!S:S,""),IF(OR(_xlpm.x="",_xlpm.x=0),"",_xlpm.x))</f>
        <v/>
      </c>
      <c r="O19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5" spans="1:15" ht="15" thickTop="1" thickBot="1" x14ac:dyDescent="0.5">
      <c r="A195" s="267"/>
      <c r="B195" s="263" t="str">
        <f>IF(A195="","",IFERROR(_xlfn.XLOOKUP(A195,Suivi_TMA!A:A,Suivi_TMA!B:B),""))</f>
        <v/>
      </c>
      <c r="C195" s="263" t="str">
        <f>IF(A195="","",IFERROR(_xlfn.XLOOKUP(A195,Suivi_TMA!A:A,Suivi_TMA!E:E),""))</f>
        <v/>
      </c>
      <c r="D195" s="268"/>
      <c r="E195" s="176" t="str">
        <f t="shared" si="10"/>
        <v/>
      </c>
      <c r="F195" s="268"/>
      <c r="G195" s="263" t="str">
        <f>IF(F195="","",IFERROR(VLOOKUP(F195,LOTS_ENTREPRISES!A:B,2,FALSE),""))</f>
        <v/>
      </c>
      <c r="H195" s="262" t="str">
        <f>IF(A195="","",IFERROR(IF(_xlfn.XLOOKUP(A195,Suivi_TMA!A:A,Suivi_TMA!I:I)="","",_xlfn.XLOOKUP(A195,Suivi_TMA!A:A,Suivi_TMA!I:I)),""))</f>
        <v/>
      </c>
      <c r="I195" s="269" t="str">
        <f t="shared" si="8"/>
        <v/>
      </c>
      <c r="J195" s="263" t="str">
        <f t="shared" si="11"/>
        <v/>
      </c>
      <c r="K195" s="278"/>
      <c r="L195" s="271"/>
      <c r="M195" s="263" t="str">
        <f t="shared" ca="1" si="9"/>
        <v/>
      </c>
      <c r="N195" s="266" t="str">
        <f>_xlfn.LET(_xlpm.x,_xlfn.XLOOKUP(A195,Suivi_TMA!A:A,Suivi_TMA!S:S,""),IF(OR(_xlpm.x="",_xlpm.x=0),"",_xlpm.x))</f>
        <v/>
      </c>
      <c r="O19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6" spans="1:15" ht="15" thickTop="1" thickBot="1" x14ac:dyDescent="0.5">
      <c r="A196" s="272"/>
      <c r="B196" s="273" t="str">
        <f>IF(A196="","",IFERROR(_xlfn.XLOOKUP(A196,Suivi_TMA!A:A,Suivi_TMA!B:B),""))</f>
        <v/>
      </c>
      <c r="C196" s="273" t="str">
        <f>IF(A196="","",IFERROR(_xlfn.XLOOKUP(A196,Suivi_TMA!A:A,Suivi_TMA!E:E),""))</f>
        <v/>
      </c>
      <c r="D196" s="274"/>
      <c r="E196" s="176" t="str">
        <f t="shared" si="10"/>
        <v/>
      </c>
      <c r="F196" s="274"/>
      <c r="G196" s="273" t="str">
        <f>IF(F196="","",IFERROR(VLOOKUP(F196,LOTS_ENTREPRISES!A:B,2,FALSE),""))</f>
        <v/>
      </c>
      <c r="H196" s="262" t="str">
        <f>IF(A196="","",IFERROR(IF(_xlfn.XLOOKUP(A196,Suivi_TMA!A:A,Suivi_TMA!I:I)="","",_xlfn.XLOOKUP(A196,Suivi_TMA!A:A,Suivi_TMA!I:I)),""))</f>
        <v/>
      </c>
      <c r="I196" s="275" t="str">
        <f t="shared" si="8"/>
        <v/>
      </c>
      <c r="J196" s="263" t="str">
        <f t="shared" si="11"/>
        <v/>
      </c>
      <c r="K196" s="276"/>
      <c r="L196" s="277"/>
      <c r="M196" s="273" t="str">
        <f t="shared" ca="1" si="9"/>
        <v/>
      </c>
      <c r="N196" s="266" t="str">
        <f>_xlfn.LET(_xlpm.x,_xlfn.XLOOKUP(A196,Suivi_TMA!A:A,Suivi_TMA!S:S,""),IF(OR(_xlpm.x="",_xlpm.x=0),"",_xlpm.x))</f>
        <v/>
      </c>
      <c r="O19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7" spans="1:15" ht="15" thickTop="1" thickBot="1" x14ac:dyDescent="0.5">
      <c r="A197" s="267"/>
      <c r="B197" s="263" t="str">
        <f>IF(A197="","",IFERROR(_xlfn.XLOOKUP(A197,Suivi_TMA!A:A,Suivi_TMA!B:B),""))</f>
        <v/>
      </c>
      <c r="C197" s="263" t="str">
        <f>IF(A197="","",IFERROR(_xlfn.XLOOKUP(A197,Suivi_TMA!A:A,Suivi_TMA!E:E),""))</f>
        <v/>
      </c>
      <c r="D197" s="268"/>
      <c r="E197" s="176" t="str">
        <f t="shared" si="10"/>
        <v/>
      </c>
      <c r="F197" s="268"/>
      <c r="G197" s="263" t="str">
        <f>IF(F197="","",IFERROR(VLOOKUP(F197,LOTS_ENTREPRISES!A:B,2,FALSE),""))</f>
        <v/>
      </c>
      <c r="H197" s="262" t="str">
        <f>IF(A197="","",IFERROR(IF(_xlfn.XLOOKUP(A197,Suivi_TMA!A:A,Suivi_TMA!I:I)="","",_xlfn.XLOOKUP(A197,Suivi_TMA!A:A,Suivi_TMA!I:I)),""))</f>
        <v/>
      </c>
      <c r="I197" s="269" t="str">
        <f t="shared" si="8"/>
        <v/>
      </c>
      <c r="J197" s="263" t="str">
        <f t="shared" si="11"/>
        <v/>
      </c>
      <c r="K197" s="278"/>
      <c r="L197" s="271"/>
      <c r="M197" s="263" t="str">
        <f t="shared" ca="1" si="9"/>
        <v/>
      </c>
      <c r="N197" s="266" t="str">
        <f>_xlfn.LET(_xlpm.x,_xlfn.XLOOKUP(A197,Suivi_TMA!A:A,Suivi_TMA!S:S,""),IF(OR(_xlpm.x="",_xlpm.x=0),"",_xlpm.x))</f>
        <v/>
      </c>
      <c r="O19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8" spans="1:15" ht="15" thickTop="1" thickBot="1" x14ac:dyDescent="0.5">
      <c r="A198" s="272"/>
      <c r="B198" s="273" t="str">
        <f>IF(A198="","",IFERROR(_xlfn.XLOOKUP(A198,Suivi_TMA!A:A,Suivi_TMA!B:B),""))</f>
        <v/>
      </c>
      <c r="C198" s="273" t="str">
        <f>IF(A198="","",IFERROR(_xlfn.XLOOKUP(A198,Suivi_TMA!A:A,Suivi_TMA!E:E),""))</f>
        <v/>
      </c>
      <c r="D198" s="274"/>
      <c r="E198" s="176" t="str">
        <f t="shared" si="10"/>
        <v/>
      </c>
      <c r="F198" s="274"/>
      <c r="G198" s="273" t="str">
        <f>IF(F198="","",IFERROR(VLOOKUP(F198,LOTS_ENTREPRISES!A:B,2,FALSE),""))</f>
        <v/>
      </c>
      <c r="H198" s="262" t="str">
        <f>IF(A198="","",IFERROR(IF(_xlfn.XLOOKUP(A198,Suivi_TMA!A:A,Suivi_TMA!I:I)="","",_xlfn.XLOOKUP(A198,Suivi_TMA!A:A,Suivi_TMA!I:I)),""))</f>
        <v/>
      </c>
      <c r="I198" s="275" t="str">
        <f t="shared" si="8"/>
        <v/>
      </c>
      <c r="J198" s="263" t="str">
        <f t="shared" si="11"/>
        <v/>
      </c>
      <c r="K198" s="276"/>
      <c r="L198" s="277"/>
      <c r="M198" s="273" t="str">
        <f t="shared" ca="1" si="9"/>
        <v/>
      </c>
      <c r="N198" s="266" t="str">
        <f>_xlfn.LET(_xlpm.x,_xlfn.XLOOKUP(A198,Suivi_TMA!A:A,Suivi_TMA!S:S,""),IF(OR(_xlpm.x="",_xlpm.x=0),"",_xlpm.x))</f>
        <v/>
      </c>
      <c r="O19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199" spans="1:15" ht="15" thickTop="1" thickBot="1" x14ac:dyDescent="0.5">
      <c r="A199" s="267"/>
      <c r="B199" s="263" t="str">
        <f>IF(A199="","",IFERROR(_xlfn.XLOOKUP(A199,Suivi_TMA!A:A,Suivi_TMA!B:B),""))</f>
        <v/>
      </c>
      <c r="C199" s="263" t="str">
        <f>IF(A199="","",IFERROR(_xlfn.XLOOKUP(A199,Suivi_TMA!A:A,Suivi_TMA!E:E),""))</f>
        <v/>
      </c>
      <c r="D199" s="268"/>
      <c r="E199" s="176" t="str">
        <f t="shared" si="10"/>
        <v/>
      </c>
      <c r="F199" s="268"/>
      <c r="G199" s="263" t="str">
        <f>IF(F199="","",IFERROR(VLOOKUP(F199,LOTS_ENTREPRISES!A:B,2,FALSE),""))</f>
        <v/>
      </c>
      <c r="H199" s="262" t="str">
        <f>IF(A199="","",IFERROR(IF(_xlfn.XLOOKUP(A199,Suivi_TMA!A:A,Suivi_TMA!I:I)="","",_xlfn.XLOOKUP(A199,Suivi_TMA!A:A,Suivi_TMA!I:I)),""))</f>
        <v/>
      </c>
      <c r="I199" s="269" t="str">
        <f t="shared" si="8"/>
        <v/>
      </c>
      <c r="J199" s="263" t="str">
        <f t="shared" si="11"/>
        <v/>
      </c>
      <c r="K199" s="278"/>
      <c r="L199" s="271"/>
      <c r="M199" s="263" t="str">
        <f t="shared" ca="1" si="9"/>
        <v/>
      </c>
      <c r="N199" s="266" t="str">
        <f>_xlfn.LET(_xlpm.x,_xlfn.XLOOKUP(A199,Suivi_TMA!A:A,Suivi_TMA!S:S,""),IF(OR(_xlpm.x="",_xlpm.x=0),"",_xlpm.x))</f>
        <v/>
      </c>
      <c r="O19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0" spans="1:15" ht="15" thickTop="1" thickBot="1" x14ac:dyDescent="0.5">
      <c r="A200" s="272"/>
      <c r="B200" s="273" t="str">
        <f>IF(A200="","",IFERROR(_xlfn.XLOOKUP(A200,Suivi_TMA!A:A,Suivi_TMA!B:B),""))</f>
        <v/>
      </c>
      <c r="C200" s="273" t="str">
        <f>IF(A200="","",IFERROR(_xlfn.XLOOKUP(A200,Suivi_TMA!A:A,Suivi_TMA!E:E),""))</f>
        <v/>
      </c>
      <c r="D200" s="274"/>
      <c r="E200" s="176" t="str">
        <f t="shared" si="10"/>
        <v/>
      </c>
      <c r="F200" s="274"/>
      <c r="G200" s="273" t="str">
        <f>IF(F200="","",IFERROR(VLOOKUP(F200,LOTS_ENTREPRISES!A:B,2,FALSE),""))</f>
        <v/>
      </c>
      <c r="H200" s="262" t="str">
        <f>IF(A200="","",IFERROR(IF(_xlfn.XLOOKUP(A200,Suivi_TMA!A:A,Suivi_TMA!I:I)="","",_xlfn.XLOOKUP(A200,Suivi_TMA!A:A,Suivi_TMA!I:I)),""))</f>
        <v/>
      </c>
      <c r="I200" s="275" t="str">
        <f t="shared" si="8"/>
        <v/>
      </c>
      <c r="J200" s="263" t="str">
        <f t="shared" si="11"/>
        <v/>
      </c>
      <c r="K200" s="276"/>
      <c r="L200" s="277"/>
      <c r="M200" s="273" t="str">
        <f t="shared" ca="1" si="9"/>
        <v/>
      </c>
      <c r="N200" s="266" t="str">
        <f>_xlfn.LET(_xlpm.x,_xlfn.XLOOKUP(A200,Suivi_TMA!A:A,Suivi_TMA!S:S,""),IF(OR(_xlpm.x="",_xlpm.x=0),"",_xlpm.x))</f>
        <v/>
      </c>
      <c r="O20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1" spans="1:15" ht="15" thickTop="1" thickBot="1" x14ac:dyDescent="0.5">
      <c r="A201" s="267"/>
      <c r="B201" s="263" t="str">
        <f>IF(A201="","",IFERROR(_xlfn.XLOOKUP(A201,Suivi_TMA!A:A,Suivi_TMA!B:B),""))</f>
        <v/>
      </c>
      <c r="C201" s="263" t="str">
        <f>IF(A201="","",IFERROR(_xlfn.XLOOKUP(A201,Suivi_TMA!A:A,Suivi_TMA!E:E),""))</f>
        <v/>
      </c>
      <c r="D201" s="268"/>
      <c r="E201" s="176" t="str">
        <f t="shared" si="10"/>
        <v/>
      </c>
      <c r="F201" s="268"/>
      <c r="G201" s="263" t="str">
        <f>IF(F201="","",IFERROR(VLOOKUP(F201,LOTS_ENTREPRISES!A:B,2,FALSE),""))</f>
        <v/>
      </c>
      <c r="H201" s="262" t="str">
        <f>IF(A201="","",IFERROR(IF(_xlfn.XLOOKUP(A201,Suivi_TMA!A:A,Suivi_TMA!I:I)="","",_xlfn.XLOOKUP(A201,Suivi_TMA!A:A,Suivi_TMA!I:I)),""))</f>
        <v/>
      </c>
      <c r="I201" s="269" t="str">
        <f t="shared" si="8"/>
        <v/>
      </c>
      <c r="J201" s="263" t="str">
        <f t="shared" si="11"/>
        <v/>
      </c>
      <c r="K201" s="278"/>
      <c r="L201" s="271"/>
      <c r="M201" s="263" t="str">
        <f t="shared" ca="1" si="9"/>
        <v/>
      </c>
      <c r="N201" s="266" t="str">
        <f>_xlfn.LET(_xlpm.x,_xlfn.XLOOKUP(A201,Suivi_TMA!A:A,Suivi_TMA!S:S,""),IF(OR(_xlpm.x="",_xlpm.x=0),"",_xlpm.x))</f>
        <v/>
      </c>
      <c r="O20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2" spans="1:15" ht="15" thickTop="1" thickBot="1" x14ac:dyDescent="0.5">
      <c r="A202" s="272"/>
      <c r="B202" s="273" t="str">
        <f>IF(A202="","",IFERROR(_xlfn.XLOOKUP(A202,Suivi_TMA!A:A,Suivi_TMA!B:B),""))</f>
        <v/>
      </c>
      <c r="C202" s="273" t="str">
        <f>IF(A202="","",IFERROR(_xlfn.XLOOKUP(A202,Suivi_TMA!A:A,Suivi_TMA!E:E),""))</f>
        <v/>
      </c>
      <c r="D202" s="274"/>
      <c r="E202" s="176" t="str">
        <f t="shared" si="10"/>
        <v/>
      </c>
      <c r="F202" s="274"/>
      <c r="G202" s="273" t="str">
        <f>IF(F202="","",IFERROR(VLOOKUP(F202,LOTS_ENTREPRISES!A:B,2,FALSE),""))</f>
        <v/>
      </c>
      <c r="H202" s="262" t="str">
        <f>IF(A202="","",IFERROR(IF(_xlfn.XLOOKUP(A202,Suivi_TMA!A:A,Suivi_TMA!I:I)="","",_xlfn.XLOOKUP(A202,Suivi_TMA!A:A,Suivi_TMA!I:I)),""))</f>
        <v/>
      </c>
      <c r="I202" s="275" t="str">
        <f t="shared" si="8"/>
        <v/>
      </c>
      <c r="J202" s="263" t="str">
        <f t="shared" si="11"/>
        <v/>
      </c>
      <c r="K202" s="276"/>
      <c r="L202" s="277"/>
      <c r="M202" s="273" t="str">
        <f t="shared" ca="1" si="9"/>
        <v/>
      </c>
      <c r="N202" s="266" t="str">
        <f>_xlfn.LET(_xlpm.x,_xlfn.XLOOKUP(A202,Suivi_TMA!A:A,Suivi_TMA!S:S,""),IF(OR(_xlpm.x="",_xlpm.x=0),"",_xlpm.x))</f>
        <v/>
      </c>
      <c r="O20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3" spans="1:15" ht="15" thickTop="1" thickBot="1" x14ac:dyDescent="0.5">
      <c r="A203" s="267"/>
      <c r="B203" s="263" t="str">
        <f>IF(A203="","",IFERROR(_xlfn.XLOOKUP(A203,Suivi_TMA!A:A,Suivi_TMA!B:B),""))</f>
        <v/>
      </c>
      <c r="C203" s="263" t="str">
        <f>IF(A203="","",IFERROR(_xlfn.XLOOKUP(A203,Suivi_TMA!A:A,Suivi_TMA!E:E),""))</f>
        <v/>
      </c>
      <c r="D203" s="268"/>
      <c r="E203" s="176" t="str">
        <f t="shared" si="10"/>
        <v/>
      </c>
      <c r="F203" s="268"/>
      <c r="G203" s="263" t="str">
        <f>IF(F203="","",IFERROR(VLOOKUP(F203,LOTS_ENTREPRISES!A:B,2,FALSE),""))</f>
        <v/>
      </c>
      <c r="H203" s="262" t="str">
        <f>IF(A203="","",IFERROR(IF(_xlfn.XLOOKUP(A203,Suivi_TMA!A:A,Suivi_TMA!I:I)="","",_xlfn.XLOOKUP(A203,Suivi_TMA!A:A,Suivi_TMA!I:I)),""))</f>
        <v/>
      </c>
      <c r="I203" s="269" t="str">
        <f t="shared" si="8"/>
        <v/>
      </c>
      <c r="J203" s="263" t="str">
        <f t="shared" si="11"/>
        <v/>
      </c>
      <c r="K203" s="278"/>
      <c r="L203" s="271"/>
      <c r="M203" s="263" t="str">
        <f t="shared" ca="1" si="9"/>
        <v/>
      </c>
      <c r="N203" s="266" t="str">
        <f>_xlfn.LET(_xlpm.x,_xlfn.XLOOKUP(A203,Suivi_TMA!A:A,Suivi_TMA!S:S,""),IF(OR(_xlpm.x="",_xlpm.x=0),"",_xlpm.x))</f>
        <v/>
      </c>
      <c r="O20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4" spans="1:15" ht="15" thickTop="1" thickBot="1" x14ac:dyDescent="0.5">
      <c r="A204" s="272"/>
      <c r="B204" s="273" t="str">
        <f>IF(A204="","",IFERROR(_xlfn.XLOOKUP(A204,Suivi_TMA!A:A,Suivi_TMA!B:B),""))</f>
        <v/>
      </c>
      <c r="C204" s="273" t="str">
        <f>IF(A204="","",IFERROR(_xlfn.XLOOKUP(A204,Suivi_TMA!A:A,Suivi_TMA!E:E),""))</f>
        <v/>
      </c>
      <c r="D204" s="274"/>
      <c r="E204" s="176" t="str">
        <f t="shared" si="10"/>
        <v/>
      </c>
      <c r="F204" s="274"/>
      <c r="G204" s="273" t="str">
        <f>IF(F204="","",IFERROR(VLOOKUP(F204,LOTS_ENTREPRISES!A:B,2,FALSE),""))</f>
        <v/>
      </c>
      <c r="H204" s="262" t="str">
        <f>IF(A204="","",IFERROR(IF(_xlfn.XLOOKUP(A204,Suivi_TMA!A:A,Suivi_TMA!I:I)="","",_xlfn.XLOOKUP(A204,Suivi_TMA!A:A,Suivi_TMA!I:I)),""))</f>
        <v/>
      </c>
      <c r="I204" s="275" t="str">
        <f t="shared" ref="I204:I220" si="12">IF(H204="","",H204+10)</f>
        <v/>
      </c>
      <c r="J204" s="263" t="str">
        <f t="shared" si="11"/>
        <v/>
      </c>
      <c r="K204" s="276"/>
      <c r="L204" s="277"/>
      <c r="M204" s="273" t="str">
        <f t="shared" ref="M204:M220" ca="1" si="13">IF(A204="","",IF(OR(I204="",K204&lt;&gt;""),"",IF(I204&lt;TODAY(),"EN RETARD","OK")))</f>
        <v/>
      </c>
      <c r="N204" s="266" t="str">
        <f>_xlfn.LET(_xlpm.x,_xlfn.XLOOKUP(A204,Suivi_TMA!A:A,Suivi_TMA!S:S,""),IF(OR(_xlpm.x="",_xlpm.x=0),"",_xlpm.x))</f>
        <v/>
      </c>
      <c r="O20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5" spans="1:15" ht="15" thickTop="1" thickBot="1" x14ac:dyDescent="0.5">
      <c r="A205" s="267"/>
      <c r="B205" s="263" t="str">
        <f>IF(A205="","",IFERROR(_xlfn.XLOOKUP(A205,Suivi_TMA!A:A,Suivi_TMA!B:B),""))</f>
        <v/>
      </c>
      <c r="C205" s="263" t="str">
        <f>IF(A205="","",IFERROR(_xlfn.XLOOKUP(A205,Suivi_TMA!A:A,Suivi_TMA!E:E),""))</f>
        <v/>
      </c>
      <c r="D205" s="268"/>
      <c r="E205" s="176" t="str">
        <f t="shared" ref="E205:E220" si="14">IF(N205="Refusé","Refusé",
IF(N205="Validé","Validé",
IF(K205&lt;&gt;"","Reçu",
IF(H205&lt;&gt;"","A chiffrer",""))))</f>
        <v/>
      </c>
      <c r="F205" s="268"/>
      <c r="G205" s="263" t="str">
        <f>IF(F205="","",IFERROR(VLOOKUP(F205,LOTS_ENTREPRISES!A:B,2,FALSE),""))</f>
        <v/>
      </c>
      <c r="H205" s="262" t="str">
        <f>IF(A205="","",IFERROR(IF(_xlfn.XLOOKUP(A205,Suivi_TMA!A:A,Suivi_TMA!I:I)="","",_xlfn.XLOOKUP(A205,Suivi_TMA!A:A,Suivi_TMA!I:I)),""))</f>
        <v/>
      </c>
      <c r="I205" s="269" t="str">
        <f t="shared" si="12"/>
        <v/>
      </c>
      <c r="J205" s="263" t="str">
        <f t="shared" ref="J205:J220" si="15">IF($A205="","",IF($K205="","Non","Oui"))</f>
        <v/>
      </c>
      <c r="K205" s="278"/>
      <c r="L205" s="271"/>
      <c r="M205" s="263" t="str">
        <f t="shared" ca="1" si="13"/>
        <v/>
      </c>
      <c r="N205" s="266" t="str">
        <f>_xlfn.LET(_xlpm.x,_xlfn.XLOOKUP(A205,Suivi_TMA!A:A,Suivi_TMA!S:S,""),IF(OR(_xlpm.x="",_xlpm.x=0),"",_xlpm.x))</f>
        <v/>
      </c>
      <c r="O20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6" spans="1:15" ht="15" thickTop="1" thickBot="1" x14ac:dyDescent="0.5">
      <c r="A206" s="272"/>
      <c r="B206" s="273" t="str">
        <f>IF(A206="","",IFERROR(_xlfn.XLOOKUP(A206,Suivi_TMA!A:A,Suivi_TMA!B:B),""))</f>
        <v/>
      </c>
      <c r="C206" s="273" t="str">
        <f>IF(A206="","",IFERROR(_xlfn.XLOOKUP(A206,Suivi_TMA!A:A,Suivi_TMA!E:E),""))</f>
        <v/>
      </c>
      <c r="D206" s="274"/>
      <c r="E206" s="176" t="str">
        <f t="shared" si="14"/>
        <v/>
      </c>
      <c r="F206" s="274"/>
      <c r="G206" s="273" t="str">
        <f>IF(F206="","",IFERROR(VLOOKUP(F206,LOTS_ENTREPRISES!A:B,2,FALSE),""))</f>
        <v/>
      </c>
      <c r="H206" s="262" t="str">
        <f>IF(A206="","",IFERROR(IF(_xlfn.XLOOKUP(A206,Suivi_TMA!A:A,Suivi_TMA!I:I)="","",_xlfn.XLOOKUP(A206,Suivi_TMA!A:A,Suivi_TMA!I:I)),""))</f>
        <v/>
      </c>
      <c r="I206" s="275" t="str">
        <f t="shared" si="12"/>
        <v/>
      </c>
      <c r="J206" s="263" t="str">
        <f t="shared" si="15"/>
        <v/>
      </c>
      <c r="K206" s="276"/>
      <c r="L206" s="277"/>
      <c r="M206" s="273" t="str">
        <f t="shared" ca="1" si="13"/>
        <v/>
      </c>
      <c r="N206" s="266" t="str">
        <f>_xlfn.LET(_xlpm.x,_xlfn.XLOOKUP(A206,Suivi_TMA!A:A,Suivi_TMA!S:S,""),IF(OR(_xlpm.x="",_xlpm.x=0),"",_xlpm.x))</f>
        <v/>
      </c>
      <c r="O20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7" spans="1:15" ht="15" thickTop="1" thickBot="1" x14ac:dyDescent="0.5">
      <c r="A207" s="267"/>
      <c r="B207" s="263" t="str">
        <f>IF(A207="","",IFERROR(_xlfn.XLOOKUP(A207,Suivi_TMA!A:A,Suivi_TMA!B:B),""))</f>
        <v/>
      </c>
      <c r="C207" s="263" t="str">
        <f>IF(A207="","",IFERROR(_xlfn.XLOOKUP(A207,Suivi_TMA!A:A,Suivi_TMA!E:E),""))</f>
        <v/>
      </c>
      <c r="D207" s="268"/>
      <c r="E207" s="176" t="str">
        <f t="shared" si="14"/>
        <v/>
      </c>
      <c r="F207" s="268"/>
      <c r="G207" s="263" t="str">
        <f>IF(F207="","",IFERROR(VLOOKUP(F207,LOTS_ENTREPRISES!A:B,2,FALSE),""))</f>
        <v/>
      </c>
      <c r="H207" s="262" t="str">
        <f>IF(A207="","",IFERROR(IF(_xlfn.XLOOKUP(A207,Suivi_TMA!A:A,Suivi_TMA!I:I)="","",_xlfn.XLOOKUP(A207,Suivi_TMA!A:A,Suivi_TMA!I:I)),""))</f>
        <v/>
      </c>
      <c r="I207" s="269" t="str">
        <f t="shared" si="12"/>
        <v/>
      </c>
      <c r="J207" s="263" t="str">
        <f t="shared" si="15"/>
        <v/>
      </c>
      <c r="K207" s="278"/>
      <c r="L207" s="271"/>
      <c r="M207" s="263" t="str">
        <f t="shared" ca="1" si="13"/>
        <v/>
      </c>
      <c r="N207" s="266" t="str">
        <f>_xlfn.LET(_xlpm.x,_xlfn.XLOOKUP(A207,Suivi_TMA!A:A,Suivi_TMA!S:S,""),IF(OR(_xlpm.x="",_xlpm.x=0),"",_xlpm.x))</f>
        <v/>
      </c>
      <c r="O20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8" spans="1:15" ht="15" thickTop="1" thickBot="1" x14ac:dyDescent="0.5">
      <c r="A208" s="272"/>
      <c r="B208" s="273" t="str">
        <f>IF(A208="","",IFERROR(_xlfn.XLOOKUP(A208,Suivi_TMA!A:A,Suivi_TMA!B:B),""))</f>
        <v/>
      </c>
      <c r="C208" s="273" t="str">
        <f>IF(A208="","",IFERROR(_xlfn.XLOOKUP(A208,Suivi_TMA!A:A,Suivi_TMA!E:E),""))</f>
        <v/>
      </c>
      <c r="D208" s="274"/>
      <c r="E208" s="176" t="str">
        <f t="shared" si="14"/>
        <v/>
      </c>
      <c r="F208" s="274"/>
      <c r="G208" s="273" t="str">
        <f>IF(F208="","",IFERROR(VLOOKUP(F208,LOTS_ENTREPRISES!A:B,2,FALSE),""))</f>
        <v/>
      </c>
      <c r="H208" s="262" t="str">
        <f>IF(A208="","",IFERROR(IF(_xlfn.XLOOKUP(A208,Suivi_TMA!A:A,Suivi_TMA!I:I)="","",_xlfn.XLOOKUP(A208,Suivi_TMA!A:A,Suivi_TMA!I:I)),""))</f>
        <v/>
      </c>
      <c r="I208" s="275" t="str">
        <f t="shared" si="12"/>
        <v/>
      </c>
      <c r="J208" s="263" t="str">
        <f t="shared" si="15"/>
        <v/>
      </c>
      <c r="K208" s="276"/>
      <c r="L208" s="277"/>
      <c r="M208" s="273" t="str">
        <f t="shared" ca="1" si="13"/>
        <v/>
      </c>
      <c r="N208" s="266" t="str">
        <f>_xlfn.LET(_xlpm.x,_xlfn.XLOOKUP(A208,Suivi_TMA!A:A,Suivi_TMA!S:S,""),IF(OR(_xlpm.x="",_xlpm.x=0),"",_xlpm.x))</f>
        <v/>
      </c>
      <c r="O20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09" spans="1:15" ht="15" thickTop="1" thickBot="1" x14ac:dyDescent="0.5">
      <c r="A209" s="267"/>
      <c r="B209" s="263" t="str">
        <f>IF(A209="","",IFERROR(_xlfn.XLOOKUP(A209,Suivi_TMA!A:A,Suivi_TMA!B:B),""))</f>
        <v/>
      </c>
      <c r="C209" s="263" t="str">
        <f>IF(A209="","",IFERROR(_xlfn.XLOOKUP(A209,Suivi_TMA!A:A,Suivi_TMA!E:E),""))</f>
        <v/>
      </c>
      <c r="D209" s="268"/>
      <c r="E209" s="176" t="str">
        <f t="shared" si="14"/>
        <v/>
      </c>
      <c r="F209" s="268"/>
      <c r="G209" s="263" t="str">
        <f>IF(F209="","",IFERROR(VLOOKUP(F209,LOTS_ENTREPRISES!A:B,2,FALSE),""))</f>
        <v/>
      </c>
      <c r="H209" s="262" t="str">
        <f>IF(A209="","",IFERROR(IF(_xlfn.XLOOKUP(A209,Suivi_TMA!A:A,Suivi_TMA!I:I)="","",_xlfn.XLOOKUP(A209,Suivi_TMA!A:A,Suivi_TMA!I:I)),""))</f>
        <v/>
      </c>
      <c r="I209" s="269" t="str">
        <f t="shared" si="12"/>
        <v/>
      </c>
      <c r="J209" s="263" t="str">
        <f t="shared" si="15"/>
        <v/>
      </c>
      <c r="K209" s="278"/>
      <c r="L209" s="271"/>
      <c r="M209" s="263" t="str">
        <f t="shared" ca="1" si="13"/>
        <v/>
      </c>
      <c r="N209" s="266" t="str">
        <f>_xlfn.LET(_xlpm.x,_xlfn.XLOOKUP(A209,Suivi_TMA!A:A,Suivi_TMA!S:S,""),IF(OR(_xlpm.x="",_xlpm.x=0),"",_xlpm.x))</f>
        <v/>
      </c>
      <c r="O20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0" spans="1:15" ht="15" thickTop="1" thickBot="1" x14ac:dyDescent="0.5">
      <c r="A210" s="272"/>
      <c r="B210" s="273" t="str">
        <f>IF(A210="","",IFERROR(_xlfn.XLOOKUP(A210,Suivi_TMA!A:A,Suivi_TMA!B:B),""))</f>
        <v/>
      </c>
      <c r="C210" s="273" t="str">
        <f>IF(A210="","",IFERROR(_xlfn.XLOOKUP(A210,Suivi_TMA!A:A,Suivi_TMA!E:E),""))</f>
        <v/>
      </c>
      <c r="D210" s="274"/>
      <c r="E210" s="176" t="str">
        <f t="shared" si="14"/>
        <v/>
      </c>
      <c r="F210" s="274"/>
      <c r="G210" s="273" t="str">
        <f>IF(F210="","",IFERROR(VLOOKUP(F210,LOTS_ENTREPRISES!A:B,2,FALSE),""))</f>
        <v/>
      </c>
      <c r="H210" s="262" t="str">
        <f>IF(A210="","",IFERROR(IF(_xlfn.XLOOKUP(A210,Suivi_TMA!A:A,Suivi_TMA!I:I)="","",_xlfn.XLOOKUP(A210,Suivi_TMA!A:A,Suivi_TMA!I:I)),""))</f>
        <v/>
      </c>
      <c r="I210" s="275" t="str">
        <f t="shared" si="12"/>
        <v/>
      </c>
      <c r="J210" s="263" t="str">
        <f t="shared" si="15"/>
        <v/>
      </c>
      <c r="K210" s="276"/>
      <c r="L210" s="277"/>
      <c r="M210" s="273" t="str">
        <f t="shared" ca="1" si="13"/>
        <v/>
      </c>
      <c r="N210" s="266" t="str">
        <f>_xlfn.LET(_xlpm.x,_xlfn.XLOOKUP(A210,Suivi_TMA!A:A,Suivi_TMA!S:S,""),IF(OR(_xlpm.x="",_xlpm.x=0),"",_xlpm.x))</f>
        <v/>
      </c>
      <c r="O21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1" spans="1:15" ht="15" thickTop="1" thickBot="1" x14ac:dyDescent="0.5">
      <c r="A211" s="267"/>
      <c r="B211" s="263" t="str">
        <f>IF(A211="","",IFERROR(_xlfn.XLOOKUP(A211,Suivi_TMA!A:A,Suivi_TMA!B:B),""))</f>
        <v/>
      </c>
      <c r="C211" s="263" t="str">
        <f>IF(A211="","",IFERROR(_xlfn.XLOOKUP(A211,Suivi_TMA!A:A,Suivi_TMA!E:E),""))</f>
        <v/>
      </c>
      <c r="D211" s="268"/>
      <c r="E211" s="176" t="str">
        <f t="shared" si="14"/>
        <v/>
      </c>
      <c r="F211" s="268"/>
      <c r="G211" s="263" t="str">
        <f>IF(F211="","",IFERROR(VLOOKUP(F211,LOTS_ENTREPRISES!A:B,2,FALSE),""))</f>
        <v/>
      </c>
      <c r="H211" s="262" t="str">
        <f>IF(A211="","",IFERROR(IF(_xlfn.XLOOKUP(A211,Suivi_TMA!A:A,Suivi_TMA!I:I)="","",_xlfn.XLOOKUP(A211,Suivi_TMA!A:A,Suivi_TMA!I:I)),""))</f>
        <v/>
      </c>
      <c r="I211" s="269" t="str">
        <f t="shared" si="12"/>
        <v/>
      </c>
      <c r="J211" s="263" t="str">
        <f t="shared" si="15"/>
        <v/>
      </c>
      <c r="K211" s="278"/>
      <c r="L211" s="271"/>
      <c r="M211" s="263" t="str">
        <f t="shared" ca="1" si="13"/>
        <v/>
      </c>
      <c r="N211" s="266" t="str">
        <f>_xlfn.LET(_xlpm.x,_xlfn.XLOOKUP(A211,Suivi_TMA!A:A,Suivi_TMA!S:S,""),IF(OR(_xlpm.x="",_xlpm.x=0),"",_xlpm.x))</f>
        <v/>
      </c>
      <c r="O211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2" spans="1:15" ht="15" thickTop="1" thickBot="1" x14ac:dyDescent="0.5">
      <c r="A212" s="272"/>
      <c r="B212" s="273" t="str">
        <f>IF(A212="","",IFERROR(_xlfn.XLOOKUP(A212,Suivi_TMA!A:A,Suivi_TMA!B:B),""))</f>
        <v/>
      </c>
      <c r="C212" s="273" t="str">
        <f>IF(A212="","",IFERROR(_xlfn.XLOOKUP(A212,Suivi_TMA!A:A,Suivi_TMA!E:E),""))</f>
        <v/>
      </c>
      <c r="D212" s="274"/>
      <c r="E212" s="176" t="str">
        <f t="shared" si="14"/>
        <v/>
      </c>
      <c r="F212" s="274"/>
      <c r="G212" s="273" t="str">
        <f>IF(F212="","",IFERROR(VLOOKUP(F212,LOTS_ENTREPRISES!A:B,2,FALSE),""))</f>
        <v/>
      </c>
      <c r="H212" s="262" t="str">
        <f>IF(A212="","",IFERROR(IF(_xlfn.XLOOKUP(A212,Suivi_TMA!A:A,Suivi_TMA!I:I)="","",_xlfn.XLOOKUP(A212,Suivi_TMA!A:A,Suivi_TMA!I:I)),""))</f>
        <v/>
      </c>
      <c r="I212" s="275" t="str">
        <f t="shared" si="12"/>
        <v/>
      </c>
      <c r="J212" s="263" t="str">
        <f t="shared" si="15"/>
        <v/>
      </c>
      <c r="K212" s="276"/>
      <c r="L212" s="277"/>
      <c r="M212" s="273" t="str">
        <f t="shared" ca="1" si="13"/>
        <v/>
      </c>
      <c r="N212" s="266" t="str">
        <f>_xlfn.LET(_xlpm.x,_xlfn.XLOOKUP(A212,Suivi_TMA!A:A,Suivi_TMA!S:S,""),IF(OR(_xlpm.x="",_xlpm.x=0),"",_xlpm.x))</f>
        <v/>
      </c>
      <c r="O212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3" spans="1:15" ht="15" thickTop="1" thickBot="1" x14ac:dyDescent="0.5">
      <c r="A213" s="267"/>
      <c r="B213" s="263" t="str">
        <f>IF(A213="","",IFERROR(_xlfn.XLOOKUP(A213,Suivi_TMA!A:A,Suivi_TMA!B:B),""))</f>
        <v/>
      </c>
      <c r="C213" s="263" t="str">
        <f>IF(A213="","",IFERROR(_xlfn.XLOOKUP(A213,Suivi_TMA!A:A,Suivi_TMA!E:E),""))</f>
        <v/>
      </c>
      <c r="D213" s="268"/>
      <c r="E213" s="176" t="str">
        <f t="shared" si="14"/>
        <v/>
      </c>
      <c r="F213" s="268"/>
      <c r="G213" s="263" t="str">
        <f>IF(F213="","",IFERROR(VLOOKUP(F213,LOTS_ENTREPRISES!A:B,2,FALSE),""))</f>
        <v/>
      </c>
      <c r="H213" s="262" t="str">
        <f>IF(A213="","",IFERROR(IF(_xlfn.XLOOKUP(A213,Suivi_TMA!A:A,Suivi_TMA!I:I)="","",_xlfn.XLOOKUP(A213,Suivi_TMA!A:A,Suivi_TMA!I:I)),""))</f>
        <v/>
      </c>
      <c r="I213" s="269" t="str">
        <f t="shared" si="12"/>
        <v/>
      </c>
      <c r="J213" s="263" t="str">
        <f t="shared" si="15"/>
        <v/>
      </c>
      <c r="K213" s="278"/>
      <c r="L213" s="271"/>
      <c r="M213" s="263" t="str">
        <f t="shared" ca="1" si="13"/>
        <v/>
      </c>
      <c r="N213" s="266" t="str">
        <f>_xlfn.LET(_xlpm.x,_xlfn.XLOOKUP(A213,Suivi_TMA!A:A,Suivi_TMA!S:S,""),IF(OR(_xlpm.x="",_xlpm.x=0),"",_xlpm.x))</f>
        <v/>
      </c>
      <c r="O213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4" spans="1:15" ht="15" thickTop="1" thickBot="1" x14ac:dyDescent="0.5">
      <c r="A214" s="272"/>
      <c r="B214" s="273" t="str">
        <f>IF(A214="","",IFERROR(_xlfn.XLOOKUP(A214,Suivi_TMA!A:A,Suivi_TMA!B:B),""))</f>
        <v/>
      </c>
      <c r="C214" s="273" t="str">
        <f>IF(A214="","",IFERROR(_xlfn.XLOOKUP(A214,Suivi_TMA!A:A,Suivi_TMA!E:E),""))</f>
        <v/>
      </c>
      <c r="D214" s="274"/>
      <c r="E214" s="176" t="str">
        <f t="shared" si="14"/>
        <v/>
      </c>
      <c r="F214" s="274"/>
      <c r="G214" s="273" t="str">
        <f>IF(F214="","",IFERROR(VLOOKUP(F214,LOTS_ENTREPRISES!A:B,2,FALSE),""))</f>
        <v/>
      </c>
      <c r="H214" s="262" t="str">
        <f>IF(A214="","",IFERROR(IF(_xlfn.XLOOKUP(A214,Suivi_TMA!A:A,Suivi_TMA!I:I)="","",_xlfn.XLOOKUP(A214,Suivi_TMA!A:A,Suivi_TMA!I:I)),""))</f>
        <v/>
      </c>
      <c r="I214" s="275" t="str">
        <f t="shared" si="12"/>
        <v/>
      </c>
      <c r="J214" s="263" t="str">
        <f t="shared" si="15"/>
        <v/>
      </c>
      <c r="K214" s="276"/>
      <c r="L214" s="277"/>
      <c r="M214" s="273" t="str">
        <f t="shared" ca="1" si="13"/>
        <v/>
      </c>
      <c r="N214" s="266" t="str">
        <f>_xlfn.LET(_xlpm.x,_xlfn.XLOOKUP(A214,Suivi_TMA!A:A,Suivi_TMA!S:S,""),IF(OR(_xlpm.x="",_xlpm.x=0),"",_xlpm.x))</f>
        <v/>
      </c>
      <c r="O214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5" spans="1:15" ht="15" thickTop="1" thickBot="1" x14ac:dyDescent="0.5">
      <c r="A215" s="267"/>
      <c r="B215" s="263" t="str">
        <f>IF(A215="","",IFERROR(_xlfn.XLOOKUP(A215,Suivi_TMA!A:A,Suivi_TMA!B:B),""))</f>
        <v/>
      </c>
      <c r="C215" s="263" t="str">
        <f>IF(A215="","",IFERROR(_xlfn.XLOOKUP(A215,Suivi_TMA!A:A,Suivi_TMA!E:E),""))</f>
        <v/>
      </c>
      <c r="D215" s="268"/>
      <c r="E215" s="176" t="str">
        <f t="shared" si="14"/>
        <v/>
      </c>
      <c r="F215" s="268"/>
      <c r="G215" s="263" t="str">
        <f>IF(F215="","",IFERROR(VLOOKUP(F215,LOTS_ENTREPRISES!A:B,2,FALSE),""))</f>
        <v/>
      </c>
      <c r="H215" s="262" t="str">
        <f>IF(A215="","",IFERROR(IF(_xlfn.XLOOKUP(A215,Suivi_TMA!A:A,Suivi_TMA!I:I)="","",_xlfn.XLOOKUP(A215,Suivi_TMA!A:A,Suivi_TMA!I:I)),""))</f>
        <v/>
      </c>
      <c r="I215" s="269" t="str">
        <f t="shared" si="12"/>
        <v/>
      </c>
      <c r="J215" s="263" t="str">
        <f t="shared" si="15"/>
        <v/>
      </c>
      <c r="K215" s="278"/>
      <c r="L215" s="271"/>
      <c r="M215" s="263" t="str">
        <f t="shared" ca="1" si="13"/>
        <v/>
      </c>
      <c r="N215" s="266" t="str">
        <f>_xlfn.LET(_xlpm.x,_xlfn.XLOOKUP(A215,Suivi_TMA!A:A,Suivi_TMA!S:S,""),IF(OR(_xlpm.x="",_xlpm.x=0),"",_xlpm.x))</f>
        <v/>
      </c>
      <c r="O215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6" spans="1:15" ht="15" thickTop="1" thickBot="1" x14ac:dyDescent="0.5">
      <c r="A216" s="272"/>
      <c r="B216" s="273" t="str">
        <f>IF(A216="","",IFERROR(_xlfn.XLOOKUP(A216,Suivi_TMA!A:A,Suivi_TMA!B:B),""))</f>
        <v/>
      </c>
      <c r="C216" s="273" t="str">
        <f>IF(A216="","",IFERROR(_xlfn.XLOOKUP(A216,Suivi_TMA!A:A,Suivi_TMA!E:E),""))</f>
        <v/>
      </c>
      <c r="D216" s="274"/>
      <c r="E216" s="176" t="str">
        <f t="shared" si="14"/>
        <v/>
      </c>
      <c r="F216" s="274"/>
      <c r="G216" s="273" t="str">
        <f>IF(F216="","",IFERROR(VLOOKUP(F216,LOTS_ENTREPRISES!A:B,2,FALSE),""))</f>
        <v/>
      </c>
      <c r="H216" s="262" t="str">
        <f>IF(A216="","",IFERROR(IF(_xlfn.XLOOKUP(A216,Suivi_TMA!A:A,Suivi_TMA!I:I)="","",_xlfn.XLOOKUP(A216,Suivi_TMA!A:A,Suivi_TMA!I:I)),""))</f>
        <v/>
      </c>
      <c r="I216" s="275" t="str">
        <f t="shared" si="12"/>
        <v/>
      </c>
      <c r="J216" s="263" t="str">
        <f t="shared" si="15"/>
        <v/>
      </c>
      <c r="K216" s="276"/>
      <c r="L216" s="277"/>
      <c r="M216" s="273" t="str">
        <f t="shared" ca="1" si="13"/>
        <v/>
      </c>
      <c r="N216" s="266" t="str">
        <f>_xlfn.LET(_xlpm.x,_xlfn.XLOOKUP(A216,Suivi_TMA!A:A,Suivi_TMA!S:S,""),IF(OR(_xlpm.x="",_xlpm.x=0),"",_xlpm.x))</f>
        <v/>
      </c>
      <c r="O216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7" spans="1:15" ht="15" thickTop="1" thickBot="1" x14ac:dyDescent="0.5">
      <c r="A217" s="267"/>
      <c r="B217" s="263" t="str">
        <f>IF(A217="","",IFERROR(_xlfn.XLOOKUP(A217,Suivi_TMA!A:A,Suivi_TMA!B:B),""))</f>
        <v/>
      </c>
      <c r="C217" s="263" t="str">
        <f>IF(A217="","",IFERROR(_xlfn.XLOOKUP(A217,Suivi_TMA!A:A,Suivi_TMA!E:E),""))</f>
        <v/>
      </c>
      <c r="D217" s="268"/>
      <c r="E217" s="176" t="str">
        <f t="shared" si="14"/>
        <v/>
      </c>
      <c r="F217" s="268"/>
      <c r="G217" s="263" t="str">
        <f>IF(F217="","",IFERROR(VLOOKUP(F217,LOTS_ENTREPRISES!A:B,2,FALSE),""))</f>
        <v/>
      </c>
      <c r="H217" s="262" t="str">
        <f>IF(A217="","",IFERROR(IF(_xlfn.XLOOKUP(A217,Suivi_TMA!A:A,Suivi_TMA!I:I)="","",_xlfn.XLOOKUP(A217,Suivi_TMA!A:A,Suivi_TMA!I:I)),""))</f>
        <v/>
      </c>
      <c r="I217" s="269" t="str">
        <f t="shared" si="12"/>
        <v/>
      </c>
      <c r="J217" s="263" t="str">
        <f t="shared" si="15"/>
        <v/>
      </c>
      <c r="K217" s="278"/>
      <c r="L217" s="271"/>
      <c r="M217" s="263" t="str">
        <f t="shared" ca="1" si="13"/>
        <v/>
      </c>
      <c r="N217" s="266" t="str">
        <f>_xlfn.LET(_xlpm.x,_xlfn.XLOOKUP(A217,Suivi_TMA!A:A,Suivi_TMA!S:S,""),IF(OR(_xlpm.x="",_xlpm.x=0),"",_xlpm.x))</f>
        <v/>
      </c>
      <c r="O217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8" spans="1:15" ht="15" thickTop="1" thickBot="1" x14ac:dyDescent="0.5">
      <c r="A218" s="272"/>
      <c r="B218" s="273" t="str">
        <f>IF(A218="","",IFERROR(_xlfn.XLOOKUP(A218,Suivi_TMA!A:A,Suivi_TMA!B:B),""))</f>
        <v/>
      </c>
      <c r="C218" s="273" t="str">
        <f>IF(A218="","",IFERROR(_xlfn.XLOOKUP(A218,Suivi_TMA!A:A,Suivi_TMA!E:E),""))</f>
        <v/>
      </c>
      <c r="D218" s="274"/>
      <c r="E218" s="176" t="str">
        <f t="shared" si="14"/>
        <v/>
      </c>
      <c r="F218" s="274"/>
      <c r="G218" s="273" t="str">
        <f>IF(F218="","",IFERROR(VLOOKUP(F218,LOTS_ENTREPRISES!A:B,2,FALSE),""))</f>
        <v/>
      </c>
      <c r="H218" s="262" t="str">
        <f>IF(A218="","",IFERROR(IF(_xlfn.XLOOKUP(A218,Suivi_TMA!A:A,Suivi_TMA!I:I)="","",_xlfn.XLOOKUP(A218,Suivi_TMA!A:A,Suivi_TMA!I:I)),""))</f>
        <v/>
      </c>
      <c r="I218" s="275" t="str">
        <f t="shared" si="12"/>
        <v/>
      </c>
      <c r="J218" s="263" t="str">
        <f t="shared" si="15"/>
        <v/>
      </c>
      <c r="K218" s="276"/>
      <c r="L218" s="277"/>
      <c r="M218" s="273" t="str">
        <f t="shared" ca="1" si="13"/>
        <v/>
      </c>
      <c r="N218" s="266" t="str">
        <f>_xlfn.LET(_xlpm.x,_xlfn.XLOOKUP(A218,Suivi_TMA!A:A,Suivi_TMA!S:S,""),IF(OR(_xlpm.x="",_xlpm.x=0),"",_xlpm.x))</f>
        <v/>
      </c>
      <c r="O218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19" spans="1:15" ht="15" thickTop="1" thickBot="1" x14ac:dyDescent="0.5">
      <c r="A219" s="267"/>
      <c r="B219" s="263" t="str">
        <f>IF(A219="","",IFERROR(_xlfn.XLOOKUP(A219,Suivi_TMA!A:A,Suivi_TMA!B:B),""))</f>
        <v/>
      </c>
      <c r="C219" s="263" t="str">
        <f>IF(A219="","",IFERROR(_xlfn.XLOOKUP(A219,Suivi_TMA!A:A,Suivi_TMA!E:E),""))</f>
        <v/>
      </c>
      <c r="D219" s="268"/>
      <c r="E219" s="176" t="str">
        <f t="shared" si="14"/>
        <v/>
      </c>
      <c r="F219" s="268"/>
      <c r="G219" s="263" t="str">
        <f>IF(F219="","",IFERROR(VLOOKUP(F219,LOTS_ENTREPRISES!A:B,2,FALSE),""))</f>
        <v/>
      </c>
      <c r="H219" s="262" t="str">
        <f>IF(A219="","",IFERROR(IF(_xlfn.XLOOKUP(A219,Suivi_TMA!A:A,Suivi_TMA!I:I)="","",_xlfn.XLOOKUP(A219,Suivi_TMA!A:A,Suivi_TMA!I:I)),""))</f>
        <v/>
      </c>
      <c r="I219" s="269" t="str">
        <f t="shared" si="12"/>
        <v/>
      </c>
      <c r="J219" s="263" t="str">
        <f t="shared" si="15"/>
        <v/>
      </c>
      <c r="K219" s="278"/>
      <c r="L219" s="271"/>
      <c r="M219" s="263" t="str">
        <f t="shared" ca="1" si="13"/>
        <v/>
      </c>
      <c r="N219" s="266" t="str">
        <f>_xlfn.LET(_xlpm.x,_xlfn.XLOOKUP(A219,Suivi_TMA!A:A,Suivi_TMA!S:S,""),IF(OR(_xlpm.x="",_xlpm.x=0),"",_xlpm.x))</f>
        <v/>
      </c>
      <c r="O219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  <row r="220" spans="1:15" ht="14.65" thickTop="1" x14ac:dyDescent="0.45">
      <c r="A220" s="272"/>
      <c r="B220" s="273" t="str">
        <f>IF(A220="","",IFERROR(_xlfn.XLOOKUP(A220,Suivi_TMA!A:A,Suivi_TMA!B:B),""))</f>
        <v/>
      </c>
      <c r="C220" s="273" t="str">
        <f>IF(A220="","",IFERROR(_xlfn.XLOOKUP(A220,Suivi_TMA!A:A,Suivi_TMA!E:E),""))</f>
        <v/>
      </c>
      <c r="D220" s="274"/>
      <c r="E220" s="176" t="str">
        <f t="shared" si="14"/>
        <v/>
      </c>
      <c r="F220" s="274"/>
      <c r="G220" s="273" t="str">
        <f>IF(F220="","",IFERROR(VLOOKUP(F220,LOTS_ENTREPRISES!A:B,2,FALSE),""))</f>
        <v/>
      </c>
      <c r="H220" s="262" t="str">
        <f>IF(A220="","",IFERROR(IF(_xlfn.XLOOKUP(A220,Suivi_TMA!A:A,Suivi_TMA!I:I)="","",_xlfn.XLOOKUP(A220,Suivi_TMA!A:A,Suivi_TMA!I:I)),""))</f>
        <v/>
      </c>
      <c r="I220" s="275" t="str">
        <f t="shared" si="12"/>
        <v/>
      </c>
      <c r="J220" s="263" t="str">
        <f t="shared" si="15"/>
        <v/>
      </c>
      <c r="K220" s="276"/>
      <c r="L220" s="277"/>
      <c r="M220" s="273" t="str">
        <f t="shared" ca="1" si="13"/>
        <v/>
      </c>
      <c r="N220" s="266" t="str">
        <f>_xlfn.LET(_xlpm.x,_xlfn.XLOOKUP(A220,Suivi_TMA!A:A,Suivi_TMA!S:S,""),IF(OR(_xlpm.x="",_xlpm.x=0),"",_xlpm.x))</f>
        <v/>
      </c>
      <c r="O220" s="236" t="str">
        <f>IF(
AND(
OR(Tableau2[[#This Row],[Statut]]="Validé",Tableau2[[#This Row],[Statut]]="Reçu"),
OR(Tableau2[[#This Row],[STATUT_GLOBAL]]="Validé",Tableau2[[#This Row],[STATUT_GLOBAL]]="Travaux",Tableau2[[#This Row],[STATUT_GLOBAL]]="Terminé")
),
Tableau2[[#This Row],[Montant TTC (€)]],
""
)</f>
        <v/>
      </c>
    </row>
  </sheetData>
  <sheetProtection selectLockedCells="1"/>
  <mergeCells count="1">
    <mergeCell ref="A1:O1"/>
  </mergeCells>
  <phoneticPr fontId="8" type="noConversion"/>
  <conditionalFormatting sqref="M12:M15">
    <cfRule type="expression" dxfId="30" priority="6">
      <formula>ISNUMBER(SEARCH("RETARD",K12))</formula>
    </cfRule>
  </conditionalFormatting>
  <conditionalFormatting sqref="A12:O220">
    <cfRule type="expression" dxfId="29" priority="3">
      <formula>$N12="Validé"</formula>
    </cfRule>
    <cfRule type="expression" dxfId="28" priority="4">
      <formula>$N12="Refusé"</formula>
    </cfRule>
  </conditionalFormatting>
  <dataValidations count="1">
    <dataValidation type="list" allowBlank="1" showInputMessage="1" showErrorMessage="1" sqref="F12:F1048576" xr:uid="{D1A5B17C-B1FC-4DC9-8894-072AD894044C}">
      <formula1>Liste_Lots</formula1>
    </dataValidation>
  </dataValidations>
  <pageMargins left="0.75" right="0.75" top="1" bottom="1" header="0.5" footer="0.5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7F3B3-1BA1-4DBE-A071-6859D510DD79}">
  <sheetPr codeName="Feuil14">
    <tabColor theme="9" tint="0.39997558519241921"/>
  </sheetPr>
  <dimension ref="A1:B2"/>
  <sheetViews>
    <sheetView workbookViewId="0">
      <selection activeCell="B2" sqref="B2"/>
    </sheetView>
  </sheetViews>
  <sheetFormatPr baseColWidth="10" defaultRowHeight="14.25" x14ac:dyDescent="0.45"/>
  <cols>
    <col min="1" max="1" width="14.796875" customWidth="1"/>
    <col min="2" max="2" width="16.1328125" customWidth="1"/>
  </cols>
  <sheetData>
    <row r="1" spans="1:2" ht="14.65" thickBot="1" x14ac:dyDescent="0.5"/>
    <row r="2" spans="1:2" ht="36.4" customHeight="1" thickBot="1" x14ac:dyDescent="0.5">
      <c r="A2" s="204" t="s">
        <v>165</v>
      </c>
      <c r="B2" s="203" t="s">
        <v>126</v>
      </c>
    </row>
  </sheetData>
  <dataValidations count="1">
    <dataValidation type="list" allowBlank="1" showInputMessage="1" showErrorMessage="1" sqref="B2" xr:uid="{7DF8F1AF-55BC-4D70-91C6-515DE755405B}">
      <formula1>"CLIENT,ENTREPRISE,MO,MOE,DEVISCLIENT,DASHBOARD"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AB93A-213E-4D9F-810B-0A8540229C83}">
  <sheetPr codeName="Feuil17">
    <tabColor theme="9" tint="0.79998168889431442"/>
    <pageSetUpPr fitToPage="1"/>
  </sheetPr>
  <dimension ref="A1:U1000"/>
  <sheetViews>
    <sheetView tabSelected="1" workbookViewId="0">
      <selection activeCell="B3" sqref="B3"/>
    </sheetView>
  </sheetViews>
  <sheetFormatPr baseColWidth="10" defaultRowHeight="14.25" x14ac:dyDescent="0.45"/>
  <cols>
    <col min="1" max="1" width="11.86328125" style="5" customWidth="1"/>
    <col min="2" max="2" width="17.73046875" style="5" customWidth="1"/>
    <col min="3" max="3" width="16" style="5" customWidth="1"/>
    <col min="4" max="4" width="45.73046875" style="5" customWidth="1"/>
    <col min="5" max="5" width="13.19921875" style="5" customWidth="1"/>
    <col min="6" max="6" width="18.796875" style="5" customWidth="1"/>
    <col min="7" max="7" width="18.796875" style="28" customWidth="1"/>
    <col min="8" max="8" width="16.1328125" style="5" customWidth="1"/>
    <col min="9" max="9" width="12.6640625" style="15" customWidth="1"/>
    <col min="10" max="10" width="10" style="5" customWidth="1"/>
    <col min="11" max="11" width="13.59765625" style="121" customWidth="1"/>
    <col min="12" max="12" width="17.06640625" style="5" customWidth="1"/>
    <col min="13" max="14" width="10.6640625" style="5" customWidth="1"/>
    <col min="15" max="15" width="16.1328125" style="112" customWidth="1"/>
    <col min="16" max="16" width="43.59765625" style="5" customWidth="1"/>
    <col min="17" max="17" width="53.46484375" style="5" hidden="1" customWidth="1"/>
    <col min="18" max="21" width="10.6640625" style="5" hidden="1" customWidth="1"/>
    <col min="22" max="26" width="10.6640625" style="5" customWidth="1"/>
    <col min="27" max="16384" width="10.6640625" style="5"/>
  </cols>
  <sheetData>
    <row r="1" spans="1:21" ht="44.25" customHeight="1" thickBot="1" x14ac:dyDescent="0.5">
      <c r="A1" s="453" t="s">
        <v>155</v>
      </c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63"/>
    </row>
    <row r="2" spans="1:21" ht="42.4" customHeight="1" thickBot="1" x14ac:dyDescent="0.5">
      <c r="A2" s="464" t="str">
        <f>Suivi_TMA!C5</f>
        <v>Résidence LES JOLIETTES</v>
      </c>
      <c r="B2" s="465"/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</row>
    <row r="3" spans="1:21" ht="33.4" customHeight="1" thickBot="1" x14ac:dyDescent="0.5">
      <c r="A3" s="10" t="s">
        <v>125</v>
      </c>
      <c r="B3" s="355" t="s">
        <v>111</v>
      </c>
      <c r="C3" s="11" t="s">
        <v>71</v>
      </c>
      <c r="D3" s="357" t="str">
        <f>Suivi_TMA!C6</f>
        <v>12 avenue Jean JAURES</v>
      </c>
      <c r="E3" s="208" t="s">
        <v>280</v>
      </c>
      <c r="F3" s="230" t="str">
        <f>Suivi_TMA!C8</f>
        <v>12</v>
      </c>
    </row>
    <row r="4" spans="1:21" ht="28.5" x14ac:dyDescent="0.45">
      <c r="A4" s="10" t="s">
        <v>191</v>
      </c>
      <c r="B4" s="356" t="str">
        <f>Suivi_TMA!C4</f>
        <v>XXX</v>
      </c>
      <c r="C4" s="11" t="s">
        <v>72</v>
      </c>
      <c r="D4" s="5" t="str">
        <f>Suivi_TMA!C7</f>
        <v>CIBOURE (64500)</v>
      </c>
      <c r="E4" s="208" t="s">
        <v>74</v>
      </c>
      <c r="F4" s="121">
        <f>Suivi_TMA!C9</f>
        <v>46447</v>
      </c>
    </row>
    <row r="5" spans="1:21" ht="14.65" thickBot="1" x14ac:dyDescent="0.5"/>
    <row r="6" spans="1:21" s="15" customFormat="1" ht="34.9" customHeight="1" thickBot="1" x14ac:dyDescent="0.5">
      <c r="A6" s="523" t="s">
        <v>0</v>
      </c>
      <c r="B6" s="524" t="s">
        <v>92</v>
      </c>
      <c r="C6" s="524" t="s">
        <v>95</v>
      </c>
      <c r="D6" s="524" t="s">
        <v>127</v>
      </c>
      <c r="E6" s="524" t="s">
        <v>91</v>
      </c>
      <c r="F6" s="524" t="s">
        <v>128</v>
      </c>
      <c r="G6" s="493" t="s">
        <v>126</v>
      </c>
      <c r="H6" s="524" t="s">
        <v>121</v>
      </c>
      <c r="I6" s="494" t="s">
        <v>129</v>
      </c>
      <c r="J6" s="525" t="s">
        <v>130</v>
      </c>
      <c r="K6" s="525" t="s">
        <v>131</v>
      </c>
      <c r="L6" s="526" t="s">
        <v>132</v>
      </c>
      <c r="M6" s="525" t="s">
        <v>106</v>
      </c>
      <c r="N6" s="527" t="s">
        <v>150</v>
      </c>
      <c r="O6" s="528" t="s">
        <v>151</v>
      </c>
      <c r="P6" s="529" t="s">
        <v>272</v>
      </c>
      <c r="Q6" s="111"/>
      <c r="R6" s="85"/>
      <c r="S6" s="109"/>
      <c r="T6" s="14"/>
    </row>
    <row r="7" spans="1:21" s="8" customFormat="1" ht="24" customHeight="1" x14ac:dyDescent="0.45">
      <c r="A7" s="473">
        <v>1</v>
      </c>
      <c r="B7" s="474" t="s">
        <v>13</v>
      </c>
      <c r="C7" s="474" t="s">
        <v>14</v>
      </c>
      <c r="D7" s="474" t="s">
        <v>208</v>
      </c>
      <c r="E7" s="474" t="s">
        <v>20</v>
      </c>
      <c r="F7" s="474" t="s">
        <v>37</v>
      </c>
      <c r="G7" s="475" t="s">
        <v>202</v>
      </c>
      <c r="H7" s="476">
        <v>45709</v>
      </c>
      <c r="I7" s="476">
        <v>45719</v>
      </c>
      <c r="J7" s="478" t="s">
        <v>109</v>
      </c>
      <c r="K7" s="476">
        <v>45711</v>
      </c>
      <c r="L7" s="479">
        <v>-402.53</v>
      </c>
      <c r="M7" s="478"/>
      <c r="N7" s="498" t="s">
        <v>20</v>
      </c>
      <c r="O7" s="499">
        <v>-402.53</v>
      </c>
      <c r="P7" s="500"/>
      <c r="Q7" s="501"/>
      <c r="R7" s="502"/>
      <c r="S7" s="502"/>
      <c r="T7" s="17"/>
      <c r="U7" s="9"/>
    </row>
    <row r="8" spans="1:21" s="8" customFormat="1" ht="24" customHeight="1" x14ac:dyDescent="0.45">
      <c r="A8" s="473">
        <v>1</v>
      </c>
      <c r="B8" s="474" t="s">
        <v>13</v>
      </c>
      <c r="C8" s="474" t="s">
        <v>14</v>
      </c>
      <c r="D8" s="474" t="s">
        <v>209</v>
      </c>
      <c r="E8" s="474" t="s">
        <v>20</v>
      </c>
      <c r="F8" s="474" t="s">
        <v>36</v>
      </c>
      <c r="G8" s="475" t="s">
        <v>202</v>
      </c>
      <c r="H8" s="476">
        <v>45709</v>
      </c>
      <c r="I8" s="476">
        <v>45719</v>
      </c>
      <c r="J8" s="478" t="s">
        <v>109</v>
      </c>
      <c r="K8" s="476">
        <v>45711</v>
      </c>
      <c r="L8" s="479">
        <v>458.24</v>
      </c>
      <c r="M8" s="478"/>
      <c r="N8" s="498" t="s">
        <v>20</v>
      </c>
      <c r="O8" s="499">
        <v>458.24</v>
      </c>
      <c r="P8" s="500"/>
      <c r="Q8" s="501"/>
      <c r="R8" s="502"/>
      <c r="S8" s="502"/>
      <c r="T8" s="17"/>
      <c r="U8" s="9"/>
    </row>
    <row r="9" spans="1:21" s="8" customFormat="1" ht="24" customHeight="1" thickBot="1" x14ac:dyDescent="0.5">
      <c r="A9" s="473">
        <v>2</v>
      </c>
      <c r="B9" s="474" t="s">
        <v>22</v>
      </c>
      <c r="C9" s="474" t="s">
        <v>19</v>
      </c>
      <c r="D9" s="474" t="s">
        <v>212</v>
      </c>
      <c r="E9" s="474" t="s">
        <v>35</v>
      </c>
      <c r="F9" s="474" t="s">
        <v>39</v>
      </c>
      <c r="G9" s="475" t="s">
        <v>193</v>
      </c>
      <c r="H9" s="476">
        <v>45715</v>
      </c>
      <c r="I9" s="476">
        <v>45725</v>
      </c>
      <c r="J9" s="478" t="s">
        <v>109</v>
      </c>
      <c r="K9" s="476">
        <v>45716</v>
      </c>
      <c r="L9" s="479">
        <v>-435.38</v>
      </c>
      <c r="M9" s="478"/>
      <c r="N9" s="498" t="s">
        <v>16</v>
      </c>
      <c r="O9" s="503"/>
      <c r="P9" s="500"/>
      <c r="Q9" s="504"/>
      <c r="R9" s="505"/>
      <c r="S9" s="505"/>
      <c r="T9" s="17"/>
      <c r="U9" s="9"/>
    </row>
    <row r="10" spans="1:21" s="8" customFormat="1" ht="24" customHeight="1" thickTop="1" x14ac:dyDescent="0.45">
      <c r="A10" s="473">
        <v>2</v>
      </c>
      <c r="B10" s="474" t="s">
        <v>22</v>
      </c>
      <c r="C10" s="474" t="s">
        <v>19</v>
      </c>
      <c r="D10" s="474" t="s">
        <v>213</v>
      </c>
      <c r="E10" s="474" t="s">
        <v>35</v>
      </c>
      <c r="F10" s="474" t="s">
        <v>38</v>
      </c>
      <c r="G10" s="475" t="s">
        <v>203</v>
      </c>
      <c r="H10" s="476">
        <v>45715</v>
      </c>
      <c r="I10" s="476">
        <v>45725</v>
      </c>
      <c r="J10" s="478" t="s">
        <v>109</v>
      </c>
      <c r="K10" s="476">
        <v>45716</v>
      </c>
      <c r="L10" s="499">
        <v>-128.35</v>
      </c>
      <c r="M10" s="481"/>
      <c r="N10" s="498" t="s">
        <v>16</v>
      </c>
      <c r="O10" s="506" t="s">
        <v>107</v>
      </c>
      <c r="P10" s="500"/>
      <c r="Q10" s="507"/>
      <c r="R10" s="508"/>
      <c r="S10" s="508"/>
      <c r="T10" s="17"/>
      <c r="U10" s="9"/>
    </row>
    <row r="11" spans="1:21" s="8" customFormat="1" ht="28.5" x14ac:dyDescent="0.45">
      <c r="A11" s="473">
        <v>2</v>
      </c>
      <c r="B11" s="474" t="s">
        <v>22</v>
      </c>
      <c r="C11" s="474" t="s">
        <v>19</v>
      </c>
      <c r="D11" s="474" t="s">
        <v>214</v>
      </c>
      <c r="E11" s="474" t="s">
        <v>35</v>
      </c>
      <c r="F11" s="474" t="s">
        <v>45</v>
      </c>
      <c r="G11" s="475" t="s">
        <v>198</v>
      </c>
      <c r="H11" s="476">
        <v>45715</v>
      </c>
      <c r="I11" s="476">
        <v>45725</v>
      </c>
      <c r="J11" s="478" t="s">
        <v>109</v>
      </c>
      <c r="K11" s="476">
        <v>45716</v>
      </c>
      <c r="L11" s="499">
        <v>-12</v>
      </c>
      <c r="M11" s="481"/>
      <c r="N11" s="498" t="s">
        <v>16</v>
      </c>
      <c r="O11" s="506" t="s">
        <v>107</v>
      </c>
      <c r="P11" s="500"/>
      <c r="Q11" s="501"/>
      <c r="R11" s="502"/>
      <c r="S11" s="502"/>
      <c r="T11" s="17"/>
      <c r="U11" s="9"/>
    </row>
    <row r="12" spans="1:21" s="8" customFormat="1" ht="24" customHeight="1" x14ac:dyDescent="0.45">
      <c r="A12" s="473">
        <v>2</v>
      </c>
      <c r="B12" s="474" t="s">
        <v>22</v>
      </c>
      <c r="C12" s="474" t="s">
        <v>19</v>
      </c>
      <c r="D12" s="474" t="s">
        <v>215</v>
      </c>
      <c r="E12" s="474" t="s">
        <v>274</v>
      </c>
      <c r="F12" s="474" t="s">
        <v>36</v>
      </c>
      <c r="G12" s="475" t="s">
        <v>202</v>
      </c>
      <c r="H12" s="476">
        <v>45715</v>
      </c>
      <c r="I12" s="476">
        <v>45725</v>
      </c>
      <c r="J12" s="478" t="s">
        <v>108</v>
      </c>
      <c r="K12" s="476"/>
      <c r="L12" s="499"/>
      <c r="M12" s="481" t="s">
        <v>275</v>
      </c>
      <c r="N12" s="498" t="s">
        <v>16</v>
      </c>
      <c r="O12" s="506" t="s">
        <v>107</v>
      </c>
      <c r="P12" s="500"/>
      <c r="Q12" s="501"/>
      <c r="R12" s="502"/>
      <c r="S12" s="502"/>
      <c r="T12" s="17"/>
      <c r="U12" s="9"/>
    </row>
    <row r="13" spans="1:21" s="8" customFormat="1" ht="24" customHeight="1" thickBot="1" x14ac:dyDescent="0.5">
      <c r="A13" s="473">
        <v>3</v>
      </c>
      <c r="B13" s="474" t="s">
        <v>22</v>
      </c>
      <c r="C13" s="474" t="s">
        <v>217</v>
      </c>
      <c r="D13" s="474" t="s">
        <v>219</v>
      </c>
      <c r="E13" s="474" t="s">
        <v>35</v>
      </c>
      <c r="F13" s="474" t="s">
        <v>38</v>
      </c>
      <c r="G13" s="475" t="s">
        <v>203</v>
      </c>
      <c r="H13" s="476">
        <v>45715</v>
      </c>
      <c r="I13" s="476">
        <v>45725</v>
      </c>
      <c r="J13" s="478" t="s">
        <v>109</v>
      </c>
      <c r="K13" s="476">
        <v>45716</v>
      </c>
      <c r="L13" s="481">
        <v>-948</v>
      </c>
      <c r="M13" s="478"/>
      <c r="N13" s="498" t="s">
        <v>133</v>
      </c>
      <c r="O13" s="503"/>
      <c r="P13" s="500"/>
      <c r="Q13" s="504"/>
      <c r="R13" s="505"/>
      <c r="S13" s="505"/>
      <c r="T13" s="17"/>
      <c r="U13" s="9"/>
    </row>
    <row r="14" spans="1:21" s="8" customFormat="1" ht="24" customHeight="1" thickTop="1" x14ac:dyDescent="0.45">
      <c r="A14" s="473">
        <v>3</v>
      </c>
      <c r="B14" s="474" t="s">
        <v>22</v>
      </c>
      <c r="C14" s="474" t="s">
        <v>217</v>
      </c>
      <c r="D14" s="474" t="s">
        <v>220</v>
      </c>
      <c r="E14" s="474" t="s">
        <v>35</v>
      </c>
      <c r="F14" s="474" t="s">
        <v>38</v>
      </c>
      <c r="G14" s="475" t="s">
        <v>203</v>
      </c>
      <c r="H14" s="476">
        <v>45715</v>
      </c>
      <c r="I14" s="476">
        <v>45725</v>
      </c>
      <c r="J14" s="478" t="s">
        <v>109</v>
      </c>
      <c r="K14" s="476">
        <v>45716</v>
      </c>
      <c r="L14" s="509">
        <v>1425</v>
      </c>
      <c r="M14" s="481"/>
      <c r="N14" s="498" t="s">
        <v>133</v>
      </c>
      <c r="O14" s="506" t="s">
        <v>107</v>
      </c>
      <c r="P14" s="500"/>
      <c r="Q14" s="507"/>
      <c r="R14" s="508"/>
      <c r="S14" s="508"/>
      <c r="T14" s="17"/>
      <c r="U14" s="9"/>
    </row>
    <row r="15" spans="1:21" s="8" customFormat="1" ht="24" customHeight="1" x14ac:dyDescent="0.45">
      <c r="A15" s="473">
        <v>4</v>
      </c>
      <c r="B15" s="474" t="s">
        <v>22</v>
      </c>
      <c r="C15" s="474" t="s">
        <v>54</v>
      </c>
      <c r="D15" s="474" t="s">
        <v>247</v>
      </c>
      <c r="E15" s="474" t="s">
        <v>35</v>
      </c>
      <c r="F15" s="474" t="s">
        <v>50</v>
      </c>
      <c r="G15" s="475" t="s">
        <v>204</v>
      </c>
      <c r="H15" s="476">
        <v>45715</v>
      </c>
      <c r="I15" s="476">
        <v>45725</v>
      </c>
      <c r="J15" s="478" t="s">
        <v>109</v>
      </c>
      <c r="K15" s="476">
        <v>45716</v>
      </c>
      <c r="L15" s="509">
        <v>-242.68</v>
      </c>
      <c r="M15" s="481"/>
      <c r="N15" s="498" t="s">
        <v>133</v>
      </c>
      <c r="O15" s="506" t="s">
        <v>107</v>
      </c>
      <c r="P15" s="500"/>
      <c r="Q15" s="501"/>
      <c r="R15" s="502"/>
      <c r="S15" s="502"/>
      <c r="T15" s="17"/>
      <c r="U15" s="9"/>
    </row>
    <row r="16" spans="1:21" s="8" customFormat="1" ht="24" customHeight="1" x14ac:dyDescent="0.45">
      <c r="A16" s="473">
        <v>4</v>
      </c>
      <c r="B16" s="474" t="s">
        <v>22</v>
      </c>
      <c r="C16" s="474" t="s">
        <v>54</v>
      </c>
      <c r="D16" s="474" t="s">
        <v>248</v>
      </c>
      <c r="E16" s="474" t="s">
        <v>35</v>
      </c>
      <c r="F16" s="474" t="s">
        <v>50</v>
      </c>
      <c r="G16" s="475" t="s">
        <v>204</v>
      </c>
      <c r="H16" s="476">
        <v>45715</v>
      </c>
      <c r="I16" s="476">
        <v>45725</v>
      </c>
      <c r="J16" s="478" t="s">
        <v>109</v>
      </c>
      <c r="K16" s="476">
        <v>45716</v>
      </c>
      <c r="L16" s="509">
        <v>648.78</v>
      </c>
      <c r="M16" s="481"/>
      <c r="N16" s="498" t="s">
        <v>133</v>
      </c>
      <c r="O16" s="506" t="s">
        <v>107</v>
      </c>
      <c r="P16" s="500"/>
      <c r="Q16" s="501"/>
      <c r="R16" s="502"/>
      <c r="S16" s="502"/>
      <c r="T16" s="17"/>
      <c r="U16" s="9"/>
    </row>
    <row r="17" spans="1:21" s="8" customFormat="1" ht="28.5" x14ac:dyDescent="0.45">
      <c r="A17" s="473">
        <v>4</v>
      </c>
      <c r="B17" s="474" t="s">
        <v>22</v>
      </c>
      <c r="C17" s="474" t="s">
        <v>54</v>
      </c>
      <c r="D17" s="474" t="s">
        <v>249</v>
      </c>
      <c r="E17" s="474" t="s">
        <v>35</v>
      </c>
      <c r="F17" s="474" t="s">
        <v>46</v>
      </c>
      <c r="G17" s="475" t="s">
        <v>199</v>
      </c>
      <c r="H17" s="476">
        <v>45715</v>
      </c>
      <c r="I17" s="476">
        <v>45725</v>
      </c>
      <c r="J17" s="478" t="s">
        <v>109</v>
      </c>
      <c r="K17" s="476">
        <v>45717</v>
      </c>
      <c r="L17" s="479">
        <v>120</v>
      </c>
      <c r="M17" s="478"/>
      <c r="N17" s="498" t="s">
        <v>133</v>
      </c>
      <c r="O17" s="499"/>
      <c r="P17" s="500"/>
      <c r="Q17" s="501"/>
      <c r="R17" s="502"/>
      <c r="S17" s="502"/>
      <c r="T17" s="17"/>
      <c r="U17" s="9"/>
    </row>
    <row r="18" spans="1:21" s="8" customFormat="1" ht="28.5" x14ac:dyDescent="0.45">
      <c r="A18" s="473">
        <v>5</v>
      </c>
      <c r="B18" s="474" t="s">
        <v>22</v>
      </c>
      <c r="C18" s="474" t="s">
        <v>217</v>
      </c>
      <c r="D18" s="474" t="s">
        <v>251</v>
      </c>
      <c r="E18" s="474" t="s">
        <v>274</v>
      </c>
      <c r="F18" s="474" t="s">
        <v>43</v>
      </c>
      <c r="G18" s="475" t="s">
        <v>197</v>
      </c>
      <c r="H18" s="476">
        <v>45715</v>
      </c>
      <c r="I18" s="476">
        <v>45725</v>
      </c>
      <c r="J18" s="478" t="s">
        <v>108</v>
      </c>
      <c r="K18" s="476"/>
      <c r="L18" s="479"/>
      <c r="M18" s="478" t="s">
        <v>275</v>
      </c>
      <c r="N18" s="498" t="s">
        <v>16</v>
      </c>
      <c r="O18" s="503"/>
      <c r="P18" s="500"/>
      <c r="Q18" s="501"/>
      <c r="R18" s="510"/>
      <c r="S18" s="511"/>
      <c r="T18" s="17"/>
      <c r="U18" s="9"/>
    </row>
    <row r="19" spans="1:21" s="8" customFormat="1" ht="24" customHeight="1" thickBot="1" x14ac:dyDescent="0.5">
      <c r="A19" s="473">
        <v>6</v>
      </c>
      <c r="B19" s="474" t="s">
        <v>119</v>
      </c>
      <c r="C19" s="474" t="s">
        <v>53</v>
      </c>
      <c r="D19" s="474" t="s">
        <v>254</v>
      </c>
      <c r="E19" s="474" t="s">
        <v>35</v>
      </c>
      <c r="F19" s="474" t="s">
        <v>50</v>
      </c>
      <c r="G19" s="475" t="s">
        <v>204</v>
      </c>
      <c r="H19" s="476">
        <v>45715</v>
      </c>
      <c r="I19" s="476">
        <v>45725</v>
      </c>
      <c r="J19" s="478" t="s">
        <v>109</v>
      </c>
      <c r="K19" s="476" t="s">
        <v>216</v>
      </c>
      <c r="L19" s="479">
        <v>352.6</v>
      </c>
      <c r="M19" s="478"/>
      <c r="N19" s="498" t="s">
        <v>133</v>
      </c>
      <c r="O19" s="503"/>
      <c r="P19" s="500"/>
      <c r="Q19" s="512"/>
      <c r="R19" s="513"/>
      <c r="S19" s="514"/>
      <c r="T19" s="17"/>
      <c r="U19" s="9"/>
    </row>
    <row r="20" spans="1:21" s="8" customFormat="1" ht="24" customHeight="1" thickTop="1" x14ac:dyDescent="0.45">
      <c r="A20" s="473">
        <v>8</v>
      </c>
      <c r="B20" s="474" t="s">
        <v>260</v>
      </c>
      <c r="C20" s="474" t="s">
        <v>217</v>
      </c>
      <c r="D20" s="474" t="s">
        <v>219</v>
      </c>
      <c r="E20" s="474" t="s">
        <v>20</v>
      </c>
      <c r="F20" s="474" t="s">
        <v>38</v>
      </c>
      <c r="G20" s="475" t="s">
        <v>203</v>
      </c>
      <c r="H20" s="476">
        <v>45896</v>
      </c>
      <c r="I20" s="476">
        <v>45906</v>
      </c>
      <c r="J20" s="478" t="s">
        <v>109</v>
      </c>
      <c r="K20" s="476">
        <v>45899</v>
      </c>
      <c r="L20" s="481">
        <v>-945.36</v>
      </c>
      <c r="M20" s="481"/>
      <c r="N20" s="498" t="s">
        <v>20</v>
      </c>
      <c r="O20" s="480">
        <v>-945.36</v>
      </c>
      <c r="P20" s="500"/>
      <c r="Q20" s="515"/>
      <c r="R20" s="516"/>
      <c r="S20" s="517"/>
      <c r="T20" s="17"/>
      <c r="U20" s="9"/>
    </row>
    <row r="21" spans="1:21" s="8" customFormat="1" ht="24" customHeight="1" x14ac:dyDescent="0.45">
      <c r="A21" s="473">
        <v>8</v>
      </c>
      <c r="B21" s="474" t="s">
        <v>260</v>
      </c>
      <c r="C21" s="474" t="s">
        <v>217</v>
      </c>
      <c r="D21" s="474" t="s">
        <v>220</v>
      </c>
      <c r="E21" s="474" t="s">
        <v>20</v>
      </c>
      <c r="F21" s="474" t="s">
        <v>38</v>
      </c>
      <c r="G21" s="475" t="s">
        <v>203</v>
      </c>
      <c r="H21" s="476">
        <v>45896</v>
      </c>
      <c r="I21" s="476">
        <v>45906</v>
      </c>
      <c r="J21" s="478" t="s">
        <v>109</v>
      </c>
      <c r="K21" s="476">
        <v>45899</v>
      </c>
      <c r="L21" s="481">
        <v>1728.32</v>
      </c>
      <c r="M21" s="481"/>
      <c r="N21" s="498" t="s">
        <v>20</v>
      </c>
      <c r="O21" s="480">
        <v>1728.32</v>
      </c>
      <c r="P21" s="500"/>
      <c r="Q21" s="501"/>
      <c r="R21" s="510"/>
      <c r="S21" s="511"/>
      <c r="T21" s="17"/>
      <c r="U21" s="9"/>
    </row>
    <row r="22" spans="1:21" s="8" customFormat="1" ht="24" customHeight="1" thickBot="1" x14ac:dyDescent="0.5">
      <c r="A22" s="473">
        <v>9</v>
      </c>
      <c r="B22" s="474" t="s">
        <v>263</v>
      </c>
      <c r="C22" s="474" t="s">
        <v>54</v>
      </c>
      <c r="D22" s="474" t="s">
        <v>247</v>
      </c>
      <c r="E22" s="474" t="s">
        <v>35</v>
      </c>
      <c r="F22" s="474" t="s">
        <v>50</v>
      </c>
      <c r="G22" s="475" t="s">
        <v>204</v>
      </c>
      <c r="H22" s="476">
        <v>45745</v>
      </c>
      <c r="I22" s="476">
        <v>45755</v>
      </c>
      <c r="J22" s="478" t="s">
        <v>109</v>
      </c>
      <c r="K22" s="476">
        <v>45746</v>
      </c>
      <c r="L22" s="481">
        <v>-242.68</v>
      </c>
      <c r="M22" s="481"/>
      <c r="N22" s="498" t="s">
        <v>16</v>
      </c>
      <c r="O22" s="480"/>
      <c r="P22" s="500"/>
      <c r="Q22" s="518"/>
      <c r="R22" s="519"/>
      <c r="S22" s="520"/>
      <c r="T22" s="17"/>
      <c r="U22" s="9"/>
    </row>
    <row r="23" spans="1:21" s="8" customFormat="1" ht="24" customHeight="1" x14ac:dyDescent="0.45">
      <c r="A23" s="473">
        <v>9</v>
      </c>
      <c r="B23" s="474" t="s">
        <v>263</v>
      </c>
      <c r="C23" s="474" t="s">
        <v>54</v>
      </c>
      <c r="D23" s="474" t="s">
        <v>248</v>
      </c>
      <c r="E23" s="474" t="s">
        <v>35</v>
      </c>
      <c r="F23" s="474" t="s">
        <v>50</v>
      </c>
      <c r="G23" s="475" t="s">
        <v>204</v>
      </c>
      <c r="H23" s="476">
        <v>45745</v>
      </c>
      <c r="I23" s="476">
        <v>45755</v>
      </c>
      <c r="J23" s="478" t="s">
        <v>109</v>
      </c>
      <c r="K23" s="476">
        <v>45746</v>
      </c>
      <c r="L23" s="479">
        <v>648.78</v>
      </c>
      <c r="M23" s="478"/>
      <c r="N23" s="498" t="s">
        <v>16</v>
      </c>
      <c r="O23" s="503"/>
      <c r="P23" s="500"/>
      <c r="Q23" s="515"/>
      <c r="R23" s="516"/>
      <c r="S23" s="521"/>
      <c r="T23" s="17"/>
      <c r="U23" s="9"/>
    </row>
    <row r="24" spans="1:21" s="8" customFormat="1" ht="28.5" x14ac:dyDescent="0.45">
      <c r="A24" s="473">
        <v>9</v>
      </c>
      <c r="B24" s="474" t="s">
        <v>263</v>
      </c>
      <c r="C24" s="474" t="s">
        <v>54</v>
      </c>
      <c r="D24" s="474" t="s">
        <v>249</v>
      </c>
      <c r="E24" s="474" t="s">
        <v>274</v>
      </c>
      <c r="F24" s="474" t="s">
        <v>46</v>
      </c>
      <c r="G24" s="475" t="s">
        <v>199</v>
      </c>
      <c r="H24" s="476">
        <v>45745</v>
      </c>
      <c r="I24" s="476">
        <v>45755</v>
      </c>
      <c r="J24" s="478" t="s">
        <v>108</v>
      </c>
      <c r="K24" s="476"/>
      <c r="L24" s="479"/>
      <c r="M24" s="478" t="s">
        <v>275</v>
      </c>
      <c r="N24" s="498" t="s">
        <v>16</v>
      </c>
      <c r="O24" s="503"/>
      <c r="P24" s="500"/>
      <c r="Q24" s="501"/>
      <c r="R24" s="510"/>
      <c r="S24" s="522"/>
      <c r="T24" s="17"/>
      <c r="U24" s="9"/>
    </row>
    <row r="25" spans="1:21" s="8" customFormat="1" ht="24" customHeight="1" x14ac:dyDescent="0.45">
      <c r="A25" s="473">
        <v>10</v>
      </c>
      <c r="B25" s="474" t="s">
        <v>263</v>
      </c>
      <c r="C25" s="474" t="s">
        <v>265</v>
      </c>
      <c r="D25" s="474" t="s">
        <v>267</v>
      </c>
      <c r="E25" s="474" t="s">
        <v>35</v>
      </c>
      <c r="F25" s="474" t="s">
        <v>50</v>
      </c>
      <c r="G25" s="475" t="s">
        <v>204</v>
      </c>
      <c r="H25" s="476">
        <v>45745</v>
      </c>
      <c r="I25" s="476">
        <v>45755</v>
      </c>
      <c r="J25" s="478" t="s">
        <v>109</v>
      </c>
      <c r="K25" s="476">
        <v>45746</v>
      </c>
      <c r="L25" s="479">
        <v>658.47</v>
      </c>
      <c r="M25" s="478"/>
      <c r="N25" s="498" t="s">
        <v>133</v>
      </c>
      <c r="O25" s="503"/>
      <c r="P25" s="500"/>
      <c r="Q25" s="501"/>
      <c r="R25" s="510"/>
      <c r="S25" s="522"/>
      <c r="T25" s="17"/>
      <c r="U25" s="9"/>
    </row>
    <row r="26" spans="1:21" s="8" customFormat="1" ht="24" customHeight="1" x14ac:dyDescent="0.45">
      <c r="A26" s="473">
        <v>11</v>
      </c>
      <c r="B26" s="474" t="s">
        <v>24</v>
      </c>
      <c r="C26" s="474" t="s">
        <v>217</v>
      </c>
      <c r="D26" s="474" t="s">
        <v>270</v>
      </c>
      <c r="E26" s="474" t="s">
        <v>35</v>
      </c>
      <c r="F26" s="474" t="s">
        <v>36</v>
      </c>
      <c r="G26" s="475" t="s">
        <v>202</v>
      </c>
      <c r="H26" s="476">
        <v>45956</v>
      </c>
      <c r="I26" s="476">
        <v>45966</v>
      </c>
      <c r="J26" s="478" t="s">
        <v>109</v>
      </c>
      <c r="K26" s="476">
        <v>45959</v>
      </c>
      <c r="L26" s="479">
        <v>-1378</v>
      </c>
      <c r="M26" s="478"/>
      <c r="N26" s="498" t="s">
        <v>133</v>
      </c>
      <c r="O26" s="503"/>
      <c r="P26" s="500"/>
      <c r="Q26" s="501"/>
      <c r="R26" s="510"/>
      <c r="S26" s="522"/>
      <c r="T26" s="17"/>
      <c r="U26" s="9"/>
    </row>
    <row r="27" spans="1:21" s="8" customFormat="1" ht="24" customHeight="1" x14ac:dyDescent="0.45">
      <c r="A27" s="473">
        <v>11</v>
      </c>
      <c r="B27" s="474" t="s">
        <v>24</v>
      </c>
      <c r="C27" s="474" t="s">
        <v>217</v>
      </c>
      <c r="D27" s="474" t="s">
        <v>271</v>
      </c>
      <c r="E27" s="474" t="s">
        <v>35</v>
      </c>
      <c r="F27" s="474" t="s">
        <v>37</v>
      </c>
      <c r="G27" s="475" t="s">
        <v>202</v>
      </c>
      <c r="H27" s="476">
        <v>45956</v>
      </c>
      <c r="I27" s="476">
        <v>45966</v>
      </c>
      <c r="J27" s="478" t="s">
        <v>109</v>
      </c>
      <c r="K27" s="476">
        <v>45959</v>
      </c>
      <c r="L27" s="479">
        <v>1128.3800000000001</v>
      </c>
      <c r="M27" s="478"/>
      <c r="N27" s="498" t="s">
        <v>133</v>
      </c>
      <c r="O27" s="503"/>
      <c r="P27" s="500"/>
      <c r="Q27" s="501"/>
      <c r="R27" s="510"/>
      <c r="S27" s="522"/>
      <c r="T27" s="17"/>
      <c r="U27" s="9"/>
    </row>
    <row r="28" spans="1:21" s="8" customFormat="1" ht="24" customHeight="1" x14ac:dyDescent="0.45">
      <c r="A28" s="473">
        <v>12</v>
      </c>
      <c r="B28" s="474" t="s">
        <v>18</v>
      </c>
      <c r="C28" s="474" t="s">
        <v>217</v>
      </c>
      <c r="D28" s="474" t="s">
        <v>219</v>
      </c>
      <c r="E28" s="474" t="s">
        <v>20</v>
      </c>
      <c r="F28" s="474" t="s">
        <v>38</v>
      </c>
      <c r="G28" s="475" t="s">
        <v>203</v>
      </c>
      <c r="H28" s="476">
        <v>45957</v>
      </c>
      <c r="I28" s="476">
        <v>45967</v>
      </c>
      <c r="J28" s="478" t="s">
        <v>109</v>
      </c>
      <c r="K28" s="476">
        <v>45959</v>
      </c>
      <c r="L28" s="479">
        <v>-684</v>
      </c>
      <c r="M28" s="478"/>
      <c r="N28" s="498" t="s">
        <v>20</v>
      </c>
      <c r="O28" s="499">
        <v>-684</v>
      </c>
      <c r="P28" s="500"/>
      <c r="Q28" s="501"/>
      <c r="R28" s="510"/>
      <c r="S28" s="522"/>
      <c r="T28" s="17"/>
      <c r="U28" s="9"/>
    </row>
    <row r="29" spans="1:21" s="8" customFormat="1" ht="24" customHeight="1" x14ac:dyDescent="0.45">
      <c r="A29" s="473">
        <v>12</v>
      </c>
      <c r="B29" s="474" t="s">
        <v>18</v>
      </c>
      <c r="C29" s="474" t="s">
        <v>217</v>
      </c>
      <c r="D29" s="474" t="s">
        <v>220</v>
      </c>
      <c r="E29" s="474" t="s">
        <v>20</v>
      </c>
      <c r="F29" s="474" t="s">
        <v>38</v>
      </c>
      <c r="G29" s="475" t="s">
        <v>203</v>
      </c>
      <c r="H29" s="476">
        <v>45957</v>
      </c>
      <c r="I29" s="476">
        <v>45967</v>
      </c>
      <c r="J29" s="478" t="s">
        <v>109</v>
      </c>
      <c r="K29" s="476">
        <v>45959</v>
      </c>
      <c r="L29" s="479">
        <v>1128</v>
      </c>
      <c r="M29" s="478"/>
      <c r="N29" s="498" t="s">
        <v>20</v>
      </c>
      <c r="O29" s="499">
        <v>1128</v>
      </c>
      <c r="P29" s="500"/>
      <c r="Q29" s="501"/>
      <c r="R29" s="510"/>
      <c r="S29" s="522"/>
      <c r="T29" s="17"/>
      <c r="U29" s="9"/>
    </row>
    <row r="30" spans="1:21" s="8" customFormat="1" ht="24" customHeight="1" x14ac:dyDescent="0.45">
      <c r="A30" s="284"/>
      <c r="B30" s="247"/>
      <c r="C30" s="247"/>
      <c r="D30" s="247"/>
      <c r="E30" s="247"/>
      <c r="F30" s="247"/>
      <c r="G30" s="280"/>
      <c r="H30" s="243"/>
      <c r="I30" s="243"/>
      <c r="J30" s="244"/>
      <c r="K30" s="243"/>
      <c r="L30" s="281"/>
      <c r="M30" s="244"/>
      <c r="N30" s="282"/>
      <c r="O30" s="288"/>
      <c r="P30" s="291"/>
      <c r="Q30" s="110"/>
      <c r="R30" s="105"/>
      <c r="S30" s="106"/>
      <c r="T30" s="17"/>
      <c r="U30" s="9"/>
    </row>
    <row r="31" spans="1:21" s="8" customFormat="1" ht="24" customHeight="1" thickBot="1" x14ac:dyDescent="0.5">
      <c r="A31" s="248"/>
      <c r="B31" s="249"/>
      <c r="C31" s="249"/>
      <c r="D31" s="249"/>
      <c r="E31" s="249"/>
      <c r="F31" s="249"/>
      <c r="G31" s="252"/>
      <c r="H31" s="251"/>
      <c r="I31" s="251"/>
      <c r="J31" s="250"/>
      <c r="K31" s="251"/>
      <c r="L31" s="253"/>
      <c r="M31" s="250"/>
      <c r="N31" s="254"/>
      <c r="O31" s="289"/>
      <c r="P31" s="292"/>
      <c r="Q31" s="285"/>
      <c r="R31" s="250"/>
      <c r="S31" s="286"/>
      <c r="T31" s="17"/>
      <c r="U31" s="9"/>
    </row>
    <row r="32" spans="1:21" s="8" customFormat="1" ht="24" customHeight="1" thickTop="1" x14ac:dyDescent="0.45">
      <c r="A32" s="287"/>
      <c r="B32" s="299"/>
      <c r="C32" s="299"/>
      <c r="D32" s="299"/>
      <c r="E32" s="299"/>
      <c r="F32" s="299"/>
      <c r="G32" s="300"/>
      <c r="H32" s="301"/>
      <c r="I32" s="301"/>
      <c r="J32" s="295"/>
      <c r="K32" s="302" t="s">
        <v>117</v>
      </c>
      <c r="L32" s="303" t="s">
        <v>281</v>
      </c>
      <c r="M32" s="304"/>
      <c r="N32" s="305"/>
      <c r="O32" s="303" t="s">
        <v>276</v>
      </c>
      <c r="P32" s="294"/>
      <c r="Q32" s="296"/>
      <c r="R32" s="295"/>
      <c r="S32" s="293"/>
      <c r="T32" s="17"/>
      <c r="U32" s="9"/>
    </row>
    <row r="33" spans="1:21" s="8" customFormat="1" ht="24" customHeight="1" x14ac:dyDescent="0.45">
      <c r="A33" s="284"/>
      <c r="B33" s="247"/>
      <c r="C33" s="247"/>
      <c r="D33" s="247"/>
      <c r="E33" s="247"/>
      <c r="F33" s="247"/>
      <c r="G33" s="280"/>
      <c r="H33" s="243"/>
      <c r="I33" s="243"/>
      <c r="J33" s="244"/>
      <c r="K33" s="255" t="s">
        <v>116</v>
      </c>
      <c r="L33" s="297" t="s">
        <v>282</v>
      </c>
      <c r="M33" s="256"/>
      <c r="N33" s="257"/>
      <c r="O33" s="297" t="s">
        <v>277</v>
      </c>
      <c r="P33" s="291"/>
      <c r="Q33" s="110"/>
      <c r="R33" s="105"/>
      <c r="S33" s="106"/>
      <c r="T33" s="17"/>
      <c r="U33" s="9"/>
    </row>
    <row r="34" spans="1:21" s="8" customFormat="1" ht="24" customHeight="1" thickBot="1" x14ac:dyDescent="0.5">
      <c r="A34" s="350"/>
      <c r="B34" s="346"/>
      <c r="C34" s="346"/>
      <c r="D34" s="346"/>
      <c r="E34" s="346"/>
      <c r="F34" s="346"/>
      <c r="G34" s="347"/>
      <c r="H34" s="348"/>
      <c r="I34" s="348"/>
      <c r="J34" s="349"/>
      <c r="K34" s="358" t="s">
        <v>115</v>
      </c>
      <c r="L34" s="359" t="s">
        <v>283</v>
      </c>
      <c r="M34" s="360"/>
      <c r="N34" s="361"/>
      <c r="O34" s="359" t="s">
        <v>278</v>
      </c>
      <c r="P34" s="362"/>
      <c r="Q34" s="110"/>
      <c r="R34" s="105"/>
      <c r="S34" s="106"/>
      <c r="T34" s="17"/>
      <c r="U34" s="9"/>
    </row>
    <row r="35" spans="1:21" s="8" customFormat="1" ht="24" customHeight="1" x14ac:dyDescent="0.45">
      <c r="A35" s="192"/>
      <c r="B35" s="193"/>
      <c r="C35" s="193"/>
      <c r="D35" s="193"/>
      <c r="E35" s="193"/>
      <c r="F35" s="193"/>
      <c r="G35" s="194"/>
      <c r="H35" s="107"/>
      <c r="I35" s="107"/>
      <c r="J35" s="108"/>
      <c r="K35" s="107"/>
      <c r="L35" s="283"/>
      <c r="M35" s="223"/>
      <c r="N35" s="103"/>
      <c r="O35" s="113"/>
      <c r="P35" s="107"/>
      <c r="Q35" s="104"/>
      <c r="R35" s="105"/>
      <c r="S35" s="106"/>
      <c r="T35" s="17"/>
      <c r="U35" s="9"/>
    </row>
    <row r="36" spans="1:21" s="8" customFormat="1" ht="24" customHeight="1" x14ac:dyDescent="0.45">
      <c r="A36" s="86"/>
      <c r="B36" s="53"/>
      <c r="C36" s="53"/>
      <c r="D36" s="53"/>
      <c r="E36" s="53"/>
      <c r="F36" s="53"/>
      <c r="G36" s="54"/>
      <c r="H36" s="55"/>
      <c r="I36" s="55"/>
      <c r="J36" s="65"/>
      <c r="K36" s="55"/>
      <c r="L36" s="66"/>
      <c r="M36" s="89"/>
      <c r="N36" s="87"/>
      <c r="O36" s="114"/>
      <c r="P36" s="104"/>
      <c r="Q36" s="104"/>
      <c r="R36" s="105"/>
      <c r="S36" s="106"/>
      <c r="T36" s="17"/>
      <c r="U36" s="9"/>
    </row>
    <row r="37" spans="1:21" s="8" customFormat="1" ht="24" customHeight="1" x14ac:dyDescent="0.45">
      <c r="A37" s="86"/>
      <c r="B37" s="53"/>
      <c r="C37" s="53"/>
      <c r="D37" s="53"/>
      <c r="E37" s="53"/>
      <c r="F37" s="53"/>
      <c r="G37" s="54"/>
      <c r="H37" s="55"/>
      <c r="I37" s="55"/>
      <c r="J37" s="65"/>
      <c r="K37" s="55"/>
      <c r="L37" s="66"/>
      <c r="M37" s="89"/>
      <c r="N37" s="87"/>
      <c r="O37" s="114"/>
      <c r="P37" s="104"/>
      <c r="Q37" s="104"/>
      <c r="R37" s="105"/>
      <c r="S37" s="106"/>
      <c r="T37" s="17"/>
      <c r="U37" s="9"/>
    </row>
    <row r="38" spans="1:21" s="8" customFormat="1" ht="24" customHeight="1" x14ac:dyDescent="0.45">
      <c r="A38" s="86"/>
      <c r="B38" s="53"/>
      <c r="C38" s="53"/>
      <c r="D38" s="53"/>
      <c r="E38" s="53"/>
      <c r="F38" s="53"/>
      <c r="G38" s="54"/>
      <c r="H38" s="55"/>
      <c r="I38" s="55"/>
      <c r="J38" s="65"/>
      <c r="K38" s="55"/>
      <c r="L38" s="66"/>
      <c r="M38" s="89"/>
      <c r="N38" s="87"/>
      <c r="O38" s="114"/>
      <c r="P38" s="104"/>
      <c r="Q38" s="104"/>
      <c r="R38" s="105"/>
      <c r="S38" s="106"/>
      <c r="T38" s="17"/>
      <c r="U38" s="9"/>
    </row>
    <row r="39" spans="1:21" s="8" customFormat="1" ht="24" customHeight="1" x14ac:dyDescent="0.45">
      <c r="A39" s="86"/>
      <c r="B39" s="53"/>
      <c r="C39" s="53"/>
      <c r="D39" s="53"/>
      <c r="E39" s="53"/>
      <c r="F39" s="53"/>
      <c r="G39" s="54"/>
      <c r="H39" s="55"/>
      <c r="I39" s="55"/>
      <c r="J39" s="65"/>
      <c r="K39" s="55"/>
      <c r="L39" s="66"/>
      <c r="M39" s="89"/>
      <c r="N39" s="87"/>
      <c r="O39" s="114"/>
      <c r="P39" s="104"/>
      <c r="Q39" s="104"/>
      <c r="R39" s="105"/>
      <c r="S39" s="106"/>
      <c r="T39" s="17"/>
      <c r="U39" s="9"/>
    </row>
    <row r="40" spans="1:21" s="8" customFormat="1" ht="24" customHeight="1" x14ac:dyDescent="0.45">
      <c r="A40" s="86"/>
      <c r="B40" s="53"/>
      <c r="C40" s="53"/>
      <c r="D40" s="53"/>
      <c r="E40" s="53"/>
      <c r="F40" s="53"/>
      <c r="G40" s="54"/>
      <c r="H40" s="55"/>
      <c r="I40" s="55"/>
      <c r="J40" s="65"/>
      <c r="K40" s="55"/>
      <c r="L40" s="66"/>
      <c r="M40" s="89"/>
      <c r="N40" s="87"/>
      <c r="O40" s="114"/>
      <c r="P40" s="104"/>
      <c r="Q40" s="104"/>
      <c r="R40" s="105"/>
      <c r="S40" s="106"/>
      <c r="T40" s="17"/>
      <c r="U40" s="9"/>
    </row>
    <row r="41" spans="1:21" s="8" customFormat="1" ht="24" customHeight="1" x14ac:dyDescent="0.45">
      <c r="A41" s="86"/>
      <c r="B41" s="53"/>
      <c r="C41" s="53"/>
      <c r="D41" s="53"/>
      <c r="E41" s="53"/>
      <c r="F41" s="53"/>
      <c r="G41" s="54"/>
      <c r="H41" s="55"/>
      <c r="I41" s="55"/>
      <c r="J41" s="65"/>
      <c r="K41" s="55"/>
      <c r="L41" s="66"/>
      <c r="M41" s="89"/>
      <c r="N41" s="87"/>
      <c r="O41" s="114"/>
      <c r="P41" s="104"/>
      <c r="Q41" s="104"/>
      <c r="R41" s="105"/>
      <c r="S41" s="106"/>
      <c r="T41" s="17"/>
      <c r="U41" s="9"/>
    </row>
    <row r="42" spans="1:21" s="8" customFormat="1" ht="24" customHeight="1" x14ac:dyDescent="0.45">
      <c r="A42" s="86"/>
      <c r="B42" s="53"/>
      <c r="C42" s="53"/>
      <c r="D42" s="53"/>
      <c r="E42" s="53"/>
      <c r="F42" s="53"/>
      <c r="G42" s="54"/>
      <c r="H42" s="55"/>
      <c r="I42" s="55"/>
      <c r="J42" s="65"/>
      <c r="K42" s="55"/>
      <c r="L42" s="66"/>
      <c r="M42" s="89"/>
      <c r="N42" s="87"/>
      <c r="O42" s="114"/>
      <c r="P42" s="104"/>
      <c r="Q42" s="104"/>
      <c r="R42" s="105"/>
      <c r="S42" s="106"/>
      <c r="T42" s="17"/>
      <c r="U42" s="9"/>
    </row>
    <row r="43" spans="1:21" s="8" customFormat="1" ht="24" customHeight="1" x14ac:dyDescent="0.45">
      <c r="A43" s="86"/>
      <c r="B43" s="53"/>
      <c r="C43" s="53"/>
      <c r="D43" s="53"/>
      <c r="E43" s="53"/>
      <c r="F43" s="53"/>
      <c r="G43" s="54"/>
      <c r="H43" s="55"/>
      <c r="I43" s="55"/>
      <c r="J43" s="65"/>
      <c r="K43" s="55"/>
      <c r="L43" s="66"/>
      <c r="M43" s="89"/>
      <c r="N43" s="87"/>
      <c r="O43" s="114"/>
      <c r="P43" s="104"/>
      <c r="Q43" s="104"/>
      <c r="R43" s="105"/>
      <c r="S43" s="106"/>
      <c r="T43" s="17"/>
      <c r="U43" s="9"/>
    </row>
    <row r="44" spans="1:21" s="8" customFormat="1" ht="24" customHeight="1" x14ac:dyDescent="0.45">
      <c r="A44" s="86"/>
      <c r="B44" s="53"/>
      <c r="C44" s="53"/>
      <c r="D44" s="53"/>
      <c r="E44" s="53"/>
      <c r="F44" s="53"/>
      <c r="G44" s="54"/>
      <c r="H44" s="55"/>
      <c r="I44" s="55"/>
      <c r="J44" s="65"/>
      <c r="K44" s="55"/>
      <c r="L44" s="66"/>
      <c r="M44" s="89"/>
      <c r="N44" s="87"/>
      <c r="O44" s="114"/>
      <c r="P44" s="104"/>
      <c r="Q44" s="104"/>
      <c r="R44" s="105"/>
      <c r="S44" s="106"/>
      <c r="T44" s="17"/>
      <c r="U44" s="9"/>
    </row>
    <row r="45" spans="1:21" s="8" customFormat="1" ht="24" customHeight="1" x14ac:dyDescent="0.45">
      <c r="A45" s="86"/>
      <c r="B45" s="53"/>
      <c r="C45" s="53"/>
      <c r="D45" s="53"/>
      <c r="E45" s="53"/>
      <c r="F45" s="53"/>
      <c r="G45" s="54"/>
      <c r="H45" s="55"/>
      <c r="I45" s="55"/>
      <c r="J45" s="65"/>
      <c r="K45" s="55"/>
      <c r="L45" s="66"/>
      <c r="M45" s="89"/>
      <c r="N45" s="87"/>
      <c r="O45" s="114"/>
      <c r="P45" s="104"/>
      <c r="Q45" s="104"/>
      <c r="R45" s="105"/>
      <c r="S45" s="106"/>
      <c r="T45" s="17"/>
      <c r="U45" s="9"/>
    </row>
    <row r="46" spans="1:21" s="8" customFormat="1" ht="24" customHeight="1" x14ac:dyDescent="0.45">
      <c r="A46" s="86"/>
      <c r="B46" s="53"/>
      <c r="C46" s="53"/>
      <c r="D46" s="53"/>
      <c r="E46" s="53"/>
      <c r="F46" s="53"/>
      <c r="G46" s="54"/>
      <c r="H46" s="55"/>
      <c r="I46" s="55"/>
      <c r="J46" s="65"/>
      <c r="K46" s="55"/>
      <c r="L46" s="66"/>
      <c r="M46" s="89"/>
      <c r="N46" s="87"/>
      <c r="O46" s="114"/>
      <c r="P46" s="104"/>
      <c r="Q46" s="104"/>
      <c r="R46" s="105"/>
      <c r="S46" s="106"/>
      <c r="T46" s="17"/>
      <c r="U46" s="9"/>
    </row>
    <row r="47" spans="1:21" s="8" customFormat="1" ht="24" customHeight="1" x14ac:dyDescent="0.45">
      <c r="A47" s="86"/>
      <c r="B47" s="53"/>
      <c r="C47" s="53"/>
      <c r="D47" s="53"/>
      <c r="E47" s="53"/>
      <c r="F47" s="53"/>
      <c r="G47" s="54"/>
      <c r="H47" s="55"/>
      <c r="I47" s="55"/>
      <c r="J47" s="65"/>
      <c r="K47" s="55"/>
      <c r="L47" s="66"/>
      <c r="M47" s="89"/>
      <c r="N47" s="87"/>
      <c r="O47" s="114"/>
      <c r="P47" s="104"/>
      <c r="Q47" s="104"/>
      <c r="R47" s="105"/>
      <c r="S47" s="106"/>
      <c r="T47" s="17"/>
      <c r="U47" s="9"/>
    </row>
    <row r="48" spans="1:21" s="8" customFormat="1" ht="24" customHeight="1" x14ac:dyDescent="0.45">
      <c r="A48" s="86"/>
      <c r="B48" s="53"/>
      <c r="C48" s="53"/>
      <c r="D48" s="53"/>
      <c r="E48" s="53"/>
      <c r="F48" s="53"/>
      <c r="G48" s="54"/>
      <c r="H48" s="55"/>
      <c r="I48" s="55"/>
      <c r="J48" s="65"/>
      <c r="K48" s="55"/>
      <c r="L48" s="66"/>
      <c r="M48" s="89"/>
      <c r="N48" s="87"/>
      <c r="O48" s="114"/>
      <c r="P48" s="104"/>
      <c r="Q48" s="104"/>
      <c r="R48" s="105"/>
      <c r="S48" s="106"/>
      <c r="T48" s="17"/>
      <c r="U48" s="9"/>
    </row>
    <row r="49" spans="1:21" s="8" customFormat="1" ht="24" customHeight="1" x14ac:dyDescent="0.45">
      <c r="A49" s="86"/>
      <c r="B49" s="53"/>
      <c r="C49" s="53"/>
      <c r="D49" s="53"/>
      <c r="E49" s="53"/>
      <c r="F49" s="53"/>
      <c r="G49" s="54"/>
      <c r="H49" s="55"/>
      <c r="I49" s="55"/>
      <c r="J49" s="65"/>
      <c r="K49" s="55"/>
      <c r="L49" s="66"/>
      <c r="M49" s="89"/>
      <c r="N49" s="87"/>
      <c r="O49" s="114"/>
      <c r="P49" s="104"/>
      <c r="Q49" s="104"/>
      <c r="R49" s="105"/>
      <c r="S49" s="106"/>
      <c r="T49" s="17"/>
      <c r="U49" s="9"/>
    </row>
    <row r="50" spans="1:21" s="8" customFormat="1" ht="24" customHeight="1" x14ac:dyDescent="0.45">
      <c r="A50" s="86"/>
      <c r="B50" s="53"/>
      <c r="C50" s="53"/>
      <c r="D50" s="53"/>
      <c r="E50" s="53"/>
      <c r="F50" s="53"/>
      <c r="G50" s="54"/>
      <c r="H50" s="55"/>
      <c r="I50" s="55"/>
      <c r="J50" s="65"/>
      <c r="K50" s="55"/>
      <c r="L50" s="66"/>
      <c r="M50" s="89"/>
      <c r="N50" s="87"/>
      <c r="O50" s="114"/>
      <c r="P50" s="104"/>
      <c r="Q50" s="104"/>
      <c r="R50" s="105"/>
      <c r="S50" s="106"/>
      <c r="T50" s="17"/>
      <c r="U50" s="9"/>
    </row>
    <row r="51" spans="1:21" s="8" customFormat="1" ht="24" customHeight="1" x14ac:dyDescent="0.45">
      <c r="A51" s="86"/>
      <c r="B51" s="53"/>
      <c r="C51" s="53"/>
      <c r="D51" s="53"/>
      <c r="E51" s="53"/>
      <c r="F51" s="53"/>
      <c r="G51" s="54"/>
      <c r="H51" s="55"/>
      <c r="I51" s="55"/>
      <c r="J51" s="65"/>
      <c r="K51" s="55"/>
      <c r="L51" s="66"/>
      <c r="M51" s="89"/>
      <c r="N51" s="87"/>
      <c r="O51" s="114"/>
      <c r="P51" s="104"/>
      <c r="Q51" s="104"/>
      <c r="R51" s="105"/>
      <c r="S51" s="106"/>
      <c r="T51" s="17"/>
      <c r="U51" s="9"/>
    </row>
    <row r="52" spans="1:21" s="8" customFormat="1" ht="24" customHeight="1" x14ac:dyDescent="0.45">
      <c r="A52" s="86"/>
      <c r="B52" s="53"/>
      <c r="C52" s="53"/>
      <c r="D52" s="53"/>
      <c r="E52" s="53"/>
      <c r="F52" s="53"/>
      <c r="G52" s="54"/>
      <c r="H52" s="55"/>
      <c r="I52" s="55"/>
      <c r="J52" s="65"/>
      <c r="K52" s="55"/>
      <c r="L52" s="66"/>
      <c r="M52" s="89"/>
      <c r="N52" s="87"/>
      <c r="O52" s="114"/>
      <c r="P52" s="104"/>
      <c r="Q52" s="104"/>
      <c r="R52" s="105"/>
      <c r="S52" s="106"/>
      <c r="T52" s="17"/>
      <c r="U52" s="9"/>
    </row>
    <row r="53" spans="1:21" s="8" customFormat="1" ht="24" customHeight="1" x14ac:dyDescent="0.45">
      <c r="A53" s="86"/>
      <c r="B53" s="53"/>
      <c r="C53" s="53"/>
      <c r="D53" s="53"/>
      <c r="E53" s="53"/>
      <c r="F53" s="53"/>
      <c r="G53" s="54"/>
      <c r="H53" s="55"/>
      <c r="I53" s="55"/>
      <c r="J53" s="65"/>
      <c r="K53" s="55"/>
      <c r="L53" s="66"/>
      <c r="M53" s="89"/>
      <c r="N53" s="87"/>
      <c r="O53" s="114"/>
      <c r="P53" s="104"/>
      <c r="Q53" s="104"/>
      <c r="R53" s="105"/>
      <c r="S53" s="106"/>
      <c r="T53" s="17"/>
      <c r="U53" s="9"/>
    </row>
    <row r="54" spans="1:21" s="8" customFormat="1" ht="24" customHeight="1" x14ac:dyDescent="0.45">
      <c r="A54" s="86"/>
      <c r="B54" s="53"/>
      <c r="C54" s="53"/>
      <c r="D54" s="53"/>
      <c r="E54" s="53"/>
      <c r="F54" s="53"/>
      <c r="G54" s="54"/>
      <c r="H54" s="55"/>
      <c r="I54" s="55"/>
      <c r="J54" s="65"/>
      <c r="K54" s="55"/>
      <c r="L54" s="66"/>
      <c r="M54" s="89"/>
      <c r="N54" s="87"/>
      <c r="O54" s="114"/>
      <c r="P54" s="104"/>
      <c r="Q54" s="104"/>
      <c r="R54" s="105"/>
      <c r="S54" s="106"/>
      <c r="T54" s="17"/>
      <c r="U54" s="9"/>
    </row>
    <row r="55" spans="1:21" s="8" customFormat="1" ht="24" customHeight="1" x14ac:dyDescent="0.45">
      <c r="A55" s="86"/>
      <c r="B55" s="53"/>
      <c r="C55" s="53"/>
      <c r="D55" s="53"/>
      <c r="E55" s="53"/>
      <c r="F55" s="53"/>
      <c r="G55" s="54"/>
      <c r="H55" s="55"/>
      <c r="I55" s="55"/>
      <c r="J55" s="65"/>
      <c r="K55" s="55"/>
      <c r="L55" s="66"/>
      <c r="M55" s="89"/>
      <c r="N55" s="87"/>
      <c r="O55" s="114"/>
      <c r="P55" s="104"/>
      <c r="Q55" s="104"/>
      <c r="R55" s="105"/>
      <c r="S55" s="106"/>
      <c r="T55" s="17"/>
      <c r="U55" s="9"/>
    </row>
    <row r="56" spans="1:21" s="8" customFormat="1" ht="24" customHeight="1" x14ac:dyDescent="0.45">
      <c r="A56" s="86"/>
      <c r="B56" s="53"/>
      <c r="C56" s="53"/>
      <c r="D56" s="53"/>
      <c r="E56" s="53"/>
      <c r="F56" s="53"/>
      <c r="G56" s="54"/>
      <c r="H56" s="55"/>
      <c r="I56" s="55"/>
      <c r="J56" s="65"/>
      <c r="K56" s="55"/>
      <c r="L56" s="66"/>
      <c r="M56" s="89"/>
      <c r="N56" s="87"/>
      <c r="O56" s="114"/>
      <c r="P56" s="104"/>
      <c r="Q56" s="104"/>
      <c r="R56" s="105"/>
      <c r="S56" s="106"/>
      <c r="T56" s="17"/>
      <c r="U56" s="9"/>
    </row>
    <row r="57" spans="1:21" s="8" customFormat="1" ht="24" customHeight="1" x14ac:dyDescent="0.45">
      <c r="A57" s="86"/>
      <c r="B57" s="53"/>
      <c r="C57" s="53"/>
      <c r="D57" s="53"/>
      <c r="E57" s="53"/>
      <c r="F57" s="53"/>
      <c r="G57" s="54"/>
      <c r="H57" s="55"/>
      <c r="I57" s="55"/>
      <c r="J57" s="65"/>
      <c r="K57" s="55"/>
      <c r="L57" s="66"/>
      <c r="M57" s="89"/>
      <c r="N57" s="87"/>
      <c r="O57" s="114"/>
      <c r="P57" s="104"/>
      <c r="Q57" s="104"/>
      <c r="R57" s="105"/>
      <c r="S57" s="106"/>
      <c r="T57" s="17"/>
      <c r="U57" s="9"/>
    </row>
    <row r="58" spans="1:21" s="8" customFormat="1" ht="24" customHeight="1" x14ac:dyDescent="0.45">
      <c r="A58" s="86"/>
      <c r="B58" s="53"/>
      <c r="C58" s="53"/>
      <c r="D58" s="53"/>
      <c r="E58" s="53"/>
      <c r="F58" s="53"/>
      <c r="G58" s="54"/>
      <c r="H58" s="55"/>
      <c r="I58" s="55"/>
      <c r="J58" s="65"/>
      <c r="K58" s="55"/>
      <c r="L58" s="66"/>
      <c r="M58" s="89"/>
      <c r="N58" s="87"/>
      <c r="O58" s="114"/>
      <c r="P58" s="104"/>
      <c r="Q58" s="104"/>
      <c r="R58" s="105"/>
      <c r="S58" s="106"/>
      <c r="T58" s="17"/>
      <c r="U58" s="9"/>
    </row>
    <row r="59" spans="1:21" s="8" customFormat="1" ht="24" customHeight="1" x14ac:dyDescent="0.45">
      <c r="A59" s="86"/>
      <c r="B59" s="53"/>
      <c r="C59" s="53"/>
      <c r="D59" s="53"/>
      <c r="E59" s="53"/>
      <c r="F59" s="53"/>
      <c r="G59" s="54"/>
      <c r="H59" s="55"/>
      <c r="I59" s="55"/>
      <c r="J59" s="65"/>
      <c r="K59" s="55"/>
      <c r="L59" s="66"/>
      <c r="M59" s="89"/>
      <c r="N59" s="87"/>
      <c r="O59" s="114"/>
      <c r="P59" s="104"/>
      <c r="Q59" s="104"/>
      <c r="R59" s="105"/>
      <c r="S59" s="106"/>
      <c r="T59" s="17"/>
      <c r="U59" s="9"/>
    </row>
    <row r="60" spans="1:21" s="8" customFormat="1" ht="24" customHeight="1" x14ac:dyDescent="0.45">
      <c r="A60" s="86"/>
      <c r="B60" s="53"/>
      <c r="C60" s="53"/>
      <c r="D60" s="53"/>
      <c r="E60" s="53"/>
      <c r="F60" s="53"/>
      <c r="G60" s="54"/>
      <c r="H60" s="55"/>
      <c r="I60" s="55"/>
      <c r="J60" s="65"/>
      <c r="K60" s="55"/>
      <c r="L60" s="66"/>
      <c r="M60" s="89"/>
      <c r="N60" s="87"/>
      <c r="O60" s="114"/>
      <c r="P60" s="104"/>
      <c r="Q60" s="104"/>
      <c r="R60" s="105"/>
      <c r="S60" s="106"/>
      <c r="T60" s="17"/>
      <c r="U60" s="9"/>
    </row>
    <row r="61" spans="1:21" s="8" customFormat="1" ht="24" customHeight="1" x14ac:dyDescent="0.45">
      <c r="A61" s="86"/>
      <c r="B61" s="53"/>
      <c r="C61" s="53"/>
      <c r="D61" s="53"/>
      <c r="E61" s="53"/>
      <c r="F61" s="53"/>
      <c r="G61" s="54"/>
      <c r="H61" s="55"/>
      <c r="I61" s="55"/>
      <c r="J61" s="65"/>
      <c r="K61" s="55"/>
      <c r="L61" s="66"/>
      <c r="M61" s="89"/>
      <c r="N61" s="87"/>
      <c r="O61" s="114"/>
      <c r="P61" s="104"/>
      <c r="Q61" s="104"/>
      <c r="R61" s="105"/>
      <c r="S61" s="106"/>
      <c r="T61" s="17"/>
      <c r="U61" s="9"/>
    </row>
    <row r="62" spans="1:21" s="8" customFormat="1" ht="24" customHeight="1" x14ac:dyDescent="0.45">
      <c r="A62" s="86"/>
      <c r="B62" s="53"/>
      <c r="C62" s="53"/>
      <c r="D62" s="53"/>
      <c r="E62" s="53"/>
      <c r="F62" s="53"/>
      <c r="G62" s="54"/>
      <c r="H62" s="55"/>
      <c r="I62" s="55"/>
      <c r="J62" s="65"/>
      <c r="K62" s="55"/>
      <c r="L62" s="66"/>
      <c r="M62" s="89"/>
      <c r="N62" s="87"/>
      <c r="O62" s="114"/>
      <c r="P62" s="104"/>
      <c r="Q62" s="104"/>
      <c r="R62" s="105"/>
      <c r="S62" s="106"/>
      <c r="T62" s="17"/>
      <c r="U62" s="9"/>
    </row>
    <row r="63" spans="1:21" s="8" customFormat="1" ht="24" customHeight="1" x14ac:dyDescent="0.45">
      <c r="A63" s="86"/>
      <c r="B63" s="53"/>
      <c r="C63" s="53"/>
      <c r="D63" s="53"/>
      <c r="E63" s="53"/>
      <c r="F63" s="53"/>
      <c r="G63" s="54"/>
      <c r="H63" s="55"/>
      <c r="I63" s="55"/>
      <c r="J63" s="65"/>
      <c r="K63" s="55"/>
      <c r="L63" s="66"/>
      <c r="M63" s="89"/>
      <c r="N63" s="87"/>
      <c r="O63" s="114"/>
      <c r="P63" s="104"/>
      <c r="Q63" s="104"/>
      <c r="R63" s="105"/>
      <c r="S63" s="106"/>
      <c r="T63" s="17"/>
      <c r="U63" s="9"/>
    </row>
    <row r="64" spans="1:21" s="8" customFormat="1" ht="24" customHeight="1" x14ac:dyDescent="0.45">
      <c r="A64" s="86"/>
      <c r="B64" s="53"/>
      <c r="C64" s="53"/>
      <c r="D64" s="53"/>
      <c r="E64" s="53"/>
      <c r="F64" s="53"/>
      <c r="G64" s="54"/>
      <c r="H64" s="55"/>
      <c r="I64" s="55"/>
      <c r="J64" s="65"/>
      <c r="K64" s="55"/>
      <c r="L64" s="66"/>
      <c r="M64" s="89"/>
      <c r="N64" s="87"/>
      <c r="O64" s="114"/>
      <c r="P64" s="104"/>
      <c r="Q64" s="104"/>
      <c r="R64" s="105"/>
      <c r="S64" s="106"/>
      <c r="T64" s="17"/>
      <c r="U64" s="9"/>
    </row>
    <row r="65" spans="1:21" s="8" customFormat="1" ht="24" customHeight="1" x14ac:dyDescent="0.45">
      <c r="A65" s="86"/>
      <c r="B65" s="53"/>
      <c r="C65" s="53"/>
      <c r="D65" s="53"/>
      <c r="E65" s="53"/>
      <c r="F65" s="53"/>
      <c r="G65" s="54"/>
      <c r="H65" s="55"/>
      <c r="I65" s="55"/>
      <c r="J65" s="65"/>
      <c r="K65" s="55"/>
      <c r="L65" s="66"/>
      <c r="M65" s="89"/>
      <c r="N65" s="87"/>
      <c r="O65" s="114"/>
      <c r="P65" s="104"/>
      <c r="Q65" s="104"/>
      <c r="R65" s="105"/>
      <c r="S65" s="106"/>
      <c r="T65" s="17"/>
      <c r="U65" s="9"/>
    </row>
    <row r="66" spans="1:21" s="8" customFormat="1" ht="24" customHeight="1" x14ac:dyDescent="0.45">
      <c r="A66" s="86"/>
      <c r="B66" s="53"/>
      <c r="C66" s="53"/>
      <c r="D66" s="53"/>
      <c r="E66" s="53"/>
      <c r="F66" s="53"/>
      <c r="G66" s="54"/>
      <c r="H66" s="55"/>
      <c r="I66" s="55"/>
      <c r="J66" s="65"/>
      <c r="K66" s="55"/>
      <c r="L66" s="66"/>
      <c r="M66" s="89"/>
      <c r="N66" s="87"/>
      <c r="O66" s="114"/>
      <c r="P66" s="104"/>
      <c r="Q66" s="104"/>
      <c r="R66" s="105"/>
      <c r="S66" s="106"/>
      <c r="T66" s="17"/>
      <c r="U66" s="9"/>
    </row>
    <row r="67" spans="1:21" s="8" customFormat="1" ht="24" customHeight="1" x14ac:dyDescent="0.45">
      <c r="A67" s="86"/>
      <c r="B67" s="53"/>
      <c r="C67" s="53"/>
      <c r="D67" s="53"/>
      <c r="E67" s="53"/>
      <c r="F67" s="53"/>
      <c r="G67" s="54"/>
      <c r="H67" s="55"/>
      <c r="I67" s="55"/>
      <c r="J67" s="65"/>
      <c r="K67" s="55"/>
      <c r="L67" s="66"/>
      <c r="M67" s="89"/>
      <c r="N67" s="87"/>
      <c r="O67" s="114"/>
      <c r="P67" s="104"/>
      <c r="Q67" s="104"/>
      <c r="R67" s="105"/>
      <c r="S67" s="106"/>
      <c r="T67" s="17"/>
      <c r="U67" s="9"/>
    </row>
    <row r="68" spans="1:21" s="8" customFormat="1" ht="24" customHeight="1" x14ac:dyDescent="0.45">
      <c r="A68" s="86"/>
      <c r="B68" s="53"/>
      <c r="C68" s="53"/>
      <c r="D68" s="53"/>
      <c r="E68" s="53"/>
      <c r="F68" s="53"/>
      <c r="G68" s="54"/>
      <c r="H68" s="55"/>
      <c r="I68" s="55"/>
      <c r="J68" s="65"/>
      <c r="K68" s="55"/>
      <c r="L68" s="66"/>
      <c r="M68" s="89"/>
      <c r="N68" s="87"/>
      <c r="O68" s="114"/>
      <c r="P68" s="104"/>
      <c r="Q68" s="104"/>
      <c r="R68" s="105"/>
      <c r="S68" s="106"/>
      <c r="T68" s="17"/>
      <c r="U68" s="9"/>
    </row>
    <row r="69" spans="1:21" s="8" customFormat="1" ht="24" customHeight="1" x14ac:dyDescent="0.45">
      <c r="A69" s="86"/>
      <c r="B69" s="53"/>
      <c r="C69" s="53"/>
      <c r="D69" s="53"/>
      <c r="E69" s="53"/>
      <c r="F69" s="53"/>
      <c r="G69" s="54"/>
      <c r="H69" s="55"/>
      <c r="I69" s="55"/>
      <c r="J69" s="65"/>
      <c r="K69" s="55"/>
      <c r="L69" s="66"/>
      <c r="M69" s="89"/>
      <c r="N69" s="87"/>
      <c r="O69" s="114"/>
      <c r="P69" s="104"/>
      <c r="Q69" s="104"/>
      <c r="R69" s="105"/>
      <c r="S69" s="106"/>
      <c r="T69" s="17"/>
      <c r="U69" s="9"/>
    </row>
    <row r="70" spans="1:21" s="8" customFormat="1" ht="24" customHeight="1" x14ac:dyDescent="0.45">
      <c r="A70" s="86"/>
      <c r="B70" s="53"/>
      <c r="C70" s="53"/>
      <c r="D70" s="53"/>
      <c r="E70" s="53"/>
      <c r="F70" s="53"/>
      <c r="G70" s="54"/>
      <c r="H70" s="55"/>
      <c r="I70" s="55"/>
      <c r="J70" s="65"/>
      <c r="K70" s="55"/>
      <c r="L70" s="66"/>
      <c r="M70" s="89"/>
      <c r="N70" s="87"/>
      <c r="O70" s="114"/>
      <c r="P70" s="104"/>
      <c r="Q70" s="104"/>
      <c r="R70" s="105"/>
      <c r="S70" s="106"/>
      <c r="T70" s="17"/>
      <c r="U70" s="9"/>
    </row>
    <row r="71" spans="1:21" s="8" customFormat="1" ht="24" customHeight="1" x14ac:dyDescent="0.45">
      <c r="A71" s="86"/>
      <c r="B71" s="53"/>
      <c r="C71" s="53"/>
      <c r="D71" s="53"/>
      <c r="E71" s="53"/>
      <c r="F71" s="53"/>
      <c r="G71" s="54"/>
      <c r="H71" s="55"/>
      <c r="I71" s="55"/>
      <c r="J71" s="65"/>
      <c r="K71" s="55"/>
      <c r="L71" s="66"/>
      <c r="M71" s="89"/>
      <c r="N71" s="87"/>
      <c r="O71" s="114"/>
      <c r="P71" s="104"/>
      <c r="Q71" s="104"/>
      <c r="R71" s="105"/>
      <c r="S71" s="106"/>
      <c r="T71" s="17"/>
      <c r="U71" s="9"/>
    </row>
    <row r="72" spans="1:21" s="8" customFormat="1" ht="24" customHeight="1" x14ac:dyDescent="0.45">
      <c r="A72" s="86"/>
      <c r="B72" s="53"/>
      <c r="C72" s="53"/>
      <c r="D72" s="53"/>
      <c r="E72" s="53"/>
      <c r="F72" s="53"/>
      <c r="G72" s="54"/>
      <c r="H72" s="55"/>
      <c r="I72" s="55"/>
      <c r="J72" s="65"/>
      <c r="K72" s="55"/>
      <c r="L72" s="66"/>
      <c r="M72" s="89"/>
      <c r="N72" s="87"/>
      <c r="O72" s="114"/>
      <c r="P72" s="104"/>
      <c r="Q72" s="104"/>
      <c r="R72" s="105"/>
      <c r="S72" s="106"/>
      <c r="T72" s="17"/>
      <c r="U72" s="9"/>
    </row>
    <row r="73" spans="1:21" s="8" customFormat="1" ht="24" customHeight="1" x14ac:dyDescent="0.45">
      <c r="A73" s="86"/>
      <c r="B73" s="53"/>
      <c r="C73" s="53"/>
      <c r="D73" s="53"/>
      <c r="E73" s="53"/>
      <c r="F73" s="53"/>
      <c r="G73" s="54"/>
      <c r="H73" s="55"/>
      <c r="I73" s="55"/>
      <c r="J73" s="65"/>
      <c r="K73" s="55"/>
      <c r="L73" s="66"/>
      <c r="M73" s="89"/>
      <c r="N73" s="87"/>
      <c r="O73" s="114"/>
      <c r="P73" s="104"/>
      <c r="Q73" s="104"/>
      <c r="R73" s="105"/>
      <c r="S73" s="106"/>
      <c r="T73" s="17"/>
      <c r="U73" s="9"/>
    </row>
    <row r="74" spans="1:21" s="8" customFormat="1" ht="24" customHeight="1" x14ac:dyDescent="0.45">
      <c r="A74" s="86"/>
      <c r="B74" s="53"/>
      <c r="C74" s="53"/>
      <c r="D74" s="53"/>
      <c r="E74" s="53"/>
      <c r="F74" s="53"/>
      <c r="G74" s="54"/>
      <c r="H74" s="55"/>
      <c r="I74" s="55"/>
      <c r="J74" s="65"/>
      <c r="K74" s="55"/>
      <c r="L74" s="66"/>
      <c r="M74" s="89"/>
      <c r="N74" s="87"/>
      <c r="O74" s="114"/>
      <c r="P74" s="104"/>
      <c r="Q74" s="104"/>
      <c r="R74" s="105"/>
      <c r="S74" s="106"/>
      <c r="T74" s="17"/>
      <c r="U74" s="9"/>
    </row>
    <row r="75" spans="1:21" s="8" customFormat="1" ht="24" customHeight="1" x14ac:dyDescent="0.45">
      <c r="A75" s="86"/>
      <c r="B75" s="53"/>
      <c r="C75" s="53"/>
      <c r="D75" s="53"/>
      <c r="E75" s="53"/>
      <c r="F75" s="53"/>
      <c r="G75" s="54"/>
      <c r="H75" s="55"/>
      <c r="I75" s="55"/>
      <c r="J75" s="65"/>
      <c r="K75" s="55"/>
      <c r="L75" s="66"/>
      <c r="M75" s="89"/>
      <c r="N75" s="87"/>
      <c r="O75" s="114"/>
      <c r="P75" s="104"/>
      <c r="Q75" s="104"/>
      <c r="R75" s="105"/>
      <c r="S75" s="106"/>
      <c r="T75" s="17"/>
      <c r="U75" s="9"/>
    </row>
    <row r="76" spans="1:21" s="8" customFormat="1" ht="24" customHeight="1" x14ac:dyDescent="0.45">
      <c r="A76" s="86"/>
      <c r="B76" s="53"/>
      <c r="C76" s="53"/>
      <c r="D76" s="53"/>
      <c r="E76" s="53"/>
      <c r="F76" s="53"/>
      <c r="G76" s="54"/>
      <c r="H76" s="55"/>
      <c r="I76" s="55"/>
      <c r="J76" s="65"/>
      <c r="K76" s="55"/>
      <c r="L76" s="66"/>
      <c r="M76" s="89"/>
      <c r="N76" s="87"/>
      <c r="O76" s="114"/>
      <c r="P76" s="104"/>
      <c r="Q76" s="104"/>
      <c r="R76" s="105"/>
      <c r="S76" s="106"/>
      <c r="T76" s="17"/>
      <c r="U76" s="9"/>
    </row>
    <row r="77" spans="1:21" s="8" customFormat="1" ht="24" customHeight="1" x14ac:dyDescent="0.45">
      <c r="A77" s="86"/>
      <c r="B77" s="53"/>
      <c r="C77" s="53"/>
      <c r="D77" s="53"/>
      <c r="E77" s="53"/>
      <c r="F77" s="53"/>
      <c r="G77" s="54"/>
      <c r="H77" s="55"/>
      <c r="I77" s="55"/>
      <c r="J77" s="65"/>
      <c r="K77" s="55"/>
      <c r="L77" s="66"/>
      <c r="M77" s="89"/>
      <c r="N77" s="87"/>
      <c r="O77" s="114"/>
      <c r="P77" s="104"/>
      <c r="Q77" s="104"/>
      <c r="R77" s="105"/>
      <c r="S77" s="106"/>
      <c r="T77" s="17"/>
      <c r="U77" s="9"/>
    </row>
    <row r="78" spans="1:21" s="8" customFormat="1" ht="24" customHeight="1" x14ac:dyDescent="0.45">
      <c r="A78" s="86"/>
      <c r="B78" s="53"/>
      <c r="C78" s="53"/>
      <c r="D78" s="53"/>
      <c r="E78" s="53"/>
      <c r="F78" s="53"/>
      <c r="G78" s="54"/>
      <c r="H78" s="55"/>
      <c r="I78" s="55"/>
      <c r="J78" s="65"/>
      <c r="K78" s="55"/>
      <c r="L78" s="66"/>
      <c r="M78" s="89"/>
      <c r="N78" s="87"/>
      <c r="O78" s="114"/>
      <c r="P78" s="104"/>
      <c r="Q78" s="104"/>
      <c r="R78" s="105"/>
      <c r="S78" s="106"/>
      <c r="T78" s="17"/>
      <c r="U78" s="9"/>
    </row>
    <row r="79" spans="1:21" s="8" customFormat="1" ht="24" customHeight="1" x14ac:dyDescent="0.45">
      <c r="A79" s="86"/>
      <c r="B79" s="53"/>
      <c r="C79" s="53"/>
      <c r="D79" s="53"/>
      <c r="E79" s="53"/>
      <c r="F79" s="53"/>
      <c r="G79" s="54"/>
      <c r="H79" s="55"/>
      <c r="I79" s="55"/>
      <c r="J79" s="65"/>
      <c r="K79" s="55"/>
      <c r="L79" s="66"/>
      <c r="M79" s="89"/>
      <c r="N79" s="87"/>
      <c r="O79" s="114"/>
      <c r="P79" s="104"/>
      <c r="Q79" s="104"/>
      <c r="R79" s="105"/>
      <c r="S79" s="106"/>
      <c r="T79" s="17"/>
      <c r="U79" s="9"/>
    </row>
    <row r="80" spans="1:21" s="8" customFormat="1" ht="24" customHeight="1" x14ac:dyDescent="0.45">
      <c r="A80" s="86"/>
      <c r="B80" s="53"/>
      <c r="C80" s="53"/>
      <c r="D80" s="53"/>
      <c r="E80" s="53"/>
      <c r="F80" s="53"/>
      <c r="G80" s="54"/>
      <c r="H80" s="55"/>
      <c r="I80" s="55"/>
      <c r="J80" s="65"/>
      <c r="K80" s="55"/>
      <c r="L80" s="66"/>
      <c r="M80" s="89"/>
      <c r="N80" s="87"/>
      <c r="O80" s="114"/>
      <c r="P80" s="104"/>
      <c r="Q80" s="104"/>
      <c r="R80" s="105"/>
      <c r="S80" s="106"/>
      <c r="T80" s="17"/>
      <c r="U80" s="9"/>
    </row>
    <row r="81" spans="1:21" s="8" customFormat="1" ht="24" customHeight="1" x14ac:dyDescent="0.45">
      <c r="A81" s="86"/>
      <c r="B81" s="53"/>
      <c r="C81" s="53"/>
      <c r="D81" s="53"/>
      <c r="E81" s="53"/>
      <c r="F81" s="53"/>
      <c r="G81" s="54"/>
      <c r="H81" s="55"/>
      <c r="I81" s="55"/>
      <c r="J81" s="65"/>
      <c r="K81" s="55"/>
      <c r="L81" s="66"/>
      <c r="M81" s="89"/>
      <c r="N81" s="87"/>
      <c r="O81" s="114"/>
      <c r="P81" s="104"/>
      <c r="Q81" s="104"/>
      <c r="R81" s="105"/>
      <c r="S81" s="106"/>
      <c r="T81" s="17"/>
      <c r="U81" s="9"/>
    </row>
    <row r="82" spans="1:21" s="8" customFormat="1" ht="24" customHeight="1" x14ac:dyDescent="0.45">
      <c r="A82" s="86"/>
      <c r="B82" s="53"/>
      <c r="C82" s="53"/>
      <c r="D82" s="53"/>
      <c r="E82" s="53"/>
      <c r="F82" s="53"/>
      <c r="G82" s="54"/>
      <c r="H82" s="55"/>
      <c r="I82" s="55"/>
      <c r="J82" s="65"/>
      <c r="K82" s="55"/>
      <c r="L82" s="66"/>
      <c r="M82" s="89"/>
      <c r="N82" s="87"/>
      <c r="O82" s="114"/>
      <c r="P82" s="104"/>
      <c r="Q82" s="104"/>
      <c r="R82" s="105"/>
      <c r="S82" s="106"/>
      <c r="T82" s="17"/>
      <c r="U82" s="9"/>
    </row>
    <row r="83" spans="1:21" s="8" customFormat="1" ht="24" customHeight="1" x14ac:dyDescent="0.45">
      <c r="A83" s="86"/>
      <c r="B83" s="53"/>
      <c r="C83" s="53"/>
      <c r="D83" s="53"/>
      <c r="E83" s="53"/>
      <c r="F83" s="53"/>
      <c r="G83" s="54"/>
      <c r="H83" s="55"/>
      <c r="I83" s="55"/>
      <c r="J83" s="65"/>
      <c r="K83" s="55"/>
      <c r="L83" s="66"/>
      <c r="M83" s="89"/>
      <c r="N83" s="87"/>
      <c r="O83" s="114"/>
      <c r="P83" s="104"/>
      <c r="Q83" s="104"/>
      <c r="R83" s="105"/>
      <c r="S83" s="106"/>
      <c r="T83" s="17"/>
      <c r="U83" s="9"/>
    </row>
    <row r="84" spans="1:21" s="8" customFormat="1" ht="24" customHeight="1" x14ac:dyDescent="0.45">
      <c r="A84" s="86"/>
      <c r="B84" s="53"/>
      <c r="C84" s="53"/>
      <c r="D84" s="53"/>
      <c r="E84" s="53"/>
      <c r="F84" s="53"/>
      <c r="G84" s="54"/>
      <c r="H84" s="55"/>
      <c r="I84" s="55"/>
      <c r="J84" s="65"/>
      <c r="K84" s="55"/>
      <c r="L84" s="66"/>
      <c r="M84" s="89"/>
      <c r="N84" s="87"/>
      <c r="O84" s="114"/>
      <c r="P84" s="104"/>
      <c r="Q84" s="104"/>
      <c r="R84" s="105"/>
      <c r="S84" s="106"/>
      <c r="T84" s="17"/>
      <c r="U84" s="9"/>
    </row>
    <row r="85" spans="1:21" s="8" customFormat="1" ht="24" customHeight="1" x14ac:dyDescent="0.45">
      <c r="A85" s="86"/>
      <c r="B85" s="53"/>
      <c r="C85" s="53"/>
      <c r="D85" s="53"/>
      <c r="E85" s="53"/>
      <c r="F85" s="53"/>
      <c r="G85" s="54"/>
      <c r="H85" s="55"/>
      <c r="I85" s="55"/>
      <c r="J85" s="65"/>
      <c r="K85" s="55"/>
      <c r="L85" s="66"/>
      <c r="M85" s="89"/>
      <c r="N85" s="87"/>
      <c r="O85" s="114"/>
      <c r="P85" s="104"/>
      <c r="Q85" s="104"/>
      <c r="R85" s="105"/>
      <c r="S85" s="106"/>
      <c r="T85" s="17"/>
      <c r="U85" s="9"/>
    </row>
    <row r="86" spans="1:21" s="8" customFormat="1" ht="24" customHeight="1" x14ac:dyDescent="0.45">
      <c r="A86" s="86"/>
      <c r="B86" s="53"/>
      <c r="C86" s="53"/>
      <c r="D86" s="53"/>
      <c r="E86" s="53"/>
      <c r="F86" s="53"/>
      <c r="G86" s="54"/>
      <c r="H86" s="55"/>
      <c r="I86" s="55"/>
      <c r="J86" s="65"/>
      <c r="K86" s="55"/>
      <c r="L86" s="66"/>
      <c r="M86" s="89"/>
      <c r="N86" s="87"/>
      <c r="O86" s="114"/>
      <c r="P86" s="104"/>
      <c r="Q86" s="104"/>
      <c r="R86" s="105"/>
      <c r="S86" s="106"/>
      <c r="T86" s="17"/>
      <c r="U86" s="9"/>
    </row>
    <row r="87" spans="1:21" s="8" customFormat="1" ht="24" customHeight="1" x14ac:dyDescent="0.45">
      <c r="A87" s="86"/>
      <c r="B87" s="53"/>
      <c r="C87" s="53"/>
      <c r="D87" s="53"/>
      <c r="E87" s="53"/>
      <c r="F87" s="53"/>
      <c r="G87" s="54"/>
      <c r="H87" s="55"/>
      <c r="I87" s="55"/>
      <c r="J87" s="65"/>
      <c r="K87" s="55"/>
      <c r="L87" s="66"/>
      <c r="M87" s="89"/>
      <c r="N87" s="87"/>
      <c r="O87" s="114"/>
      <c r="P87" s="104"/>
      <c r="Q87" s="104"/>
      <c r="R87" s="105"/>
      <c r="S87" s="106"/>
      <c r="T87" s="17"/>
      <c r="U87" s="9"/>
    </row>
    <row r="88" spans="1:21" s="8" customFormat="1" ht="24" customHeight="1" x14ac:dyDescent="0.45">
      <c r="A88" s="86"/>
      <c r="B88" s="53"/>
      <c r="C88" s="53"/>
      <c r="D88" s="53"/>
      <c r="E88" s="53"/>
      <c r="F88" s="53"/>
      <c r="G88" s="54"/>
      <c r="H88" s="55"/>
      <c r="I88" s="55"/>
      <c r="J88" s="65"/>
      <c r="K88" s="55"/>
      <c r="L88" s="66"/>
      <c r="M88" s="89"/>
      <c r="N88" s="87"/>
      <c r="O88" s="114"/>
      <c r="P88" s="104"/>
      <c r="Q88" s="104"/>
      <c r="R88" s="105"/>
      <c r="S88" s="106"/>
      <c r="T88" s="17"/>
      <c r="U88" s="9"/>
    </row>
    <row r="89" spans="1:21" s="8" customFormat="1" ht="24" customHeight="1" x14ac:dyDescent="0.45">
      <c r="A89" s="86"/>
      <c r="B89" s="53"/>
      <c r="C89" s="53"/>
      <c r="D89" s="53"/>
      <c r="E89" s="53"/>
      <c r="F89" s="53"/>
      <c r="G89" s="54"/>
      <c r="H89" s="55"/>
      <c r="I89" s="55"/>
      <c r="J89" s="65"/>
      <c r="K89" s="55"/>
      <c r="L89" s="66"/>
      <c r="M89" s="89"/>
      <c r="N89" s="87"/>
      <c r="O89" s="114"/>
      <c r="P89" s="104"/>
      <c r="Q89" s="104"/>
      <c r="R89" s="105"/>
      <c r="S89" s="106"/>
      <c r="T89" s="17"/>
      <c r="U89" s="9"/>
    </row>
    <row r="90" spans="1:21" s="8" customFormat="1" ht="24" customHeight="1" x14ac:dyDescent="0.45">
      <c r="A90" s="86"/>
      <c r="B90" s="53"/>
      <c r="C90" s="53"/>
      <c r="D90" s="53"/>
      <c r="E90" s="53"/>
      <c r="F90" s="53"/>
      <c r="G90" s="54"/>
      <c r="H90" s="55"/>
      <c r="I90" s="55"/>
      <c r="J90" s="65"/>
      <c r="K90" s="55"/>
      <c r="L90" s="66"/>
      <c r="M90" s="89"/>
      <c r="N90" s="87"/>
      <c r="O90" s="114"/>
      <c r="P90" s="104"/>
      <c r="Q90" s="104"/>
      <c r="R90" s="105"/>
      <c r="S90" s="106"/>
      <c r="T90" s="17"/>
      <c r="U90" s="9"/>
    </row>
    <row r="91" spans="1:21" s="8" customFormat="1" ht="24" customHeight="1" x14ac:dyDescent="0.45">
      <c r="A91" s="86"/>
      <c r="B91" s="53"/>
      <c r="C91" s="53"/>
      <c r="D91" s="53"/>
      <c r="E91" s="53"/>
      <c r="F91" s="53"/>
      <c r="G91" s="54"/>
      <c r="H91" s="55"/>
      <c r="I91" s="55"/>
      <c r="J91" s="65"/>
      <c r="K91" s="55"/>
      <c r="L91" s="66"/>
      <c r="M91" s="89"/>
      <c r="N91" s="87"/>
      <c r="O91" s="114"/>
      <c r="P91" s="104"/>
      <c r="Q91" s="104"/>
      <c r="R91" s="105"/>
      <c r="S91" s="106"/>
      <c r="T91" s="17"/>
      <c r="U91" s="9"/>
    </row>
    <row r="92" spans="1:21" s="8" customFormat="1" ht="24" customHeight="1" x14ac:dyDescent="0.45">
      <c r="A92" s="86"/>
      <c r="B92" s="53"/>
      <c r="C92" s="53"/>
      <c r="D92" s="53"/>
      <c r="E92" s="53"/>
      <c r="F92" s="53"/>
      <c r="G92" s="54"/>
      <c r="H92" s="55"/>
      <c r="I92" s="55"/>
      <c r="J92" s="65"/>
      <c r="K92" s="55"/>
      <c r="L92" s="66"/>
      <c r="M92" s="89"/>
      <c r="N92" s="87"/>
      <c r="O92" s="114"/>
      <c r="P92" s="104"/>
      <c r="Q92" s="104"/>
      <c r="R92" s="105"/>
      <c r="S92" s="106"/>
      <c r="T92" s="17"/>
      <c r="U92" s="9"/>
    </row>
    <row r="93" spans="1:21" s="8" customFormat="1" ht="24" customHeight="1" x14ac:dyDescent="0.45">
      <c r="A93" s="86"/>
      <c r="B93" s="53"/>
      <c r="C93" s="53"/>
      <c r="D93" s="53"/>
      <c r="E93" s="53"/>
      <c r="F93" s="53"/>
      <c r="G93" s="54"/>
      <c r="H93" s="55"/>
      <c r="I93" s="55"/>
      <c r="J93" s="65"/>
      <c r="K93" s="55"/>
      <c r="L93" s="66"/>
      <c r="M93" s="89"/>
      <c r="N93" s="87"/>
      <c r="O93" s="114"/>
      <c r="P93" s="104"/>
      <c r="Q93" s="104"/>
      <c r="R93" s="105"/>
      <c r="S93" s="106"/>
      <c r="T93" s="17"/>
      <c r="U93" s="9"/>
    </row>
    <row r="94" spans="1:21" s="8" customFormat="1" ht="24" customHeight="1" x14ac:dyDescent="0.45">
      <c r="A94" s="86"/>
      <c r="B94" s="53"/>
      <c r="C94" s="53"/>
      <c r="D94" s="53"/>
      <c r="E94" s="53"/>
      <c r="F94" s="53"/>
      <c r="G94" s="54"/>
      <c r="H94" s="55"/>
      <c r="I94" s="55"/>
      <c r="J94" s="65"/>
      <c r="K94" s="55"/>
      <c r="L94" s="66"/>
      <c r="M94" s="89"/>
      <c r="N94" s="87"/>
      <c r="O94" s="114"/>
      <c r="P94" s="104"/>
      <c r="Q94" s="104"/>
      <c r="R94" s="105"/>
      <c r="S94" s="106"/>
      <c r="T94" s="17"/>
      <c r="U94" s="9"/>
    </row>
    <row r="95" spans="1:21" s="8" customFormat="1" ht="24" customHeight="1" x14ac:dyDescent="0.45">
      <c r="A95" s="86"/>
      <c r="B95" s="53"/>
      <c r="C95" s="53"/>
      <c r="D95" s="53"/>
      <c r="E95" s="53"/>
      <c r="F95" s="53"/>
      <c r="G95" s="54"/>
      <c r="H95" s="55"/>
      <c r="I95" s="55"/>
      <c r="J95" s="65"/>
      <c r="K95" s="55"/>
      <c r="L95" s="66"/>
      <c r="M95" s="89"/>
      <c r="N95" s="87"/>
      <c r="O95" s="114"/>
      <c r="P95" s="104"/>
      <c r="Q95" s="104"/>
      <c r="R95" s="105"/>
      <c r="S95" s="106"/>
      <c r="T95" s="17"/>
      <c r="U95" s="9"/>
    </row>
    <row r="96" spans="1:21" s="8" customFormat="1" ht="24" customHeight="1" x14ac:dyDescent="0.45">
      <c r="A96" s="86"/>
      <c r="B96" s="53"/>
      <c r="C96" s="53"/>
      <c r="D96" s="53"/>
      <c r="E96" s="53"/>
      <c r="F96" s="53"/>
      <c r="G96" s="54"/>
      <c r="H96" s="55"/>
      <c r="I96" s="55"/>
      <c r="J96" s="65"/>
      <c r="K96" s="55"/>
      <c r="L96" s="66"/>
      <c r="M96" s="89"/>
      <c r="N96" s="87"/>
      <c r="O96" s="114"/>
      <c r="P96" s="104"/>
      <c r="Q96" s="104"/>
      <c r="R96" s="105"/>
      <c r="S96" s="106"/>
      <c r="T96" s="17"/>
      <c r="U96" s="9"/>
    </row>
    <row r="97" spans="1:21" s="8" customFormat="1" ht="24" customHeight="1" x14ac:dyDescent="0.45">
      <c r="A97" s="86"/>
      <c r="B97" s="53"/>
      <c r="C97" s="53"/>
      <c r="D97" s="53"/>
      <c r="E97" s="53"/>
      <c r="F97" s="53"/>
      <c r="G97" s="54"/>
      <c r="H97" s="55"/>
      <c r="I97" s="55"/>
      <c r="J97" s="65"/>
      <c r="K97" s="55"/>
      <c r="L97" s="66"/>
      <c r="M97" s="89"/>
      <c r="N97" s="87"/>
      <c r="O97" s="114"/>
      <c r="P97" s="104"/>
      <c r="Q97" s="104"/>
      <c r="R97" s="105"/>
      <c r="S97" s="106"/>
      <c r="T97" s="17"/>
      <c r="U97" s="9"/>
    </row>
    <row r="98" spans="1:21" s="8" customFormat="1" ht="24" customHeight="1" x14ac:dyDescent="0.45">
      <c r="A98" s="86"/>
      <c r="B98" s="53"/>
      <c r="C98" s="53"/>
      <c r="D98" s="53"/>
      <c r="E98" s="53"/>
      <c r="F98" s="53"/>
      <c r="G98" s="54"/>
      <c r="H98" s="55"/>
      <c r="I98" s="55"/>
      <c r="J98" s="65"/>
      <c r="K98" s="55"/>
      <c r="L98" s="66"/>
      <c r="M98" s="89"/>
      <c r="N98" s="87"/>
      <c r="O98" s="114"/>
      <c r="P98" s="104"/>
      <c r="Q98" s="104"/>
      <c r="R98" s="105"/>
      <c r="S98" s="106"/>
      <c r="T98" s="17"/>
      <c r="U98" s="9"/>
    </row>
    <row r="99" spans="1:21" s="8" customFormat="1" ht="24" customHeight="1" x14ac:dyDescent="0.45">
      <c r="A99" s="86"/>
      <c r="B99" s="53"/>
      <c r="C99" s="53"/>
      <c r="D99" s="53"/>
      <c r="E99" s="53"/>
      <c r="F99" s="53"/>
      <c r="G99" s="54"/>
      <c r="H99" s="55"/>
      <c r="I99" s="55"/>
      <c r="J99" s="65"/>
      <c r="K99" s="55"/>
      <c r="L99" s="66"/>
      <c r="M99" s="89"/>
      <c r="N99" s="87"/>
      <c r="O99" s="114"/>
      <c r="P99" s="104"/>
      <c r="Q99" s="104"/>
      <c r="R99" s="105"/>
      <c r="S99" s="106"/>
      <c r="T99" s="17"/>
      <c r="U99" s="9"/>
    </row>
    <row r="100" spans="1:21" s="8" customFormat="1" ht="24" customHeight="1" x14ac:dyDescent="0.45">
      <c r="A100" s="86"/>
      <c r="B100" s="53"/>
      <c r="C100" s="53"/>
      <c r="D100" s="53"/>
      <c r="E100" s="53"/>
      <c r="F100" s="53"/>
      <c r="G100" s="54"/>
      <c r="H100" s="55"/>
      <c r="I100" s="55"/>
      <c r="J100" s="65"/>
      <c r="K100" s="55"/>
      <c r="L100" s="66"/>
      <c r="M100" s="89"/>
      <c r="N100" s="87"/>
      <c r="O100" s="114"/>
      <c r="P100" s="104"/>
      <c r="Q100" s="104"/>
      <c r="R100" s="105"/>
      <c r="S100" s="106"/>
      <c r="T100" s="17"/>
      <c r="U100" s="9"/>
    </row>
    <row r="101" spans="1:21" s="8" customFormat="1" ht="24" customHeight="1" x14ac:dyDescent="0.45">
      <c r="A101" s="86"/>
      <c r="B101" s="53"/>
      <c r="C101" s="53"/>
      <c r="D101" s="53"/>
      <c r="E101" s="53"/>
      <c r="F101" s="53"/>
      <c r="G101" s="54"/>
      <c r="H101" s="55"/>
      <c r="I101" s="55"/>
      <c r="J101" s="65"/>
      <c r="K101" s="55"/>
      <c r="L101" s="66"/>
      <c r="M101" s="89"/>
      <c r="N101" s="87"/>
      <c r="O101" s="114"/>
      <c r="P101" s="104"/>
      <c r="Q101" s="104"/>
      <c r="R101" s="105"/>
      <c r="S101" s="106"/>
      <c r="T101" s="17"/>
      <c r="U101" s="9"/>
    </row>
    <row r="102" spans="1:21" s="8" customFormat="1" ht="24" customHeight="1" x14ac:dyDescent="0.45">
      <c r="A102" s="86"/>
      <c r="B102" s="53"/>
      <c r="C102" s="53"/>
      <c r="D102" s="53"/>
      <c r="E102" s="53"/>
      <c r="F102" s="53"/>
      <c r="G102" s="54"/>
      <c r="H102" s="55"/>
      <c r="I102" s="55"/>
      <c r="J102" s="65"/>
      <c r="K102" s="55"/>
      <c r="L102" s="66"/>
      <c r="M102" s="89"/>
      <c r="N102" s="87"/>
      <c r="O102" s="114"/>
      <c r="P102" s="104"/>
      <c r="Q102" s="104"/>
      <c r="R102" s="105"/>
      <c r="S102" s="106"/>
      <c r="T102" s="17"/>
      <c r="U102" s="9"/>
    </row>
    <row r="103" spans="1:21" s="8" customFormat="1" ht="24" customHeight="1" x14ac:dyDescent="0.45">
      <c r="A103" s="86"/>
      <c r="B103" s="53"/>
      <c r="C103" s="53"/>
      <c r="D103" s="53"/>
      <c r="E103" s="53"/>
      <c r="F103" s="53"/>
      <c r="G103" s="54"/>
      <c r="H103" s="55"/>
      <c r="I103" s="55"/>
      <c r="J103" s="65"/>
      <c r="K103" s="55"/>
      <c r="L103" s="66"/>
      <c r="M103" s="89"/>
      <c r="N103" s="87"/>
      <c r="O103" s="114"/>
      <c r="P103" s="104"/>
      <c r="Q103" s="104"/>
      <c r="R103" s="105"/>
      <c r="S103" s="106"/>
      <c r="T103" s="17"/>
      <c r="U103" s="9"/>
    </row>
    <row r="104" spans="1:21" s="8" customFormat="1" ht="24" customHeight="1" x14ac:dyDescent="0.45">
      <c r="A104" s="86"/>
      <c r="B104" s="53"/>
      <c r="C104" s="53"/>
      <c r="D104" s="53"/>
      <c r="E104" s="53"/>
      <c r="F104" s="53"/>
      <c r="G104" s="54"/>
      <c r="H104" s="55"/>
      <c r="I104" s="55"/>
      <c r="J104" s="65"/>
      <c r="K104" s="55"/>
      <c r="L104" s="66"/>
      <c r="M104" s="89"/>
      <c r="N104" s="87"/>
      <c r="O104" s="114"/>
      <c r="P104" s="104"/>
      <c r="Q104" s="104"/>
      <c r="R104" s="105"/>
      <c r="S104" s="106"/>
      <c r="T104" s="17"/>
      <c r="U104" s="9"/>
    </row>
    <row r="105" spans="1:21" s="8" customFormat="1" ht="24" customHeight="1" x14ac:dyDescent="0.45">
      <c r="A105" s="86"/>
      <c r="B105" s="53"/>
      <c r="C105" s="53"/>
      <c r="D105" s="53"/>
      <c r="E105" s="53"/>
      <c r="F105" s="53"/>
      <c r="G105" s="54"/>
      <c r="H105" s="55"/>
      <c r="I105" s="55"/>
      <c r="J105" s="65"/>
      <c r="K105" s="55"/>
      <c r="L105" s="66"/>
      <c r="M105" s="89"/>
      <c r="N105" s="87"/>
      <c r="O105" s="114"/>
      <c r="P105" s="104"/>
      <c r="Q105" s="104"/>
      <c r="R105" s="105"/>
      <c r="S105" s="106"/>
      <c r="T105" s="17"/>
      <c r="U105" s="9"/>
    </row>
    <row r="106" spans="1:21" s="8" customFormat="1" ht="24" customHeight="1" x14ac:dyDescent="0.45">
      <c r="A106" s="86"/>
      <c r="B106" s="53"/>
      <c r="C106" s="53"/>
      <c r="D106" s="53"/>
      <c r="E106" s="53"/>
      <c r="F106" s="53"/>
      <c r="G106" s="54"/>
      <c r="H106" s="55"/>
      <c r="I106" s="55"/>
      <c r="J106" s="65"/>
      <c r="K106" s="55"/>
      <c r="L106" s="66"/>
      <c r="M106" s="89"/>
      <c r="N106" s="87"/>
      <c r="O106" s="114"/>
      <c r="P106" s="104"/>
      <c r="Q106" s="104"/>
      <c r="R106" s="105"/>
      <c r="S106" s="106"/>
      <c r="T106" s="17"/>
      <c r="U106" s="9"/>
    </row>
    <row r="107" spans="1:21" s="8" customFormat="1" ht="24" customHeight="1" x14ac:dyDescent="0.45">
      <c r="A107" s="86"/>
      <c r="B107" s="53"/>
      <c r="C107" s="53"/>
      <c r="D107" s="53"/>
      <c r="E107" s="53"/>
      <c r="F107" s="53"/>
      <c r="G107" s="54"/>
      <c r="H107" s="55"/>
      <c r="I107" s="55"/>
      <c r="J107" s="65"/>
      <c r="K107" s="55"/>
      <c r="L107" s="66"/>
      <c r="M107" s="89"/>
      <c r="N107" s="87"/>
      <c r="O107" s="114"/>
      <c r="P107" s="104"/>
      <c r="Q107" s="104"/>
      <c r="R107" s="105"/>
      <c r="S107" s="106"/>
      <c r="T107" s="17"/>
      <c r="U107" s="9"/>
    </row>
    <row r="108" spans="1:21" s="8" customFormat="1" ht="24" customHeight="1" x14ac:dyDescent="0.45">
      <c r="A108" s="86"/>
      <c r="B108" s="53"/>
      <c r="C108" s="53"/>
      <c r="D108" s="53"/>
      <c r="E108" s="53"/>
      <c r="F108" s="53"/>
      <c r="G108" s="54"/>
      <c r="H108" s="55"/>
      <c r="I108" s="55"/>
      <c r="J108" s="65"/>
      <c r="K108" s="55"/>
      <c r="L108" s="66"/>
      <c r="M108" s="89"/>
      <c r="N108" s="87"/>
      <c r="O108" s="114"/>
      <c r="P108" s="104"/>
      <c r="Q108" s="104"/>
      <c r="R108" s="105"/>
      <c r="S108" s="106"/>
      <c r="T108" s="17"/>
      <c r="U108" s="9"/>
    </row>
    <row r="109" spans="1:21" s="8" customFormat="1" ht="24" customHeight="1" x14ac:dyDescent="0.45">
      <c r="A109" s="86"/>
      <c r="B109" s="53"/>
      <c r="C109" s="53"/>
      <c r="D109" s="53"/>
      <c r="E109" s="53"/>
      <c r="F109" s="53"/>
      <c r="G109" s="54"/>
      <c r="H109" s="55"/>
      <c r="I109" s="55"/>
      <c r="J109" s="65"/>
      <c r="K109" s="55"/>
      <c r="L109" s="66"/>
      <c r="M109" s="89"/>
      <c r="N109" s="87"/>
      <c r="O109" s="114"/>
      <c r="P109" s="104"/>
      <c r="Q109" s="104"/>
      <c r="R109" s="105"/>
      <c r="S109" s="106"/>
      <c r="T109" s="17"/>
      <c r="U109" s="9"/>
    </row>
    <row r="110" spans="1:21" s="8" customFormat="1" ht="24" customHeight="1" x14ac:dyDescent="0.45">
      <c r="A110" s="86"/>
      <c r="B110" s="53"/>
      <c r="C110" s="53"/>
      <c r="D110" s="53"/>
      <c r="E110" s="53"/>
      <c r="F110" s="53"/>
      <c r="G110" s="54"/>
      <c r="H110" s="55"/>
      <c r="I110" s="55"/>
      <c r="J110" s="65"/>
      <c r="K110" s="55"/>
      <c r="L110" s="66"/>
      <c r="M110" s="89"/>
      <c r="N110" s="87"/>
      <c r="O110" s="114"/>
      <c r="P110" s="104"/>
      <c r="Q110" s="104"/>
      <c r="R110" s="105"/>
      <c r="S110" s="106"/>
      <c r="T110" s="17"/>
      <c r="U110" s="9"/>
    </row>
    <row r="111" spans="1:21" s="8" customFormat="1" ht="24" customHeight="1" x14ac:dyDescent="0.45">
      <c r="A111" s="86"/>
      <c r="B111" s="53"/>
      <c r="C111" s="53"/>
      <c r="D111" s="53"/>
      <c r="E111" s="53"/>
      <c r="F111" s="53"/>
      <c r="G111" s="54"/>
      <c r="H111" s="55"/>
      <c r="I111" s="55"/>
      <c r="J111" s="65"/>
      <c r="K111" s="55"/>
      <c r="L111" s="66"/>
      <c r="M111" s="89"/>
      <c r="N111" s="87"/>
      <c r="O111" s="114"/>
      <c r="P111" s="104"/>
      <c r="Q111" s="104"/>
      <c r="R111" s="105"/>
      <c r="S111" s="106"/>
      <c r="T111" s="17"/>
      <c r="U111" s="9"/>
    </row>
    <row r="112" spans="1:21" s="8" customFormat="1" ht="24" customHeight="1" x14ac:dyDescent="0.45">
      <c r="A112" s="86"/>
      <c r="B112" s="53"/>
      <c r="C112" s="53"/>
      <c r="D112" s="53"/>
      <c r="E112" s="53"/>
      <c r="F112" s="53"/>
      <c r="G112" s="54"/>
      <c r="H112" s="55"/>
      <c r="I112" s="55"/>
      <c r="J112" s="65"/>
      <c r="K112" s="55"/>
      <c r="L112" s="66"/>
      <c r="M112" s="89"/>
      <c r="N112" s="87"/>
      <c r="O112" s="114"/>
      <c r="P112" s="104"/>
      <c r="Q112" s="104"/>
      <c r="R112" s="105"/>
      <c r="S112" s="106"/>
      <c r="T112" s="17"/>
      <c r="U112" s="9"/>
    </row>
    <row r="113" spans="1:21" s="8" customFormat="1" ht="24" customHeight="1" x14ac:dyDescent="0.45">
      <c r="A113" s="86"/>
      <c r="B113" s="53"/>
      <c r="C113" s="53"/>
      <c r="D113" s="53"/>
      <c r="E113" s="53"/>
      <c r="F113" s="53"/>
      <c r="G113" s="54"/>
      <c r="H113" s="55"/>
      <c r="I113" s="55"/>
      <c r="J113" s="65"/>
      <c r="K113" s="55"/>
      <c r="L113" s="66"/>
      <c r="M113" s="89"/>
      <c r="N113" s="87"/>
      <c r="O113" s="114"/>
      <c r="P113" s="104"/>
      <c r="Q113" s="104"/>
      <c r="R113" s="105"/>
      <c r="S113" s="106"/>
      <c r="T113" s="17"/>
      <c r="U113" s="9"/>
    </row>
    <row r="114" spans="1:21" s="8" customFormat="1" ht="24" customHeight="1" x14ac:dyDescent="0.45">
      <c r="A114" s="86"/>
      <c r="B114" s="53"/>
      <c r="C114" s="53"/>
      <c r="D114" s="53"/>
      <c r="E114" s="53"/>
      <c r="F114" s="53"/>
      <c r="G114" s="54"/>
      <c r="H114" s="55"/>
      <c r="I114" s="55"/>
      <c r="J114" s="65"/>
      <c r="K114" s="55"/>
      <c r="L114" s="66"/>
      <c r="M114" s="89"/>
      <c r="N114" s="87"/>
      <c r="O114" s="114"/>
      <c r="P114" s="104"/>
      <c r="Q114" s="104"/>
      <c r="R114" s="105"/>
      <c r="S114" s="106"/>
      <c r="T114" s="17"/>
      <c r="U114" s="9"/>
    </row>
    <row r="115" spans="1:21" s="8" customFormat="1" ht="24" customHeight="1" x14ac:dyDescent="0.45">
      <c r="A115" s="86"/>
      <c r="B115" s="53"/>
      <c r="C115" s="53"/>
      <c r="D115" s="53"/>
      <c r="E115" s="53"/>
      <c r="F115" s="53"/>
      <c r="G115" s="54"/>
      <c r="H115" s="55"/>
      <c r="I115" s="55"/>
      <c r="J115" s="65"/>
      <c r="K115" s="55"/>
      <c r="L115" s="66"/>
      <c r="M115" s="89"/>
      <c r="N115" s="87"/>
      <c r="O115" s="114"/>
      <c r="P115" s="104"/>
      <c r="Q115" s="104"/>
      <c r="R115" s="105"/>
      <c r="S115" s="106"/>
      <c r="T115" s="17"/>
      <c r="U115" s="9"/>
    </row>
    <row r="116" spans="1:21" s="8" customFormat="1" ht="24" customHeight="1" x14ac:dyDescent="0.45">
      <c r="A116" s="86"/>
      <c r="B116" s="53"/>
      <c r="C116" s="53"/>
      <c r="D116" s="53"/>
      <c r="E116" s="53"/>
      <c r="F116" s="53"/>
      <c r="G116" s="54"/>
      <c r="H116" s="55"/>
      <c r="I116" s="55"/>
      <c r="J116" s="65"/>
      <c r="K116" s="55"/>
      <c r="L116" s="66"/>
      <c r="M116" s="89"/>
      <c r="N116" s="87"/>
      <c r="O116" s="114"/>
      <c r="P116" s="104"/>
      <c r="Q116" s="104"/>
      <c r="R116" s="105"/>
      <c r="S116" s="106"/>
      <c r="T116" s="17"/>
      <c r="U116" s="9"/>
    </row>
    <row r="117" spans="1:21" s="8" customFormat="1" ht="24" customHeight="1" x14ac:dyDescent="0.45">
      <c r="A117" s="86"/>
      <c r="B117" s="53"/>
      <c r="C117" s="53"/>
      <c r="D117" s="53"/>
      <c r="E117" s="53"/>
      <c r="F117" s="53"/>
      <c r="G117" s="54"/>
      <c r="H117" s="55"/>
      <c r="I117" s="55"/>
      <c r="J117" s="65"/>
      <c r="K117" s="55"/>
      <c r="L117" s="66"/>
      <c r="M117" s="89"/>
      <c r="N117" s="87"/>
      <c r="O117" s="114"/>
      <c r="P117" s="104"/>
      <c r="Q117" s="104"/>
      <c r="R117" s="105"/>
      <c r="S117" s="106"/>
      <c r="T117" s="17"/>
      <c r="U117" s="9"/>
    </row>
    <row r="118" spans="1:21" s="8" customFormat="1" ht="24" customHeight="1" x14ac:dyDescent="0.45">
      <c r="A118" s="86"/>
      <c r="B118" s="53"/>
      <c r="C118" s="53"/>
      <c r="D118" s="53"/>
      <c r="E118" s="53"/>
      <c r="F118" s="53"/>
      <c r="G118" s="54"/>
      <c r="H118" s="55"/>
      <c r="I118" s="55"/>
      <c r="J118" s="65"/>
      <c r="K118" s="55"/>
      <c r="L118" s="66"/>
      <c r="M118" s="89"/>
      <c r="N118" s="87"/>
      <c r="O118" s="114"/>
      <c r="P118" s="104"/>
      <c r="Q118" s="104"/>
      <c r="R118" s="105"/>
      <c r="S118" s="106"/>
      <c r="T118" s="17"/>
      <c r="U118" s="9"/>
    </row>
    <row r="119" spans="1:21" s="8" customFormat="1" ht="24" customHeight="1" x14ac:dyDescent="0.45">
      <c r="A119" s="86"/>
      <c r="B119" s="53"/>
      <c r="C119" s="53"/>
      <c r="D119" s="53"/>
      <c r="E119" s="53"/>
      <c r="F119" s="53"/>
      <c r="G119" s="54"/>
      <c r="H119" s="55"/>
      <c r="I119" s="55"/>
      <c r="J119" s="65"/>
      <c r="K119" s="55"/>
      <c r="L119" s="66"/>
      <c r="M119" s="89"/>
      <c r="N119" s="87"/>
      <c r="O119" s="114"/>
      <c r="P119" s="104"/>
      <c r="Q119" s="104"/>
      <c r="R119" s="105"/>
      <c r="S119" s="106"/>
      <c r="T119" s="17"/>
      <c r="U119" s="9"/>
    </row>
    <row r="120" spans="1:21" s="8" customFormat="1" ht="24" customHeight="1" x14ac:dyDescent="0.45">
      <c r="A120" s="86"/>
      <c r="B120" s="53"/>
      <c r="C120" s="53"/>
      <c r="D120" s="53"/>
      <c r="E120" s="53"/>
      <c r="F120" s="53"/>
      <c r="G120" s="54"/>
      <c r="H120" s="55"/>
      <c r="I120" s="55"/>
      <c r="J120" s="65"/>
      <c r="K120" s="55"/>
      <c r="L120" s="66"/>
      <c r="M120" s="89"/>
      <c r="N120" s="87"/>
      <c r="O120" s="114"/>
      <c r="P120" s="104"/>
      <c r="Q120" s="104"/>
      <c r="R120" s="105"/>
      <c r="S120" s="106"/>
      <c r="T120" s="17"/>
      <c r="U120" s="9"/>
    </row>
    <row r="121" spans="1:21" s="8" customFormat="1" ht="24" customHeight="1" x14ac:dyDescent="0.45">
      <c r="A121" s="86"/>
      <c r="B121" s="53"/>
      <c r="C121" s="53"/>
      <c r="D121" s="53"/>
      <c r="E121" s="53"/>
      <c r="F121" s="53"/>
      <c r="G121" s="54"/>
      <c r="H121" s="55"/>
      <c r="I121" s="55"/>
      <c r="J121" s="65"/>
      <c r="K121" s="55"/>
      <c r="L121" s="66"/>
      <c r="M121" s="89"/>
      <c r="N121" s="87"/>
      <c r="O121" s="114"/>
      <c r="P121" s="104"/>
      <c r="Q121" s="104"/>
      <c r="R121" s="105"/>
      <c r="S121" s="106"/>
      <c r="T121" s="17"/>
      <c r="U121" s="9"/>
    </row>
    <row r="122" spans="1:21" s="8" customFormat="1" ht="24" customHeight="1" x14ac:dyDescent="0.45">
      <c r="A122" s="86"/>
      <c r="B122" s="53"/>
      <c r="C122" s="53"/>
      <c r="D122" s="53"/>
      <c r="E122" s="53"/>
      <c r="F122" s="53"/>
      <c r="G122" s="54"/>
      <c r="H122" s="55"/>
      <c r="I122" s="55"/>
      <c r="J122" s="65"/>
      <c r="K122" s="55"/>
      <c r="L122" s="66"/>
      <c r="M122" s="89"/>
      <c r="N122" s="87"/>
      <c r="O122" s="114"/>
      <c r="P122" s="104"/>
      <c r="Q122" s="104"/>
      <c r="R122" s="105"/>
      <c r="S122" s="106"/>
      <c r="T122" s="17"/>
      <c r="U122" s="9"/>
    </row>
    <row r="123" spans="1:21" s="8" customFormat="1" ht="24" customHeight="1" x14ac:dyDescent="0.45">
      <c r="A123" s="86"/>
      <c r="B123" s="53"/>
      <c r="C123" s="53"/>
      <c r="D123" s="53"/>
      <c r="E123" s="53"/>
      <c r="F123" s="53"/>
      <c r="G123" s="54"/>
      <c r="H123" s="55"/>
      <c r="I123" s="55"/>
      <c r="J123" s="65"/>
      <c r="K123" s="55"/>
      <c r="L123" s="66"/>
      <c r="M123" s="89"/>
      <c r="N123" s="87"/>
      <c r="O123" s="114"/>
      <c r="P123" s="104"/>
      <c r="Q123" s="104"/>
      <c r="R123" s="105"/>
      <c r="S123" s="106"/>
      <c r="T123" s="17"/>
      <c r="U123" s="9"/>
    </row>
    <row r="124" spans="1:21" s="8" customFormat="1" ht="24" customHeight="1" x14ac:dyDescent="0.45">
      <c r="A124" s="86"/>
      <c r="B124" s="53"/>
      <c r="C124" s="53"/>
      <c r="D124" s="53"/>
      <c r="E124" s="53"/>
      <c r="F124" s="53"/>
      <c r="G124" s="54"/>
      <c r="H124" s="55"/>
      <c r="I124" s="55"/>
      <c r="J124" s="65"/>
      <c r="K124" s="55"/>
      <c r="L124" s="66"/>
      <c r="M124" s="89"/>
      <c r="N124" s="87"/>
      <c r="O124" s="114"/>
      <c r="P124" s="104"/>
      <c r="Q124" s="104"/>
      <c r="R124" s="105"/>
      <c r="S124" s="106"/>
      <c r="T124" s="17"/>
      <c r="U124" s="9"/>
    </row>
    <row r="125" spans="1:21" s="8" customFormat="1" ht="24" customHeight="1" x14ac:dyDescent="0.45">
      <c r="A125" s="86"/>
      <c r="B125" s="53"/>
      <c r="C125" s="53"/>
      <c r="D125" s="53"/>
      <c r="E125" s="53"/>
      <c r="F125" s="53"/>
      <c r="G125" s="54"/>
      <c r="H125" s="55"/>
      <c r="I125" s="55"/>
      <c r="J125" s="65"/>
      <c r="K125" s="55"/>
      <c r="L125" s="66"/>
      <c r="M125" s="89"/>
      <c r="N125" s="87"/>
      <c r="O125" s="114"/>
      <c r="P125" s="104"/>
      <c r="Q125" s="104"/>
      <c r="R125" s="105"/>
      <c r="S125" s="106"/>
      <c r="T125" s="17"/>
      <c r="U125" s="9"/>
    </row>
    <row r="126" spans="1:21" s="8" customFormat="1" ht="24" customHeight="1" x14ac:dyDescent="0.45">
      <c r="A126" s="86"/>
      <c r="B126" s="53"/>
      <c r="C126" s="53"/>
      <c r="D126" s="53"/>
      <c r="E126" s="53"/>
      <c r="F126" s="53"/>
      <c r="G126" s="54"/>
      <c r="H126" s="55"/>
      <c r="I126" s="55"/>
      <c r="J126" s="65"/>
      <c r="K126" s="55"/>
      <c r="L126" s="66"/>
      <c r="M126" s="89"/>
      <c r="N126" s="87"/>
      <c r="O126" s="114"/>
      <c r="P126" s="104"/>
      <c r="Q126" s="104"/>
      <c r="R126" s="105"/>
      <c r="S126" s="106"/>
      <c r="T126" s="17"/>
      <c r="U126" s="9"/>
    </row>
    <row r="127" spans="1:21" s="8" customFormat="1" ht="24" customHeight="1" x14ac:dyDescent="0.45">
      <c r="A127" s="86"/>
      <c r="B127" s="53"/>
      <c r="C127" s="53"/>
      <c r="D127" s="53"/>
      <c r="E127" s="53"/>
      <c r="F127" s="53"/>
      <c r="G127" s="54"/>
      <c r="H127" s="55"/>
      <c r="I127" s="55"/>
      <c r="J127" s="65"/>
      <c r="K127" s="55"/>
      <c r="L127" s="66"/>
      <c r="M127" s="89"/>
      <c r="N127" s="87"/>
      <c r="O127" s="114"/>
      <c r="P127" s="104"/>
      <c r="Q127" s="104"/>
      <c r="R127" s="105"/>
      <c r="S127" s="106"/>
      <c r="T127" s="17"/>
      <c r="U127" s="9"/>
    </row>
    <row r="128" spans="1:21" s="8" customFormat="1" ht="24" customHeight="1" x14ac:dyDescent="0.45">
      <c r="A128" s="86"/>
      <c r="B128" s="53"/>
      <c r="C128" s="53"/>
      <c r="D128" s="53"/>
      <c r="E128" s="53"/>
      <c r="F128" s="53"/>
      <c r="G128" s="54"/>
      <c r="H128" s="55"/>
      <c r="I128" s="55"/>
      <c r="J128" s="65"/>
      <c r="K128" s="55"/>
      <c r="L128" s="66"/>
      <c r="M128" s="89"/>
      <c r="N128" s="87"/>
      <c r="O128" s="114"/>
      <c r="P128" s="104"/>
      <c r="Q128" s="104"/>
      <c r="R128" s="105"/>
      <c r="S128" s="106"/>
      <c r="T128" s="17"/>
      <c r="U128" s="9"/>
    </row>
    <row r="129" spans="1:21" s="8" customFormat="1" ht="24" customHeight="1" x14ac:dyDescent="0.45">
      <c r="A129" s="86"/>
      <c r="B129" s="53"/>
      <c r="C129" s="53"/>
      <c r="D129" s="53"/>
      <c r="E129" s="53"/>
      <c r="F129" s="53"/>
      <c r="G129" s="54"/>
      <c r="H129" s="55"/>
      <c r="I129" s="55"/>
      <c r="J129" s="65"/>
      <c r="K129" s="55"/>
      <c r="L129" s="66"/>
      <c r="M129" s="89"/>
      <c r="N129" s="87"/>
      <c r="O129" s="114"/>
      <c r="P129" s="104"/>
      <c r="Q129" s="104"/>
      <c r="R129" s="105"/>
      <c r="S129" s="106"/>
      <c r="T129" s="17"/>
      <c r="U129" s="9"/>
    </row>
    <row r="130" spans="1:21" s="8" customFormat="1" ht="24" customHeight="1" x14ac:dyDescent="0.45">
      <c r="A130" s="86"/>
      <c r="B130" s="53"/>
      <c r="C130" s="53"/>
      <c r="D130" s="53"/>
      <c r="E130" s="53"/>
      <c r="F130" s="53"/>
      <c r="G130" s="54"/>
      <c r="H130" s="55"/>
      <c r="I130" s="55"/>
      <c r="J130" s="65"/>
      <c r="K130" s="55"/>
      <c r="L130" s="66"/>
      <c r="M130" s="89"/>
      <c r="N130" s="87"/>
      <c r="O130" s="114"/>
      <c r="P130" s="104"/>
      <c r="Q130" s="104"/>
      <c r="R130" s="105"/>
      <c r="S130" s="106"/>
      <c r="T130" s="17"/>
      <c r="U130" s="9"/>
    </row>
    <row r="131" spans="1:21" s="8" customFormat="1" ht="24" customHeight="1" x14ac:dyDescent="0.45">
      <c r="A131" s="86"/>
      <c r="B131" s="53"/>
      <c r="C131" s="53"/>
      <c r="D131" s="53"/>
      <c r="E131" s="53"/>
      <c r="F131" s="53"/>
      <c r="G131" s="54"/>
      <c r="H131" s="55"/>
      <c r="I131" s="55"/>
      <c r="J131" s="65"/>
      <c r="K131" s="55"/>
      <c r="L131" s="66"/>
      <c r="M131" s="89"/>
      <c r="N131" s="87"/>
      <c r="O131" s="114"/>
      <c r="P131" s="104"/>
      <c r="Q131" s="104"/>
      <c r="R131" s="105"/>
      <c r="S131" s="106"/>
      <c r="T131" s="17"/>
      <c r="U131" s="9"/>
    </row>
    <row r="132" spans="1:21" s="8" customFormat="1" ht="24" customHeight="1" x14ac:dyDescent="0.45">
      <c r="A132" s="86"/>
      <c r="B132" s="53"/>
      <c r="C132" s="53"/>
      <c r="D132" s="53"/>
      <c r="E132" s="53"/>
      <c r="F132" s="53"/>
      <c r="G132" s="54"/>
      <c r="H132" s="55"/>
      <c r="I132" s="55"/>
      <c r="J132" s="65"/>
      <c r="K132" s="55"/>
      <c r="L132" s="66"/>
      <c r="M132" s="89"/>
      <c r="N132" s="87"/>
      <c r="O132" s="114"/>
      <c r="P132" s="104"/>
      <c r="Q132" s="104"/>
      <c r="R132" s="105"/>
      <c r="S132" s="106"/>
      <c r="T132" s="17"/>
      <c r="U132" s="9"/>
    </row>
    <row r="133" spans="1:21" s="8" customFormat="1" ht="24" customHeight="1" x14ac:dyDescent="0.45">
      <c r="A133" s="86"/>
      <c r="B133" s="53"/>
      <c r="C133" s="53"/>
      <c r="D133" s="53"/>
      <c r="E133" s="53"/>
      <c r="F133" s="53"/>
      <c r="G133" s="54"/>
      <c r="H133" s="55"/>
      <c r="I133" s="55"/>
      <c r="J133" s="65"/>
      <c r="K133" s="55"/>
      <c r="L133" s="66"/>
      <c r="M133" s="89"/>
      <c r="N133" s="87"/>
      <c r="O133" s="114"/>
      <c r="P133" s="104"/>
      <c r="Q133" s="104"/>
      <c r="R133" s="105"/>
      <c r="S133" s="106"/>
      <c r="T133" s="17"/>
      <c r="U133" s="9"/>
    </row>
    <row r="134" spans="1:21" s="8" customFormat="1" ht="24" customHeight="1" x14ac:dyDescent="0.45">
      <c r="A134" s="86"/>
      <c r="B134" s="53"/>
      <c r="C134" s="53"/>
      <c r="D134" s="53"/>
      <c r="E134" s="53"/>
      <c r="F134" s="53"/>
      <c r="G134" s="54"/>
      <c r="H134" s="55"/>
      <c r="I134" s="55"/>
      <c r="J134" s="65"/>
      <c r="K134" s="55"/>
      <c r="L134" s="66"/>
      <c r="M134" s="89"/>
      <c r="N134" s="87"/>
      <c r="O134" s="114"/>
      <c r="P134" s="104"/>
      <c r="Q134" s="104"/>
      <c r="R134" s="105"/>
      <c r="S134" s="106"/>
      <c r="T134" s="17"/>
      <c r="U134" s="9"/>
    </row>
    <row r="135" spans="1:21" s="8" customFormat="1" ht="24" customHeight="1" x14ac:dyDescent="0.45">
      <c r="A135" s="86"/>
      <c r="B135" s="53"/>
      <c r="C135" s="53"/>
      <c r="D135" s="53"/>
      <c r="E135" s="53"/>
      <c r="F135" s="53"/>
      <c r="G135" s="54"/>
      <c r="H135" s="55"/>
      <c r="I135" s="55"/>
      <c r="J135" s="65"/>
      <c r="K135" s="55"/>
      <c r="L135" s="66"/>
      <c r="M135" s="89"/>
      <c r="N135" s="87"/>
      <c r="O135" s="114"/>
      <c r="P135" s="104"/>
      <c r="Q135" s="104"/>
      <c r="R135" s="105"/>
      <c r="S135" s="106"/>
      <c r="T135" s="17"/>
      <c r="U135" s="9"/>
    </row>
    <row r="136" spans="1:21" s="8" customFormat="1" ht="24" customHeight="1" x14ac:dyDescent="0.45">
      <c r="A136" s="86"/>
      <c r="B136" s="53"/>
      <c r="C136" s="53"/>
      <c r="D136" s="53"/>
      <c r="E136" s="53"/>
      <c r="F136" s="53"/>
      <c r="G136" s="54"/>
      <c r="H136" s="55"/>
      <c r="I136" s="55"/>
      <c r="J136" s="65"/>
      <c r="K136" s="55"/>
      <c r="L136" s="66"/>
      <c r="M136" s="89"/>
      <c r="N136" s="87"/>
      <c r="O136" s="114"/>
      <c r="P136" s="104"/>
      <c r="Q136" s="104"/>
      <c r="R136" s="105"/>
      <c r="S136" s="106"/>
      <c r="T136" s="17"/>
      <c r="U136" s="9"/>
    </row>
    <row r="137" spans="1:21" s="8" customFormat="1" ht="24" customHeight="1" x14ac:dyDescent="0.45">
      <c r="A137" s="86"/>
      <c r="B137" s="53"/>
      <c r="C137" s="53"/>
      <c r="D137" s="53"/>
      <c r="E137" s="53"/>
      <c r="F137" s="53"/>
      <c r="G137" s="54"/>
      <c r="H137" s="55"/>
      <c r="I137" s="55"/>
      <c r="J137" s="65"/>
      <c r="K137" s="55"/>
      <c r="L137" s="66"/>
      <c r="M137" s="89"/>
      <c r="N137" s="87"/>
      <c r="O137" s="114"/>
      <c r="P137" s="104"/>
      <c r="Q137" s="104"/>
      <c r="R137" s="105"/>
      <c r="S137" s="106"/>
      <c r="T137" s="17"/>
      <c r="U137" s="9"/>
    </row>
    <row r="138" spans="1:21" s="8" customFormat="1" ht="24" customHeight="1" x14ac:dyDescent="0.45">
      <c r="A138" s="86"/>
      <c r="B138" s="53"/>
      <c r="C138" s="53"/>
      <c r="D138" s="53"/>
      <c r="E138" s="53"/>
      <c r="F138" s="53"/>
      <c r="G138" s="54"/>
      <c r="H138" s="55"/>
      <c r="I138" s="55"/>
      <c r="J138" s="65"/>
      <c r="K138" s="55"/>
      <c r="L138" s="66"/>
      <c r="M138" s="89"/>
      <c r="N138" s="87"/>
      <c r="O138" s="114"/>
      <c r="P138" s="104"/>
      <c r="Q138" s="104"/>
      <c r="R138" s="105"/>
      <c r="S138" s="106"/>
      <c r="T138" s="17"/>
      <c r="U138" s="9"/>
    </row>
    <row r="139" spans="1:21" s="8" customFormat="1" ht="24" customHeight="1" x14ac:dyDescent="0.45">
      <c r="A139" s="86"/>
      <c r="B139" s="53"/>
      <c r="C139" s="53"/>
      <c r="D139" s="53"/>
      <c r="E139" s="53"/>
      <c r="F139" s="53"/>
      <c r="G139" s="54"/>
      <c r="H139" s="55"/>
      <c r="I139" s="55"/>
      <c r="J139" s="65"/>
      <c r="K139" s="55"/>
      <c r="L139" s="66"/>
      <c r="M139" s="89"/>
      <c r="N139" s="87"/>
      <c r="O139" s="114"/>
      <c r="P139" s="104"/>
      <c r="Q139" s="104"/>
      <c r="R139" s="105"/>
      <c r="S139" s="106"/>
      <c r="T139" s="17"/>
      <c r="U139" s="9"/>
    </row>
    <row r="140" spans="1:21" s="8" customFormat="1" ht="24" customHeight="1" x14ac:dyDescent="0.45">
      <c r="A140" s="86"/>
      <c r="B140" s="53"/>
      <c r="C140" s="53"/>
      <c r="D140" s="53"/>
      <c r="E140" s="53"/>
      <c r="F140" s="53"/>
      <c r="G140" s="54"/>
      <c r="H140" s="55"/>
      <c r="I140" s="55"/>
      <c r="J140" s="65"/>
      <c r="K140" s="55"/>
      <c r="L140" s="66"/>
      <c r="M140" s="89"/>
      <c r="N140" s="87"/>
      <c r="O140" s="114"/>
      <c r="P140" s="104"/>
      <c r="Q140" s="104"/>
      <c r="R140" s="105"/>
      <c r="S140" s="106"/>
      <c r="T140" s="17"/>
      <c r="U140" s="9"/>
    </row>
    <row r="141" spans="1:21" s="8" customFormat="1" ht="24" customHeight="1" x14ac:dyDescent="0.45">
      <c r="A141" s="86"/>
      <c r="B141" s="53"/>
      <c r="C141" s="53"/>
      <c r="D141" s="53"/>
      <c r="E141" s="53"/>
      <c r="F141" s="53"/>
      <c r="G141" s="54"/>
      <c r="H141" s="55"/>
      <c r="I141" s="55"/>
      <c r="J141" s="65"/>
      <c r="K141" s="55"/>
      <c r="L141" s="66"/>
      <c r="M141" s="89"/>
      <c r="N141" s="87"/>
      <c r="O141" s="114"/>
      <c r="P141" s="104"/>
      <c r="Q141" s="104"/>
      <c r="R141" s="105"/>
      <c r="S141" s="106"/>
      <c r="T141" s="17"/>
      <c r="U141" s="9"/>
    </row>
    <row r="142" spans="1:21" s="8" customFormat="1" ht="24" customHeight="1" x14ac:dyDescent="0.45">
      <c r="A142" s="86"/>
      <c r="B142" s="53"/>
      <c r="C142" s="53"/>
      <c r="D142" s="53"/>
      <c r="E142" s="53"/>
      <c r="F142" s="53"/>
      <c r="G142" s="54"/>
      <c r="H142" s="55"/>
      <c r="I142" s="55"/>
      <c r="J142" s="65"/>
      <c r="K142" s="55"/>
      <c r="L142" s="66"/>
      <c r="M142" s="89"/>
      <c r="N142" s="87"/>
      <c r="O142" s="114"/>
      <c r="P142" s="104"/>
      <c r="Q142" s="104"/>
      <c r="R142" s="105"/>
      <c r="S142" s="106"/>
      <c r="T142" s="17"/>
      <c r="U142" s="9"/>
    </row>
    <row r="143" spans="1:21" s="8" customFormat="1" ht="24" customHeight="1" x14ac:dyDescent="0.45">
      <c r="A143" s="86"/>
      <c r="B143" s="53"/>
      <c r="C143" s="53"/>
      <c r="D143" s="53"/>
      <c r="E143" s="53"/>
      <c r="F143" s="53"/>
      <c r="G143" s="54"/>
      <c r="H143" s="55"/>
      <c r="I143" s="55"/>
      <c r="J143" s="65"/>
      <c r="K143" s="55"/>
      <c r="L143" s="66"/>
      <c r="M143" s="89"/>
      <c r="N143" s="87"/>
      <c r="O143" s="114"/>
      <c r="P143" s="104"/>
      <c r="Q143" s="104"/>
      <c r="R143" s="105"/>
      <c r="S143" s="106"/>
      <c r="T143" s="17"/>
      <c r="U143" s="9"/>
    </row>
    <row r="144" spans="1:21" s="8" customFormat="1" ht="24" customHeight="1" x14ac:dyDescent="0.45">
      <c r="A144" s="86"/>
      <c r="B144" s="53"/>
      <c r="C144" s="53"/>
      <c r="D144" s="53"/>
      <c r="E144" s="53"/>
      <c r="F144" s="53"/>
      <c r="G144" s="54"/>
      <c r="H144" s="55"/>
      <c r="I144" s="55"/>
      <c r="J144" s="65"/>
      <c r="K144" s="55"/>
      <c r="L144" s="66"/>
      <c r="M144" s="89"/>
      <c r="N144" s="87"/>
      <c r="O144" s="114"/>
      <c r="P144" s="104"/>
      <c r="Q144" s="104"/>
      <c r="R144" s="105"/>
      <c r="S144" s="106"/>
      <c r="T144" s="17"/>
      <c r="U144" s="9"/>
    </row>
    <row r="145" spans="1:21" s="8" customFormat="1" ht="24" customHeight="1" x14ac:dyDescent="0.45">
      <c r="A145" s="86"/>
      <c r="B145" s="53"/>
      <c r="C145" s="53"/>
      <c r="D145" s="53"/>
      <c r="E145" s="53"/>
      <c r="F145" s="53"/>
      <c r="G145" s="54"/>
      <c r="H145" s="55"/>
      <c r="I145" s="55"/>
      <c r="J145" s="65"/>
      <c r="K145" s="55"/>
      <c r="L145" s="66"/>
      <c r="M145" s="89"/>
      <c r="N145" s="87"/>
      <c r="O145" s="114"/>
      <c r="P145" s="104"/>
      <c r="Q145" s="104"/>
      <c r="R145" s="105"/>
      <c r="S145" s="106"/>
      <c r="T145" s="17"/>
      <c r="U145" s="9"/>
    </row>
    <row r="146" spans="1:21" s="8" customFormat="1" ht="24" customHeight="1" x14ac:dyDescent="0.45">
      <c r="A146" s="86"/>
      <c r="B146" s="53"/>
      <c r="C146" s="53"/>
      <c r="D146" s="53"/>
      <c r="E146" s="53"/>
      <c r="F146" s="53"/>
      <c r="G146" s="54"/>
      <c r="H146" s="55"/>
      <c r="I146" s="55"/>
      <c r="J146" s="65"/>
      <c r="K146" s="55"/>
      <c r="L146" s="66"/>
      <c r="M146" s="89"/>
      <c r="N146" s="87"/>
      <c r="O146" s="114"/>
      <c r="P146" s="104"/>
      <c r="Q146" s="104"/>
      <c r="R146" s="105"/>
      <c r="S146" s="106"/>
      <c r="T146" s="17"/>
      <c r="U146" s="9"/>
    </row>
    <row r="147" spans="1:21" s="8" customFormat="1" ht="24" customHeight="1" x14ac:dyDescent="0.45">
      <c r="A147" s="86"/>
      <c r="B147" s="53"/>
      <c r="C147" s="53"/>
      <c r="D147" s="53"/>
      <c r="E147" s="53"/>
      <c r="F147" s="53"/>
      <c r="G147" s="54"/>
      <c r="H147" s="55"/>
      <c r="I147" s="55"/>
      <c r="J147" s="65"/>
      <c r="K147" s="55"/>
      <c r="L147" s="66"/>
      <c r="M147" s="89"/>
      <c r="N147" s="87"/>
      <c r="O147" s="114"/>
      <c r="P147" s="104"/>
      <c r="Q147" s="104"/>
      <c r="R147" s="105"/>
      <c r="S147" s="106"/>
      <c r="T147" s="17"/>
      <c r="U147" s="9"/>
    </row>
    <row r="148" spans="1:21" s="8" customFormat="1" ht="24" customHeight="1" x14ac:dyDescent="0.45">
      <c r="A148" s="86"/>
      <c r="B148" s="53"/>
      <c r="C148" s="53"/>
      <c r="D148" s="53"/>
      <c r="E148" s="53"/>
      <c r="F148" s="53"/>
      <c r="G148" s="54"/>
      <c r="H148" s="55"/>
      <c r="I148" s="55"/>
      <c r="J148" s="65"/>
      <c r="K148" s="55"/>
      <c r="L148" s="66"/>
      <c r="M148" s="89"/>
      <c r="N148" s="87"/>
      <c r="O148" s="114"/>
      <c r="P148" s="104"/>
      <c r="Q148" s="104"/>
      <c r="R148" s="105"/>
      <c r="S148" s="106"/>
      <c r="T148" s="17"/>
      <c r="U148" s="9"/>
    </row>
    <row r="149" spans="1:21" s="8" customFormat="1" ht="24" customHeight="1" x14ac:dyDescent="0.45">
      <c r="A149" s="86"/>
      <c r="B149" s="53"/>
      <c r="C149" s="53"/>
      <c r="D149" s="53"/>
      <c r="E149" s="53"/>
      <c r="F149" s="53"/>
      <c r="G149" s="54"/>
      <c r="H149" s="55"/>
      <c r="I149" s="55"/>
      <c r="J149" s="65"/>
      <c r="K149" s="55"/>
      <c r="L149" s="66"/>
      <c r="M149" s="89"/>
      <c r="N149" s="87"/>
      <c r="O149" s="114"/>
      <c r="P149" s="104"/>
      <c r="Q149" s="104"/>
      <c r="R149" s="105"/>
      <c r="S149" s="106"/>
      <c r="T149" s="17"/>
      <c r="U149" s="9"/>
    </row>
    <row r="150" spans="1:21" s="8" customFormat="1" ht="24" customHeight="1" x14ac:dyDescent="0.45">
      <c r="A150" s="86"/>
      <c r="B150" s="53"/>
      <c r="C150" s="53"/>
      <c r="D150" s="53"/>
      <c r="E150" s="53"/>
      <c r="F150" s="53"/>
      <c r="G150" s="54"/>
      <c r="H150" s="55"/>
      <c r="I150" s="55"/>
      <c r="J150" s="65"/>
      <c r="K150" s="55"/>
      <c r="L150" s="66"/>
      <c r="M150" s="89"/>
      <c r="N150" s="87"/>
      <c r="O150" s="114"/>
      <c r="P150" s="104"/>
      <c r="Q150" s="104"/>
      <c r="R150" s="105"/>
      <c r="S150" s="106"/>
      <c r="T150" s="17"/>
      <c r="U150" s="9"/>
    </row>
    <row r="151" spans="1:21" s="8" customFormat="1" ht="24" customHeight="1" x14ac:dyDescent="0.45">
      <c r="A151" s="86"/>
      <c r="B151" s="53"/>
      <c r="C151" s="53"/>
      <c r="D151" s="53"/>
      <c r="E151" s="53"/>
      <c r="F151" s="53"/>
      <c r="G151" s="54"/>
      <c r="H151" s="55"/>
      <c r="I151" s="55"/>
      <c r="J151" s="65"/>
      <c r="K151" s="55"/>
      <c r="L151" s="66"/>
      <c r="M151" s="89"/>
      <c r="N151" s="87"/>
      <c r="O151" s="114"/>
      <c r="P151" s="104"/>
      <c r="Q151" s="104"/>
      <c r="R151" s="105"/>
      <c r="S151" s="106"/>
      <c r="T151" s="17"/>
      <c r="U151" s="9"/>
    </row>
    <row r="152" spans="1:21" s="8" customFormat="1" ht="24" customHeight="1" x14ac:dyDescent="0.45">
      <c r="A152" s="86"/>
      <c r="B152" s="53"/>
      <c r="C152" s="53"/>
      <c r="D152" s="53"/>
      <c r="E152" s="53"/>
      <c r="F152" s="53"/>
      <c r="G152" s="54"/>
      <c r="H152" s="55"/>
      <c r="I152" s="55"/>
      <c r="J152" s="65"/>
      <c r="K152" s="55"/>
      <c r="L152" s="66"/>
      <c r="M152" s="89"/>
      <c r="N152" s="87"/>
      <c r="O152" s="114"/>
      <c r="P152" s="104"/>
      <c r="Q152" s="104"/>
      <c r="R152" s="105"/>
      <c r="S152" s="106"/>
      <c r="T152" s="17"/>
      <c r="U152" s="9"/>
    </row>
    <row r="153" spans="1:21" s="8" customFormat="1" ht="24" customHeight="1" x14ac:dyDescent="0.45">
      <c r="A153" s="86"/>
      <c r="B153" s="53"/>
      <c r="C153" s="53"/>
      <c r="D153" s="53"/>
      <c r="E153" s="53"/>
      <c r="F153" s="53"/>
      <c r="G153" s="54"/>
      <c r="H153" s="55"/>
      <c r="I153" s="55"/>
      <c r="J153" s="65"/>
      <c r="K153" s="55"/>
      <c r="L153" s="66"/>
      <c r="M153" s="89"/>
      <c r="N153" s="87"/>
      <c r="O153" s="114"/>
      <c r="P153" s="104"/>
      <c r="Q153" s="104"/>
      <c r="R153" s="105"/>
      <c r="S153" s="106"/>
      <c r="T153" s="17"/>
      <c r="U153" s="9"/>
    </row>
    <row r="154" spans="1:21" s="8" customFormat="1" ht="24" customHeight="1" x14ac:dyDescent="0.45">
      <c r="A154" s="86"/>
      <c r="B154" s="53"/>
      <c r="C154" s="53"/>
      <c r="D154" s="53"/>
      <c r="E154" s="53"/>
      <c r="F154" s="53"/>
      <c r="G154" s="54"/>
      <c r="H154" s="55"/>
      <c r="I154" s="55"/>
      <c r="J154" s="65"/>
      <c r="K154" s="55"/>
      <c r="L154" s="66"/>
      <c r="M154" s="89"/>
      <c r="N154" s="87"/>
      <c r="O154" s="114"/>
      <c r="P154" s="104"/>
      <c r="Q154" s="104"/>
      <c r="R154" s="105"/>
      <c r="S154" s="106"/>
      <c r="T154" s="17"/>
      <c r="U154" s="9"/>
    </row>
    <row r="155" spans="1:21" s="8" customFormat="1" ht="24" customHeight="1" x14ac:dyDescent="0.45">
      <c r="A155" s="86"/>
      <c r="B155" s="53"/>
      <c r="C155" s="53"/>
      <c r="D155" s="53"/>
      <c r="E155" s="53"/>
      <c r="F155" s="53"/>
      <c r="G155" s="54"/>
      <c r="H155" s="55"/>
      <c r="I155" s="55"/>
      <c r="J155" s="65"/>
      <c r="K155" s="55"/>
      <c r="L155" s="66"/>
      <c r="M155" s="89"/>
      <c r="N155" s="87"/>
      <c r="O155" s="114"/>
      <c r="P155" s="104"/>
      <c r="Q155" s="104"/>
      <c r="R155" s="105"/>
      <c r="S155" s="106"/>
      <c r="T155" s="17"/>
      <c r="U155" s="9"/>
    </row>
    <row r="156" spans="1:21" s="8" customFormat="1" ht="24" customHeight="1" x14ac:dyDescent="0.45">
      <c r="A156" s="86"/>
      <c r="B156" s="53"/>
      <c r="C156" s="53"/>
      <c r="D156" s="53"/>
      <c r="E156" s="53"/>
      <c r="F156" s="53"/>
      <c r="G156" s="54"/>
      <c r="H156" s="55"/>
      <c r="I156" s="55"/>
      <c r="J156" s="65"/>
      <c r="K156" s="55"/>
      <c r="L156" s="66"/>
      <c r="M156" s="89"/>
      <c r="N156" s="87"/>
      <c r="O156" s="114"/>
      <c r="P156" s="104"/>
      <c r="Q156" s="104"/>
      <c r="R156" s="105"/>
      <c r="S156" s="106"/>
      <c r="T156" s="17"/>
      <c r="U156" s="9"/>
    </row>
    <row r="157" spans="1:21" s="8" customFormat="1" ht="24" customHeight="1" x14ac:dyDescent="0.45">
      <c r="A157" s="86"/>
      <c r="B157" s="53"/>
      <c r="C157" s="53"/>
      <c r="D157" s="53"/>
      <c r="E157" s="53"/>
      <c r="F157" s="53"/>
      <c r="G157" s="54"/>
      <c r="H157" s="55"/>
      <c r="I157" s="55"/>
      <c r="J157" s="65"/>
      <c r="K157" s="55"/>
      <c r="L157" s="66"/>
      <c r="M157" s="89"/>
      <c r="N157" s="87"/>
      <c r="O157" s="114"/>
      <c r="P157" s="104"/>
      <c r="Q157" s="104"/>
      <c r="R157" s="105"/>
      <c r="S157" s="106"/>
      <c r="T157" s="17"/>
      <c r="U157" s="9"/>
    </row>
    <row r="158" spans="1:21" s="8" customFormat="1" ht="24" customHeight="1" x14ac:dyDescent="0.45">
      <c r="A158" s="86"/>
      <c r="B158" s="53"/>
      <c r="C158" s="53"/>
      <c r="D158" s="53"/>
      <c r="E158" s="53"/>
      <c r="F158" s="53"/>
      <c r="G158" s="54"/>
      <c r="H158" s="55"/>
      <c r="I158" s="55"/>
      <c r="J158" s="65"/>
      <c r="K158" s="55"/>
      <c r="L158" s="66"/>
      <c r="M158" s="89"/>
      <c r="N158" s="87"/>
      <c r="O158" s="114"/>
      <c r="P158" s="104"/>
      <c r="Q158" s="104"/>
      <c r="R158" s="105"/>
      <c r="S158" s="106"/>
      <c r="T158" s="17"/>
      <c r="U158" s="9"/>
    </row>
    <row r="159" spans="1:21" s="8" customFormat="1" ht="24" customHeight="1" x14ac:dyDescent="0.45">
      <c r="A159" s="86"/>
      <c r="B159" s="53"/>
      <c r="C159" s="53"/>
      <c r="D159" s="53"/>
      <c r="E159" s="53"/>
      <c r="F159" s="53"/>
      <c r="G159" s="54"/>
      <c r="H159" s="55"/>
      <c r="I159" s="55"/>
      <c r="J159" s="65"/>
      <c r="K159" s="55"/>
      <c r="L159" s="66"/>
      <c r="M159" s="89"/>
      <c r="N159" s="87"/>
      <c r="O159" s="114"/>
      <c r="P159" s="104"/>
      <c r="Q159" s="104"/>
      <c r="R159" s="105"/>
      <c r="S159" s="106"/>
      <c r="T159" s="17"/>
      <c r="U159" s="9"/>
    </row>
    <row r="160" spans="1:21" s="8" customFormat="1" ht="24" customHeight="1" x14ac:dyDescent="0.45">
      <c r="A160" s="86"/>
      <c r="B160" s="53"/>
      <c r="C160" s="53"/>
      <c r="D160" s="53"/>
      <c r="E160" s="53"/>
      <c r="F160" s="53"/>
      <c r="G160" s="54"/>
      <c r="H160" s="55"/>
      <c r="I160" s="55"/>
      <c r="J160" s="65"/>
      <c r="K160" s="55"/>
      <c r="L160" s="66"/>
      <c r="M160" s="89"/>
      <c r="N160" s="87"/>
      <c r="O160" s="114"/>
      <c r="P160" s="104"/>
      <c r="Q160" s="104"/>
      <c r="R160" s="105"/>
      <c r="S160" s="106"/>
      <c r="T160" s="17"/>
      <c r="U160" s="9"/>
    </row>
    <row r="161" spans="1:21" s="8" customFormat="1" ht="24" customHeight="1" x14ac:dyDescent="0.45">
      <c r="A161" s="86"/>
      <c r="B161" s="53"/>
      <c r="C161" s="53"/>
      <c r="D161" s="53"/>
      <c r="E161" s="53"/>
      <c r="F161" s="53"/>
      <c r="G161" s="54"/>
      <c r="H161" s="55"/>
      <c r="I161" s="55"/>
      <c r="J161" s="65"/>
      <c r="K161" s="55"/>
      <c r="L161" s="66"/>
      <c r="M161" s="89"/>
      <c r="N161" s="87"/>
      <c r="O161" s="114"/>
      <c r="P161" s="104"/>
      <c r="Q161" s="104"/>
      <c r="R161" s="105"/>
      <c r="S161" s="106"/>
      <c r="T161" s="17"/>
      <c r="U161" s="9"/>
    </row>
    <row r="162" spans="1:21" s="8" customFormat="1" ht="24" customHeight="1" x14ac:dyDescent="0.45">
      <c r="A162" s="86"/>
      <c r="B162" s="53"/>
      <c r="C162" s="53"/>
      <c r="D162" s="53"/>
      <c r="E162" s="53"/>
      <c r="F162" s="53"/>
      <c r="G162" s="54"/>
      <c r="H162" s="55"/>
      <c r="I162" s="55"/>
      <c r="J162" s="65"/>
      <c r="K162" s="55"/>
      <c r="L162" s="66"/>
      <c r="M162" s="89"/>
      <c r="N162" s="87"/>
      <c r="O162" s="114"/>
      <c r="P162" s="104"/>
      <c r="Q162" s="104"/>
      <c r="R162" s="105"/>
      <c r="S162" s="106"/>
      <c r="T162" s="17"/>
      <c r="U162" s="9"/>
    </row>
    <row r="163" spans="1:21" s="8" customFormat="1" ht="24" customHeight="1" x14ac:dyDescent="0.45">
      <c r="A163" s="86"/>
      <c r="B163" s="53"/>
      <c r="C163" s="53"/>
      <c r="D163" s="53"/>
      <c r="E163" s="53"/>
      <c r="F163" s="53"/>
      <c r="G163" s="54"/>
      <c r="H163" s="55"/>
      <c r="I163" s="55"/>
      <c r="J163" s="65"/>
      <c r="K163" s="55"/>
      <c r="L163" s="66"/>
      <c r="M163" s="89"/>
      <c r="N163" s="87"/>
      <c r="O163" s="114"/>
      <c r="P163" s="104"/>
      <c r="Q163" s="104"/>
      <c r="R163" s="105"/>
      <c r="S163" s="106"/>
      <c r="T163" s="17"/>
      <c r="U163" s="9"/>
    </row>
    <row r="164" spans="1:21" s="8" customFormat="1" ht="24" customHeight="1" x14ac:dyDescent="0.45">
      <c r="A164" s="86"/>
      <c r="B164" s="53"/>
      <c r="C164" s="53"/>
      <c r="D164" s="53"/>
      <c r="E164" s="53"/>
      <c r="F164" s="53"/>
      <c r="G164" s="54"/>
      <c r="H164" s="55"/>
      <c r="I164" s="55"/>
      <c r="J164" s="65"/>
      <c r="K164" s="55"/>
      <c r="L164" s="66"/>
      <c r="M164" s="89"/>
      <c r="N164" s="87"/>
      <c r="O164" s="114"/>
      <c r="P164" s="104"/>
      <c r="Q164" s="104"/>
      <c r="R164" s="105"/>
      <c r="S164" s="106"/>
      <c r="T164" s="17"/>
      <c r="U164" s="9"/>
    </row>
    <row r="165" spans="1:21" s="8" customFormat="1" ht="24" customHeight="1" x14ac:dyDescent="0.45">
      <c r="A165" s="86"/>
      <c r="B165" s="53"/>
      <c r="C165" s="53"/>
      <c r="D165" s="53"/>
      <c r="E165" s="53"/>
      <c r="F165" s="53"/>
      <c r="G165" s="54"/>
      <c r="H165" s="55"/>
      <c r="I165" s="55"/>
      <c r="J165" s="65"/>
      <c r="K165" s="55"/>
      <c r="L165" s="66"/>
      <c r="M165" s="89"/>
      <c r="N165" s="87"/>
      <c r="O165" s="114"/>
      <c r="P165" s="104"/>
      <c r="Q165" s="104"/>
      <c r="R165" s="105"/>
      <c r="S165" s="106"/>
      <c r="T165" s="17"/>
      <c r="U165" s="9"/>
    </row>
    <row r="166" spans="1:21" s="8" customFormat="1" ht="24" customHeight="1" x14ac:dyDescent="0.45">
      <c r="A166" s="86"/>
      <c r="B166" s="53"/>
      <c r="C166" s="53"/>
      <c r="D166" s="53"/>
      <c r="E166" s="53"/>
      <c r="F166" s="53"/>
      <c r="G166" s="54"/>
      <c r="H166" s="55"/>
      <c r="I166" s="55"/>
      <c r="J166" s="65"/>
      <c r="K166" s="55"/>
      <c r="L166" s="66"/>
      <c r="M166" s="89"/>
      <c r="N166" s="87"/>
      <c r="O166" s="114"/>
      <c r="P166" s="104"/>
      <c r="Q166" s="104"/>
      <c r="R166" s="105"/>
      <c r="S166" s="106"/>
      <c r="T166" s="17"/>
      <c r="U166" s="9"/>
    </row>
    <row r="167" spans="1:21" s="8" customFormat="1" ht="24" customHeight="1" x14ac:dyDescent="0.45">
      <c r="A167" s="86"/>
      <c r="B167" s="53"/>
      <c r="C167" s="53"/>
      <c r="D167" s="53"/>
      <c r="E167" s="53"/>
      <c r="F167" s="53"/>
      <c r="G167" s="54"/>
      <c r="H167" s="55"/>
      <c r="I167" s="55"/>
      <c r="J167" s="65"/>
      <c r="K167" s="55"/>
      <c r="L167" s="66"/>
      <c r="M167" s="89"/>
      <c r="N167" s="87"/>
      <c r="O167" s="114"/>
      <c r="P167" s="104"/>
      <c r="Q167" s="104"/>
      <c r="R167" s="105"/>
      <c r="S167" s="106"/>
      <c r="T167" s="17"/>
      <c r="U167" s="9"/>
    </row>
    <row r="168" spans="1:21" s="8" customFormat="1" ht="24" customHeight="1" x14ac:dyDescent="0.45">
      <c r="A168" s="86"/>
      <c r="B168" s="53"/>
      <c r="C168" s="53"/>
      <c r="D168" s="53"/>
      <c r="E168" s="53"/>
      <c r="F168" s="53"/>
      <c r="G168" s="54"/>
      <c r="H168" s="55"/>
      <c r="I168" s="55"/>
      <c r="J168" s="65"/>
      <c r="K168" s="55"/>
      <c r="L168" s="66"/>
      <c r="M168" s="89"/>
      <c r="N168" s="87"/>
      <c r="O168" s="114"/>
      <c r="P168" s="104"/>
      <c r="Q168" s="104"/>
      <c r="R168" s="105"/>
      <c r="S168" s="106"/>
      <c r="T168" s="17"/>
      <c r="U168" s="9"/>
    </row>
    <row r="169" spans="1:21" s="8" customFormat="1" ht="24" customHeight="1" x14ac:dyDescent="0.45">
      <c r="A169" s="86"/>
      <c r="B169" s="53"/>
      <c r="C169" s="53"/>
      <c r="D169" s="53"/>
      <c r="E169" s="53"/>
      <c r="F169" s="53"/>
      <c r="G169" s="54"/>
      <c r="H169" s="55"/>
      <c r="I169" s="55"/>
      <c r="J169" s="65"/>
      <c r="K169" s="55"/>
      <c r="L169" s="66"/>
      <c r="M169" s="89"/>
      <c r="N169" s="87"/>
      <c r="O169" s="114"/>
      <c r="P169" s="104"/>
      <c r="Q169" s="104"/>
      <c r="R169" s="105"/>
      <c r="S169" s="106"/>
      <c r="T169" s="17"/>
      <c r="U169" s="9"/>
    </row>
    <row r="170" spans="1:21" s="8" customFormat="1" ht="24" customHeight="1" x14ac:dyDescent="0.45">
      <c r="A170" s="86"/>
      <c r="B170" s="53"/>
      <c r="C170" s="53"/>
      <c r="D170" s="53"/>
      <c r="E170" s="53"/>
      <c r="F170" s="53"/>
      <c r="G170" s="54"/>
      <c r="H170" s="55"/>
      <c r="I170" s="55"/>
      <c r="J170" s="65"/>
      <c r="K170" s="55"/>
      <c r="L170" s="66"/>
      <c r="M170" s="89"/>
      <c r="N170" s="87"/>
      <c r="O170" s="114"/>
      <c r="P170" s="104"/>
      <c r="Q170" s="104"/>
      <c r="R170" s="105"/>
      <c r="S170" s="106"/>
      <c r="T170" s="17"/>
      <c r="U170" s="9"/>
    </row>
    <row r="171" spans="1:21" s="8" customFormat="1" ht="24" customHeight="1" x14ac:dyDescent="0.45">
      <c r="A171" s="86"/>
      <c r="B171" s="53"/>
      <c r="C171" s="53"/>
      <c r="D171" s="53"/>
      <c r="E171" s="53"/>
      <c r="F171" s="53"/>
      <c r="G171" s="54"/>
      <c r="H171" s="55"/>
      <c r="I171" s="55"/>
      <c r="J171" s="65"/>
      <c r="K171" s="55"/>
      <c r="L171" s="66"/>
      <c r="M171" s="89"/>
      <c r="N171" s="87"/>
      <c r="O171" s="114"/>
      <c r="P171" s="104"/>
      <c r="Q171" s="104"/>
      <c r="R171" s="105"/>
      <c r="S171" s="106"/>
      <c r="T171" s="17"/>
      <c r="U171" s="9"/>
    </row>
    <row r="172" spans="1:21" s="8" customFormat="1" ht="24" customHeight="1" x14ac:dyDescent="0.45">
      <c r="A172" s="86"/>
      <c r="B172" s="53"/>
      <c r="C172" s="53"/>
      <c r="D172" s="53"/>
      <c r="E172" s="53"/>
      <c r="F172" s="53"/>
      <c r="G172" s="54"/>
      <c r="H172" s="55"/>
      <c r="I172" s="55"/>
      <c r="J172" s="65"/>
      <c r="K172" s="55"/>
      <c r="L172" s="66"/>
      <c r="M172" s="89"/>
      <c r="N172" s="87"/>
      <c r="O172" s="114"/>
      <c r="P172" s="104"/>
      <c r="Q172" s="104"/>
      <c r="R172" s="105"/>
      <c r="S172" s="106"/>
      <c r="T172" s="17"/>
      <c r="U172" s="9"/>
    </row>
    <row r="173" spans="1:21" s="8" customFormat="1" ht="24" customHeight="1" x14ac:dyDescent="0.45">
      <c r="A173" s="86"/>
      <c r="B173" s="53"/>
      <c r="C173" s="53"/>
      <c r="D173" s="53"/>
      <c r="E173" s="53"/>
      <c r="F173" s="53"/>
      <c r="G173" s="54"/>
      <c r="H173" s="55"/>
      <c r="I173" s="55"/>
      <c r="J173" s="65"/>
      <c r="K173" s="55"/>
      <c r="L173" s="66"/>
      <c r="M173" s="89"/>
      <c r="N173" s="87"/>
      <c r="O173" s="114"/>
      <c r="P173" s="104"/>
      <c r="Q173" s="104"/>
      <c r="R173" s="105"/>
      <c r="S173" s="106"/>
      <c r="T173" s="17"/>
      <c r="U173" s="9"/>
    </row>
    <row r="174" spans="1:21" s="8" customFormat="1" ht="24" customHeight="1" x14ac:dyDescent="0.45">
      <c r="A174" s="86"/>
      <c r="B174" s="53"/>
      <c r="C174" s="53"/>
      <c r="D174" s="53"/>
      <c r="E174" s="53"/>
      <c r="F174" s="53"/>
      <c r="G174" s="54"/>
      <c r="H174" s="55"/>
      <c r="I174" s="55"/>
      <c r="J174" s="65"/>
      <c r="K174" s="55"/>
      <c r="L174" s="66"/>
      <c r="M174" s="89"/>
      <c r="N174" s="87"/>
      <c r="O174" s="114"/>
      <c r="P174" s="104"/>
      <c r="Q174" s="104"/>
      <c r="R174" s="105"/>
      <c r="S174" s="106"/>
      <c r="T174" s="17"/>
      <c r="U174" s="9"/>
    </row>
    <row r="175" spans="1:21" s="8" customFormat="1" ht="24" customHeight="1" x14ac:dyDescent="0.45">
      <c r="A175" s="86"/>
      <c r="B175" s="53"/>
      <c r="C175" s="53"/>
      <c r="D175" s="53"/>
      <c r="E175" s="53"/>
      <c r="F175" s="53"/>
      <c r="G175" s="54"/>
      <c r="H175" s="55"/>
      <c r="I175" s="55"/>
      <c r="J175" s="65"/>
      <c r="K175" s="55"/>
      <c r="L175" s="66"/>
      <c r="M175" s="89"/>
      <c r="N175" s="87"/>
      <c r="O175" s="114"/>
      <c r="P175" s="104"/>
      <c r="Q175" s="104"/>
      <c r="R175" s="105"/>
      <c r="S175" s="106"/>
      <c r="T175" s="17"/>
      <c r="U175" s="9"/>
    </row>
    <row r="176" spans="1:21" s="8" customFormat="1" ht="24" customHeight="1" x14ac:dyDescent="0.45">
      <c r="A176" s="86"/>
      <c r="B176" s="53"/>
      <c r="C176" s="53"/>
      <c r="D176" s="53"/>
      <c r="E176" s="53"/>
      <c r="F176" s="53"/>
      <c r="G176" s="54"/>
      <c r="H176" s="55"/>
      <c r="I176" s="55"/>
      <c r="J176" s="65"/>
      <c r="K176" s="55"/>
      <c r="L176" s="66"/>
      <c r="M176" s="89"/>
      <c r="N176" s="87"/>
      <c r="O176" s="114"/>
      <c r="P176" s="104"/>
      <c r="Q176" s="104"/>
      <c r="R176" s="105"/>
      <c r="S176" s="106"/>
      <c r="T176" s="17"/>
      <c r="U176" s="9"/>
    </row>
    <row r="177" spans="1:21" s="8" customFormat="1" ht="24" customHeight="1" x14ac:dyDescent="0.45">
      <c r="A177" s="86"/>
      <c r="B177" s="53"/>
      <c r="C177" s="53"/>
      <c r="D177" s="53"/>
      <c r="E177" s="53"/>
      <c r="F177" s="53"/>
      <c r="G177" s="54"/>
      <c r="H177" s="55"/>
      <c r="I177" s="55"/>
      <c r="J177" s="65"/>
      <c r="K177" s="55"/>
      <c r="L177" s="66"/>
      <c r="M177" s="89"/>
      <c r="N177" s="87"/>
      <c r="O177" s="114"/>
      <c r="P177" s="104"/>
      <c r="Q177" s="104"/>
      <c r="R177" s="105"/>
      <c r="S177" s="106"/>
      <c r="T177" s="17"/>
      <c r="U177" s="9"/>
    </row>
    <row r="178" spans="1:21" s="8" customFormat="1" ht="24" customHeight="1" x14ac:dyDescent="0.45">
      <c r="A178" s="86"/>
      <c r="B178" s="53"/>
      <c r="C178" s="53"/>
      <c r="D178" s="53"/>
      <c r="E178" s="53"/>
      <c r="F178" s="53"/>
      <c r="G178" s="54"/>
      <c r="H178" s="55"/>
      <c r="I178" s="55"/>
      <c r="J178" s="65"/>
      <c r="K178" s="55"/>
      <c r="L178" s="66"/>
      <c r="M178" s="89"/>
      <c r="N178" s="87"/>
      <c r="O178" s="114"/>
      <c r="P178" s="104"/>
      <c r="Q178" s="104"/>
      <c r="R178" s="105"/>
      <c r="S178" s="106"/>
      <c r="T178" s="17"/>
      <c r="U178" s="9"/>
    </row>
    <row r="179" spans="1:21" s="8" customFormat="1" ht="24" customHeight="1" x14ac:dyDescent="0.45">
      <c r="A179" s="86"/>
      <c r="B179" s="53"/>
      <c r="C179" s="53"/>
      <c r="D179" s="53"/>
      <c r="E179" s="53"/>
      <c r="F179" s="53"/>
      <c r="G179" s="54"/>
      <c r="H179" s="55"/>
      <c r="I179" s="55"/>
      <c r="J179" s="65"/>
      <c r="K179" s="55"/>
      <c r="L179" s="66"/>
      <c r="M179" s="89"/>
      <c r="N179" s="87"/>
      <c r="O179" s="114"/>
      <c r="P179" s="104"/>
      <c r="Q179" s="104"/>
      <c r="R179" s="105"/>
      <c r="S179" s="106"/>
      <c r="T179" s="17"/>
      <c r="U179" s="9"/>
    </row>
    <row r="180" spans="1:21" s="8" customFormat="1" ht="24" customHeight="1" x14ac:dyDescent="0.45">
      <c r="A180" s="86"/>
      <c r="B180" s="53"/>
      <c r="C180" s="53"/>
      <c r="D180" s="53"/>
      <c r="E180" s="53"/>
      <c r="F180" s="53"/>
      <c r="G180" s="54"/>
      <c r="H180" s="55"/>
      <c r="I180" s="55"/>
      <c r="J180" s="65"/>
      <c r="K180" s="55"/>
      <c r="L180" s="66"/>
      <c r="M180" s="89"/>
      <c r="N180" s="87"/>
      <c r="O180" s="114"/>
      <c r="P180" s="104"/>
      <c r="Q180" s="104"/>
      <c r="R180" s="105"/>
      <c r="S180" s="106"/>
      <c r="T180" s="17"/>
      <c r="U180" s="9"/>
    </row>
    <row r="181" spans="1:21" s="8" customFormat="1" ht="24" customHeight="1" x14ac:dyDescent="0.45">
      <c r="A181" s="86"/>
      <c r="B181" s="53"/>
      <c r="C181" s="53"/>
      <c r="D181" s="53"/>
      <c r="E181" s="53"/>
      <c r="F181" s="53"/>
      <c r="G181" s="54"/>
      <c r="H181" s="55"/>
      <c r="I181" s="55"/>
      <c r="J181" s="65"/>
      <c r="K181" s="55"/>
      <c r="L181" s="66"/>
      <c r="M181" s="89"/>
      <c r="N181" s="87"/>
      <c r="O181" s="114"/>
      <c r="P181" s="104"/>
      <c r="Q181" s="104"/>
      <c r="R181" s="105"/>
      <c r="S181" s="106"/>
      <c r="T181" s="17"/>
      <c r="U181" s="9"/>
    </row>
    <row r="182" spans="1:21" s="8" customFormat="1" ht="24" customHeight="1" x14ac:dyDescent="0.45">
      <c r="A182" s="86"/>
      <c r="B182" s="53"/>
      <c r="C182" s="53"/>
      <c r="D182" s="53"/>
      <c r="E182" s="53"/>
      <c r="F182" s="53"/>
      <c r="G182" s="54"/>
      <c r="H182" s="55"/>
      <c r="I182" s="55"/>
      <c r="J182" s="65"/>
      <c r="K182" s="55"/>
      <c r="L182" s="66"/>
      <c r="M182" s="89"/>
      <c r="N182" s="87"/>
      <c r="O182" s="114"/>
      <c r="P182" s="104"/>
      <c r="Q182" s="104"/>
      <c r="R182" s="105"/>
      <c r="S182" s="106"/>
      <c r="T182" s="17"/>
      <c r="U182" s="9"/>
    </row>
    <row r="183" spans="1:21" s="8" customFormat="1" ht="24" customHeight="1" x14ac:dyDescent="0.45">
      <c r="A183" s="86"/>
      <c r="B183" s="53"/>
      <c r="C183" s="53"/>
      <c r="D183" s="53"/>
      <c r="E183" s="53"/>
      <c r="F183" s="53"/>
      <c r="G183" s="54"/>
      <c r="H183" s="55"/>
      <c r="I183" s="55"/>
      <c r="J183" s="65"/>
      <c r="K183" s="55"/>
      <c r="L183" s="66"/>
      <c r="M183" s="89"/>
      <c r="N183" s="87"/>
      <c r="O183" s="114"/>
      <c r="P183" s="104"/>
      <c r="Q183" s="104"/>
      <c r="R183" s="105"/>
      <c r="S183" s="106"/>
      <c r="T183" s="17"/>
      <c r="U183" s="9"/>
    </row>
    <row r="184" spans="1:21" s="8" customFormat="1" ht="24" customHeight="1" x14ac:dyDescent="0.45">
      <c r="A184" s="86"/>
      <c r="B184" s="53"/>
      <c r="C184" s="53"/>
      <c r="D184" s="53"/>
      <c r="E184" s="53"/>
      <c r="F184" s="53"/>
      <c r="G184" s="54"/>
      <c r="H184" s="55"/>
      <c r="I184" s="55"/>
      <c r="J184" s="65"/>
      <c r="K184" s="55"/>
      <c r="L184" s="66"/>
      <c r="M184" s="89"/>
      <c r="N184" s="87"/>
      <c r="O184" s="114"/>
      <c r="P184" s="104"/>
      <c r="Q184" s="104"/>
      <c r="R184" s="105"/>
      <c r="S184" s="106"/>
      <c r="T184" s="17"/>
      <c r="U184" s="9"/>
    </row>
    <row r="185" spans="1:21" s="8" customFormat="1" ht="24" customHeight="1" x14ac:dyDescent="0.45">
      <c r="A185" s="86"/>
      <c r="B185" s="53"/>
      <c r="C185" s="53"/>
      <c r="D185" s="53"/>
      <c r="E185" s="53"/>
      <c r="F185" s="53"/>
      <c r="G185" s="54"/>
      <c r="H185" s="55"/>
      <c r="I185" s="55"/>
      <c r="J185" s="65"/>
      <c r="K185" s="55"/>
      <c r="L185" s="66"/>
      <c r="M185" s="89"/>
      <c r="N185" s="87"/>
      <c r="O185" s="114"/>
      <c r="P185" s="104"/>
      <c r="Q185" s="104"/>
      <c r="R185" s="105"/>
      <c r="S185" s="106"/>
      <c r="T185" s="17"/>
      <c r="U185" s="9"/>
    </row>
    <row r="186" spans="1:21" s="8" customFormat="1" ht="24" customHeight="1" x14ac:dyDescent="0.45">
      <c r="A186" s="86"/>
      <c r="B186" s="53"/>
      <c r="C186" s="53"/>
      <c r="D186" s="53"/>
      <c r="E186" s="53"/>
      <c r="F186" s="53"/>
      <c r="G186" s="54"/>
      <c r="H186" s="55"/>
      <c r="I186" s="55"/>
      <c r="J186" s="65"/>
      <c r="K186" s="55"/>
      <c r="L186" s="66"/>
      <c r="M186" s="89"/>
      <c r="N186" s="87"/>
      <c r="O186" s="114"/>
      <c r="P186" s="104"/>
      <c r="Q186" s="104"/>
      <c r="R186" s="105"/>
      <c r="S186" s="106"/>
      <c r="T186" s="17"/>
      <c r="U186" s="9"/>
    </row>
    <row r="187" spans="1:21" s="8" customFormat="1" ht="24" customHeight="1" x14ac:dyDescent="0.45">
      <c r="A187" s="86"/>
      <c r="B187" s="53"/>
      <c r="C187" s="53"/>
      <c r="D187" s="53"/>
      <c r="E187" s="53"/>
      <c r="F187" s="53"/>
      <c r="G187" s="54"/>
      <c r="H187" s="55"/>
      <c r="I187" s="55"/>
      <c r="J187" s="65"/>
      <c r="K187" s="55"/>
      <c r="L187" s="66"/>
      <c r="M187" s="89"/>
      <c r="N187" s="87"/>
      <c r="O187" s="114"/>
      <c r="P187" s="104"/>
      <c r="Q187" s="104"/>
      <c r="R187" s="105"/>
      <c r="S187" s="106"/>
      <c r="T187" s="17"/>
      <c r="U187" s="9"/>
    </row>
    <row r="188" spans="1:21" s="8" customFormat="1" ht="24" customHeight="1" x14ac:dyDescent="0.45">
      <c r="A188" s="86"/>
      <c r="B188" s="53"/>
      <c r="C188" s="53"/>
      <c r="D188" s="53"/>
      <c r="E188" s="53"/>
      <c r="F188" s="53"/>
      <c r="G188" s="54"/>
      <c r="H188" s="55"/>
      <c r="I188" s="55"/>
      <c r="J188" s="65"/>
      <c r="K188" s="55"/>
      <c r="L188" s="66"/>
      <c r="M188" s="89"/>
      <c r="N188" s="87"/>
      <c r="O188" s="114"/>
      <c r="P188" s="104"/>
      <c r="Q188" s="104"/>
      <c r="R188" s="105"/>
      <c r="S188" s="106"/>
      <c r="T188" s="17"/>
      <c r="U188" s="9"/>
    </row>
    <row r="189" spans="1:21" s="8" customFormat="1" ht="24" customHeight="1" x14ac:dyDescent="0.45">
      <c r="A189" s="86"/>
      <c r="B189" s="53"/>
      <c r="C189" s="53"/>
      <c r="D189" s="53"/>
      <c r="E189" s="53"/>
      <c r="F189" s="53"/>
      <c r="G189" s="54"/>
      <c r="H189" s="55"/>
      <c r="I189" s="55"/>
      <c r="J189" s="65"/>
      <c r="K189" s="55"/>
      <c r="L189" s="66"/>
      <c r="M189" s="89"/>
      <c r="N189" s="87"/>
      <c r="O189" s="114"/>
      <c r="P189" s="104"/>
      <c r="Q189" s="104"/>
      <c r="R189" s="105"/>
      <c r="S189" s="106"/>
      <c r="T189" s="17"/>
      <c r="U189" s="9"/>
    </row>
    <row r="190" spans="1:21" s="8" customFormat="1" ht="24" customHeight="1" x14ac:dyDescent="0.45">
      <c r="A190" s="86"/>
      <c r="B190" s="53"/>
      <c r="C190" s="53"/>
      <c r="D190" s="53"/>
      <c r="E190" s="53"/>
      <c r="F190" s="53"/>
      <c r="G190" s="54"/>
      <c r="H190" s="55"/>
      <c r="I190" s="55"/>
      <c r="J190" s="65"/>
      <c r="K190" s="55"/>
      <c r="L190" s="66"/>
      <c r="M190" s="89"/>
      <c r="N190" s="87"/>
      <c r="O190" s="114"/>
      <c r="P190" s="104"/>
      <c r="Q190" s="104"/>
      <c r="R190" s="105"/>
      <c r="S190" s="106"/>
      <c r="T190" s="17"/>
      <c r="U190" s="9"/>
    </row>
    <row r="191" spans="1:21" s="8" customFormat="1" ht="24" customHeight="1" x14ac:dyDescent="0.45">
      <c r="A191" s="86"/>
      <c r="B191" s="53"/>
      <c r="C191" s="53"/>
      <c r="D191" s="53"/>
      <c r="E191" s="53"/>
      <c r="F191" s="53"/>
      <c r="G191" s="54"/>
      <c r="H191" s="55"/>
      <c r="I191" s="55"/>
      <c r="J191" s="65"/>
      <c r="K191" s="55"/>
      <c r="L191" s="66"/>
      <c r="M191" s="89"/>
      <c r="N191" s="87"/>
      <c r="O191" s="114"/>
      <c r="P191" s="104"/>
      <c r="Q191" s="104"/>
      <c r="R191" s="105"/>
      <c r="S191" s="106"/>
      <c r="T191" s="17"/>
      <c r="U191" s="9"/>
    </row>
    <row r="192" spans="1:21" s="8" customFormat="1" ht="24" customHeight="1" x14ac:dyDescent="0.45">
      <c r="A192" s="86"/>
      <c r="B192" s="53"/>
      <c r="C192" s="53"/>
      <c r="D192" s="53"/>
      <c r="E192" s="53"/>
      <c r="F192" s="53"/>
      <c r="G192" s="54"/>
      <c r="H192" s="55"/>
      <c r="I192" s="55"/>
      <c r="J192" s="65"/>
      <c r="K192" s="55"/>
      <c r="L192" s="66"/>
      <c r="M192" s="89"/>
      <c r="N192" s="87"/>
      <c r="O192" s="114"/>
      <c r="P192" s="104"/>
      <c r="Q192" s="104"/>
      <c r="R192" s="105"/>
      <c r="S192" s="106"/>
      <c r="T192" s="17"/>
      <c r="U192" s="9"/>
    </row>
    <row r="193" spans="1:21" s="8" customFormat="1" ht="24" customHeight="1" x14ac:dyDescent="0.45">
      <c r="A193" s="86"/>
      <c r="B193" s="53"/>
      <c r="C193" s="53"/>
      <c r="D193" s="53"/>
      <c r="E193" s="53"/>
      <c r="F193" s="53"/>
      <c r="G193" s="54"/>
      <c r="H193" s="55"/>
      <c r="I193" s="55"/>
      <c r="J193" s="65"/>
      <c r="K193" s="55"/>
      <c r="L193" s="66"/>
      <c r="M193" s="89"/>
      <c r="N193" s="87"/>
      <c r="O193" s="114"/>
      <c r="P193" s="104"/>
      <c r="Q193" s="104"/>
      <c r="R193" s="105"/>
      <c r="S193" s="106"/>
      <c r="T193" s="17"/>
      <c r="U193" s="9"/>
    </row>
    <row r="194" spans="1:21" s="8" customFormat="1" ht="24" customHeight="1" x14ac:dyDescent="0.45">
      <c r="A194" s="86"/>
      <c r="B194" s="53"/>
      <c r="C194" s="53"/>
      <c r="D194" s="53"/>
      <c r="E194" s="53"/>
      <c r="F194" s="53"/>
      <c r="G194" s="54"/>
      <c r="H194" s="55"/>
      <c r="I194" s="55"/>
      <c r="J194" s="65"/>
      <c r="K194" s="55"/>
      <c r="L194" s="66"/>
      <c r="M194" s="89"/>
      <c r="N194" s="87"/>
      <c r="O194" s="114"/>
      <c r="P194" s="104"/>
      <c r="Q194" s="104"/>
      <c r="R194" s="105"/>
      <c r="S194" s="106"/>
      <c r="T194" s="17"/>
      <c r="U194" s="9"/>
    </row>
    <row r="195" spans="1:21" s="8" customFormat="1" ht="24" customHeight="1" x14ac:dyDescent="0.45">
      <c r="A195" s="86"/>
      <c r="B195" s="53"/>
      <c r="C195" s="53"/>
      <c r="D195" s="53"/>
      <c r="E195" s="53"/>
      <c r="F195" s="53"/>
      <c r="G195" s="54"/>
      <c r="H195" s="55"/>
      <c r="I195" s="55"/>
      <c r="J195" s="65"/>
      <c r="K195" s="55"/>
      <c r="L195" s="66"/>
      <c r="M195" s="89"/>
      <c r="N195" s="87"/>
      <c r="O195" s="114"/>
      <c r="P195" s="104"/>
      <c r="Q195" s="104"/>
      <c r="R195" s="105"/>
      <c r="S195" s="106"/>
      <c r="T195" s="17"/>
      <c r="U195" s="9"/>
    </row>
    <row r="196" spans="1:21" s="8" customFormat="1" ht="24" customHeight="1" x14ac:dyDescent="0.45">
      <c r="A196" s="86"/>
      <c r="B196" s="53"/>
      <c r="C196" s="53"/>
      <c r="D196" s="53"/>
      <c r="E196" s="53"/>
      <c r="F196" s="53"/>
      <c r="G196" s="54"/>
      <c r="H196" s="55"/>
      <c r="I196" s="55"/>
      <c r="J196" s="65"/>
      <c r="K196" s="55"/>
      <c r="L196" s="66"/>
      <c r="M196" s="89"/>
      <c r="N196" s="87"/>
      <c r="O196" s="114"/>
      <c r="P196" s="104"/>
      <c r="Q196" s="104"/>
      <c r="R196" s="105"/>
      <c r="S196" s="106"/>
      <c r="T196" s="17"/>
      <c r="U196" s="9"/>
    </row>
    <row r="197" spans="1:21" s="8" customFormat="1" ht="24" customHeight="1" x14ac:dyDescent="0.45">
      <c r="A197" s="86"/>
      <c r="B197" s="53"/>
      <c r="C197" s="53"/>
      <c r="D197" s="53"/>
      <c r="E197" s="53"/>
      <c r="F197" s="53"/>
      <c r="G197" s="54"/>
      <c r="H197" s="55"/>
      <c r="I197" s="55"/>
      <c r="J197" s="65"/>
      <c r="K197" s="55"/>
      <c r="L197" s="66"/>
      <c r="M197" s="89"/>
      <c r="N197" s="87"/>
      <c r="O197" s="114"/>
      <c r="P197" s="104"/>
      <c r="Q197" s="104"/>
      <c r="R197" s="105"/>
      <c r="S197" s="106"/>
      <c r="T197" s="17"/>
      <c r="U197" s="9"/>
    </row>
    <row r="198" spans="1:21" s="8" customFormat="1" ht="24" customHeight="1" x14ac:dyDescent="0.45">
      <c r="A198" s="86"/>
      <c r="B198" s="53"/>
      <c r="C198" s="53"/>
      <c r="D198" s="53"/>
      <c r="E198" s="53"/>
      <c r="F198" s="53"/>
      <c r="G198" s="54"/>
      <c r="H198" s="55"/>
      <c r="I198" s="55"/>
      <c r="J198" s="65"/>
      <c r="K198" s="55"/>
      <c r="L198" s="66"/>
      <c r="M198" s="89"/>
      <c r="N198" s="87"/>
      <c r="O198" s="114"/>
      <c r="P198" s="104"/>
      <c r="Q198" s="104"/>
      <c r="R198" s="105"/>
      <c r="S198" s="106"/>
      <c r="T198" s="17"/>
      <c r="U198" s="9"/>
    </row>
    <row r="199" spans="1:21" s="8" customFormat="1" ht="24" customHeight="1" x14ac:dyDescent="0.45">
      <c r="A199" s="86"/>
      <c r="B199" s="53"/>
      <c r="C199" s="53"/>
      <c r="D199" s="53"/>
      <c r="E199" s="53"/>
      <c r="F199" s="53"/>
      <c r="G199" s="54"/>
      <c r="H199" s="55"/>
      <c r="I199" s="55"/>
      <c r="J199" s="65"/>
      <c r="K199" s="55"/>
      <c r="L199" s="66"/>
      <c r="M199" s="89"/>
      <c r="N199" s="87"/>
      <c r="O199" s="114"/>
      <c r="P199" s="104"/>
      <c r="Q199" s="104"/>
      <c r="R199" s="105"/>
      <c r="S199" s="106"/>
      <c r="T199" s="17"/>
      <c r="U199" s="9"/>
    </row>
    <row r="200" spans="1:21" s="8" customFormat="1" ht="24" customHeight="1" x14ac:dyDescent="0.45">
      <c r="A200" s="86"/>
      <c r="B200" s="53"/>
      <c r="C200" s="53"/>
      <c r="D200" s="53"/>
      <c r="E200" s="53"/>
      <c r="F200" s="53"/>
      <c r="G200" s="54"/>
      <c r="H200" s="55"/>
      <c r="I200" s="55"/>
      <c r="J200" s="65"/>
      <c r="K200" s="55"/>
      <c r="L200" s="66"/>
      <c r="M200" s="89"/>
      <c r="N200" s="87"/>
      <c r="O200" s="114"/>
      <c r="P200" s="104"/>
      <c r="Q200" s="104"/>
      <c r="R200" s="105"/>
      <c r="S200" s="106"/>
      <c r="T200" s="17"/>
      <c r="U200" s="9"/>
    </row>
    <row r="201" spans="1:21" s="8" customFormat="1" ht="24" customHeight="1" x14ac:dyDescent="0.45">
      <c r="A201" s="86"/>
      <c r="B201" s="53"/>
      <c r="C201" s="53"/>
      <c r="D201" s="53"/>
      <c r="E201" s="53"/>
      <c r="F201" s="53"/>
      <c r="G201" s="54"/>
      <c r="H201" s="55"/>
      <c r="I201" s="55"/>
      <c r="J201" s="65"/>
      <c r="K201" s="55"/>
      <c r="L201" s="66"/>
      <c r="M201" s="89"/>
      <c r="N201" s="87"/>
      <c r="O201" s="114"/>
      <c r="P201" s="104"/>
      <c r="Q201" s="104"/>
      <c r="R201" s="105"/>
      <c r="S201" s="106"/>
      <c r="T201" s="17"/>
      <c r="U201" s="9"/>
    </row>
    <row r="202" spans="1:21" s="8" customFormat="1" ht="24" customHeight="1" x14ac:dyDescent="0.45">
      <c r="A202" s="86"/>
      <c r="B202" s="53"/>
      <c r="C202" s="53"/>
      <c r="D202" s="53"/>
      <c r="E202" s="53"/>
      <c r="F202" s="53"/>
      <c r="G202" s="54"/>
      <c r="H202" s="55"/>
      <c r="I202" s="55"/>
      <c r="J202" s="65"/>
      <c r="K202" s="55"/>
      <c r="L202" s="66"/>
      <c r="M202" s="89"/>
      <c r="N202" s="87"/>
      <c r="O202" s="114"/>
      <c r="P202" s="104"/>
      <c r="Q202" s="104"/>
      <c r="R202" s="105"/>
      <c r="S202" s="106"/>
      <c r="T202" s="17"/>
      <c r="U202" s="9"/>
    </row>
    <row r="203" spans="1:21" s="8" customFormat="1" ht="24" customHeight="1" x14ac:dyDescent="0.45">
      <c r="A203" s="86"/>
      <c r="B203" s="53"/>
      <c r="C203" s="53"/>
      <c r="D203" s="53"/>
      <c r="E203" s="53"/>
      <c r="F203" s="53"/>
      <c r="G203" s="54"/>
      <c r="H203" s="55"/>
      <c r="I203" s="55"/>
      <c r="J203" s="65"/>
      <c r="K203" s="55"/>
      <c r="L203" s="66"/>
      <c r="M203" s="89"/>
      <c r="N203" s="87"/>
      <c r="O203" s="114"/>
      <c r="P203" s="104"/>
      <c r="Q203" s="104"/>
      <c r="R203" s="105"/>
      <c r="S203" s="106"/>
      <c r="T203" s="17"/>
      <c r="U203" s="9"/>
    </row>
    <row r="204" spans="1:21" s="8" customFormat="1" ht="24" customHeight="1" x14ac:dyDescent="0.45">
      <c r="A204" s="86"/>
      <c r="B204" s="53"/>
      <c r="C204" s="53"/>
      <c r="D204" s="53"/>
      <c r="E204" s="53"/>
      <c r="F204" s="53"/>
      <c r="G204" s="54"/>
      <c r="H204" s="55"/>
      <c r="I204" s="55"/>
      <c r="J204" s="65"/>
      <c r="K204" s="55"/>
      <c r="L204" s="66"/>
      <c r="M204" s="89"/>
      <c r="N204" s="87"/>
      <c r="O204" s="114"/>
      <c r="P204" s="104"/>
      <c r="Q204" s="104"/>
      <c r="R204" s="105"/>
      <c r="S204" s="106"/>
      <c r="T204" s="17"/>
      <c r="U204" s="9"/>
    </row>
    <row r="205" spans="1:21" s="8" customFormat="1" ht="24" customHeight="1" x14ac:dyDescent="0.45">
      <c r="A205" s="86"/>
      <c r="B205" s="53"/>
      <c r="C205" s="53"/>
      <c r="D205" s="53"/>
      <c r="E205" s="53"/>
      <c r="F205" s="53"/>
      <c r="G205" s="54"/>
      <c r="H205" s="55"/>
      <c r="I205" s="55"/>
      <c r="J205" s="65"/>
      <c r="K205" s="55"/>
      <c r="L205" s="66"/>
      <c r="M205" s="89"/>
      <c r="N205" s="87"/>
      <c r="O205" s="114"/>
      <c r="P205" s="104"/>
      <c r="Q205" s="104"/>
      <c r="R205" s="105"/>
      <c r="S205" s="106"/>
      <c r="T205" s="17"/>
      <c r="U205" s="9"/>
    </row>
    <row r="206" spans="1:21" s="8" customFormat="1" ht="24" customHeight="1" x14ac:dyDescent="0.45">
      <c r="A206" s="86"/>
      <c r="B206" s="53"/>
      <c r="C206" s="53"/>
      <c r="D206" s="53"/>
      <c r="E206" s="53"/>
      <c r="F206" s="53"/>
      <c r="G206" s="54"/>
      <c r="H206" s="55"/>
      <c r="I206" s="55"/>
      <c r="J206" s="65"/>
      <c r="K206" s="55"/>
      <c r="L206" s="66"/>
      <c r="M206" s="89"/>
      <c r="N206" s="87"/>
      <c r="O206" s="114"/>
      <c r="P206" s="104"/>
      <c r="Q206" s="104"/>
      <c r="R206" s="105"/>
      <c r="S206" s="106"/>
      <c r="T206" s="17"/>
      <c r="U206" s="9"/>
    </row>
    <row r="207" spans="1:21" s="8" customFormat="1" ht="24" customHeight="1" x14ac:dyDescent="0.45">
      <c r="A207" s="86"/>
      <c r="B207" s="53"/>
      <c r="C207" s="53"/>
      <c r="D207" s="53"/>
      <c r="E207" s="53"/>
      <c r="F207" s="53"/>
      <c r="G207" s="54"/>
      <c r="H207" s="55"/>
      <c r="I207" s="55"/>
      <c r="J207" s="65"/>
      <c r="K207" s="55"/>
      <c r="L207" s="66"/>
      <c r="M207" s="89"/>
      <c r="N207" s="87"/>
      <c r="O207" s="114"/>
      <c r="P207" s="104"/>
      <c r="Q207" s="104"/>
      <c r="R207" s="105"/>
      <c r="S207" s="106"/>
      <c r="T207" s="17"/>
      <c r="U207" s="9"/>
    </row>
    <row r="208" spans="1:21" s="8" customFormat="1" ht="24" customHeight="1" x14ac:dyDescent="0.45">
      <c r="A208" s="86"/>
      <c r="B208" s="53"/>
      <c r="C208" s="53"/>
      <c r="D208" s="53"/>
      <c r="E208" s="53"/>
      <c r="F208" s="53"/>
      <c r="G208" s="54"/>
      <c r="H208" s="55"/>
      <c r="I208" s="55"/>
      <c r="J208" s="65"/>
      <c r="K208" s="55"/>
      <c r="L208" s="66"/>
      <c r="M208" s="89"/>
      <c r="N208" s="87"/>
      <c r="O208" s="114"/>
      <c r="P208" s="104"/>
      <c r="Q208" s="104"/>
      <c r="R208" s="105"/>
      <c r="S208" s="106"/>
      <c r="T208" s="17"/>
      <c r="U208" s="9"/>
    </row>
    <row r="209" spans="1:21" s="8" customFormat="1" ht="24" customHeight="1" x14ac:dyDescent="0.45">
      <c r="A209" s="86"/>
      <c r="B209" s="53"/>
      <c r="C209" s="53"/>
      <c r="D209" s="53"/>
      <c r="E209" s="53"/>
      <c r="F209" s="53"/>
      <c r="G209" s="54"/>
      <c r="H209" s="55"/>
      <c r="I209" s="55"/>
      <c r="J209" s="65"/>
      <c r="K209" s="55"/>
      <c r="L209" s="66"/>
      <c r="M209" s="89"/>
      <c r="N209" s="87"/>
      <c r="O209" s="114"/>
      <c r="P209" s="104"/>
      <c r="Q209" s="104"/>
      <c r="R209" s="105"/>
      <c r="S209" s="106"/>
      <c r="T209" s="17"/>
      <c r="U209" s="9"/>
    </row>
    <row r="210" spans="1:21" s="8" customFormat="1" ht="24" customHeight="1" x14ac:dyDescent="0.45">
      <c r="A210" s="86"/>
      <c r="B210" s="53"/>
      <c r="C210" s="53"/>
      <c r="D210" s="53"/>
      <c r="E210" s="53"/>
      <c r="F210" s="53"/>
      <c r="G210" s="54"/>
      <c r="H210" s="55"/>
      <c r="I210" s="55"/>
      <c r="J210" s="65"/>
      <c r="K210" s="55"/>
      <c r="L210" s="66"/>
      <c r="M210" s="89"/>
      <c r="N210" s="87"/>
      <c r="O210" s="114"/>
      <c r="P210" s="104"/>
      <c r="Q210" s="104"/>
      <c r="R210" s="105"/>
      <c r="S210" s="106"/>
      <c r="T210" s="17"/>
      <c r="U210" s="9"/>
    </row>
    <row r="211" spans="1:21" s="8" customFormat="1" ht="24" customHeight="1" x14ac:dyDescent="0.45">
      <c r="A211" s="86"/>
      <c r="B211" s="53"/>
      <c r="C211" s="53"/>
      <c r="D211" s="53"/>
      <c r="E211" s="53"/>
      <c r="F211" s="53"/>
      <c r="G211" s="54"/>
      <c r="H211" s="55"/>
      <c r="I211" s="55"/>
      <c r="J211" s="65"/>
      <c r="K211" s="55"/>
      <c r="L211" s="66"/>
      <c r="M211" s="89"/>
      <c r="N211" s="87"/>
      <c r="O211" s="114"/>
      <c r="P211" s="104"/>
      <c r="Q211" s="104"/>
      <c r="R211" s="105"/>
      <c r="S211" s="106"/>
      <c r="T211" s="17"/>
      <c r="U211" s="9"/>
    </row>
    <row r="212" spans="1:21" s="8" customFormat="1" ht="24" customHeight="1" x14ac:dyDescent="0.45">
      <c r="A212" s="86"/>
      <c r="B212" s="53"/>
      <c r="C212" s="53"/>
      <c r="D212" s="53"/>
      <c r="E212" s="53"/>
      <c r="F212" s="53"/>
      <c r="G212" s="54"/>
      <c r="H212" s="55"/>
      <c r="I212" s="55"/>
      <c r="J212" s="65"/>
      <c r="K212" s="55"/>
      <c r="L212" s="66"/>
      <c r="M212" s="89"/>
      <c r="N212" s="87"/>
      <c r="O212" s="114"/>
      <c r="P212" s="104"/>
      <c r="Q212" s="104"/>
      <c r="R212" s="105"/>
      <c r="S212" s="106"/>
      <c r="T212" s="17"/>
      <c r="U212" s="9"/>
    </row>
    <row r="213" spans="1:21" s="8" customFormat="1" ht="24" customHeight="1" x14ac:dyDescent="0.45">
      <c r="A213" s="86"/>
      <c r="B213" s="53"/>
      <c r="C213" s="53"/>
      <c r="D213" s="53"/>
      <c r="E213" s="53"/>
      <c r="F213" s="53"/>
      <c r="G213" s="54"/>
      <c r="H213" s="55"/>
      <c r="I213" s="55"/>
      <c r="J213" s="65"/>
      <c r="K213" s="55"/>
      <c r="L213" s="66"/>
      <c r="M213" s="89"/>
      <c r="N213" s="87"/>
      <c r="O213" s="114"/>
      <c r="P213" s="104"/>
      <c r="Q213" s="104"/>
      <c r="R213" s="105"/>
      <c r="S213" s="106"/>
      <c r="T213" s="17"/>
      <c r="U213" s="9"/>
    </row>
    <row r="214" spans="1:21" s="8" customFormat="1" ht="24" customHeight="1" x14ac:dyDescent="0.45">
      <c r="A214" s="86"/>
      <c r="B214" s="53"/>
      <c r="C214" s="53"/>
      <c r="D214" s="53"/>
      <c r="E214" s="53"/>
      <c r="F214" s="53"/>
      <c r="G214" s="54"/>
      <c r="H214" s="55"/>
      <c r="I214" s="55"/>
      <c r="J214" s="65"/>
      <c r="K214" s="55"/>
      <c r="L214" s="66"/>
      <c r="M214" s="89"/>
      <c r="N214" s="87"/>
      <c r="O214" s="114"/>
      <c r="P214" s="104"/>
      <c r="Q214" s="104"/>
      <c r="R214" s="105"/>
      <c r="S214" s="106"/>
      <c r="T214" s="17"/>
      <c r="U214" s="9"/>
    </row>
    <row r="215" spans="1:21" s="8" customFormat="1" ht="24" customHeight="1" x14ac:dyDescent="0.45">
      <c r="A215" s="86"/>
      <c r="B215" s="53"/>
      <c r="C215" s="53"/>
      <c r="D215" s="53"/>
      <c r="E215" s="53"/>
      <c r="F215" s="53"/>
      <c r="G215" s="54"/>
      <c r="H215" s="55"/>
      <c r="I215" s="55"/>
      <c r="J215" s="65"/>
      <c r="K215" s="55"/>
      <c r="L215" s="66"/>
      <c r="M215" s="89"/>
      <c r="N215" s="87"/>
      <c r="O215" s="114"/>
      <c r="P215" s="104"/>
      <c r="Q215" s="104"/>
      <c r="R215" s="105"/>
      <c r="S215" s="106"/>
      <c r="T215" s="17"/>
      <c r="U215" s="9"/>
    </row>
    <row r="216" spans="1:21" s="8" customFormat="1" x14ac:dyDescent="0.45">
      <c r="A216" s="98"/>
      <c r="B216" s="47"/>
      <c r="C216" s="47"/>
      <c r="D216" s="47"/>
      <c r="E216" s="47"/>
      <c r="F216" s="47"/>
      <c r="G216" s="48"/>
      <c r="H216" s="49"/>
      <c r="I216" s="49"/>
      <c r="J216" s="50"/>
      <c r="K216" s="49"/>
      <c r="L216" s="51"/>
      <c r="M216" s="90"/>
      <c r="N216" s="45"/>
      <c r="O216" s="115"/>
      <c r="P216" s="49"/>
      <c r="Q216" s="49"/>
      <c r="R216" s="50"/>
      <c r="S216" s="90"/>
      <c r="T216" s="17"/>
      <c r="U216" s="9"/>
    </row>
    <row r="217" spans="1:21" s="8" customFormat="1" ht="14.65" thickBot="1" x14ac:dyDescent="0.5">
      <c r="A217" s="98"/>
      <c r="B217" s="47"/>
      <c r="C217" s="47"/>
      <c r="D217" s="47"/>
      <c r="E217" s="47"/>
      <c r="F217" s="47"/>
      <c r="G217" s="48"/>
      <c r="H217" s="49"/>
      <c r="I217" s="49"/>
      <c r="J217" s="50"/>
      <c r="K217" s="49"/>
      <c r="L217" s="51"/>
      <c r="M217" s="90"/>
      <c r="N217" s="102"/>
      <c r="O217" s="116"/>
      <c r="P217" s="99"/>
      <c r="Q217" s="99"/>
      <c r="R217" s="100"/>
      <c r="S217" s="101"/>
      <c r="T217" s="17"/>
      <c r="U217" s="9"/>
    </row>
    <row r="218" spans="1:21" s="8" customFormat="1" ht="24" customHeight="1" thickTop="1" x14ac:dyDescent="0.45">
      <c r="A218" s="98"/>
      <c r="B218" s="47"/>
      <c r="C218" s="47"/>
      <c r="D218" s="47"/>
      <c r="E218" s="47"/>
      <c r="F218" s="47"/>
      <c r="G218" s="48"/>
      <c r="H218" s="49"/>
      <c r="I218" s="49"/>
      <c r="J218" s="50"/>
      <c r="K218" s="122"/>
      <c r="L218" s="88"/>
      <c r="M218" s="90"/>
      <c r="N218" s="96"/>
      <c r="O218" s="117"/>
      <c r="P218" s="35"/>
      <c r="Q218" s="35"/>
      <c r="R218" s="34"/>
      <c r="S218" s="95"/>
      <c r="T218" s="17"/>
      <c r="U218" s="9"/>
    </row>
    <row r="219" spans="1:21" s="8" customFormat="1" ht="24" customHeight="1" x14ac:dyDescent="0.45">
      <c r="A219" s="98"/>
      <c r="B219" s="47"/>
      <c r="C219" s="47"/>
      <c r="D219" s="47"/>
      <c r="E219" s="47"/>
      <c r="F219" s="47"/>
      <c r="G219" s="48"/>
      <c r="H219" s="49"/>
      <c r="I219" s="49"/>
      <c r="J219" s="50"/>
      <c r="K219" s="122"/>
      <c r="L219" s="88"/>
      <c r="M219" s="90"/>
      <c r="N219" s="45"/>
      <c r="O219" s="115"/>
      <c r="P219" s="49"/>
      <c r="Q219" s="49"/>
      <c r="R219" s="50"/>
      <c r="S219" s="90"/>
      <c r="T219" s="17"/>
      <c r="U219" s="9"/>
    </row>
    <row r="220" spans="1:21" s="8" customFormat="1" ht="24" customHeight="1" thickBot="1" x14ac:dyDescent="0.5">
      <c r="A220" s="44"/>
      <c r="B220" s="40"/>
      <c r="C220" s="40"/>
      <c r="D220" s="40"/>
      <c r="E220" s="40"/>
      <c r="F220" s="40"/>
      <c r="G220" s="41"/>
      <c r="H220" s="42"/>
      <c r="I220" s="42"/>
      <c r="J220" s="43"/>
      <c r="K220" s="123"/>
      <c r="L220" s="93"/>
      <c r="M220" s="94"/>
      <c r="N220" s="97"/>
      <c r="O220" s="118"/>
      <c r="P220" s="42"/>
      <c r="Q220" s="42"/>
      <c r="R220" s="43"/>
      <c r="S220" s="94"/>
      <c r="T220" s="17"/>
      <c r="U220" s="9"/>
    </row>
    <row r="221" spans="1:21" s="8" customFormat="1" x14ac:dyDescent="0.45">
      <c r="A221" s="32"/>
      <c r="B221" s="33"/>
      <c r="C221" s="33"/>
      <c r="D221" s="33"/>
      <c r="E221" s="33"/>
      <c r="F221" s="33"/>
      <c r="G221" s="36"/>
      <c r="H221" s="35"/>
      <c r="I221" s="35"/>
      <c r="J221" s="34"/>
      <c r="K221" s="35"/>
      <c r="L221" s="39"/>
      <c r="M221" s="34"/>
      <c r="N221" s="91"/>
      <c r="O221" s="117"/>
      <c r="P221" s="35"/>
      <c r="Q221" s="35"/>
      <c r="R221" s="34"/>
      <c r="S221" s="92"/>
      <c r="T221" s="17"/>
      <c r="U221" s="9"/>
    </row>
    <row r="222" spans="1:21" s="8" customFormat="1" x14ac:dyDescent="0.45">
      <c r="A222" s="23"/>
      <c r="B222" s="18"/>
      <c r="C222" s="18"/>
      <c r="D222" s="18"/>
      <c r="E222" s="18"/>
      <c r="F222" s="18"/>
      <c r="G222" s="21"/>
      <c r="H222" s="20"/>
      <c r="I222" s="20"/>
      <c r="J222" s="19"/>
      <c r="K222" s="20"/>
      <c r="L222" s="22"/>
      <c r="M222" s="19"/>
      <c r="N222" s="30"/>
      <c r="O222" s="119"/>
      <c r="P222" s="20"/>
      <c r="Q222" s="20"/>
      <c r="R222" s="19"/>
      <c r="S222" s="24"/>
      <c r="T222" s="17"/>
      <c r="U222" s="9"/>
    </row>
    <row r="223" spans="1:21" s="8" customFormat="1" x14ac:dyDescent="0.45">
      <c r="A223" s="23"/>
      <c r="B223" s="18"/>
      <c r="C223" s="18"/>
      <c r="D223" s="18"/>
      <c r="E223" s="18"/>
      <c r="F223" s="18"/>
      <c r="G223" s="21"/>
      <c r="H223" s="20"/>
      <c r="I223" s="20"/>
      <c r="J223" s="19"/>
      <c r="K223" s="20"/>
      <c r="L223" s="22"/>
      <c r="M223" s="19"/>
      <c r="N223" s="30"/>
      <c r="O223" s="119"/>
      <c r="P223" s="20"/>
      <c r="Q223" s="20"/>
      <c r="R223" s="19"/>
      <c r="S223" s="24"/>
      <c r="T223" s="17"/>
      <c r="U223" s="9"/>
    </row>
    <row r="224" spans="1:21" s="8" customFormat="1" x14ac:dyDescent="0.45">
      <c r="A224" s="23"/>
      <c r="B224" s="18"/>
      <c r="C224" s="18"/>
      <c r="D224" s="18"/>
      <c r="E224" s="18"/>
      <c r="F224" s="18"/>
      <c r="G224" s="21"/>
      <c r="H224" s="20"/>
      <c r="I224" s="20"/>
      <c r="J224" s="19"/>
      <c r="K224" s="20"/>
      <c r="L224" s="22"/>
      <c r="M224" s="19"/>
      <c r="N224" s="30"/>
      <c r="O224" s="119"/>
      <c r="P224" s="20"/>
      <c r="Q224" s="20"/>
      <c r="R224" s="19"/>
      <c r="S224" s="24"/>
      <c r="T224" s="17"/>
      <c r="U224" s="9"/>
    </row>
    <row r="225" spans="1:21" s="8" customFormat="1" x14ac:dyDescent="0.45">
      <c r="A225" s="23"/>
      <c r="B225" s="18"/>
      <c r="C225" s="18"/>
      <c r="D225" s="18"/>
      <c r="E225" s="18"/>
      <c r="F225" s="18"/>
      <c r="G225" s="21"/>
      <c r="H225" s="20"/>
      <c r="I225" s="20"/>
      <c r="J225" s="19"/>
      <c r="K225" s="20"/>
      <c r="L225" s="22"/>
      <c r="M225" s="19"/>
      <c r="N225" s="30"/>
      <c r="O225" s="119"/>
      <c r="P225" s="20"/>
      <c r="Q225" s="20"/>
      <c r="R225" s="19"/>
      <c r="S225" s="24"/>
      <c r="T225" s="17"/>
      <c r="U225" s="9"/>
    </row>
    <row r="226" spans="1:21" s="8" customFormat="1" x14ac:dyDescent="0.45">
      <c r="A226" s="23"/>
      <c r="B226" s="18"/>
      <c r="C226" s="18"/>
      <c r="D226" s="18"/>
      <c r="E226" s="18"/>
      <c r="F226" s="18"/>
      <c r="G226" s="21"/>
      <c r="H226" s="20"/>
      <c r="I226" s="20"/>
      <c r="J226" s="19"/>
      <c r="K226" s="20"/>
      <c r="L226" s="22"/>
      <c r="M226" s="19"/>
      <c r="N226" s="30"/>
      <c r="O226" s="119"/>
      <c r="P226" s="20"/>
      <c r="Q226" s="20"/>
      <c r="R226" s="19"/>
      <c r="S226" s="24"/>
      <c r="T226" s="17"/>
      <c r="U226" s="9"/>
    </row>
    <row r="227" spans="1:21" s="8" customFormat="1" x14ac:dyDescent="0.45">
      <c r="A227" s="23"/>
      <c r="B227" s="18"/>
      <c r="C227" s="18"/>
      <c r="D227" s="18"/>
      <c r="E227" s="18"/>
      <c r="F227" s="18"/>
      <c r="G227" s="21"/>
      <c r="H227" s="20"/>
      <c r="I227" s="20"/>
      <c r="J227" s="19"/>
      <c r="K227" s="20"/>
      <c r="L227" s="22"/>
      <c r="M227" s="19"/>
      <c r="N227" s="30"/>
      <c r="O227" s="119"/>
      <c r="P227" s="20"/>
      <c r="Q227" s="20"/>
      <c r="R227" s="19"/>
      <c r="S227" s="24"/>
      <c r="T227" s="17"/>
      <c r="U227" s="9"/>
    </row>
    <row r="228" spans="1:21" s="8" customFormat="1" x14ac:dyDescent="0.45">
      <c r="A228" s="23"/>
      <c r="B228" s="18"/>
      <c r="C228" s="18"/>
      <c r="D228" s="18"/>
      <c r="E228" s="18"/>
      <c r="F228" s="18"/>
      <c r="G228" s="21"/>
      <c r="H228" s="20"/>
      <c r="I228" s="20"/>
      <c r="J228" s="19"/>
      <c r="K228" s="20"/>
      <c r="L228" s="22"/>
      <c r="M228" s="19"/>
      <c r="N228" s="30"/>
      <c r="O228" s="119"/>
      <c r="P228" s="20"/>
      <c r="Q228" s="20"/>
      <c r="R228" s="19"/>
      <c r="S228" s="24"/>
      <c r="T228" s="17"/>
      <c r="U228" s="9"/>
    </row>
    <row r="229" spans="1:21" s="8" customFormat="1" x14ac:dyDescent="0.45">
      <c r="A229" s="23"/>
      <c r="B229" s="18"/>
      <c r="C229" s="18"/>
      <c r="D229" s="18"/>
      <c r="E229" s="18"/>
      <c r="F229" s="18"/>
      <c r="G229" s="21"/>
      <c r="H229" s="20"/>
      <c r="I229" s="20"/>
      <c r="J229" s="19"/>
      <c r="K229" s="20"/>
      <c r="L229" s="22"/>
      <c r="M229" s="19"/>
      <c r="N229" s="30"/>
      <c r="O229" s="119"/>
      <c r="P229" s="20"/>
      <c r="Q229" s="20"/>
      <c r="R229" s="19"/>
      <c r="S229" s="24"/>
      <c r="T229" s="17"/>
      <c r="U229" s="9"/>
    </row>
    <row r="230" spans="1:21" s="8" customFormat="1" x14ac:dyDescent="0.45">
      <c r="A230" s="23"/>
      <c r="B230" s="18"/>
      <c r="C230" s="18"/>
      <c r="D230" s="18"/>
      <c r="E230" s="18"/>
      <c r="F230" s="18"/>
      <c r="G230" s="21"/>
      <c r="H230" s="20"/>
      <c r="I230" s="20"/>
      <c r="J230" s="19"/>
      <c r="K230" s="20"/>
      <c r="L230" s="22"/>
      <c r="M230" s="19"/>
      <c r="N230" s="30"/>
      <c r="O230" s="119"/>
      <c r="P230" s="20"/>
      <c r="Q230" s="20"/>
      <c r="R230" s="19"/>
      <c r="S230" s="24"/>
      <c r="T230" s="17"/>
      <c r="U230" s="9"/>
    </row>
    <row r="231" spans="1:21" s="8" customFormat="1" x14ac:dyDescent="0.45">
      <c r="A231" s="23"/>
      <c r="B231" s="18"/>
      <c r="C231" s="18"/>
      <c r="D231" s="18"/>
      <c r="E231" s="18"/>
      <c r="F231" s="18"/>
      <c r="G231" s="21"/>
      <c r="H231" s="20"/>
      <c r="I231" s="20"/>
      <c r="J231" s="19"/>
      <c r="K231" s="20"/>
      <c r="L231" s="22"/>
      <c r="M231" s="19"/>
      <c r="N231" s="30"/>
      <c r="O231" s="119"/>
      <c r="P231" s="20"/>
      <c r="Q231" s="20"/>
      <c r="R231" s="19"/>
      <c r="S231" s="24"/>
      <c r="T231" s="17"/>
      <c r="U231" s="9"/>
    </row>
    <row r="232" spans="1:21" s="8" customFormat="1" x14ac:dyDescent="0.45">
      <c r="A232" s="23"/>
      <c r="B232" s="18"/>
      <c r="C232" s="18"/>
      <c r="D232" s="18"/>
      <c r="E232" s="18"/>
      <c r="F232" s="18"/>
      <c r="G232" s="21"/>
      <c r="H232" s="20"/>
      <c r="I232" s="20"/>
      <c r="J232" s="19"/>
      <c r="K232" s="20"/>
      <c r="L232" s="22"/>
      <c r="M232" s="19"/>
      <c r="N232" s="30"/>
      <c r="O232" s="119"/>
      <c r="P232" s="20"/>
      <c r="Q232" s="20"/>
      <c r="R232" s="19"/>
      <c r="S232" s="24"/>
      <c r="T232" s="17"/>
      <c r="U232" s="9"/>
    </row>
    <row r="233" spans="1:21" s="8" customFormat="1" x14ac:dyDescent="0.45">
      <c r="A233" s="23"/>
      <c r="B233" s="18"/>
      <c r="C233" s="18"/>
      <c r="D233" s="18"/>
      <c r="E233" s="18"/>
      <c r="F233" s="18"/>
      <c r="G233" s="21"/>
      <c r="H233" s="20"/>
      <c r="I233" s="20"/>
      <c r="J233" s="19"/>
      <c r="K233" s="20"/>
      <c r="L233" s="22"/>
      <c r="M233" s="19"/>
      <c r="N233" s="30"/>
      <c r="O233" s="119"/>
      <c r="P233" s="20"/>
      <c r="Q233" s="20"/>
      <c r="R233" s="19"/>
      <c r="S233" s="24"/>
      <c r="T233" s="17"/>
      <c r="U233" s="9"/>
    </row>
    <row r="234" spans="1:21" s="8" customFormat="1" x14ac:dyDescent="0.45">
      <c r="A234" s="23"/>
      <c r="B234" s="18"/>
      <c r="C234" s="18"/>
      <c r="D234" s="18"/>
      <c r="E234" s="18"/>
      <c r="F234" s="18"/>
      <c r="G234" s="21"/>
      <c r="H234" s="20"/>
      <c r="I234" s="20"/>
      <c r="J234" s="19"/>
      <c r="K234" s="20"/>
      <c r="L234" s="22"/>
      <c r="M234" s="19"/>
      <c r="N234" s="30"/>
      <c r="O234" s="119"/>
      <c r="P234" s="20"/>
      <c r="Q234" s="20"/>
      <c r="R234" s="19"/>
      <c r="S234" s="24"/>
      <c r="T234" s="17"/>
      <c r="U234" s="9"/>
    </row>
    <row r="235" spans="1:21" s="8" customFormat="1" x14ac:dyDescent="0.45">
      <c r="A235" s="23"/>
      <c r="B235" s="18"/>
      <c r="C235" s="18"/>
      <c r="D235" s="18"/>
      <c r="E235" s="18"/>
      <c r="F235" s="18"/>
      <c r="G235" s="21"/>
      <c r="H235" s="20"/>
      <c r="I235" s="20"/>
      <c r="J235" s="19"/>
      <c r="K235" s="20"/>
      <c r="L235" s="22"/>
      <c r="M235" s="19"/>
      <c r="N235" s="30"/>
      <c r="O235" s="119"/>
      <c r="P235" s="20"/>
      <c r="Q235" s="20"/>
      <c r="R235" s="19"/>
      <c r="S235" s="24"/>
      <c r="T235" s="17"/>
      <c r="U235" s="9"/>
    </row>
    <row r="236" spans="1:21" s="8" customFormat="1" x14ac:dyDescent="0.45">
      <c r="A236" s="23"/>
      <c r="B236" s="18"/>
      <c r="C236" s="18"/>
      <c r="D236" s="18"/>
      <c r="E236" s="18"/>
      <c r="F236" s="18"/>
      <c r="G236" s="21"/>
      <c r="H236" s="20"/>
      <c r="I236" s="20"/>
      <c r="J236" s="19"/>
      <c r="K236" s="20"/>
      <c r="L236" s="22"/>
      <c r="M236" s="19"/>
      <c r="N236" s="30"/>
      <c r="O236" s="119"/>
      <c r="P236" s="20"/>
      <c r="Q236" s="20"/>
      <c r="R236" s="19"/>
      <c r="S236" s="24"/>
      <c r="T236" s="17"/>
      <c r="U236" s="9"/>
    </row>
    <row r="237" spans="1:21" s="8" customFormat="1" x14ac:dyDescent="0.45">
      <c r="A237" s="23"/>
      <c r="B237" s="18"/>
      <c r="C237" s="18"/>
      <c r="D237" s="18"/>
      <c r="E237" s="18"/>
      <c r="F237" s="18"/>
      <c r="G237" s="21"/>
      <c r="H237" s="20"/>
      <c r="I237" s="20"/>
      <c r="J237" s="19"/>
      <c r="K237" s="20"/>
      <c r="L237" s="22"/>
      <c r="M237" s="19"/>
      <c r="N237" s="30"/>
      <c r="O237" s="119"/>
      <c r="P237" s="20"/>
      <c r="Q237" s="20"/>
      <c r="R237" s="19"/>
      <c r="S237" s="24"/>
      <c r="T237" s="17"/>
      <c r="U237" s="9"/>
    </row>
    <row r="238" spans="1:21" s="8" customFormat="1" x14ac:dyDescent="0.45">
      <c r="A238" s="23"/>
      <c r="B238" s="18"/>
      <c r="C238" s="18"/>
      <c r="D238" s="18"/>
      <c r="E238" s="18"/>
      <c r="F238" s="18"/>
      <c r="G238" s="21"/>
      <c r="H238" s="20"/>
      <c r="I238" s="20"/>
      <c r="J238" s="19"/>
      <c r="K238" s="20"/>
      <c r="L238" s="22"/>
      <c r="M238" s="19"/>
      <c r="N238" s="30"/>
      <c r="O238" s="119"/>
      <c r="P238" s="20"/>
      <c r="Q238" s="20"/>
      <c r="R238" s="19"/>
      <c r="S238" s="24"/>
      <c r="T238" s="17"/>
      <c r="U238" s="9"/>
    </row>
    <row r="239" spans="1:21" s="8" customFormat="1" x14ac:dyDescent="0.45">
      <c r="A239" s="23"/>
      <c r="B239" s="18"/>
      <c r="C239" s="18"/>
      <c r="D239" s="18"/>
      <c r="E239" s="18"/>
      <c r="F239" s="18"/>
      <c r="G239" s="21"/>
      <c r="H239" s="20"/>
      <c r="I239" s="20"/>
      <c r="J239" s="19"/>
      <c r="K239" s="20"/>
      <c r="L239" s="22"/>
      <c r="M239" s="19"/>
      <c r="N239" s="30"/>
      <c r="O239" s="119"/>
      <c r="P239" s="20"/>
      <c r="Q239" s="20"/>
      <c r="R239" s="19"/>
      <c r="S239" s="24"/>
      <c r="T239" s="17"/>
      <c r="U239" s="9"/>
    </row>
    <row r="240" spans="1:21" s="8" customFormat="1" x14ac:dyDescent="0.45">
      <c r="A240" s="23"/>
      <c r="B240" s="18"/>
      <c r="C240" s="18"/>
      <c r="D240" s="18"/>
      <c r="E240" s="18"/>
      <c r="F240" s="18"/>
      <c r="G240" s="21"/>
      <c r="H240" s="20"/>
      <c r="I240" s="20"/>
      <c r="J240" s="19"/>
      <c r="K240" s="20"/>
      <c r="L240" s="22"/>
      <c r="M240" s="19"/>
      <c r="N240" s="30"/>
      <c r="O240" s="119"/>
      <c r="P240" s="20"/>
      <c r="Q240" s="20"/>
      <c r="R240" s="19"/>
      <c r="S240" s="24"/>
      <c r="T240" s="17"/>
      <c r="U240" s="9"/>
    </row>
    <row r="241" spans="1:21" s="8" customFormat="1" x14ac:dyDescent="0.45">
      <c r="A241" s="23"/>
      <c r="B241" s="18"/>
      <c r="C241" s="18"/>
      <c r="D241" s="18"/>
      <c r="E241" s="18"/>
      <c r="F241" s="18"/>
      <c r="G241" s="21"/>
      <c r="H241" s="20"/>
      <c r="I241" s="20"/>
      <c r="J241" s="19"/>
      <c r="K241" s="20"/>
      <c r="L241" s="22"/>
      <c r="M241" s="19"/>
      <c r="N241" s="30"/>
      <c r="O241" s="119"/>
      <c r="P241" s="20"/>
      <c r="Q241" s="20"/>
      <c r="R241" s="19"/>
      <c r="S241" s="24"/>
      <c r="T241" s="17"/>
      <c r="U241" s="9"/>
    </row>
    <row r="242" spans="1:21" s="8" customFormat="1" x14ac:dyDescent="0.45">
      <c r="A242" s="23"/>
      <c r="B242" s="18"/>
      <c r="C242" s="18"/>
      <c r="D242" s="18"/>
      <c r="E242" s="18"/>
      <c r="F242" s="18"/>
      <c r="G242" s="21"/>
      <c r="H242" s="20"/>
      <c r="I242" s="20"/>
      <c r="J242" s="19"/>
      <c r="K242" s="20"/>
      <c r="L242" s="22"/>
      <c r="M242" s="19"/>
      <c r="N242" s="30"/>
      <c r="O242" s="119"/>
      <c r="P242" s="20"/>
      <c r="Q242" s="20"/>
      <c r="R242" s="19"/>
      <c r="S242" s="24"/>
      <c r="T242" s="17"/>
      <c r="U242" s="9"/>
    </row>
    <row r="243" spans="1:21" s="8" customFormat="1" x14ac:dyDescent="0.45">
      <c r="A243" s="23"/>
      <c r="B243" s="18"/>
      <c r="C243" s="18"/>
      <c r="D243" s="18"/>
      <c r="E243" s="18"/>
      <c r="F243" s="18"/>
      <c r="G243" s="21"/>
      <c r="H243" s="20"/>
      <c r="I243" s="20"/>
      <c r="J243" s="19"/>
      <c r="K243" s="20"/>
      <c r="L243" s="22"/>
      <c r="M243" s="19"/>
      <c r="N243" s="30"/>
      <c r="O243" s="119"/>
      <c r="P243" s="20"/>
      <c r="Q243" s="20"/>
      <c r="R243" s="19"/>
      <c r="S243" s="24"/>
      <c r="T243" s="17"/>
      <c r="U243" s="9"/>
    </row>
    <row r="244" spans="1:21" s="8" customFormat="1" x14ac:dyDescent="0.45">
      <c r="A244" s="23"/>
      <c r="B244" s="18"/>
      <c r="C244" s="18"/>
      <c r="D244" s="18"/>
      <c r="E244" s="18"/>
      <c r="F244" s="18"/>
      <c r="G244" s="21"/>
      <c r="H244" s="20"/>
      <c r="I244" s="20"/>
      <c r="J244" s="19"/>
      <c r="K244" s="20"/>
      <c r="L244" s="22"/>
      <c r="M244" s="19"/>
      <c r="N244" s="30"/>
      <c r="O244" s="119"/>
      <c r="P244" s="20"/>
      <c r="Q244" s="20"/>
      <c r="R244" s="19"/>
      <c r="S244" s="24"/>
      <c r="T244" s="17"/>
      <c r="U244" s="9"/>
    </row>
    <row r="245" spans="1:21" s="8" customFormat="1" x14ac:dyDescent="0.45">
      <c r="A245" s="23"/>
      <c r="B245" s="18"/>
      <c r="C245" s="18"/>
      <c r="D245" s="18"/>
      <c r="E245" s="18"/>
      <c r="F245" s="18"/>
      <c r="G245" s="21"/>
      <c r="H245" s="20"/>
      <c r="I245" s="20"/>
      <c r="J245" s="19"/>
      <c r="K245" s="20"/>
      <c r="L245" s="22"/>
      <c r="M245" s="19"/>
      <c r="N245" s="30"/>
      <c r="O245" s="119"/>
      <c r="P245" s="20"/>
      <c r="Q245" s="20"/>
      <c r="R245" s="19"/>
      <c r="S245" s="24"/>
      <c r="T245" s="17"/>
      <c r="U245" s="9"/>
    </row>
    <row r="246" spans="1:21" s="8" customFormat="1" x14ac:dyDescent="0.45">
      <c r="A246" s="23"/>
      <c r="B246" s="18"/>
      <c r="C246" s="18"/>
      <c r="D246" s="18"/>
      <c r="E246" s="18"/>
      <c r="F246" s="18"/>
      <c r="G246" s="21"/>
      <c r="H246" s="20"/>
      <c r="I246" s="20"/>
      <c r="J246" s="19"/>
      <c r="K246" s="20"/>
      <c r="L246" s="22"/>
      <c r="M246" s="19"/>
      <c r="N246" s="30"/>
      <c r="O246" s="119"/>
      <c r="P246" s="20"/>
      <c r="Q246" s="20"/>
      <c r="R246" s="19"/>
      <c r="S246" s="24"/>
      <c r="T246" s="17"/>
      <c r="U246" s="9"/>
    </row>
    <row r="247" spans="1:21" s="8" customFormat="1" x14ac:dyDescent="0.45">
      <c r="A247" s="23"/>
      <c r="B247" s="18"/>
      <c r="C247" s="18"/>
      <c r="D247" s="18"/>
      <c r="E247" s="18"/>
      <c r="F247" s="18"/>
      <c r="G247" s="21"/>
      <c r="H247" s="20"/>
      <c r="I247" s="20"/>
      <c r="J247" s="19"/>
      <c r="K247" s="20"/>
      <c r="L247" s="22"/>
      <c r="M247" s="19"/>
      <c r="N247" s="30"/>
      <c r="O247" s="119"/>
      <c r="P247" s="20"/>
      <c r="Q247" s="20"/>
      <c r="R247" s="19"/>
      <c r="S247" s="24"/>
      <c r="T247" s="17"/>
      <c r="U247" s="9"/>
    </row>
    <row r="248" spans="1:21" s="8" customFormat="1" x14ac:dyDescent="0.45">
      <c r="A248" s="23"/>
      <c r="B248" s="18"/>
      <c r="C248" s="18"/>
      <c r="D248" s="18"/>
      <c r="E248" s="18"/>
      <c r="F248" s="18"/>
      <c r="G248" s="21"/>
      <c r="H248" s="20"/>
      <c r="I248" s="20"/>
      <c r="J248" s="19"/>
      <c r="K248" s="20"/>
      <c r="L248" s="22"/>
      <c r="M248" s="19"/>
      <c r="N248" s="30"/>
      <c r="O248" s="119"/>
      <c r="P248" s="20"/>
      <c r="Q248" s="20"/>
      <c r="R248" s="19"/>
      <c r="S248" s="24"/>
      <c r="T248" s="17"/>
      <c r="U248" s="9"/>
    </row>
    <row r="249" spans="1:21" s="8" customFormat="1" x14ac:dyDescent="0.45">
      <c r="A249" s="23"/>
      <c r="B249" s="18"/>
      <c r="C249" s="18"/>
      <c r="D249" s="18"/>
      <c r="E249" s="18"/>
      <c r="F249" s="18"/>
      <c r="G249" s="21"/>
      <c r="H249" s="20"/>
      <c r="I249" s="20"/>
      <c r="J249" s="19"/>
      <c r="K249" s="20"/>
      <c r="L249" s="22"/>
      <c r="M249" s="19"/>
      <c r="N249" s="30"/>
      <c r="O249" s="119"/>
      <c r="P249" s="20"/>
      <c r="Q249" s="20"/>
      <c r="R249" s="19"/>
      <c r="S249" s="24"/>
      <c r="T249" s="17"/>
      <c r="U249" s="9"/>
    </row>
    <row r="250" spans="1:21" s="8" customFormat="1" x14ac:dyDescent="0.45">
      <c r="A250" s="23"/>
      <c r="B250" s="18"/>
      <c r="C250" s="18"/>
      <c r="D250" s="18"/>
      <c r="E250" s="18"/>
      <c r="F250" s="18"/>
      <c r="G250" s="21"/>
      <c r="H250" s="20"/>
      <c r="I250" s="20"/>
      <c r="J250" s="19"/>
      <c r="K250" s="20"/>
      <c r="L250" s="22"/>
      <c r="M250" s="19"/>
      <c r="N250" s="30"/>
      <c r="O250" s="119"/>
      <c r="P250" s="20"/>
      <c r="Q250" s="20"/>
      <c r="R250" s="19"/>
      <c r="S250" s="24"/>
      <c r="T250" s="17"/>
      <c r="U250" s="9"/>
    </row>
    <row r="251" spans="1:21" s="8" customFormat="1" x14ac:dyDescent="0.45">
      <c r="A251" s="23"/>
      <c r="B251" s="18"/>
      <c r="C251" s="18"/>
      <c r="D251" s="18"/>
      <c r="E251" s="18"/>
      <c r="F251" s="18"/>
      <c r="G251" s="21"/>
      <c r="H251" s="20"/>
      <c r="I251" s="20"/>
      <c r="J251" s="19"/>
      <c r="K251" s="20"/>
      <c r="L251" s="22"/>
      <c r="M251" s="19"/>
      <c r="N251" s="30"/>
      <c r="O251" s="119"/>
      <c r="P251" s="20"/>
      <c r="Q251" s="20"/>
      <c r="R251" s="19"/>
      <c r="S251" s="24"/>
      <c r="T251" s="17"/>
      <c r="U251" s="9"/>
    </row>
    <row r="252" spans="1:21" s="8" customFormat="1" x14ac:dyDescent="0.45">
      <c r="A252" s="23"/>
      <c r="B252" s="18"/>
      <c r="C252" s="18"/>
      <c r="D252" s="18"/>
      <c r="E252" s="18"/>
      <c r="F252" s="18"/>
      <c r="G252" s="21"/>
      <c r="H252" s="20"/>
      <c r="I252" s="20"/>
      <c r="J252" s="19"/>
      <c r="K252" s="20"/>
      <c r="L252" s="22"/>
      <c r="M252" s="19"/>
      <c r="N252" s="30"/>
      <c r="O252" s="119"/>
      <c r="P252" s="20"/>
      <c r="Q252" s="20"/>
      <c r="R252" s="19"/>
      <c r="S252" s="24"/>
      <c r="T252" s="17"/>
      <c r="U252" s="9"/>
    </row>
    <row r="253" spans="1:21" s="8" customFormat="1" x14ac:dyDescent="0.45">
      <c r="A253" s="23"/>
      <c r="B253" s="18"/>
      <c r="C253" s="18"/>
      <c r="D253" s="18"/>
      <c r="E253" s="18"/>
      <c r="F253" s="18"/>
      <c r="G253" s="21"/>
      <c r="H253" s="20"/>
      <c r="I253" s="20"/>
      <c r="J253" s="19"/>
      <c r="K253" s="20"/>
      <c r="L253" s="22"/>
      <c r="M253" s="19"/>
      <c r="N253" s="30"/>
      <c r="O253" s="119"/>
      <c r="P253" s="20"/>
      <c r="Q253" s="20"/>
      <c r="R253" s="19"/>
      <c r="S253" s="24"/>
      <c r="T253" s="17"/>
      <c r="U253" s="9"/>
    </row>
    <row r="254" spans="1:21" s="8" customFormat="1" x14ac:dyDescent="0.45">
      <c r="A254" s="23"/>
      <c r="B254" s="18"/>
      <c r="C254" s="18"/>
      <c r="D254" s="18"/>
      <c r="E254" s="18"/>
      <c r="F254" s="18"/>
      <c r="G254" s="21"/>
      <c r="H254" s="20"/>
      <c r="I254" s="20"/>
      <c r="J254" s="19"/>
      <c r="K254" s="20"/>
      <c r="L254" s="22"/>
      <c r="M254" s="19"/>
      <c r="N254" s="30"/>
      <c r="O254" s="119"/>
      <c r="P254" s="20"/>
      <c r="Q254" s="20"/>
      <c r="R254" s="19"/>
      <c r="S254" s="24"/>
      <c r="T254" s="17"/>
      <c r="U254" s="9"/>
    </row>
    <row r="255" spans="1:21" s="8" customFormat="1" x14ac:dyDescent="0.45">
      <c r="A255" s="23"/>
      <c r="B255" s="18"/>
      <c r="C255" s="18"/>
      <c r="D255" s="18"/>
      <c r="E255" s="18"/>
      <c r="F255" s="18"/>
      <c r="G255" s="21"/>
      <c r="H255" s="20"/>
      <c r="I255" s="20"/>
      <c r="J255" s="19"/>
      <c r="K255" s="20"/>
      <c r="L255" s="22"/>
      <c r="M255" s="19"/>
      <c r="N255" s="30"/>
      <c r="O255" s="119"/>
      <c r="P255" s="20"/>
      <c r="Q255" s="20"/>
      <c r="R255" s="19"/>
      <c r="S255" s="24"/>
      <c r="T255" s="17"/>
      <c r="U255" s="9"/>
    </row>
    <row r="256" spans="1:21" s="8" customFormat="1" x14ac:dyDescent="0.45">
      <c r="A256" s="23"/>
      <c r="B256" s="18"/>
      <c r="C256" s="18"/>
      <c r="D256" s="18"/>
      <c r="E256" s="18"/>
      <c r="F256" s="18"/>
      <c r="G256" s="21"/>
      <c r="H256" s="20"/>
      <c r="I256" s="20"/>
      <c r="J256" s="19"/>
      <c r="K256" s="20"/>
      <c r="L256" s="22"/>
      <c r="M256" s="19"/>
      <c r="N256" s="30"/>
      <c r="O256" s="119"/>
      <c r="P256" s="20"/>
      <c r="Q256" s="20"/>
      <c r="R256" s="19"/>
      <c r="S256" s="24"/>
      <c r="T256" s="17"/>
      <c r="U256" s="9"/>
    </row>
    <row r="257" spans="1:21" s="8" customFormat="1" x14ac:dyDescent="0.45">
      <c r="A257" s="23"/>
      <c r="B257" s="18"/>
      <c r="C257" s="18"/>
      <c r="D257" s="18"/>
      <c r="E257" s="18"/>
      <c r="F257" s="18"/>
      <c r="G257" s="21"/>
      <c r="H257" s="20"/>
      <c r="I257" s="20"/>
      <c r="J257" s="19"/>
      <c r="K257" s="20"/>
      <c r="L257" s="22"/>
      <c r="M257" s="19"/>
      <c r="N257" s="30"/>
      <c r="O257" s="119"/>
      <c r="P257" s="20"/>
      <c r="Q257" s="20"/>
      <c r="R257" s="19"/>
      <c r="S257" s="24"/>
      <c r="T257" s="17"/>
      <c r="U257" s="9"/>
    </row>
    <row r="258" spans="1:21" s="8" customFormat="1" x14ac:dyDescent="0.45">
      <c r="A258" s="23"/>
      <c r="B258" s="18"/>
      <c r="C258" s="18"/>
      <c r="D258" s="18"/>
      <c r="E258" s="18"/>
      <c r="F258" s="18"/>
      <c r="G258" s="21"/>
      <c r="H258" s="20"/>
      <c r="I258" s="20"/>
      <c r="J258" s="19"/>
      <c r="K258" s="20"/>
      <c r="L258" s="22"/>
      <c r="M258" s="19"/>
      <c r="N258" s="30"/>
      <c r="O258" s="119"/>
      <c r="P258" s="20"/>
      <c r="Q258" s="20"/>
      <c r="R258" s="19"/>
      <c r="S258" s="24"/>
      <c r="T258" s="17"/>
      <c r="U258" s="9"/>
    </row>
    <row r="259" spans="1:21" s="8" customFormat="1" x14ac:dyDescent="0.45">
      <c r="A259" s="23"/>
      <c r="B259" s="18"/>
      <c r="C259" s="18"/>
      <c r="D259" s="18"/>
      <c r="E259" s="18"/>
      <c r="F259" s="18"/>
      <c r="G259" s="21"/>
      <c r="H259" s="20"/>
      <c r="I259" s="20"/>
      <c r="J259" s="19"/>
      <c r="K259" s="20"/>
      <c r="L259" s="22"/>
      <c r="M259" s="19"/>
      <c r="N259" s="30"/>
      <c r="O259" s="119"/>
      <c r="P259" s="20"/>
      <c r="Q259" s="20"/>
      <c r="R259" s="19"/>
      <c r="S259" s="24"/>
      <c r="T259" s="17"/>
      <c r="U259" s="9"/>
    </row>
    <row r="260" spans="1:21" s="8" customFormat="1" x14ac:dyDescent="0.45">
      <c r="A260" s="23"/>
      <c r="B260" s="18"/>
      <c r="C260" s="18"/>
      <c r="D260" s="18"/>
      <c r="E260" s="18"/>
      <c r="F260" s="18"/>
      <c r="G260" s="21"/>
      <c r="H260" s="20"/>
      <c r="I260" s="20"/>
      <c r="J260" s="19"/>
      <c r="K260" s="20"/>
      <c r="L260" s="22"/>
      <c r="M260" s="19"/>
      <c r="N260" s="30"/>
      <c r="O260" s="119"/>
      <c r="P260" s="20"/>
      <c r="Q260" s="20"/>
      <c r="R260" s="19"/>
      <c r="S260" s="24"/>
      <c r="T260" s="17"/>
      <c r="U260" s="9"/>
    </row>
    <row r="261" spans="1:21" s="8" customFormat="1" x14ac:dyDescent="0.45">
      <c r="A261" s="23"/>
      <c r="B261" s="18"/>
      <c r="C261" s="18"/>
      <c r="D261" s="18"/>
      <c r="E261" s="18"/>
      <c r="F261" s="18"/>
      <c r="G261" s="21"/>
      <c r="H261" s="20"/>
      <c r="I261" s="20"/>
      <c r="J261" s="19"/>
      <c r="K261" s="20"/>
      <c r="L261" s="22"/>
      <c r="M261" s="19"/>
      <c r="N261" s="30"/>
      <c r="O261" s="119"/>
      <c r="P261" s="20"/>
      <c r="Q261" s="20"/>
      <c r="R261" s="19"/>
      <c r="S261" s="24"/>
      <c r="T261" s="17"/>
      <c r="U261" s="9"/>
    </row>
    <row r="262" spans="1:21" s="8" customFormat="1" x14ac:dyDescent="0.45">
      <c r="A262" s="23"/>
      <c r="B262" s="18"/>
      <c r="C262" s="18"/>
      <c r="D262" s="18"/>
      <c r="E262" s="18"/>
      <c r="F262" s="18"/>
      <c r="G262" s="21"/>
      <c r="H262" s="20"/>
      <c r="I262" s="20"/>
      <c r="J262" s="19"/>
      <c r="K262" s="20"/>
      <c r="L262" s="22"/>
      <c r="M262" s="19"/>
      <c r="N262" s="30"/>
      <c r="O262" s="119"/>
      <c r="P262" s="20"/>
      <c r="Q262" s="20"/>
      <c r="R262" s="19"/>
      <c r="S262" s="24"/>
      <c r="T262" s="17"/>
      <c r="U262" s="9"/>
    </row>
    <row r="263" spans="1:21" s="8" customFormat="1" x14ac:dyDescent="0.45">
      <c r="A263" s="23"/>
      <c r="B263" s="18"/>
      <c r="C263" s="18"/>
      <c r="D263" s="18"/>
      <c r="E263" s="18"/>
      <c r="F263" s="18"/>
      <c r="G263" s="21"/>
      <c r="H263" s="20"/>
      <c r="I263" s="20"/>
      <c r="J263" s="19"/>
      <c r="K263" s="20"/>
      <c r="L263" s="22"/>
      <c r="M263" s="19"/>
      <c r="N263" s="30"/>
      <c r="O263" s="119"/>
      <c r="P263" s="20"/>
      <c r="Q263" s="20"/>
      <c r="R263" s="19"/>
      <c r="S263" s="24"/>
      <c r="T263" s="17"/>
      <c r="U263" s="9"/>
    </row>
    <row r="264" spans="1:21" s="8" customFormat="1" x14ac:dyDescent="0.45">
      <c r="A264" s="23"/>
      <c r="B264" s="18"/>
      <c r="C264" s="18"/>
      <c r="D264" s="18"/>
      <c r="E264" s="18"/>
      <c r="F264" s="18"/>
      <c r="G264" s="21"/>
      <c r="H264" s="20"/>
      <c r="I264" s="20"/>
      <c r="J264" s="19"/>
      <c r="K264" s="20"/>
      <c r="L264" s="22"/>
      <c r="M264" s="19"/>
      <c r="N264" s="30"/>
      <c r="O264" s="119"/>
      <c r="P264" s="20"/>
      <c r="Q264" s="20"/>
      <c r="R264" s="19"/>
      <c r="S264" s="24"/>
      <c r="T264" s="17"/>
      <c r="U264" s="9"/>
    </row>
    <row r="265" spans="1:21" s="8" customFormat="1" x14ac:dyDescent="0.45">
      <c r="A265" s="23"/>
      <c r="B265" s="18"/>
      <c r="C265" s="18"/>
      <c r="D265" s="18"/>
      <c r="E265" s="18"/>
      <c r="F265" s="18"/>
      <c r="G265" s="21"/>
      <c r="H265" s="20"/>
      <c r="I265" s="20"/>
      <c r="J265" s="19"/>
      <c r="K265" s="20"/>
      <c r="L265" s="22"/>
      <c r="M265" s="19"/>
      <c r="N265" s="30"/>
      <c r="O265" s="119"/>
      <c r="P265" s="20"/>
      <c r="Q265" s="20"/>
      <c r="R265" s="19"/>
      <c r="S265" s="24"/>
      <c r="T265" s="17"/>
      <c r="U265" s="9"/>
    </row>
    <row r="266" spans="1:21" s="8" customFormat="1" x14ac:dyDescent="0.45">
      <c r="A266" s="23"/>
      <c r="B266" s="18"/>
      <c r="C266" s="18"/>
      <c r="D266" s="18"/>
      <c r="E266" s="18"/>
      <c r="F266" s="18"/>
      <c r="G266" s="21"/>
      <c r="H266" s="20"/>
      <c r="I266" s="20"/>
      <c r="J266" s="19"/>
      <c r="K266" s="20"/>
      <c r="L266" s="22"/>
      <c r="M266" s="19"/>
      <c r="N266" s="30"/>
      <c r="O266" s="119"/>
      <c r="P266" s="20"/>
      <c r="Q266" s="20"/>
      <c r="R266" s="19"/>
      <c r="S266" s="24"/>
      <c r="T266" s="17"/>
      <c r="U266" s="9"/>
    </row>
    <row r="267" spans="1:21" s="8" customFormat="1" x14ac:dyDescent="0.45">
      <c r="A267" s="23"/>
      <c r="B267" s="18"/>
      <c r="C267" s="18"/>
      <c r="D267" s="18"/>
      <c r="E267" s="18"/>
      <c r="F267" s="18"/>
      <c r="G267" s="21"/>
      <c r="H267" s="20"/>
      <c r="I267" s="20"/>
      <c r="J267" s="19"/>
      <c r="K267" s="20"/>
      <c r="L267" s="22"/>
      <c r="M267" s="19"/>
      <c r="N267" s="30"/>
      <c r="O267" s="119"/>
      <c r="P267" s="20"/>
      <c r="Q267" s="20"/>
      <c r="R267" s="19"/>
      <c r="S267" s="24"/>
      <c r="T267" s="17"/>
      <c r="U267" s="9"/>
    </row>
    <row r="268" spans="1:21" s="8" customFormat="1" x14ac:dyDescent="0.45">
      <c r="A268" s="23"/>
      <c r="B268" s="18"/>
      <c r="C268" s="18"/>
      <c r="D268" s="18"/>
      <c r="E268" s="18"/>
      <c r="F268" s="18"/>
      <c r="G268" s="21"/>
      <c r="H268" s="20"/>
      <c r="I268" s="20"/>
      <c r="J268" s="19"/>
      <c r="K268" s="20"/>
      <c r="L268" s="22"/>
      <c r="M268" s="19"/>
      <c r="N268" s="30"/>
      <c r="O268" s="119"/>
      <c r="P268" s="20"/>
      <c r="Q268" s="20"/>
      <c r="R268" s="19"/>
      <c r="S268" s="24"/>
      <c r="T268" s="17"/>
      <c r="U268" s="9"/>
    </row>
    <row r="269" spans="1:21" s="8" customFormat="1" x14ac:dyDescent="0.45">
      <c r="A269" s="23"/>
      <c r="B269" s="18"/>
      <c r="C269" s="18"/>
      <c r="D269" s="18"/>
      <c r="E269" s="18"/>
      <c r="F269" s="18"/>
      <c r="G269" s="21"/>
      <c r="H269" s="20"/>
      <c r="I269" s="20"/>
      <c r="J269" s="19"/>
      <c r="K269" s="20"/>
      <c r="L269" s="22"/>
      <c r="M269" s="19"/>
      <c r="N269" s="30"/>
      <c r="O269" s="119"/>
      <c r="P269" s="20"/>
      <c r="Q269" s="20"/>
      <c r="R269" s="19"/>
      <c r="S269" s="24"/>
      <c r="T269" s="17"/>
      <c r="U269" s="9"/>
    </row>
    <row r="270" spans="1:21" s="8" customFormat="1" x14ac:dyDescent="0.45">
      <c r="A270" s="23"/>
      <c r="B270" s="18"/>
      <c r="C270" s="18"/>
      <c r="D270" s="18"/>
      <c r="E270" s="18"/>
      <c r="F270" s="18"/>
      <c r="G270" s="21"/>
      <c r="H270" s="20"/>
      <c r="I270" s="20"/>
      <c r="J270" s="19"/>
      <c r="K270" s="20"/>
      <c r="L270" s="22"/>
      <c r="M270" s="19"/>
      <c r="N270" s="30"/>
      <c r="O270" s="119"/>
      <c r="P270" s="20"/>
      <c r="Q270" s="20"/>
      <c r="R270" s="19"/>
      <c r="S270" s="24"/>
      <c r="T270" s="17"/>
      <c r="U270" s="9"/>
    </row>
    <row r="271" spans="1:21" s="8" customFormat="1" x14ac:dyDescent="0.45">
      <c r="A271" s="23"/>
      <c r="B271" s="18"/>
      <c r="C271" s="18"/>
      <c r="D271" s="18"/>
      <c r="E271" s="18"/>
      <c r="F271" s="18"/>
      <c r="G271" s="21"/>
      <c r="H271" s="20"/>
      <c r="I271" s="20"/>
      <c r="J271" s="19"/>
      <c r="K271" s="20"/>
      <c r="L271" s="22"/>
      <c r="M271" s="19"/>
      <c r="N271" s="30"/>
      <c r="O271" s="119"/>
      <c r="P271" s="20"/>
      <c r="Q271" s="20"/>
      <c r="R271" s="19"/>
      <c r="S271" s="24"/>
      <c r="T271" s="17"/>
      <c r="U271" s="9"/>
    </row>
    <row r="272" spans="1:21" s="8" customFormat="1" x14ac:dyDescent="0.45">
      <c r="A272" s="23"/>
      <c r="B272" s="18"/>
      <c r="C272" s="18"/>
      <c r="D272" s="18"/>
      <c r="E272" s="18"/>
      <c r="F272" s="18"/>
      <c r="G272" s="21"/>
      <c r="H272" s="20"/>
      <c r="I272" s="20"/>
      <c r="J272" s="19"/>
      <c r="K272" s="20"/>
      <c r="L272" s="22"/>
      <c r="M272" s="19"/>
      <c r="N272" s="30"/>
      <c r="O272" s="119"/>
      <c r="P272" s="20"/>
      <c r="Q272" s="20"/>
      <c r="R272" s="19"/>
      <c r="S272" s="24"/>
      <c r="T272" s="17"/>
      <c r="U272" s="9"/>
    </row>
    <row r="273" spans="1:21" s="8" customFormat="1" x14ac:dyDescent="0.45">
      <c r="A273" s="23"/>
      <c r="B273" s="18"/>
      <c r="C273" s="18"/>
      <c r="D273" s="18"/>
      <c r="E273" s="18"/>
      <c r="F273" s="18"/>
      <c r="G273" s="21"/>
      <c r="H273" s="20"/>
      <c r="I273" s="20"/>
      <c r="J273" s="19"/>
      <c r="K273" s="20"/>
      <c r="L273" s="22"/>
      <c r="M273" s="19"/>
      <c r="N273" s="30"/>
      <c r="O273" s="119"/>
      <c r="P273" s="20"/>
      <c r="Q273" s="20"/>
      <c r="R273" s="19"/>
      <c r="S273" s="24"/>
      <c r="T273" s="17"/>
      <c r="U273" s="9"/>
    </row>
    <row r="274" spans="1:21" s="8" customFormat="1" x14ac:dyDescent="0.45">
      <c r="A274" s="23"/>
      <c r="B274" s="18"/>
      <c r="C274" s="18"/>
      <c r="D274" s="18"/>
      <c r="E274" s="18"/>
      <c r="F274" s="18"/>
      <c r="G274" s="21"/>
      <c r="H274" s="20"/>
      <c r="I274" s="20"/>
      <c r="J274" s="19"/>
      <c r="K274" s="20"/>
      <c r="L274" s="22"/>
      <c r="M274" s="19"/>
      <c r="N274" s="30"/>
      <c r="O274" s="119"/>
      <c r="P274" s="20"/>
      <c r="Q274" s="20"/>
      <c r="R274" s="19"/>
      <c r="S274" s="24"/>
      <c r="T274" s="17"/>
      <c r="U274" s="9"/>
    </row>
    <row r="275" spans="1:21" s="8" customFormat="1" x14ac:dyDescent="0.45">
      <c r="A275" s="23"/>
      <c r="B275" s="18"/>
      <c r="C275" s="18"/>
      <c r="D275" s="18"/>
      <c r="E275" s="18"/>
      <c r="F275" s="18"/>
      <c r="G275" s="21"/>
      <c r="H275" s="20"/>
      <c r="I275" s="20"/>
      <c r="J275" s="19"/>
      <c r="K275" s="20"/>
      <c r="L275" s="22"/>
      <c r="M275" s="19"/>
      <c r="N275" s="30"/>
      <c r="O275" s="119"/>
      <c r="P275" s="20"/>
      <c r="Q275" s="20"/>
      <c r="R275" s="19"/>
      <c r="S275" s="24"/>
      <c r="T275" s="17"/>
      <c r="U275" s="9"/>
    </row>
    <row r="276" spans="1:21" s="8" customFormat="1" x14ac:dyDescent="0.45">
      <c r="A276" s="23"/>
      <c r="B276" s="18"/>
      <c r="C276" s="18"/>
      <c r="D276" s="18"/>
      <c r="E276" s="18"/>
      <c r="F276" s="18"/>
      <c r="G276" s="21"/>
      <c r="H276" s="20"/>
      <c r="I276" s="20"/>
      <c r="J276" s="19"/>
      <c r="K276" s="20"/>
      <c r="L276" s="22"/>
      <c r="M276" s="19"/>
      <c r="N276" s="30"/>
      <c r="O276" s="119"/>
      <c r="P276" s="20"/>
      <c r="Q276" s="20"/>
      <c r="R276" s="19"/>
      <c r="S276" s="24"/>
      <c r="T276" s="17"/>
      <c r="U276" s="9"/>
    </row>
    <row r="277" spans="1:21" s="8" customFormat="1" x14ac:dyDescent="0.45">
      <c r="A277" s="23"/>
      <c r="B277" s="18"/>
      <c r="C277" s="18"/>
      <c r="D277" s="18"/>
      <c r="E277" s="18"/>
      <c r="F277" s="18"/>
      <c r="G277" s="21"/>
      <c r="H277" s="20"/>
      <c r="I277" s="20"/>
      <c r="J277" s="19"/>
      <c r="K277" s="20"/>
      <c r="L277" s="22"/>
      <c r="M277" s="19"/>
      <c r="N277" s="30"/>
      <c r="O277" s="119"/>
      <c r="P277" s="20"/>
      <c r="Q277" s="20"/>
      <c r="R277" s="19"/>
      <c r="S277" s="24"/>
      <c r="T277" s="17"/>
      <c r="U277" s="9"/>
    </row>
    <row r="278" spans="1:21" s="8" customFormat="1" x14ac:dyDescent="0.45">
      <c r="A278" s="23"/>
      <c r="B278" s="18"/>
      <c r="C278" s="18"/>
      <c r="D278" s="18"/>
      <c r="E278" s="18"/>
      <c r="F278" s="18"/>
      <c r="G278" s="21"/>
      <c r="H278" s="20"/>
      <c r="I278" s="20"/>
      <c r="J278" s="19"/>
      <c r="K278" s="20"/>
      <c r="L278" s="22"/>
      <c r="M278" s="19"/>
      <c r="N278" s="30"/>
      <c r="O278" s="119"/>
      <c r="P278" s="20"/>
      <c r="Q278" s="20"/>
      <c r="R278" s="19"/>
      <c r="S278" s="24"/>
      <c r="T278" s="17"/>
      <c r="U278" s="9"/>
    </row>
    <row r="279" spans="1:21" s="8" customFormat="1" x14ac:dyDescent="0.45">
      <c r="A279" s="23"/>
      <c r="B279" s="18"/>
      <c r="C279" s="18"/>
      <c r="D279" s="18"/>
      <c r="E279" s="18"/>
      <c r="F279" s="18"/>
      <c r="G279" s="21"/>
      <c r="H279" s="20"/>
      <c r="I279" s="20"/>
      <c r="J279" s="19"/>
      <c r="K279" s="20"/>
      <c r="L279" s="22"/>
      <c r="M279" s="19"/>
      <c r="N279" s="30"/>
      <c r="O279" s="119"/>
      <c r="P279" s="20"/>
      <c r="Q279" s="20"/>
      <c r="R279" s="19"/>
      <c r="S279" s="24"/>
      <c r="T279" s="17"/>
      <c r="U279" s="9"/>
    </row>
    <row r="280" spans="1:21" s="8" customFormat="1" x14ac:dyDescent="0.45">
      <c r="A280" s="23"/>
      <c r="B280" s="18"/>
      <c r="C280" s="18"/>
      <c r="D280" s="18"/>
      <c r="E280" s="18"/>
      <c r="F280" s="18"/>
      <c r="G280" s="21"/>
      <c r="H280" s="20"/>
      <c r="I280" s="20"/>
      <c r="J280" s="19"/>
      <c r="K280" s="20"/>
      <c r="L280" s="22"/>
      <c r="M280" s="19"/>
      <c r="N280" s="30"/>
      <c r="O280" s="119"/>
      <c r="P280" s="20"/>
      <c r="Q280" s="20"/>
      <c r="R280" s="19"/>
      <c r="S280" s="24"/>
      <c r="T280" s="17"/>
      <c r="U280" s="9"/>
    </row>
    <row r="281" spans="1:21" s="8" customFormat="1" x14ac:dyDescent="0.45">
      <c r="A281" s="23"/>
      <c r="B281" s="18"/>
      <c r="C281" s="18"/>
      <c r="D281" s="18"/>
      <c r="E281" s="18"/>
      <c r="F281" s="18"/>
      <c r="G281" s="21"/>
      <c r="H281" s="20"/>
      <c r="I281" s="20"/>
      <c r="J281" s="19"/>
      <c r="K281" s="20"/>
      <c r="L281" s="22"/>
      <c r="M281" s="19"/>
      <c r="N281" s="30"/>
      <c r="O281" s="119"/>
      <c r="P281" s="20"/>
      <c r="Q281" s="20"/>
      <c r="R281" s="19"/>
      <c r="S281" s="24"/>
      <c r="T281" s="17"/>
      <c r="U281" s="9"/>
    </row>
    <row r="282" spans="1:21" s="8" customFormat="1" x14ac:dyDescent="0.45">
      <c r="A282" s="23"/>
      <c r="B282" s="18"/>
      <c r="C282" s="18"/>
      <c r="D282" s="18"/>
      <c r="E282" s="18"/>
      <c r="F282" s="18"/>
      <c r="G282" s="21"/>
      <c r="H282" s="20"/>
      <c r="I282" s="20"/>
      <c r="J282" s="19"/>
      <c r="K282" s="20"/>
      <c r="L282" s="22"/>
      <c r="M282" s="19"/>
      <c r="N282" s="30"/>
      <c r="O282" s="119"/>
      <c r="P282" s="20"/>
      <c r="Q282" s="20"/>
      <c r="R282" s="19"/>
      <c r="S282" s="24"/>
      <c r="T282" s="17"/>
      <c r="U282" s="9"/>
    </row>
    <row r="283" spans="1:21" s="8" customFormat="1" x14ac:dyDescent="0.45">
      <c r="A283" s="23"/>
      <c r="B283" s="18"/>
      <c r="C283" s="18"/>
      <c r="D283" s="18"/>
      <c r="E283" s="18"/>
      <c r="F283" s="18"/>
      <c r="G283" s="21"/>
      <c r="H283" s="20"/>
      <c r="I283" s="20"/>
      <c r="J283" s="19"/>
      <c r="K283" s="20"/>
      <c r="L283" s="22"/>
      <c r="M283" s="19"/>
      <c r="N283" s="30"/>
      <c r="O283" s="119"/>
      <c r="P283" s="20"/>
      <c r="Q283" s="20"/>
      <c r="R283" s="19"/>
      <c r="S283" s="24"/>
      <c r="T283" s="17"/>
      <c r="U283" s="9"/>
    </row>
    <row r="284" spans="1:21" s="8" customFormat="1" x14ac:dyDescent="0.45">
      <c r="A284" s="23"/>
      <c r="B284" s="18"/>
      <c r="C284" s="18"/>
      <c r="D284" s="18"/>
      <c r="E284" s="18"/>
      <c r="F284" s="18"/>
      <c r="G284" s="21"/>
      <c r="H284" s="20"/>
      <c r="I284" s="20"/>
      <c r="J284" s="19"/>
      <c r="K284" s="20"/>
      <c r="L284" s="22"/>
      <c r="M284" s="19"/>
      <c r="N284" s="30"/>
      <c r="O284" s="119"/>
      <c r="P284" s="20"/>
      <c r="Q284" s="20"/>
      <c r="R284" s="19"/>
      <c r="S284" s="24"/>
      <c r="T284" s="17"/>
      <c r="U284" s="9"/>
    </row>
    <row r="285" spans="1:21" s="8" customFormat="1" x14ac:dyDescent="0.45">
      <c r="A285" s="23"/>
      <c r="B285" s="18"/>
      <c r="C285" s="18"/>
      <c r="D285" s="18"/>
      <c r="E285" s="18"/>
      <c r="F285" s="18"/>
      <c r="G285" s="21"/>
      <c r="H285" s="20"/>
      <c r="I285" s="20"/>
      <c r="J285" s="19"/>
      <c r="K285" s="20"/>
      <c r="L285" s="22"/>
      <c r="M285" s="19"/>
      <c r="N285" s="30"/>
      <c r="O285" s="119"/>
      <c r="P285" s="20"/>
      <c r="Q285" s="20"/>
      <c r="R285" s="19"/>
      <c r="S285" s="24"/>
      <c r="T285" s="17"/>
      <c r="U285" s="9"/>
    </row>
    <row r="286" spans="1:21" s="8" customFormat="1" x14ac:dyDescent="0.45">
      <c r="A286" s="23"/>
      <c r="B286" s="18"/>
      <c r="C286" s="18"/>
      <c r="D286" s="18"/>
      <c r="E286" s="18"/>
      <c r="F286" s="18"/>
      <c r="G286" s="21"/>
      <c r="H286" s="20"/>
      <c r="I286" s="20"/>
      <c r="J286" s="19"/>
      <c r="K286" s="20"/>
      <c r="L286" s="22"/>
      <c r="M286" s="19"/>
      <c r="N286" s="30"/>
      <c r="O286" s="119"/>
      <c r="P286" s="20"/>
      <c r="Q286" s="20"/>
      <c r="R286" s="19"/>
      <c r="S286" s="24"/>
      <c r="T286" s="17"/>
      <c r="U286" s="9"/>
    </row>
    <row r="287" spans="1:21" s="8" customFormat="1" x14ac:dyDescent="0.45">
      <c r="A287" s="23"/>
      <c r="B287" s="18"/>
      <c r="C287" s="18"/>
      <c r="D287" s="18"/>
      <c r="E287" s="18"/>
      <c r="F287" s="18"/>
      <c r="G287" s="21"/>
      <c r="H287" s="20"/>
      <c r="I287" s="20"/>
      <c r="J287" s="19"/>
      <c r="K287" s="20"/>
      <c r="L287" s="22"/>
      <c r="M287" s="19"/>
      <c r="N287" s="30"/>
      <c r="O287" s="119"/>
      <c r="P287" s="20"/>
      <c r="Q287" s="20"/>
      <c r="R287" s="19"/>
      <c r="S287" s="24"/>
      <c r="T287" s="17"/>
      <c r="U287" s="9"/>
    </row>
    <row r="288" spans="1:21" s="8" customFormat="1" x14ac:dyDescent="0.45">
      <c r="A288" s="23"/>
      <c r="B288" s="18"/>
      <c r="C288" s="18"/>
      <c r="D288" s="18"/>
      <c r="E288" s="18"/>
      <c r="F288" s="18"/>
      <c r="G288" s="21"/>
      <c r="H288" s="20"/>
      <c r="I288" s="20"/>
      <c r="J288" s="19"/>
      <c r="K288" s="20"/>
      <c r="L288" s="22"/>
      <c r="M288" s="19"/>
      <c r="N288" s="30"/>
      <c r="O288" s="119"/>
      <c r="P288" s="20"/>
      <c r="Q288" s="20"/>
      <c r="R288" s="19"/>
      <c r="S288" s="24"/>
      <c r="T288" s="17"/>
      <c r="U288" s="9"/>
    </row>
    <row r="289" spans="1:21" s="8" customFormat="1" x14ac:dyDescent="0.45">
      <c r="A289" s="23"/>
      <c r="B289" s="18"/>
      <c r="C289" s="18"/>
      <c r="D289" s="18"/>
      <c r="E289" s="18"/>
      <c r="F289" s="18"/>
      <c r="G289" s="21"/>
      <c r="H289" s="20"/>
      <c r="I289" s="20"/>
      <c r="J289" s="19"/>
      <c r="K289" s="20"/>
      <c r="L289" s="22"/>
      <c r="M289" s="19"/>
      <c r="N289" s="30"/>
      <c r="O289" s="119"/>
      <c r="P289" s="20"/>
      <c r="Q289" s="20"/>
      <c r="R289" s="19"/>
      <c r="S289" s="24"/>
      <c r="T289" s="17"/>
      <c r="U289" s="9"/>
    </row>
    <row r="290" spans="1:21" s="8" customFormat="1" x14ac:dyDescent="0.45">
      <c r="A290" s="23"/>
      <c r="B290" s="18"/>
      <c r="C290" s="18"/>
      <c r="D290" s="18"/>
      <c r="E290" s="18"/>
      <c r="F290" s="18"/>
      <c r="G290" s="21"/>
      <c r="H290" s="20"/>
      <c r="I290" s="20"/>
      <c r="J290" s="19"/>
      <c r="K290" s="20"/>
      <c r="L290" s="22"/>
      <c r="M290" s="19"/>
      <c r="N290" s="30"/>
      <c r="O290" s="119"/>
      <c r="P290" s="20"/>
      <c r="Q290" s="20"/>
      <c r="R290" s="19"/>
      <c r="S290" s="24"/>
      <c r="T290" s="17"/>
      <c r="U290" s="9"/>
    </row>
    <row r="291" spans="1:21" s="8" customFormat="1" x14ac:dyDescent="0.45">
      <c r="A291" s="23"/>
      <c r="B291" s="18"/>
      <c r="C291" s="18"/>
      <c r="D291" s="18"/>
      <c r="E291" s="18"/>
      <c r="F291" s="18"/>
      <c r="G291" s="21"/>
      <c r="H291" s="20"/>
      <c r="I291" s="20"/>
      <c r="J291" s="19"/>
      <c r="K291" s="20"/>
      <c r="L291" s="22"/>
      <c r="M291" s="19"/>
      <c r="N291" s="30"/>
      <c r="O291" s="119"/>
      <c r="P291" s="20"/>
      <c r="Q291" s="20"/>
      <c r="R291" s="19"/>
      <c r="S291" s="24"/>
      <c r="T291" s="17"/>
      <c r="U291" s="9"/>
    </row>
    <row r="292" spans="1:21" s="8" customFormat="1" x14ac:dyDescent="0.45">
      <c r="A292" s="23"/>
      <c r="B292" s="18"/>
      <c r="C292" s="18"/>
      <c r="D292" s="18"/>
      <c r="E292" s="18"/>
      <c r="F292" s="18"/>
      <c r="G292" s="21"/>
      <c r="H292" s="20"/>
      <c r="I292" s="20"/>
      <c r="J292" s="19"/>
      <c r="K292" s="20"/>
      <c r="L292" s="22"/>
      <c r="M292" s="19"/>
      <c r="N292" s="30"/>
      <c r="O292" s="119"/>
      <c r="P292" s="20"/>
      <c r="Q292" s="20"/>
      <c r="R292" s="19"/>
      <c r="S292" s="24"/>
      <c r="T292" s="17"/>
      <c r="U292" s="9"/>
    </row>
    <row r="293" spans="1:21" s="8" customFormat="1" x14ac:dyDescent="0.45">
      <c r="A293" s="23"/>
      <c r="B293" s="18"/>
      <c r="C293" s="18"/>
      <c r="D293" s="18"/>
      <c r="E293" s="18"/>
      <c r="F293" s="18"/>
      <c r="G293" s="21"/>
      <c r="H293" s="20"/>
      <c r="I293" s="20"/>
      <c r="J293" s="19"/>
      <c r="K293" s="20"/>
      <c r="L293" s="22"/>
      <c r="M293" s="19"/>
      <c r="N293" s="30"/>
      <c r="O293" s="119"/>
      <c r="P293" s="20"/>
      <c r="Q293" s="20"/>
      <c r="R293" s="19"/>
      <c r="S293" s="24"/>
      <c r="T293" s="17"/>
      <c r="U293" s="9"/>
    </row>
    <row r="294" spans="1:21" s="8" customFormat="1" x14ac:dyDescent="0.45">
      <c r="A294" s="23"/>
      <c r="B294" s="18"/>
      <c r="C294" s="18"/>
      <c r="D294" s="18"/>
      <c r="E294" s="18"/>
      <c r="F294" s="18"/>
      <c r="G294" s="21"/>
      <c r="H294" s="20"/>
      <c r="I294" s="20"/>
      <c r="J294" s="19"/>
      <c r="K294" s="20"/>
      <c r="L294" s="22"/>
      <c r="M294" s="19"/>
      <c r="N294" s="30"/>
      <c r="O294" s="119"/>
      <c r="P294" s="20"/>
      <c r="Q294" s="20"/>
      <c r="R294" s="19"/>
      <c r="S294" s="24"/>
      <c r="T294" s="17"/>
      <c r="U294" s="9"/>
    </row>
    <row r="295" spans="1:21" s="8" customFormat="1" x14ac:dyDescent="0.45">
      <c r="A295" s="23"/>
      <c r="B295" s="18"/>
      <c r="C295" s="18"/>
      <c r="D295" s="18"/>
      <c r="E295" s="18"/>
      <c r="F295" s="18"/>
      <c r="G295" s="21"/>
      <c r="H295" s="20"/>
      <c r="I295" s="20"/>
      <c r="J295" s="19"/>
      <c r="K295" s="20"/>
      <c r="L295" s="22"/>
      <c r="M295" s="19"/>
      <c r="N295" s="30"/>
      <c r="O295" s="119"/>
      <c r="P295" s="20"/>
      <c r="Q295" s="20"/>
      <c r="R295" s="19"/>
      <c r="S295" s="24"/>
      <c r="T295" s="17"/>
      <c r="U295" s="9"/>
    </row>
    <row r="296" spans="1:21" s="8" customFormat="1" x14ac:dyDescent="0.45">
      <c r="A296" s="23"/>
      <c r="B296" s="18"/>
      <c r="C296" s="18"/>
      <c r="D296" s="18"/>
      <c r="E296" s="18"/>
      <c r="F296" s="18"/>
      <c r="G296" s="21"/>
      <c r="H296" s="20"/>
      <c r="I296" s="20"/>
      <c r="J296" s="19"/>
      <c r="K296" s="20"/>
      <c r="L296" s="22"/>
      <c r="M296" s="19"/>
      <c r="N296" s="30"/>
      <c r="O296" s="119"/>
      <c r="P296" s="20"/>
      <c r="Q296" s="20"/>
      <c r="R296" s="19"/>
      <c r="S296" s="24"/>
      <c r="T296" s="17"/>
      <c r="U296" s="9"/>
    </row>
    <row r="297" spans="1:21" s="8" customFormat="1" x14ac:dyDescent="0.45">
      <c r="A297" s="23"/>
      <c r="B297" s="18"/>
      <c r="C297" s="18"/>
      <c r="D297" s="18"/>
      <c r="E297" s="18"/>
      <c r="F297" s="18"/>
      <c r="G297" s="21"/>
      <c r="H297" s="20"/>
      <c r="I297" s="20"/>
      <c r="J297" s="19"/>
      <c r="K297" s="20"/>
      <c r="L297" s="22"/>
      <c r="M297" s="19"/>
      <c r="N297" s="30"/>
      <c r="O297" s="119"/>
      <c r="P297" s="20"/>
      <c r="Q297" s="20"/>
      <c r="R297" s="19"/>
      <c r="S297" s="24"/>
      <c r="T297" s="17"/>
      <c r="U297" s="9"/>
    </row>
    <row r="298" spans="1:21" s="8" customFormat="1" x14ac:dyDescent="0.45">
      <c r="A298" s="23"/>
      <c r="B298" s="18"/>
      <c r="C298" s="18"/>
      <c r="D298" s="18"/>
      <c r="E298" s="18"/>
      <c r="F298" s="18"/>
      <c r="G298" s="21"/>
      <c r="H298" s="20"/>
      <c r="I298" s="20"/>
      <c r="J298" s="19"/>
      <c r="K298" s="20"/>
      <c r="L298" s="22"/>
      <c r="M298" s="19"/>
      <c r="N298" s="30"/>
      <c r="O298" s="119"/>
      <c r="P298" s="20"/>
      <c r="Q298" s="20"/>
      <c r="R298" s="19"/>
      <c r="S298" s="24"/>
      <c r="T298" s="17"/>
      <c r="U298" s="9"/>
    </row>
    <row r="299" spans="1:21" s="8" customFormat="1" x14ac:dyDescent="0.45">
      <c r="A299" s="23"/>
      <c r="B299" s="18"/>
      <c r="C299" s="18"/>
      <c r="D299" s="18"/>
      <c r="E299" s="18"/>
      <c r="F299" s="18"/>
      <c r="G299" s="21"/>
      <c r="H299" s="20"/>
      <c r="I299" s="20"/>
      <c r="J299" s="19"/>
      <c r="K299" s="20"/>
      <c r="L299" s="22"/>
      <c r="M299" s="19"/>
      <c r="N299" s="30"/>
      <c r="O299" s="119"/>
      <c r="P299" s="20"/>
      <c r="Q299" s="20"/>
      <c r="R299" s="19"/>
      <c r="S299" s="24"/>
      <c r="T299" s="17"/>
      <c r="U299" s="9"/>
    </row>
    <row r="300" spans="1:21" s="8" customFormat="1" x14ac:dyDescent="0.45">
      <c r="A300" s="23"/>
      <c r="B300" s="18"/>
      <c r="C300" s="18"/>
      <c r="D300" s="18"/>
      <c r="E300" s="18"/>
      <c r="F300" s="18"/>
      <c r="G300" s="21"/>
      <c r="H300" s="20"/>
      <c r="I300" s="20"/>
      <c r="J300" s="19"/>
      <c r="K300" s="20"/>
      <c r="L300" s="22"/>
      <c r="M300" s="19"/>
      <c r="N300" s="30"/>
      <c r="O300" s="119"/>
      <c r="P300" s="20"/>
      <c r="Q300" s="20"/>
      <c r="R300" s="19"/>
      <c r="S300" s="24"/>
      <c r="T300" s="17"/>
      <c r="U300" s="9"/>
    </row>
    <row r="301" spans="1:21" s="8" customFormat="1" x14ac:dyDescent="0.45">
      <c r="A301" s="23"/>
      <c r="B301" s="18"/>
      <c r="C301" s="18"/>
      <c r="D301" s="18"/>
      <c r="E301" s="18"/>
      <c r="F301" s="18"/>
      <c r="G301" s="21"/>
      <c r="H301" s="20"/>
      <c r="I301" s="20"/>
      <c r="J301" s="19"/>
      <c r="K301" s="20"/>
      <c r="L301" s="22"/>
      <c r="M301" s="19"/>
      <c r="N301" s="30"/>
      <c r="O301" s="119"/>
      <c r="P301" s="20"/>
      <c r="Q301" s="20"/>
      <c r="R301" s="19"/>
      <c r="S301" s="24"/>
      <c r="T301" s="17"/>
      <c r="U301" s="9"/>
    </row>
    <row r="302" spans="1:21" s="8" customFormat="1" x14ac:dyDescent="0.45">
      <c r="A302" s="23"/>
      <c r="B302" s="18"/>
      <c r="C302" s="18"/>
      <c r="D302" s="18"/>
      <c r="E302" s="18"/>
      <c r="F302" s="18"/>
      <c r="G302" s="21"/>
      <c r="H302" s="20"/>
      <c r="I302" s="20"/>
      <c r="J302" s="19"/>
      <c r="K302" s="20"/>
      <c r="L302" s="22"/>
      <c r="M302" s="19"/>
      <c r="N302" s="30"/>
      <c r="O302" s="119"/>
      <c r="P302" s="20"/>
      <c r="Q302" s="20"/>
      <c r="R302" s="19"/>
      <c r="S302" s="24"/>
      <c r="T302" s="17"/>
      <c r="U302" s="9"/>
    </row>
    <row r="303" spans="1:21" s="8" customFormat="1" x14ac:dyDescent="0.45">
      <c r="A303" s="23"/>
      <c r="B303" s="18"/>
      <c r="C303" s="18"/>
      <c r="D303" s="18"/>
      <c r="E303" s="18"/>
      <c r="F303" s="18"/>
      <c r="G303" s="21"/>
      <c r="H303" s="20"/>
      <c r="I303" s="20"/>
      <c r="J303" s="19"/>
      <c r="K303" s="20"/>
      <c r="L303" s="22"/>
      <c r="M303" s="19"/>
      <c r="N303" s="30"/>
      <c r="O303" s="119"/>
      <c r="P303" s="20"/>
      <c r="Q303" s="20"/>
      <c r="R303" s="19"/>
      <c r="S303" s="24"/>
      <c r="T303" s="17"/>
      <c r="U303" s="9"/>
    </row>
    <row r="304" spans="1:21" s="8" customFormat="1" x14ac:dyDescent="0.45">
      <c r="A304" s="23"/>
      <c r="B304" s="18"/>
      <c r="C304" s="18"/>
      <c r="D304" s="18"/>
      <c r="E304" s="18"/>
      <c r="F304" s="18"/>
      <c r="G304" s="21"/>
      <c r="H304" s="20"/>
      <c r="I304" s="20"/>
      <c r="J304" s="19"/>
      <c r="K304" s="20"/>
      <c r="L304" s="22"/>
      <c r="M304" s="19"/>
      <c r="N304" s="30"/>
      <c r="O304" s="119"/>
      <c r="P304" s="20"/>
      <c r="Q304" s="20"/>
      <c r="R304" s="19"/>
      <c r="S304" s="24"/>
      <c r="T304" s="17"/>
      <c r="U304" s="9"/>
    </row>
    <row r="305" spans="1:21" s="8" customFormat="1" x14ac:dyDescent="0.45">
      <c r="A305" s="23"/>
      <c r="B305" s="18"/>
      <c r="C305" s="18"/>
      <c r="D305" s="18"/>
      <c r="E305" s="18"/>
      <c r="F305" s="18"/>
      <c r="G305" s="21"/>
      <c r="H305" s="20"/>
      <c r="I305" s="20"/>
      <c r="J305" s="19"/>
      <c r="K305" s="20"/>
      <c r="L305" s="22"/>
      <c r="M305" s="19"/>
      <c r="N305" s="30"/>
      <c r="O305" s="119"/>
      <c r="P305" s="20"/>
      <c r="Q305" s="20"/>
      <c r="R305" s="19"/>
      <c r="S305" s="24"/>
      <c r="T305" s="17"/>
      <c r="U305" s="9"/>
    </row>
    <row r="306" spans="1:21" s="8" customFormat="1" x14ac:dyDescent="0.45">
      <c r="A306" s="23"/>
      <c r="B306" s="18"/>
      <c r="C306" s="18"/>
      <c r="D306" s="18"/>
      <c r="E306" s="18"/>
      <c r="F306" s="18"/>
      <c r="G306" s="21"/>
      <c r="H306" s="20"/>
      <c r="I306" s="20"/>
      <c r="J306" s="19"/>
      <c r="K306" s="20"/>
      <c r="L306" s="22"/>
      <c r="M306" s="19"/>
      <c r="N306" s="30"/>
      <c r="O306" s="119"/>
      <c r="P306" s="20"/>
      <c r="Q306" s="20"/>
      <c r="R306" s="19"/>
      <c r="S306" s="24"/>
      <c r="T306" s="17"/>
      <c r="U306" s="9"/>
    </row>
    <row r="307" spans="1:21" s="8" customFormat="1" x14ac:dyDescent="0.45">
      <c r="A307" s="23"/>
      <c r="B307" s="18"/>
      <c r="C307" s="18"/>
      <c r="D307" s="18"/>
      <c r="E307" s="18"/>
      <c r="F307" s="18"/>
      <c r="G307" s="21"/>
      <c r="H307" s="20"/>
      <c r="I307" s="20"/>
      <c r="J307" s="19"/>
      <c r="K307" s="20"/>
      <c r="L307" s="22"/>
      <c r="M307" s="19"/>
      <c r="N307" s="30"/>
      <c r="O307" s="119"/>
      <c r="P307" s="20"/>
      <c r="Q307" s="20"/>
      <c r="R307" s="19"/>
      <c r="S307" s="24"/>
      <c r="T307" s="17"/>
      <c r="U307" s="9"/>
    </row>
    <row r="308" spans="1:21" s="8" customFormat="1" x14ac:dyDescent="0.45">
      <c r="A308" s="23"/>
      <c r="B308" s="18"/>
      <c r="C308" s="18"/>
      <c r="D308" s="18"/>
      <c r="E308" s="18"/>
      <c r="F308" s="18"/>
      <c r="G308" s="21"/>
      <c r="H308" s="20"/>
      <c r="I308" s="20"/>
      <c r="J308" s="19"/>
      <c r="K308" s="20"/>
      <c r="L308" s="22"/>
      <c r="M308" s="19"/>
      <c r="N308" s="30"/>
      <c r="O308" s="119"/>
      <c r="P308" s="20"/>
      <c r="Q308" s="20"/>
      <c r="R308" s="19"/>
      <c r="S308" s="24"/>
      <c r="T308" s="17"/>
      <c r="U308" s="9"/>
    </row>
    <row r="309" spans="1:21" s="8" customFormat="1" x14ac:dyDescent="0.45">
      <c r="A309" s="23"/>
      <c r="B309" s="18"/>
      <c r="C309" s="18"/>
      <c r="D309" s="18"/>
      <c r="E309" s="18"/>
      <c r="F309" s="18"/>
      <c r="G309" s="21"/>
      <c r="H309" s="20"/>
      <c r="I309" s="20"/>
      <c r="J309" s="19"/>
      <c r="K309" s="20"/>
      <c r="L309" s="22"/>
      <c r="M309" s="19"/>
      <c r="N309" s="30"/>
      <c r="O309" s="119"/>
      <c r="P309" s="20"/>
      <c r="Q309" s="20"/>
      <c r="R309" s="19"/>
      <c r="S309" s="24"/>
      <c r="T309" s="17"/>
      <c r="U309" s="9"/>
    </row>
    <row r="310" spans="1:21" s="8" customFormat="1" x14ac:dyDescent="0.45">
      <c r="A310" s="23"/>
      <c r="B310" s="18"/>
      <c r="C310" s="18"/>
      <c r="D310" s="18"/>
      <c r="E310" s="18"/>
      <c r="F310" s="18"/>
      <c r="G310" s="21"/>
      <c r="H310" s="20"/>
      <c r="I310" s="20"/>
      <c r="J310" s="19"/>
      <c r="K310" s="20"/>
      <c r="L310" s="22"/>
      <c r="M310" s="19"/>
      <c r="N310" s="30"/>
      <c r="O310" s="119"/>
      <c r="P310" s="20"/>
      <c r="Q310" s="20"/>
      <c r="R310" s="19"/>
      <c r="S310" s="24"/>
      <c r="T310" s="17"/>
      <c r="U310" s="9"/>
    </row>
    <row r="311" spans="1:21" s="8" customFormat="1" x14ac:dyDescent="0.45">
      <c r="A311" s="23"/>
      <c r="B311" s="18"/>
      <c r="C311" s="18"/>
      <c r="D311" s="18"/>
      <c r="E311" s="18"/>
      <c r="F311" s="18"/>
      <c r="G311" s="21"/>
      <c r="H311" s="20"/>
      <c r="I311" s="20"/>
      <c r="J311" s="19"/>
      <c r="K311" s="20"/>
      <c r="L311" s="22"/>
      <c r="M311" s="19"/>
      <c r="N311" s="30"/>
      <c r="O311" s="119"/>
      <c r="P311" s="20"/>
      <c r="Q311" s="20"/>
      <c r="R311" s="19"/>
      <c r="S311" s="24"/>
      <c r="T311" s="17"/>
      <c r="U311" s="9"/>
    </row>
    <row r="312" spans="1:21" s="8" customFormat="1" x14ac:dyDescent="0.45">
      <c r="A312" s="23"/>
      <c r="B312" s="18"/>
      <c r="C312" s="18"/>
      <c r="D312" s="18"/>
      <c r="E312" s="18"/>
      <c r="F312" s="18"/>
      <c r="G312" s="21"/>
      <c r="H312" s="20"/>
      <c r="I312" s="20"/>
      <c r="J312" s="19"/>
      <c r="K312" s="20"/>
      <c r="L312" s="22"/>
      <c r="M312" s="19"/>
      <c r="N312" s="30"/>
      <c r="O312" s="119"/>
      <c r="P312" s="20"/>
      <c r="Q312" s="20"/>
      <c r="R312" s="19"/>
      <c r="S312" s="24"/>
      <c r="T312" s="17"/>
      <c r="U312" s="9"/>
    </row>
    <row r="313" spans="1:21" s="8" customFormat="1" x14ac:dyDescent="0.45">
      <c r="A313" s="23"/>
      <c r="B313" s="18"/>
      <c r="C313" s="18"/>
      <c r="D313" s="18"/>
      <c r="E313" s="18"/>
      <c r="F313" s="18"/>
      <c r="G313" s="21"/>
      <c r="H313" s="20"/>
      <c r="I313" s="20"/>
      <c r="J313" s="19"/>
      <c r="K313" s="20"/>
      <c r="L313" s="22"/>
      <c r="M313" s="19"/>
      <c r="N313" s="30"/>
      <c r="O313" s="119"/>
      <c r="P313" s="20"/>
      <c r="Q313" s="20"/>
      <c r="R313" s="19"/>
      <c r="S313" s="24"/>
      <c r="T313" s="17"/>
      <c r="U313" s="9"/>
    </row>
    <row r="314" spans="1:21" s="8" customFormat="1" x14ac:dyDescent="0.45">
      <c r="A314" s="23"/>
      <c r="B314" s="18"/>
      <c r="C314" s="18"/>
      <c r="D314" s="18"/>
      <c r="E314" s="18"/>
      <c r="F314" s="18"/>
      <c r="G314" s="21"/>
      <c r="H314" s="20"/>
      <c r="I314" s="20"/>
      <c r="J314" s="19"/>
      <c r="K314" s="20"/>
      <c r="L314" s="22"/>
      <c r="M314" s="19"/>
      <c r="N314" s="30"/>
      <c r="O314" s="119"/>
      <c r="P314" s="20"/>
      <c r="Q314" s="20"/>
      <c r="R314" s="19"/>
      <c r="S314" s="24"/>
      <c r="T314" s="17"/>
      <c r="U314" s="9"/>
    </row>
    <row r="315" spans="1:21" s="8" customFormat="1" x14ac:dyDescent="0.45">
      <c r="A315" s="23"/>
      <c r="B315" s="18"/>
      <c r="C315" s="18"/>
      <c r="D315" s="18"/>
      <c r="E315" s="18"/>
      <c r="F315" s="18"/>
      <c r="G315" s="21"/>
      <c r="H315" s="20"/>
      <c r="I315" s="20"/>
      <c r="J315" s="19"/>
      <c r="K315" s="20"/>
      <c r="L315" s="22"/>
      <c r="M315" s="19"/>
      <c r="N315" s="30"/>
      <c r="O315" s="119"/>
      <c r="P315" s="20"/>
      <c r="Q315" s="20"/>
      <c r="R315" s="19"/>
      <c r="S315" s="24"/>
      <c r="T315" s="17"/>
      <c r="U315" s="9"/>
    </row>
    <row r="316" spans="1:21" s="8" customFormat="1" x14ac:dyDescent="0.45">
      <c r="A316" s="23"/>
      <c r="B316" s="18"/>
      <c r="C316" s="18"/>
      <c r="D316" s="18"/>
      <c r="E316" s="18"/>
      <c r="F316" s="18"/>
      <c r="G316" s="21"/>
      <c r="H316" s="20"/>
      <c r="I316" s="20"/>
      <c r="J316" s="19"/>
      <c r="K316" s="20"/>
      <c r="L316" s="22"/>
      <c r="M316" s="19"/>
      <c r="N316" s="30"/>
      <c r="O316" s="119"/>
      <c r="P316" s="20"/>
      <c r="Q316" s="20"/>
      <c r="R316" s="19"/>
      <c r="S316" s="24"/>
      <c r="T316" s="17"/>
      <c r="U316" s="9"/>
    </row>
    <row r="317" spans="1:21" s="8" customFormat="1" x14ac:dyDescent="0.45">
      <c r="A317" s="23"/>
      <c r="B317" s="18"/>
      <c r="C317" s="18"/>
      <c r="D317" s="18"/>
      <c r="E317" s="18"/>
      <c r="F317" s="18"/>
      <c r="G317" s="21"/>
      <c r="H317" s="20"/>
      <c r="I317" s="20"/>
      <c r="J317" s="19"/>
      <c r="K317" s="20"/>
      <c r="L317" s="22"/>
      <c r="M317" s="19"/>
      <c r="N317" s="30"/>
      <c r="O317" s="119"/>
      <c r="P317" s="20"/>
      <c r="Q317" s="20"/>
      <c r="R317" s="19"/>
      <c r="S317" s="24"/>
      <c r="T317" s="17"/>
      <c r="U317" s="9"/>
    </row>
    <row r="318" spans="1:21" s="8" customFormat="1" x14ac:dyDescent="0.45">
      <c r="A318" s="23"/>
      <c r="B318" s="18"/>
      <c r="C318" s="18"/>
      <c r="D318" s="18"/>
      <c r="E318" s="18"/>
      <c r="F318" s="18"/>
      <c r="G318" s="21"/>
      <c r="H318" s="20"/>
      <c r="I318" s="20"/>
      <c r="J318" s="19"/>
      <c r="K318" s="20"/>
      <c r="L318" s="22"/>
      <c r="M318" s="19"/>
      <c r="N318" s="30"/>
      <c r="O318" s="119"/>
      <c r="P318" s="20"/>
      <c r="Q318" s="20"/>
      <c r="R318" s="19"/>
      <c r="S318" s="24"/>
      <c r="T318" s="17"/>
      <c r="U318" s="9"/>
    </row>
    <row r="319" spans="1:21" s="8" customFormat="1" x14ac:dyDescent="0.45">
      <c r="A319" s="23"/>
      <c r="B319" s="18"/>
      <c r="C319" s="18"/>
      <c r="D319" s="18"/>
      <c r="E319" s="18"/>
      <c r="F319" s="18"/>
      <c r="G319" s="21"/>
      <c r="H319" s="20"/>
      <c r="I319" s="20"/>
      <c r="J319" s="19"/>
      <c r="K319" s="20"/>
      <c r="L319" s="22"/>
      <c r="M319" s="19"/>
      <c r="N319" s="30"/>
      <c r="O319" s="119"/>
      <c r="P319" s="20"/>
      <c r="Q319" s="20"/>
      <c r="R319" s="19"/>
      <c r="S319" s="24"/>
      <c r="T319" s="17"/>
      <c r="U319" s="9"/>
    </row>
    <row r="320" spans="1:21" s="8" customFormat="1" x14ac:dyDescent="0.45">
      <c r="A320" s="23"/>
      <c r="B320" s="18"/>
      <c r="C320" s="18"/>
      <c r="D320" s="18"/>
      <c r="E320" s="18"/>
      <c r="F320" s="18"/>
      <c r="G320" s="21"/>
      <c r="H320" s="20"/>
      <c r="I320" s="20"/>
      <c r="J320" s="19"/>
      <c r="K320" s="20"/>
      <c r="L320" s="22"/>
      <c r="M320" s="19"/>
      <c r="N320" s="30"/>
      <c r="O320" s="119"/>
      <c r="P320" s="20"/>
      <c r="Q320" s="20"/>
      <c r="R320" s="19"/>
      <c r="S320" s="24"/>
      <c r="T320" s="17"/>
      <c r="U320" s="9"/>
    </row>
    <row r="321" spans="1:21" s="8" customFormat="1" x14ac:dyDescent="0.45">
      <c r="A321" s="23"/>
      <c r="B321" s="18"/>
      <c r="C321" s="18"/>
      <c r="D321" s="18"/>
      <c r="E321" s="18"/>
      <c r="F321" s="18"/>
      <c r="G321" s="21"/>
      <c r="H321" s="20"/>
      <c r="I321" s="20"/>
      <c r="J321" s="19"/>
      <c r="K321" s="20"/>
      <c r="L321" s="22"/>
      <c r="M321" s="19"/>
      <c r="N321" s="30"/>
      <c r="O321" s="119"/>
      <c r="P321" s="20"/>
      <c r="Q321" s="20"/>
      <c r="R321" s="19"/>
      <c r="S321" s="24"/>
      <c r="T321" s="17"/>
      <c r="U321" s="9"/>
    </row>
    <row r="322" spans="1:21" s="8" customFormat="1" x14ac:dyDescent="0.45">
      <c r="A322" s="23"/>
      <c r="B322" s="18"/>
      <c r="C322" s="18"/>
      <c r="D322" s="18"/>
      <c r="E322" s="18"/>
      <c r="F322" s="18"/>
      <c r="G322" s="21"/>
      <c r="H322" s="20"/>
      <c r="I322" s="20"/>
      <c r="J322" s="19"/>
      <c r="K322" s="20"/>
      <c r="L322" s="22"/>
      <c r="M322" s="19"/>
      <c r="N322" s="30"/>
      <c r="O322" s="119"/>
      <c r="P322" s="20"/>
      <c r="Q322" s="20"/>
      <c r="R322" s="19"/>
      <c r="S322" s="24"/>
      <c r="T322" s="17"/>
      <c r="U322" s="9"/>
    </row>
    <row r="323" spans="1:21" s="8" customFormat="1" x14ac:dyDescent="0.45">
      <c r="A323" s="23"/>
      <c r="B323" s="18"/>
      <c r="C323" s="18"/>
      <c r="D323" s="18"/>
      <c r="E323" s="18"/>
      <c r="F323" s="18"/>
      <c r="G323" s="21"/>
      <c r="H323" s="20"/>
      <c r="I323" s="20"/>
      <c r="J323" s="19"/>
      <c r="K323" s="20"/>
      <c r="L323" s="22"/>
      <c r="M323" s="19"/>
      <c r="N323" s="30"/>
      <c r="O323" s="119"/>
      <c r="P323" s="20"/>
      <c r="Q323" s="20"/>
      <c r="R323" s="19"/>
      <c r="S323" s="24"/>
      <c r="T323" s="17"/>
      <c r="U323" s="9"/>
    </row>
    <row r="324" spans="1:21" s="8" customFormat="1" x14ac:dyDescent="0.45">
      <c r="A324" s="23"/>
      <c r="B324" s="18"/>
      <c r="C324" s="18"/>
      <c r="D324" s="18"/>
      <c r="E324" s="18"/>
      <c r="F324" s="18"/>
      <c r="G324" s="21"/>
      <c r="H324" s="20"/>
      <c r="I324" s="20"/>
      <c r="J324" s="19"/>
      <c r="K324" s="20"/>
      <c r="L324" s="22"/>
      <c r="M324" s="19"/>
      <c r="N324" s="30"/>
      <c r="O324" s="119"/>
      <c r="P324" s="20"/>
      <c r="Q324" s="20"/>
      <c r="R324" s="19"/>
      <c r="S324" s="24"/>
      <c r="T324" s="17"/>
      <c r="U324" s="9"/>
    </row>
    <row r="325" spans="1:21" s="8" customFormat="1" x14ac:dyDescent="0.45">
      <c r="A325" s="23"/>
      <c r="B325" s="18"/>
      <c r="C325" s="18"/>
      <c r="D325" s="18"/>
      <c r="E325" s="18"/>
      <c r="F325" s="18"/>
      <c r="G325" s="21"/>
      <c r="H325" s="20"/>
      <c r="I325" s="20"/>
      <c r="J325" s="19"/>
      <c r="K325" s="20"/>
      <c r="L325" s="22"/>
      <c r="M325" s="19"/>
      <c r="N325" s="30"/>
      <c r="O325" s="119"/>
      <c r="P325" s="20"/>
      <c r="Q325" s="20"/>
      <c r="R325" s="19"/>
      <c r="S325" s="24"/>
      <c r="T325" s="17"/>
      <c r="U325" s="9"/>
    </row>
    <row r="326" spans="1:21" s="8" customFormat="1" x14ac:dyDescent="0.45">
      <c r="A326" s="23"/>
      <c r="B326" s="18"/>
      <c r="C326" s="18"/>
      <c r="D326" s="18"/>
      <c r="E326" s="18"/>
      <c r="F326" s="18"/>
      <c r="G326" s="21"/>
      <c r="H326" s="20"/>
      <c r="I326" s="20"/>
      <c r="J326" s="19"/>
      <c r="K326" s="20"/>
      <c r="L326" s="22"/>
      <c r="M326" s="19"/>
      <c r="N326" s="30"/>
      <c r="O326" s="119"/>
      <c r="P326" s="20"/>
      <c r="Q326" s="20"/>
      <c r="R326" s="19"/>
      <c r="S326" s="24"/>
      <c r="T326" s="17"/>
      <c r="U326" s="9"/>
    </row>
    <row r="327" spans="1:21" s="8" customFormat="1" x14ac:dyDescent="0.45">
      <c r="A327" s="23"/>
      <c r="B327" s="18"/>
      <c r="C327" s="18"/>
      <c r="D327" s="18"/>
      <c r="E327" s="18"/>
      <c r="F327" s="18"/>
      <c r="G327" s="21"/>
      <c r="H327" s="20"/>
      <c r="I327" s="20"/>
      <c r="J327" s="19"/>
      <c r="K327" s="20"/>
      <c r="L327" s="22"/>
      <c r="M327" s="19"/>
      <c r="N327" s="30"/>
      <c r="O327" s="119"/>
      <c r="P327" s="20"/>
      <c r="Q327" s="20"/>
      <c r="R327" s="19"/>
      <c r="S327" s="24"/>
      <c r="T327" s="17"/>
      <c r="U327" s="9"/>
    </row>
    <row r="328" spans="1:21" s="8" customFormat="1" x14ac:dyDescent="0.45">
      <c r="A328" s="23"/>
      <c r="B328" s="18"/>
      <c r="C328" s="18"/>
      <c r="D328" s="18"/>
      <c r="E328" s="18"/>
      <c r="F328" s="18"/>
      <c r="G328" s="21"/>
      <c r="H328" s="20"/>
      <c r="I328" s="20"/>
      <c r="J328" s="19"/>
      <c r="K328" s="20"/>
      <c r="L328" s="22"/>
      <c r="M328" s="19"/>
      <c r="N328" s="30"/>
      <c r="O328" s="119"/>
      <c r="P328" s="20"/>
      <c r="Q328" s="20"/>
      <c r="R328" s="19"/>
      <c r="S328" s="24"/>
      <c r="T328" s="17"/>
      <c r="U328" s="9"/>
    </row>
    <row r="329" spans="1:21" s="8" customFormat="1" x14ac:dyDescent="0.45">
      <c r="A329" s="23"/>
      <c r="B329" s="18"/>
      <c r="C329" s="18"/>
      <c r="D329" s="18"/>
      <c r="E329" s="18"/>
      <c r="F329" s="18"/>
      <c r="G329" s="21"/>
      <c r="H329" s="20"/>
      <c r="I329" s="20"/>
      <c r="J329" s="19"/>
      <c r="K329" s="20"/>
      <c r="L329" s="22"/>
      <c r="M329" s="19"/>
      <c r="N329" s="30"/>
      <c r="O329" s="119"/>
      <c r="P329" s="20"/>
      <c r="Q329" s="20"/>
      <c r="R329" s="19"/>
      <c r="S329" s="24"/>
      <c r="T329" s="17"/>
      <c r="U329" s="9"/>
    </row>
    <row r="330" spans="1:21" s="8" customFormat="1" x14ac:dyDescent="0.45">
      <c r="A330" s="23"/>
      <c r="B330" s="18"/>
      <c r="C330" s="18"/>
      <c r="D330" s="18"/>
      <c r="E330" s="18"/>
      <c r="F330" s="18"/>
      <c r="G330" s="21"/>
      <c r="H330" s="20"/>
      <c r="I330" s="20"/>
      <c r="J330" s="19"/>
      <c r="K330" s="20"/>
      <c r="L330" s="22"/>
      <c r="M330" s="19"/>
      <c r="N330" s="30"/>
      <c r="O330" s="119"/>
      <c r="P330" s="20"/>
      <c r="Q330" s="20"/>
      <c r="R330" s="19"/>
      <c r="S330" s="24"/>
      <c r="T330" s="17"/>
      <c r="U330" s="9"/>
    </row>
    <row r="331" spans="1:21" s="8" customFormat="1" x14ac:dyDescent="0.45">
      <c r="A331" s="23"/>
      <c r="B331" s="18"/>
      <c r="C331" s="18"/>
      <c r="D331" s="18"/>
      <c r="E331" s="18"/>
      <c r="F331" s="18"/>
      <c r="G331" s="21"/>
      <c r="H331" s="20"/>
      <c r="I331" s="20"/>
      <c r="J331" s="19"/>
      <c r="K331" s="20"/>
      <c r="L331" s="22"/>
      <c r="M331" s="19"/>
      <c r="N331" s="30"/>
      <c r="O331" s="119"/>
      <c r="P331" s="20"/>
      <c r="Q331" s="20"/>
      <c r="R331" s="19"/>
      <c r="S331" s="24"/>
      <c r="T331" s="17"/>
      <c r="U331" s="9"/>
    </row>
    <row r="332" spans="1:21" s="8" customFormat="1" x14ac:dyDescent="0.45">
      <c r="A332" s="23"/>
      <c r="B332" s="18"/>
      <c r="C332" s="18"/>
      <c r="D332" s="18"/>
      <c r="E332" s="18"/>
      <c r="F332" s="18"/>
      <c r="G332" s="21"/>
      <c r="H332" s="20"/>
      <c r="I332" s="20"/>
      <c r="J332" s="19"/>
      <c r="K332" s="20"/>
      <c r="L332" s="22"/>
      <c r="M332" s="19"/>
      <c r="N332" s="30"/>
      <c r="O332" s="119"/>
      <c r="P332" s="20"/>
      <c r="Q332" s="20"/>
      <c r="R332" s="19"/>
      <c r="S332" s="24"/>
      <c r="T332" s="17"/>
      <c r="U332" s="9"/>
    </row>
    <row r="333" spans="1:21" s="8" customFormat="1" x14ac:dyDescent="0.45">
      <c r="A333" s="23"/>
      <c r="B333" s="18"/>
      <c r="C333" s="18"/>
      <c r="D333" s="18"/>
      <c r="E333" s="18"/>
      <c r="F333" s="18"/>
      <c r="G333" s="21"/>
      <c r="H333" s="20"/>
      <c r="I333" s="20"/>
      <c r="J333" s="19"/>
      <c r="K333" s="20"/>
      <c r="L333" s="22"/>
      <c r="M333" s="19"/>
      <c r="N333" s="30"/>
      <c r="O333" s="119"/>
      <c r="P333" s="20"/>
      <c r="Q333" s="20"/>
      <c r="R333" s="19"/>
      <c r="S333" s="24"/>
      <c r="T333" s="17"/>
      <c r="U333" s="9"/>
    </row>
    <row r="334" spans="1:21" s="8" customFormat="1" x14ac:dyDescent="0.45">
      <c r="A334" s="23"/>
      <c r="B334" s="18"/>
      <c r="C334" s="18"/>
      <c r="D334" s="18"/>
      <c r="E334" s="18"/>
      <c r="F334" s="18"/>
      <c r="G334" s="21"/>
      <c r="H334" s="20"/>
      <c r="I334" s="20"/>
      <c r="J334" s="19"/>
      <c r="K334" s="20"/>
      <c r="L334" s="22"/>
      <c r="M334" s="19"/>
      <c r="N334" s="30"/>
      <c r="O334" s="119"/>
      <c r="P334" s="20"/>
      <c r="Q334" s="20"/>
      <c r="R334" s="19"/>
      <c r="S334" s="24"/>
      <c r="T334" s="17"/>
      <c r="U334" s="9"/>
    </row>
    <row r="335" spans="1:21" s="8" customFormat="1" x14ac:dyDescent="0.45">
      <c r="A335" s="23"/>
      <c r="B335" s="18"/>
      <c r="C335" s="18"/>
      <c r="D335" s="18"/>
      <c r="E335" s="18"/>
      <c r="F335" s="18"/>
      <c r="G335" s="21"/>
      <c r="H335" s="20"/>
      <c r="I335" s="20"/>
      <c r="J335" s="19"/>
      <c r="K335" s="20"/>
      <c r="L335" s="22"/>
      <c r="M335" s="19"/>
      <c r="N335" s="30"/>
      <c r="O335" s="119"/>
      <c r="P335" s="20"/>
      <c r="Q335" s="20"/>
      <c r="R335" s="19"/>
      <c r="S335" s="24"/>
      <c r="T335" s="17"/>
      <c r="U335" s="9"/>
    </row>
    <row r="336" spans="1:21" s="8" customFormat="1" x14ac:dyDescent="0.45">
      <c r="A336" s="23"/>
      <c r="B336" s="18"/>
      <c r="C336" s="18"/>
      <c r="D336" s="18"/>
      <c r="E336" s="18"/>
      <c r="F336" s="18"/>
      <c r="G336" s="21"/>
      <c r="H336" s="20"/>
      <c r="I336" s="20"/>
      <c r="J336" s="19"/>
      <c r="K336" s="20"/>
      <c r="L336" s="22"/>
      <c r="M336" s="19"/>
      <c r="N336" s="30"/>
      <c r="O336" s="119"/>
      <c r="P336" s="20"/>
      <c r="Q336" s="20"/>
      <c r="R336" s="19"/>
      <c r="S336" s="24"/>
      <c r="T336" s="17"/>
      <c r="U336" s="9"/>
    </row>
    <row r="337" spans="1:21" s="8" customFormat="1" x14ac:dyDescent="0.45">
      <c r="A337" s="23"/>
      <c r="B337" s="18"/>
      <c r="C337" s="18"/>
      <c r="D337" s="18"/>
      <c r="E337" s="18"/>
      <c r="F337" s="18"/>
      <c r="G337" s="21"/>
      <c r="H337" s="20"/>
      <c r="I337" s="20"/>
      <c r="J337" s="19"/>
      <c r="K337" s="20"/>
      <c r="L337" s="22"/>
      <c r="M337" s="19"/>
      <c r="N337" s="30"/>
      <c r="O337" s="119"/>
      <c r="P337" s="20"/>
      <c r="Q337" s="20"/>
      <c r="R337" s="19"/>
      <c r="S337" s="24"/>
      <c r="T337" s="17"/>
      <c r="U337" s="9"/>
    </row>
    <row r="338" spans="1:21" s="8" customFormat="1" x14ac:dyDescent="0.45">
      <c r="A338" s="23"/>
      <c r="B338" s="18"/>
      <c r="C338" s="18"/>
      <c r="D338" s="18"/>
      <c r="E338" s="18"/>
      <c r="F338" s="18"/>
      <c r="G338" s="21"/>
      <c r="H338" s="20"/>
      <c r="I338" s="20"/>
      <c r="J338" s="19"/>
      <c r="K338" s="20"/>
      <c r="L338" s="22"/>
      <c r="M338" s="19"/>
      <c r="N338" s="30"/>
      <c r="O338" s="119"/>
      <c r="P338" s="20"/>
      <c r="Q338" s="20"/>
      <c r="R338" s="19"/>
      <c r="S338" s="24"/>
      <c r="T338" s="17"/>
      <c r="U338" s="9"/>
    </row>
    <row r="339" spans="1:21" s="8" customFormat="1" x14ac:dyDescent="0.45">
      <c r="A339" s="23"/>
      <c r="B339" s="18"/>
      <c r="C339" s="18"/>
      <c r="D339" s="18"/>
      <c r="E339" s="18"/>
      <c r="F339" s="18"/>
      <c r="G339" s="21"/>
      <c r="H339" s="20"/>
      <c r="I339" s="20"/>
      <c r="J339" s="19"/>
      <c r="K339" s="20"/>
      <c r="L339" s="22"/>
      <c r="M339" s="19"/>
      <c r="N339" s="30"/>
      <c r="O339" s="119"/>
      <c r="P339" s="20"/>
      <c r="Q339" s="20"/>
      <c r="R339" s="19"/>
      <c r="S339" s="24"/>
      <c r="T339" s="17"/>
      <c r="U339" s="9"/>
    </row>
    <row r="340" spans="1:21" s="8" customFormat="1" x14ac:dyDescent="0.45">
      <c r="A340" s="23"/>
      <c r="B340" s="18"/>
      <c r="C340" s="18"/>
      <c r="D340" s="18"/>
      <c r="E340" s="18"/>
      <c r="F340" s="18"/>
      <c r="G340" s="21"/>
      <c r="H340" s="20"/>
      <c r="I340" s="20"/>
      <c r="J340" s="19"/>
      <c r="K340" s="20"/>
      <c r="L340" s="22"/>
      <c r="M340" s="19"/>
      <c r="N340" s="30"/>
      <c r="O340" s="119"/>
      <c r="P340" s="20"/>
      <c r="Q340" s="20"/>
      <c r="R340" s="19"/>
      <c r="S340" s="24"/>
      <c r="T340" s="17"/>
      <c r="U340" s="9"/>
    </row>
    <row r="341" spans="1:21" s="8" customFormat="1" x14ac:dyDescent="0.45">
      <c r="A341" s="23"/>
      <c r="B341" s="18"/>
      <c r="C341" s="18"/>
      <c r="D341" s="18"/>
      <c r="E341" s="18"/>
      <c r="F341" s="18"/>
      <c r="G341" s="21"/>
      <c r="H341" s="20"/>
      <c r="I341" s="20"/>
      <c r="J341" s="19"/>
      <c r="K341" s="20"/>
      <c r="L341" s="22"/>
      <c r="M341" s="19"/>
      <c r="N341" s="30"/>
      <c r="O341" s="119"/>
      <c r="P341" s="20"/>
      <c r="Q341" s="20"/>
      <c r="R341" s="19"/>
      <c r="S341" s="24"/>
      <c r="T341" s="17"/>
      <c r="U341" s="9"/>
    </row>
    <row r="342" spans="1:21" s="8" customFormat="1" x14ac:dyDescent="0.45">
      <c r="A342" s="23"/>
      <c r="B342" s="18"/>
      <c r="C342" s="18"/>
      <c r="D342" s="18"/>
      <c r="E342" s="18"/>
      <c r="F342" s="18"/>
      <c r="G342" s="21"/>
      <c r="H342" s="20"/>
      <c r="I342" s="20"/>
      <c r="J342" s="19"/>
      <c r="K342" s="20"/>
      <c r="L342" s="22"/>
      <c r="M342" s="19"/>
      <c r="N342" s="30"/>
      <c r="O342" s="119"/>
      <c r="P342" s="20"/>
      <c r="Q342" s="20"/>
      <c r="R342" s="19"/>
      <c r="S342" s="24"/>
      <c r="T342" s="17"/>
      <c r="U342" s="9"/>
    </row>
    <row r="343" spans="1:21" s="8" customFormat="1" x14ac:dyDescent="0.45">
      <c r="A343" s="23"/>
      <c r="B343" s="18"/>
      <c r="C343" s="18"/>
      <c r="D343" s="18"/>
      <c r="E343" s="18"/>
      <c r="F343" s="18"/>
      <c r="G343" s="21"/>
      <c r="H343" s="20"/>
      <c r="I343" s="20"/>
      <c r="J343" s="19"/>
      <c r="K343" s="20"/>
      <c r="L343" s="22"/>
      <c r="M343" s="19"/>
      <c r="N343" s="30"/>
      <c r="O343" s="119"/>
      <c r="P343" s="20"/>
      <c r="Q343" s="20"/>
      <c r="R343" s="19"/>
      <c r="S343" s="24"/>
      <c r="T343" s="17"/>
      <c r="U343" s="9"/>
    </row>
    <row r="344" spans="1:21" s="8" customFormat="1" x14ac:dyDescent="0.45">
      <c r="A344" s="23"/>
      <c r="B344" s="18"/>
      <c r="C344" s="18"/>
      <c r="D344" s="18"/>
      <c r="E344" s="18"/>
      <c r="F344" s="18"/>
      <c r="G344" s="21"/>
      <c r="H344" s="20"/>
      <c r="I344" s="20"/>
      <c r="J344" s="19"/>
      <c r="K344" s="20"/>
      <c r="L344" s="22"/>
      <c r="M344" s="19"/>
      <c r="N344" s="30"/>
      <c r="O344" s="119"/>
      <c r="P344" s="20"/>
      <c r="Q344" s="20"/>
      <c r="R344" s="19"/>
      <c r="S344" s="24"/>
      <c r="T344" s="17"/>
      <c r="U344" s="9"/>
    </row>
    <row r="345" spans="1:21" s="8" customFormat="1" x14ac:dyDescent="0.45">
      <c r="A345" s="23"/>
      <c r="B345" s="18"/>
      <c r="C345" s="18"/>
      <c r="D345" s="18"/>
      <c r="E345" s="18"/>
      <c r="F345" s="18"/>
      <c r="G345" s="21"/>
      <c r="H345" s="20"/>
      <c r="I345" s="20"/>
      <c r="J345" s="19"/>
      <c r="K345" s="20"/>
      <c r="L345" s="22"/>
      <c r="M345" s="19"/>
      <c r="N345" s="30"/>
      <c r="O345" s="119"/>
      <c r="P345" s="20"/>
      <c r="Q345" s="20"/>
      <c r="R345" s="19"/>
      <c r="S345" s="24"/>
      <c r="T345" s="17"/>
      <c r="U345" s="9"/>
    </row>
    <row r="346" spans="1:21" s="8" customFormat="1" x14ac:dyDescent="0.45">
      <c r="A346" s="23"/>
      <c r="B346" s="18"/>
      <c r="C346" s="18"/>
      <c r="D346" s="18"/>
      <c r="E346" s="18"/>
      <c r="F346" s="18"/>
      <c r="G346" s="21"/>
      <c r="H346" s="20"/>
      <c r="I346" s="20"/>
      <c r="J346" s="19"/>
      <c r="K346" s="20"/>
      <c r="L346" s="22"/>
      <c r="M346" s="19"/>
      <c r="N346" s="30"/>
      <c r="O346" s="119"/>
      <c r="P346" s="20"/>
      <c r="Q346" s="20"/>
      <c r="R346" s="19"/>
      <c r="S346" s="24"/>
      <c r="T346" s="17"/>
      <c r="U346" s="9"/>
    </row>
    <row r="347" spans="1:21" s="8" customFormat="1" x14ac:dyDescent="0.45">
      <c r="A347" s="23"/>
      <c r="B347" s="18"/>
      <c r="C347" s="18"/>
      <c r="D347" s="18"/>
      <c r="E347" s="18"/>
      <c r="F347" s="18"/>
      <c r="G347" s="21"/>
      <c r="H347" s="20"/>
      <c r="I347" s="20"/>
      <c r="J347" s="19"/>
      <c r="K347" s="20"/>
      <c r="L347" s="22"/>
      <c r="M347" s="19"/>
      <c r="N347" s="30"/>
      <c r="O347" s="119"/>
      <c r="P347" s="20"/>
      <c r="Q347" s="20"/>
      <c r="R347" s="19"/>
      <c r="S347" s="24"/>
      <c r="T347" s="17"/>
      <c r="U347" s="9"/>
    </row>
    <row r="348" spans="1:21" s="8" customFormat="1" x14ac:dyDescent="0.45">
      <c r="A348" s="23"/>
      <c r="B348" s="18"/>
      <c r="C348" s="18"/>
      <c r="D348" s="18"/>
      <c r="E348" s="18"/>
      <c r="F348" s="18"/>
      <c r="G348" s="21"/>
      <c r="H348" s="20"/>
      <c r="I348" s="20"/>
      <c r="J348" s="19"/>
      <c r="K348" s="20"/>
      <c r="L348" s="22"/>
      <c r="M348" s="19"/>
      <c r="N348" s="30"/>
      <c r="O348" s="119"/>
      <c r="P348" s="20"/>
      <c r="Q348" s="20"/>
      <c r="R348" s="19"/>
      <c r="S348" s="24"/>
      <c r="T348" s="17"/>
      <c r="U348" s="9"/>
    </row>
    <row r="349" spans="1:21" s="8" customFormat="1" x14ac:dyDescent="0.45">
      <c r="A349" s="23"/>
      <c r="B349" s="18"/>
      <c r="C349" s="18"/>
      <c r="D349" s="18"/>
      <c r="E349" s="18"/>
      <c r="F349" s="18"/>
      <c r="G349" s="21"/>
      <c r="H349" s="20"/>
      <c r="I349" s="20"/>
      <c r="J349" s="19"/>
      <c r="K349" s="20"/>
      <c r="L349" s="22"/>
      <c r="M349" s="19"/>
      <c r="N349" s="30"/>
      <c r="O349" s="119"/>
      <c r="P349" s="20"/>
      <c r="Q349" s="20"/>
      <c r="R349" s="19"/>
      <c r="S349" s="24"/>
      <c r="T349" s="17"/>
      <c r="U349" s="9"/>
    </row>
    <row r="350" spans="1:21" s="8" customFormat="1" x14ac:dyDescent="0.45">
      <c r="A350" s="23"/>
      <c r="B350" s="18"/>
      <c r="C350" s="18"/>
      <c r="D350" s="18"/>
      <c r="E350" s="18"/>
      <c r="F350" s="18"/>
      <c r="G350" s="21"/>
      <c r="H350" s="20"/>
      <c r="I350" s="20"/>
      <c r="J350" s="19"/>
      <c r="K350" s="20"/>
      <c r="L350" s="22"/>
      <c r="M350" s="19"/>
      <c r="N350" s="30"/>
      <c r="O350" s="119"/>
      <c r="P350" s="20"/>
      <c r="Q350" s="20"/>
      <c r="R350" s="19"/>
      <c r="S350" s="24"/>
      <c r="T350" s="17"/>
      <c r="U350" s="9"/>
    </row>
    <row r="351" spans="1:21" s="8" customFormat="1" x14ac:dyDescent="0.45">
      <c r="A351" s="23"/>
      <c r="B351" s="18"/>
      <c r="C351" s="18"/>
      <c r="D351" s="18"/>
      <c r="E351" s="18"/>
      <c r="F351" s="18"/>
      <c r="G351" s="21"/>
      <c r="H351" s="20"/>
      <c r="I351" s="20"/>
      <c r="J351" s="19"/>
      <c r="K351" s="20"/>
      <c r="L351" s="22"/>
      <c r="M351" s="19"/>
      <c r="N351" s="30"/>
      <c r="O351" s="119"/>
      <c r="P351" s="20"/>
      <c r="Q351" s="20"/>
      <c r="R351" s="19"/>
      <c r="S351" s="24"/>
      <c r="T351" s="17"/>
      <c r="U351" s="9"/>
    </row>
    <row r="352" spans="1:21" s="8" customFormat="1" x14ac:dyDescent="0.45">
      <c r="A352" s="23"/>
      <c r="B352" s="18"/>
      <c r="C352" s="18"/>
      <c r="D352" s="18"/>
      <c r="E352" s="18"/>
      <c r="F352" s="18"/>
      <c r="G352" s="21"/>
      <c r="H352" s="20"/>
      <c r="I352" s="20"/>
      <c r="J352" s="19"/>
      <c r="K352" s="20"/>
      <c r="L352" s="22"/>
      <c r="M352" s="19"/>
      <c r="N352" s="30"/>
      <c r="O352" s="119"/>
      <c r="P352" s="20"/>
      <c r="Q352" s="20"/>
      <c r="R352" s="19"/>
      <c r="S352" s="24"/>
      <c r="T352" s="17"/>
      <c r="U352" s="9"/>
    </row>
    <row r="353" spans="1:21" s="8" customFormat="1" x14ac:dyDescent="0.45">
      <c r="A353" s="23"/>
      <c r="B353" s="18"/>
      <c r="C353" s="18"/>
      <c r="D353" s="18"/>
      <c r="E353" s="18"/>
      <c r="F353" s="18"/>
      <c r="G353" s="21"/>
      <c r="H353" s="20"/>
      <c r="I353" s="20"/>
      <c r="J353" s="19"/>
      <c r="K353" s="20"/>
      <c r="L353" s="22"/>
      <c r="M353" s="19"/>
      <c r="N353" s="30"/>
      <c r="O353" s="119"/>
      <c r="P353" s="20"/>
      <c r="Q353" s="20"/>
      <c r="R353" s="19"/>
      <c r="S353" s="24"/>
      <c r="T353" s="17"/>
      <c r="U353" s="9"/>
    </row>
    <row r="354" spans="1:21" s="8" customFormat="1" x14ac:dyDescent="0.45">
      <c r="A354" s="23"/>
      <c r="B354" s="18"/>
      <c r="C354" s="18"/>
      <c r="D354" s="18"/>
      <c r="E354" s="18"/>
      <c r="F354" s="18"/>
      <c r="G354" s="21"/>
      <c r="H354" s="20"/>
      <c r="I354" s="20"/>
      <c r="J354" s="19"/>
      <c r="K354" s="20"/>
      <c r="L354" s="22"/>
      <c r="M354" s="19"/>
      <c r="N354" s="30"/>
      <c r="O354" s="119"/>
      <c r="P354" s="20"/>
      <c r="Q354" s="20"/>
      <c r="R354" s="19"/>
      <c r="S354" s="24"/>
      <c r="T354" s="17"/>
      <c r="U354" s="9"/>
    </row>
    <row r="355" spans="1:21" s="8" customFormat="1" x14ac:dyDescent="0.45">
      <c r="A355" s="23"/>
      <c r="B355" s="18"/>
      <c r="C355" s="18"/>
      <c r="D355" s="18"/>
      <c r="E355" s="18"/>
      <c r="F355" s="18"/>
      <c r="G355" s="21"/>
      <c r="H355" s="20"/>
      <c r="I355" s="20"/>
      <c r="J355" s="19"/>
      <c r="K355" s="20"/>
      <c r="L355" s="22"/>
      <c r="M355" s="19"/>
      <c r="N355" s="30"/>
      <c r="O355" s="119"/>
      <c r="P355" s="20"/>
      <c r="Q355" s="20"/>
      <c r="R355" s="19"/>
      <c r="S355" s="24"/>
      <c r="T355" s="17"/>
      <c r="U355" s="9"/>
    </row>
    <row r="356" spans="1:21" s="8" customFormat="1" x14ac:dyDescent="0.45">
      <c r="A356" s="23"/>
      <c r="B356" s="18"/>
      <c r="C356" s="18"/>
      <c r="D356" s="18"/>
      <c r="E356" s="18"/>
      <c r="F356" s="18"/>
      <c r="G356" s="21"/>
      <c r="H356" s="20"/>
      <c r="I356" s="20"/>
      <c r="J356" s="19"/>
      <c r="K356" s="20"/>
      <c r="L356" s="22"/>
      <c r="M356" s="19"/>
      <c r="N356" s="30"/>
      <c r="O356" s="119"/>
      <c r="P356" s="20"/>
      <c r="Q356" s="20"/>
      <c r="R356" s="19"/>
      <c r="S356" s="24"/>
      <c r="T356" s="17"/>
      <c r="U356" s="9"/>
    </row>
    <row r="357" spans="1:21" s="8" customFormat="1" x14ac:dyDescent="0.45">
      <c r="A357" s="23"/>
      <c r="B357" s="18"/>
      <c r="C357" s="18"/>
      <c r="D357" s="18"/>
      <c r="E357" s="18"/>
      <c r="F357" s="18"/>
      <c r="G357" s="21"/>
      <c r="H357" s="20"/>
      <c r="I357" s="20"/>
      <c r="J357" s="19"/>
      <c r="K357" s="20"/>
      <c r="L357" s="22"/>
      <c r="M357" s="19"/>
      <c r="N357" s="30"/>
      <c r="O357" s="119"/>
      <c r="P357" s="20"/>
      <c r="Q357" s="20"/>
      <c r="R357" s="19"/>
      <c r="S357" s="24"/>
      <c r="T357" s="17"/>
      <c r="U357" s="9"/>
    </row>
    <row r="358" spans="1:21" s="8" customFormat="1" x14ac:dyDescent="0.45">
      <c r="A358" s="23"/>
      <c r="B358" s="18"/>
      <c r="C358" s="18"/>
      <c r="D358" s="18"/>
      <c r="E358" s="18"/>
      <c r="F358" s="18"/>
      <c r="G358" s="21"/>
      <c r="H358" s="20"/>
      <c r="I358" s="20"/>
      <c r="J358" s="19"/>
      <c r="K358" s="20"/>
      <c r="L358" s="22"/>
      <c r="M358" s="19"/>
      <c r="N358" s="30"/>
      <c r="O358" s="119"/>
      <c r="P358" s="20"/>
      <c r="Q358" s="20"/>
      <c r="R358" s="19"/>
      <c r="S358" s="24"/>
      <c r="T358" s="17"/>
      <c r="U358" s="9"/>
    </row>
    <row r="359" spans="1:21" s="8" customFormat="1" x14ac:dyDescent="0.45">
      <c r="A359" s="23"/>
      <c r="B359" s="18"/>
      <c r="C359" s="18"/>
      <c r="D359" s="18"/>
      <c r="E359" s="18"/>
      <c r="F359" s="18"/>
      <c r="G359" s="21"/>
      <c r="H359" s="20"/>
      <c r="I359" s="20"/>
      <c r="J359" s="19"/>
      <c r="K359" s="20"/>
      <c r="L359" s="22"/>
      <c r="M359" s="19"/>
      <c r="N359" s="30"/>
      <c r="O359" s="119"/>
      <c r="P359" s="20"/>
      <c r="Q359" s="20"/>
      <c r="R359" s="19"/>
      <c r="S359" s="24"/>
      <c r="T359" s="17"/>
      <c r="U359" s="9"/>
    </row>
    <row r="360" spans="1:21" s="8" customFormat="1" x14ac:dyDescent="0.45">
      <c r="A360" s="23"/>
      <c r="B360" s="18"/>
      <c r="C360" s="18"/>
      <c r="D360" s="18"/>
      <c r="E360" s="18"/>
      <c r="F360" s="18"/>
      <c r="G360" s="21"/>
      <c r="H360" s="20"/>
      <c r="I360" s="20"/>
      <c r="J360" s="19"/>
      <c r="K360" s="20"/>
      <c r="L360" s="22"/>
      <c r="M360" s="19"/>
      <c r="N360" s="30"/>
      <c r="O360" s="119"/>
      <c r="P360" s="20"/>
      <c r="Q360" s="20"/>
      <c r="R360" s="19"/>
      <c r="S360" s="24"/>
      <c r="T360" s="17"/>
      <c r="U360" s="9"/>
    </row>
    <row r="361" spans="1:21" s="8" customFormat="1" x14ac:dyDescent="0.45">
      <c r="A361" s="23"/>
      <c r="B361" s="18"/>
      <c r="C361" s="18"/>
      <c r="D361" s="18"/>
      <c r="E361" s="18"/>
      <c r="F361" s="18"/>
      <c r="G361" s="21"/>
      <c r="H361" s="20"/>
      <c r="I361" s="20"/>
      <c r="J361" s="19"/>
      <c r="K361" s="20"/>
      <c r="L361" s="22"/>
      <c r="M361" s="19"/>
      <c r="N361" s="30"/>
      <c r="O361" s="119"/>
      <c r="P361" s="20"/>
      <c r="Q361" s="20"/>
      <c r="R361" s="19"/>
      <c r="S361" s="24"/>
      <c r="T361" s="17"/>
      <c r="U361" s="9"/>
    </row>
    <row r="362" spans="1:21" s="8" customFormat="1" x14ac:dyDescent="0.45">
      <c r="A362" s="23"/>
      <c r="B362" s="18"/>
      <c r="C362" s="18"/>
      <c r="D362" s="18"/>
      <c r="E362" s="18"/>
      <c r="F362" s="18"/>
      <c r="G362" s="21"/>
      <c r="H362" s="20"/>
      <c r="I362" s="20"/>
      <c r="J362" s="19"/>
      <c r="K362" s="20"/>
      <c r="L362" s="22"/>
      <c r="M362" s="19"/>
      <c r="N362" s="30"/>
      <c r="O362" s="119"/>
      <c r="P362" s="20"/>
      <c r="Q362" s="20"/>
      <c r="R362" s="19"/>
      <c r="S362" s="24"/>
      <c r="T362" s="17"/>
      <c r="U362" s="9"/>
    </row>
    <row r="363" spans="1:21" s="8" customFormat="1" x14ac:dyDescent="0.45">
      <c r="A363" s="23"/>
      <c r="B363" s="18"/>
      <c r="C363" s="18"/>
      <c r="D363" s="18"/>
      <c r="E363" s="18"/>
      <c r="F363" s="18"/>
      <c r="G363" s="21"/>
      <c r="H363" s="20"/>
      <c r="I363" s="20"/>
      <c r="J363" s="19"/>
      <c r="K363" s="20"/>
      <c r="L363" s="22"/>
      <c r="M363" s="19"/>
      <c r="N363" s="30"/>
      <c r="O363" s="119"/>
      <c r="P363" s="20"/>
      <c r="Q363" s="20"/>
      <c r="R363" s="19"/>
      <c r="S363" s="24"/>
      <c r="T363" s="17"/>
      <c r="U363" s="9"/>
    </row>
    <row r="364" spans="1:21" s="8" customFormat="1" x14ac:dyDescent="0.45">
      <c r="A364" s="23"/>
      <c r="B364" s="18"/>
      <c r="C364" s="18"/>
      <c r="D364" s="18"/>
      <c r="E364" s="18"/>
      <c r="F364" s="18"/>
      <c r="G364" s="21"/>
      <c r="H364" s="20"/>
      <c r="I364" s="20"/>
      <c r="J364" s="19"/>
      <c r="K364" s="20"/>
      <c r="L364" s="22"/>
      <c r="M364" s="19"/>
      <c r="N364" s="30"/>
      <c r="O364" s="119"/>
      <c r="P364" s="20"/>
      <c r="Q364" s="20"/>
      <c r="R364" s="19"/>
      <c r="S364" s="24"/>
      <c r="T364" s="17"/>
      <c r="U364" s="9"/>
    </row>
    <row r="365" spans="1:21" s="8" customFormat="1" x14ac:dyDescent="0.45">
      <c r="A365" s="23"/>
      <c r="B365" s="18"/>
      <c r="C365" s="18"/>
      <c r="D365" s="18"/>
      <c r="E365" s="18"/>
      <c r="F365" s="18"/>
      <c r="G365" s="21"/>
      <c r="H365" s="20"/>
      <c r="I365" s="20"/>
      <c r="J365" s="19"/>
      <c r="K365" s="20"/>
      <c r="L365" s="22"/>
      <c r="M365" s="19"/>
      <c r="N365" s="30"/>
      <c r="O365" s="119"/>
      <c r="P365" s="20"/>
      <c r="Q365" s="20"/>
      <c r="R365" s="19"/>
      <c r="S365" s="24"/>
      <c r="T365" s="17"/>
      <c r="U365" s="9"/>
    </row>
    <row r="366" spans="1:21" s="8" customFormat="1" x14ac:dyDescent="0.45">
      <c r="A366" s="23"/>
      <c r="B366" s="18"/>
      <c r="C366" s="18"/>
      <c r="D366" s="18"/>
      <c r="E366" s="18"/>
      <c r="F366" s="18"/>
      <c r="G366" s="21"/>
      <c r="H366" s="20"/>
      <c r="I366" s="20"/>
      <c r="J366" s="19"/>
      <c r="K366" s="20"/>
      <c r="L366" s="22"/>
      <c r="M366" s="19"/>
      <c r="N366" s="30"/>
      <c r="O366" s="119"/>
      <c r="P366" s="20"/>
      <c r="Q366" s="20"/>
      <c r="R366" s="19"/>
      <c r="S366" s="24"/>
      <c r="T366" s="17"/>
      <c r="U366" s="9"/>
    </row>
    <row r="367" spans="1:21" s="8" customFormat="1" x14ac:dyDescent="0.45">
      <c r="A367" s="23"/>
      <c r="B367" s="18"/>
      <c r="C367" s="18"/>
      <c r="D367" s="18"/>
      <c r="E367" s="18"/>
      <c r="F367" s="18"/>
      <c r="G367" s="21"/>
      <c r="H367" s="20"/>
      <c r="I367" s="20"/>
      <c r="J367" s="19"/>
      <c r="K367" s="20"/>
      <c r="L367" s="22"/>
      <c r="M367" s="19"/>
      <c r="N367" s="30"/>
      <c r="O367" s="119"/>
      <c r="P367" s="20"/>
      <c r="Q367" s="20"/>
      <c r="R367" s="19"/>
      <c r="S367" s="24"/>
      <c r="T367" s="17"/>
      <c r="U367" s="9"/>
    </row>
    <row r="368" spans="1:21" s="8" customFormat="1" x14ac:dyDescent="0.45">
      <c r="A368" s="23"/>
      <c r="B368" s="18"/>
      <c r="C368" s="18"/>
      <c r="D368" s="18"/>
      <c r="E368" s="18"/>
      <c r="F368" s="18"/>
      <c r="G368" s="21"/>
      <c r="H368" s="20"/>
      <c r="I368" s="20"/>
      <c r="J368" s="19"/>
      <c r="K368" s="20"/>
      <c r="L368" s="22"/>
      <c r="M368" s="19"/>
      <c r="N368" s="30"/>
      <c r="O368" s="119"/>
      <c r="P368" s="20"/>
      <c r="Q368" s="20"/>
      <c r="R368" s="19"/>
      <c r="S368" s="24"/>
      <c r="T368" s="17"/>
      <c r="U368" s="9"/>
    </row>
    <row r="369" spans="1:21" s="8" customFormat="1" x14ac:dyDescent="0.45">
      <c r="A369" s="23"/>
      <c r="B369" s="18"/>
      <c r="C369" s="18"/>
      <c r="D369" s="18"/>
      <c r="E369" s="18"/>
      <c r="F369" s="18"/>
      <c r="G369" s="21"/>
      <c r="H369" s="20"/>
      <c r="I369" s="20"/>
      <c r="J369" s="19"/>
      <c r="K369" s="20"/>
      <c r="L369" s="22"/>
      <c r="M369" s="19"/>
      <c r="N369" s="30"/>
      <c r="O369" s="119"/>
      <c r="P369" s="20"/>
      <c r="Q369" s="20"/>
      <c r="R369" s="19"/>
      <c r="S369" s="24"/>
      <c r="T369" s="17"/>
      <c r="U369" s="9"/>
    </row>
    <row r="370" spans="1:21" s="8" customFormat="1" x14ac:dyDescent="0.45">
      <c r="A370" s="23"/>
      <c r="B370" s="18"/>
      <c r="C370" s="18"/>
      <c r="D370" s="18"/>
      <c r="E370" s="18"/>
      <c r="F370" s="18"/>
      <c r="G370" s="21"/>
      <c r="H370" s="20"/>
      <c r="I370" s="20"/>
      <c r="J370" s="19"/>
      <c r="K370" s="20"/>
      <c r="L370" s="22"/>
      <c r="M370" s="19"/>
      <c r="N370" s="30"/>
      <c r="O370" s="119"/>
      <c r="P370" s="20"/>
      <c r="Q370" s="20"/>
      <c r="R370" s="19"/>
      <c r="S370" s="24"/>
      <c r="T370" s="17"/>
      <c r="U370" s="9"/>
    </row>
    <row r="371" spans="1:21" s="8" customFormat="1" x14ac:dyDescent="0.45">
      <c r="A371" s="23"/>
      <c r="B371" s="18"/>
      <c r="C371" s="18"/>
      <c r="D371" s="18"/>
      <c r="E371" s="18"/>
      <c r="F371" s="18"/>
      <c r="G371" s="21"/>
      <c r="H371" s="20"/>
      <c r="I371" s="20"/>
      <c r="J371" s="19"/>
      <c r="K371" s="20"/>
      <c r="L371" s="22"/>
      <c r="M371" s="19"/>
      <c r="N371" s="30"/>
      <c r="O371" s="119"/>
      <c r="P371" s="20"/>
      <c r="Q371" s="20"/>
      <c r="R371" s="19"/>
      <c r="S371" s="24"/>
      <c r="T371" s="17"/>
      <c r="U371" s="9"/>
    </row>
    <row r="372" spans="1:21" s="8" customFormat="1" x14ac:dyDescent="0.45">
      <c r="A372" s="23"/>
      <c r="B372" s="18"/>
      <c r="C372" s="18"/>
      <c r="D372" s="18"/>
      <c r="E372" s="18"/>
      <c r="F372" s="18"/>
      <c r="G372" s="21"/>
      <c r="H372" s="20"/>
      <c r="I372" s="20"/>
      <c r="J372" s="19"/>
      <c r="K372" s="20"/>
      <c r="L372" s="22"/>
      <c r="M372" s="19"/>
      <c r="N372" s="30"/>
      <c r="O372" s="119"/>
      <c r="P372" s="20"/>
      <c r="Q372" s="20"/>
      <c r="R372" s="19"/>
      <c r="S372" s="24"/>
      <c r="T372" s="17"/>
      <c r="U372" s="9"/>
    </row>
    <row r="373" spans="1:21" s="8" customFormat="1" x14ac:dyDescent="0.45">
      <c r="A373" s="23"/>
      <c r="B373" s="18"/>
      <c r="C373" s="18"/>
      <c r="D373" s="18"/>
      <c r="E373" s="18"/>
      <c r="F373" s="18"/>
      <c r="G373" s="21"/>
      <c r="H373" s="20"/>
      <c r="I373" s="20"/>
      <c r="J373" s="19"/>
      <c r="K373" s="20"/>
      <c r="L373" s="22"/>
      <c r="M373" s="19"/>
      <c r="N373" s="30"/>
      <c r="O373" s="119"/>
      <c r="P373" s="20"/>
      <c r="Q373" s="20"/>
      <c r="R373" s="19"/>
      <c r="S373" s="24"/>
      <c r="T373" s="17"/>
      <c r="U373" s="9"/>
    </row>
    <row r="374" spans="1:21" s="8" customFormat="1" x14ac:dyDescent="0.45">
      <c r="A374" s="23"/>
      <c r="B374" s="18"/>
      <c r="C374" s="18"/>
      <c r="D374" s="18"/>
      <c r="E374" s="18"/>
      <c r="F374" s="18"/>
      <c r="G374" s="21"/>
      <c r="H374" s="20"/>
      <c r="I374" s="20"/>
      <c r="J374" s="19"/>
      <c r="K374" s="20"/>
      <c r="L374" s="22"/>
      <c r="M374" s="19"/>
      <c r="N374" s="30"/>
      <c r="O374" s="119"/>
      <c r="P374" s="20"/>
      <c r="Q374" s="20"/>
      <c r="R374" s="19"/>
      <c r="S374" s="24"/>
      <c r="T374" s="17"/>
      <c r="U374" s="9"/>
    </row>
    <row r="375" spans="1:21" s="8" customFormat="1" x14ac:dyDescent="0.45">
      <c r="A375" s="23"/>
      <c r="B375" s="18"/>
      <c r="C375" s="18"/>
      <c r="D375" s="18"/>
      <c r="E375" s="18"/>
      <c r="F375" s="18"/>
      <c r="G375" s="21"/>
      <c r="H375" s="20"/>
      <c r="I375" s="20"/>
      <c r="J375" s="19"/>
      <c r="K375" s="20"/>
      <c r="L375" s="22"/>
      <c r="M375" s="19"/>
      <c r="N375" s="30"/>
      <c r="O375" s="119"/>
      <c r="P375" s="20"/>
      <c r="Q375" s="20"/>
      <c r="R375" s="19"/>
      <c r="S375" s="24"/>
      <c r="T375" s="17"/>
      <c r="U375" s="9"/>
    </row>
    <row r="376" spans="1:21" s="8" customFormat="1" x14ac:dyDescent="0.45">
      <c r="A376" s="23"/>
      <c r="B376" s="18"/>
      <c r="C376" s="18"/>
      <c r="D376" s="18"/>
      <c r="E376" s="18"/>
      <c r="F376" s="18"/>
      <c r="G376" s="21"/>
      <c r="H376" s="20"/>
      <c r="I376" s="20"/>
      <c r="J376" s="19"/>
      <c r="K376" s="20"/>
      <c r="L376" s="22"/>
      <c r="M376" s="19"/>
      <c r="N376" s="30"/>
      <c r="O376" s="119"/>
      <c r="P376" s="20"/>
      <c r="Q376" s="20"/>
      <c r="R376" s="19"/>
      <c r="S376" s="24"/>
      <c r="T376" s="17"/>
      <c r="U376" s="9"/>
    </row>
    <row r="377" spans="1:21" s="8" customFormat="1" x14ac:dyDescent="0.45">
      <c r="A377" s="23"/>
      <c r="B377" s="18"/>
      <c r="C377" s="18"/>
      <c r="D377" s="18"/>
      <c r="E377" s="18"/>
      <c r="F377" s="18"/>
      <c r="G377" s="21"/>
      <c r="H377" s="20"/>
      <c r="I377" s="20"/>
      <c r="J377" s="19"/>
      <c r="K377" s="20"/>
      <c r="L377" s="22"/>
      <c r="M377" s="19"/>
      <c r="N377" s="30"/>
      <c r="O377" s="119"/>
      <c r="P377" s="20"/>
      <c r="Q377" s="20"/>
      <c r="R377" s="19"/>
      <c r="S377" s="24"/>
      <c r="T377" s="17"/>
      <c r="U377" s="9"/>
    </row>
    <row r="378" spans="1:21" s="8" customFormat="1" x14ac:dyDescent="0.45">
      <c r="A378" s="23"/>
      <c r="B378" s="18"/>
      <c r="C378" s="18"/>
      <c r="D378" s="18"/>
      <c r="E378" s="18"/>
      <c r="F378" s="18"/>
      <c r="G378" s="21"/>
      <c r="H378" s="20"/>
      <c r="I378" s="20"/>
      <c r="J378" s="19"/>
      <c r="K378" s="20"/>
      <c r="L378" s="22"/>
      <c r="M378" s="19"/>
      <c r="N378" s="30"/>
      <c r="O378" s="119"/>
      <c r="P378" s="20"/>
      <c r="Q378" s="20"/>
      <c r="R378" s="19"/>
      <c r="S378" s="24"/>
      <c r="T378" s="17"/>
      <c r="U378" s="9"/>
    </row>
    <row r="379" spans="1:21" s="8" customFormat="1" x14ac:dyDescent="0.45">
      <c r="A379" s="23"/>
      <c r="B379" s="18"/>
      <c r="C379" s="18"/>
      <c r="D379" s="18"/>
      <c r="E379" s="18"/>
      <c r="F379" s="18"/>
      <c r="G379" s="21"/>
      <c r="H379" s="20"/>
      <c r="I379" s="20"/>
      <c r="J379" s="19"/>
      <c r="K379" s="20"/>
      <c r="L379" s="22"/>
      <c r="M379" s="19"/>
      <c r="N379" s="30"/>
      <c r="O379" s="119"/>
      <c r="P379" s="20"/>
      <c r="Q379" s="20"/>
      <c r="R379" s="19"/>
      <c r="S379" s="24"/>
      <c r="T379" s="17"/>
      <c r="U379" s="9"/>
    </row>
    <row r="380" spans="1:21" s="8" customFormat="1" x14ac:dyDescent="0.45">
      <c r="A380" s="23"/>
      <c r="B380" s="18"/>
      <c r="C380" s="18"/>
      <c r="D380" s="18"/>
      <c r="E380" s="18"/>
      <c r="F380" s="18"/>
      <c r="G380" s="21"/>
      <c r="H380" s="20"/>
      <c r="I380" s="20"/>
      <c r="J380" s="19"/>
      <c r="K380" s="20"/>
      <c r="L380" s="22"/>
      <c r="M380" s="19"/>
      <c r="N380" s="30"/>
      <c r="O380" s="119"/>
      <c r="P380" s="20"/>
      <c r="Q380" s="20"/>
      <c r="R380" s="19"/>
      <c r="S380" s="24"/>
      <c r="T380" s="17"/>
      <c r="U380" s="9"/>
    </row>
    <row r="381" spans="1:21" s="8" customFormat="1" x14ac:dyDescent="0.45">
      <c r="A381" s="23"/>
      <c r="B381" s="18"/>
      <c r="C381" s="18"/>
      <c r="D381" s="18"/>
      <c r="E381" s="18"/>
      <c r="F381" s="18"/>
      <c r="G381" s="21"/>
      <c r="H381" s="20"/>
      <c r="I381" s="20"/>
      <c r="J381" s="19"/>
      <c r="K381" s="20"/>
      <c r="L381" s="22"/>
      <c r="M381" s="19"/>
      <c r="N381" s="30"/>
      <c r="O381" s="119"/>
      <c r="P381" s="20"/>
      <c r="Q381" s="20"/>
      <c r="R381" s="19"/>
      <c r="S381" s="24"/>
      <c r="T381" s="17"/>
      <c r="U381" s="9"/>
    </row>
    <row r="382" spans="1:21" s="8" customFormat="1" x14ac:dyDescent="0.45">
      <c r="A382" s="23"/>
      <c r="B382" s="18"/>
      <c r="C382" s="18"/>
      <c r="D382" s="18"/>
      <c r="E382" s="18"/>
      <c r="F382" s="18"/>
      <c r="G382" s="21"/>
      <c r="H382" s="20"/>
      <c r="I382" s="20"/>
      <c r="J382" s="19"/>
      <c r="K382" s="20"/>
      <c r="L382" s="22"/>
      <c r="M382" s="19"/>
      <c r="N382" s="30"/>
      <c r="O382" s="119"/>
      <c r="P382" s="20"/>
      <c r="Q382" s="20"/>
      <c r="R382" s="19"/>
      <c r="S382" s="24"/>
      <c r="T382" s="17"/>
      <c r="U382" s="9"/>
    </row>
    <row r="383" spans="1:21" s="8" customFormat="1" x14ac:dyDescent="0.45">
      <c r="A383" s="23"/>
      <c r="B383" s="18"/>
      <c r="C383" s="18"/>
      <c r="D383" s="18"/>
      <c r="E383" s="18"/>
      <c r="F383" s="18"/>
      <c r="G383" s="21"/>
      <c r="H383" s="20"/>
      <c r="I383" s="20"/>
      <c r="J383" s="19"/>
      <c r="K383" s="20"/>
      <c r="L383" s="22"/>
      <c r="M383" s="19"/>
      <c r="N383" s="30"/>
      <c r="O383" s="119"/>
      <c r="P383" s="20"/>
      <c r="Q383" s="20"/>
      <c r="R383" s="19"/>
      <c r="S383" s="24"/>
      <c r="T383" s="17"/>
      <c r="U383" s="9"/>
    </row>
    <row r="384" spans="1:21" s="8" customFormat="1" x14ac:dyDescent="0.45">
      <c r="A384" s="23"/>
      <c r="B384" s="18"/>
      <c r="C384" s="18"/>
      <c r="D384" s="18"/>
      <c r="E384" s="18"/>
      <c r="F384" s="18"/>
      <c r="G384" s="21"/>
      <c r="H384" s="20"/>
      <c r="I384" s="20"/>
      <c r="J384" s="19"/>
      <c r="K384" s="20"/>
      <c r="L384" s="22"/>
      <c r="M384" s="19"/>
      <c r="N384" s="30"/>
      <c r="O384" s="119"/>
      <c r="P384" s="20"/>
      <c r="Q384" s="20"/>
      <c r="R384" s="19"/>
      <c r="S384" s="24"/>
      <c r="T384" s="17"/>
      <c r="U384" s="9"/>
    </row>
    <row r="385" spans="1:21" s="8" customFormat="1" x14ac:dyDescent="0.45">
      <c r="A385" s="23"/>
      <c r="B385" s="18"/>
      <c r="C385" s="18"/>
      <c r="D385" s="18"/>
      <c r="E385" s="18"/>
      <c r="F385" s="18"/>
      <c r="G385" s="21"/>
      <c r="H385" s="20"/>
      <c r="I385" s="20"/>
      <c r="J385" s="19"/>
      <c r="K385" s="20"/>
      <c r="L385" s="22"/>
      <c r="M385" s="19"/>
      <c r="N385" s="30"/>
      <c r="O385" s="119"/>
      <c r="P385" s="20"/>
      <c r="Q385" s="20"/>
      <c r="R385" s="19"/>
      <c r="S385" s="24"/>
      <c r="T385" s="17"/>
      <c r="U385" s="9"/>
    </row>
    <row r="386" spans="1:21" s="8" customFormat="1" x14ac:dyDescent="0.45">
      <c r="A386" s="23"/>
      <c r="B386" s="18"/>
      <c r="C386" s="18"/>
      <c r="D386" s="18"/>
      <c r="E386" s="18"/>
      <c r="F386" s="18"/>
      <c r="G386" s="21"/>
      <c r="H386" s="20"/>
      <c r="I386" s="20"/>
      <c r="J386" s="19"/>
      <c r="K386" s="20"/>
      <c r="L386" s="22"/>
      <c r="M386" s="19"/>
      <c r="N386" s="30"/>
      <c r="O386" s="119"/>
      <c r="P386" s="20"/>
      <c r="Q386" s="20"/>
      <c r="R386" s="19"/>
      <c r="S386" s="24"/>
      <c r="T386" s="17"/>
      <c r="U386" s="9"/>
    </row>
    <row r="387" spans="1:21" s="8" customFormat="1" x14ac:dyDescent="0.45">
      <c r="A387" s="23"/>
      <c r="B387" s="18"/>
      <c r="C387" s="18"/>
      <c r="D387" s="18"/>
      <c r="E387" s="18"/>
      <c r="F387" s="18"/>
      <c r="G387" s="21"/>
      <c r="H387" s="20"/>
      <c r="I387" s="20"/>
      <c r="J387" s="19"/>
      <c r="K387" s="20"/>
      <c r="L387" s="22"/>
      <c r="M387" s="19"/>
      <c r="N387" s="30"/>
      <c r="O387" s="119"/>
      <c r="P387" s="20"/>
      <c r="Q387" s="20"/>
      <c r="R387" s="19"/>
      <c r="S387" s="24"/>
      <c r="T387" s="17"/>
      <c r="U387" s="9"/>
    </row>
    <row r="388" spans="1:21" s="8" customFormat="1" x14ac:dyDescent="0.45">
      <c r="A388" s="23"/>
      <c r="B388" s="18"/>
      <c r="C388" s="18"/>
      <c r="D388" s="18"/>
      <c r="E388" s="18"/>
      <c r="F388" s="18"/>
      <c r="G388" s="21"/>
      <c r="H388" s="20"/>
      <c r="I388" s="20"/>
      <c r="J388" s="19"/>
      <c r="K388" s="20"/>
      <c r="L388" s="22"/>
      <c r="M388" s="19"/>
      <c r="N388" s="30"/>
      <c r="O388" s="119"/>
      <c r="P388" s="20"/>
      <c r="Q388" s="20"/>
      <c r="R388" s="19"/>
      <c r="S388" s="24"/>
      <c r="T388" s="17"/>
      <c r="U388" s="9"/>
    </row>
    <row r="389" spans="1:21" s="8" customFormat="1" x14ac:dyDescent="0.45">
      <c r="A389" s="23"/>
      <c r="B389" s="18"/>
      <c r="C389" s="18"/>
      <c r="D389" s="18"/>
      <c r="E389" s="18"/>
      <c r="F389" s="18"/>
      <c r="G389" s="21"/>
      <c r="H389" s="20"/>
      <c r="I389" s="20"/>
      <c r="J389" s="19"/>
      <c r="K389" s="20"/>
      <c r="L389" s="22"/>
      <c r="M389" s="19"/>
      <c r="N389" s="30"/>
      <c r="O389" s="119"/>
      <c r="P389" s="20"/>
      <c r="Q389" s="20"/>
      <c r="R389" s="19"/>
      <c r="S389" s="24"/>
      <c r="T389" s="17"/>
      <c r="U389" s="9"/>
    </row>
    <row r="390" spans="1:21" s="8" customFormat="1" x14ac:dyDescent="0.45">
      <c r="A390" s="23"/>
      <c r="B390" s="18"/>
      <c r="C390" s="18"/>
      <c r="D390" s="18"/>
      <c r="E390" s="18"/>
      <c r="F390" s="18"/>
      <c r="G390" s="21"/>
      <c r="H390" s="20"/>
      <c r="I390" s="20"/>
      <c r="J390" s="19"/>
      <c r="K390" s="20"/>
      <c r="L390" s="22"/>
      <c r="M390" s="19"/>
      <c r="N390" s="30"/>
      <c r="O390" s="119"/>
      <c r="P390" s="20"/>
      <c r="Q390" s="20"/>
      <c r="R390" s="19"/>
      <c r="S390" s="24"/>
      <c r="T390" s="17"/>
      <c r="U390" s="9"/>
    </row>
    <row r="391" spans="1:21" s="8" customFormat="1" x14ac:dyDescent="0.45">
      <c r="A391" s="23"/>
      <c r="B391" s="18"/>
      <c r="C391" s="18"/>
      <c r="D391" s="18"/>
      <c r="E391" s="18"/>
      <c r="F391" s="18"/>
      <c r="G391" s="21"/>
      <c r="H391" s="20"/>
      <c r="I391" s="20"/>
      <c r="J391" s="19"/>
      <c r="K391" s="20"/>
      <c r="L391" s="22"/>
      <c r="M391" s="19"/>
      <c r="N391" s="30"/>
      <c r="O391" s="119"/>
      <c r="P391" s="20"/>
      <c r="Q391" s="20"/>
      <c r="R391" s="19"/>
      <c r="S391" s="24"/>
      <c r="T391" s="17"/>
      <c r="U391" s="9"/>
    </row>
    <row r="392" spans="1:21" s="8" customFormat="1" x14ac:dyDescent="0.45">
      <c r="A392" s="23"/>
      <c r="B392" s="18"/>
      <c r="C392" s="18"/>
      <c r="D392" s="18"/>
      <c r="E392" s="18"/>
      <c r="F392" s="18"/>
      <c r="G392" s="21"/>
      <c r="H392" s="20"/>
      <c r="I392" s="20"/>
      <c r="J392" s="19"/>
      <c r="K392" s="20"/>
      <c r="L392" s="22"/>
      <c r="M392" s="19"/>
      <c r="N392" s="30"/>
      <c r="O392" s="119"/>
      <c r="P392" s="20"/>
      <c r="Q392" s="20"/>
      <c r="R392" s="19"/>
      <c r="S392" s="24"/>
      <c r="T392" s="17"/>
      <c r="U392" s="9"/>
    </row>
    <row r="393" spans="1:21" s="8" customFormat="1" x14ac:dyDescent="0.45">
      <c r="A393" s="23"/>
      <c r="B393" s="18"/>
      <c r="C393" s="18"/>
      <c r="D393" s="18"/>
      <c r="E393" s="18"/>
      <c r="F393" s="18"/>
      <c r="G393" s="21"/>
      <c r="H393" s="20"/>
      <c r="I393" s="20"/>
      <c r="J393" s="19"/>
      <c r="K393" s="20"/>
      <c r="L393" s="22"/>
      <c r="M393" s="19"/>
      <c r="N393" s="30"/>
      <c r="O393" s="119"/>
      <c r="P393" s="20"/>
      <c r="Q393" s="20"/>
      <c r="R393" s="19"/>
      <c r="S393" s="24"/>
      <c r="T393" s="17"/>
      <c r="U393" s="9"/>
    </row>
    <row r="394" spans="1:21" s="8" customFormat="1" x14ac:dyDescent="0.45">
      <c r="A394" s="23"/>
      <c r="B394" s="18"/>
      <c r="C394" s="18"/>
      <c r="D394" s="18"/>
      <c r="E394" s="18"/>
      <c r="F394" s="18"/>
      <c r="G394" s="21"/>
      <c r="H394" s="20"/>
      <c r="I394" s="20"/>
      <c r="J394" s="19"/>
      <c r="K394" s="20"/>
      <c r="L394" s="22"/>
      <c r="M394" s="19"/>
      <c r="N394" s="30"/>
      <c r="O394" s="119"/>
      <c r="P394" s="20"/>
      <c r="Q394" s="20"/>
      <c r="R394" s="19"/>
      <c r="S394" s="24"/>
      <c r="T394" s="17"/>
      <c r="U394" s="9"/>
    </row>
    <row r="395" spans="1:21" s="8" customFormat="1" x14ac:dyDescent="0.45">
      <c r="A395" s="23"/>
      <c r="B395" s="18"/>
      <c r="C395" s="18"/>
      <c r="D395" s="18"/>
      <c r="E395" s="18"/>
      <c r="F395" s="18"/>
      <c r="G395" s="21"/>
      <c r="H395" s="20"/>
      <c r="I395" s="20"/>
      <c r="J395" s="19"/>
      <c r="K395" s="20"/>
      <c r="L395" s="22"/>
      <c r="M395" s="19"/>
      <c r="N395" s="30"/>
      <c r="O395" s="119"/>
      <c r="P395" s="20"/>
      <c r="Q395" s="20"/>
      <c r="R395" s="19"/>
      <c r="S395" s="24"/>
      <c r="T395" s="17"/>
      <c r="U395" s="9"/>
    </row>
    <row r="396" spans="1:21" s="8" customFormat="1" x14ac:dyDescent="0.45">
      <c r="A396" s="23"/>
      <c r="B396" s="18"/>
      <c r="C396" s="18"/>
      <c r="D396" s="18"/>
      <c r="E396" s="18"/>
      <c r="F396" s="18"/>
      <c r="G396" s="21"/>
      <c r="H396" s="20"/>
      <c r="I396" s="20"/>
      <c r="J396" s="19"/>
      <c r="K396" s="20"/>
      <c r="L396" s="22"/>
      <c r="M396" s="19"/>
      <c r="N396" s="30"/>
      <c r="O396" s="119"/>
      <c r="P396" s="20"/>
      <c r="Q396" s="20"/>
      <c r="R396" s="19"/>
      <c r="S396" s="24"/>
      <c r="T396" s="17"/>
      <c r="U396" s="9"/>
    </row>
    <row r="397" spans="1:21" s="8" customFormat="1" x14ac:dyDescent="0.45">
      <c r="A397" s="23"/>
      <c r="B397" s="18"/>
      <c r="C397" s="18"/>
      <c r="D397" s="18"/>
      <c r="E397" s="18"/>
      <c r="F397" s="18"/>
      <c r="G397" s="21"/>
      <c r="H397" s="20"/>
      <c r="I397" s="20"/>
      <c r="J397" s="19"/>
      <c r="K397" s="20"/>
      <c r="L397" s="22"/>
      <c r="M397" s="19"/>
      <c r="N397" s="30"/>
      <c r="O397" s="119"/>
      <c r="P397" s="20"/>
      <c r="Q397" s="20"/>
      <c r="R397" s="19"/>
      <c r="S397" s="24"/>
      <c r="T397" s="17"/>
      <c r="U397" s="9"/>
    </row>
    <row r="398" spans="1:21" s="8" customFormat="1" x14ac:dyDescent="0.45">
      <c r="A398" s="23"/>
      <c r="B398" s="18"/>
      <c r="C398" s="18"/>
      <c r="D398" s="18"/>
      <c r="E398" s="18"/>
      <c r="F398" s="18"/>
      <c r="G398" s="21"/>
      <c r="H398" s="20"/>
      <c r="I398" s="20"/>
      <c r="J398" s="19"/>
      <c r="K398" s="20"/>
      <c r="L398" s="22"/>
      <c r="M398" s="19"/>
      <c r="N398" s="30"/>
      <c r="O398" s="119"/>
      <c r="P398" s="20"/>
      <c r="Q398" s="20"/>
      <c r="R398" s="19"/>
      <c r="S398" s="24"/>
      <c r="T398" s="17"/>
      <c r="U398" s="9"/>
    </row>
    <row r="399" spans="1:21" s="8" customFormat="1" x14ac:dyDescent="0.45">
      <c r="A399" s="23"/>
      <c r="B399" s="18"/>
      <c r="C399" s="18"/>
      <c r="D399" s="18"/>
      <c r="E399" s="18"/>
      <c r="F399" s="18"/>
      <c r="G399" s="21"/>
      <c r="H399" s="20"/>
      <c r="I399" s="20"/>
      <c r="J399" s="19"/>
      <c r="K399" s="20"/>
      <c r="L399" s="22"/>
      <c r="M399" s="19"/>
      <c r="N399" s="30"/>
      <c r="O399" s="119"/>
      <c r="P399" s="20"/>
      <c r="Q399" s="20"/>
      <c r="R399" s="19"/>
      <c r="S399" s="24"/>
      <c r="T399" s="17"/>
      <c r="U399" s="9"/>
    </row>
    <row r="400" spans="1:21" s="8" customFormat="1" x14ac:dyDescent="0.45">
      <c r="A400" s="23"/>
      <c r="B400" s="18"/>
      <c r="C400" s="18"/>
      <c r="D400" s="18"/>
      <c r="E400" s="18"/>
      <c r="F400" s="18"/>
      <c r="G400" s="21"/>
      <c r="H400" s="20"/>
      <c r="I400" s="20"/>
      <c r="J400" s="19"/>
      <c r="K400" s="20"/>
      <c r="L400" s="22"/>
      <c r="M400" s="19"/>
      <c r="N400" s="30"/>
      <c r="O400" s="119"/>
      <c r="P400" s="20"/>
      <c r="Q400" s="20"/>
      <c r="R400" s="19"/>
      <c r="S400" s="24"/>
      <c r="T400" s="17"/>
      <c r="U400" s="9"/>
    </row>
    <row r="401" spans="1:21" s="8" customFormat="1" x14ac:dyDescent="0.45">
      <c r="A401" s="23"/>
      <c r="B401" s="18"/>
      <c r="C401" s="18"/>
      <c r="D401" s="18"/>
      <c r="E401" s="18"/>
      <c r="F401" s="18"/>
      <c r="G401" s="21"/>
      <c r="H401" s="20"/>
      <c r="I401" s="20"/>
      <c r="J401" s="19"/>
      <c r="K401" s="20"/>
      <c r="L401" s="22"/>
      <c r="M401" s="19"/>
      <c r="N401" s="30"/>
      <c r="O401" s="119"/>
      <c r="P401" s="20"/>
      <c r="Q401" s="20"/>
      <c r="R401" s="19"/>
      <c r="S401" s="24"/>
      <c r="T401" s="17"/>
      <c r="U401" s="9"/>
    </row>
    <row r="402" spans="1:21" s="8" customFormat="1" x14ac:dyDescent="0.45">
      <c r="A402" s="23"/>
      <c r="B402" s="18"/>
      <c r="C402" s="18"/>
      <c r="D402" s="18"/>
      <c r="E402" s="18"/>
      <c r="F402" s="18"/>
      <c r="G402" s="21"/>
      <c r="H402" s="20"/>
      <c r="I402" s="20"/>
      <c r="J402" s="19"/>
      <c r="K402" s="20"/>
      <c r="L402" s="22"/>
      <c r="M402" s="19"/>
      <c r="N402" s="30"/>
      <c r="O402" s="119"/>
      <c r="P402" s="20"/>
      <c r="Q402" s="20"/>
      <c r="R402" s="19"/>
      <c r="S402" s="24"/>
      <c r="T402" s="17"/>
      <c r="U402" s="9"/>
    </row>
    <row r="403" spans="1:21" s="8" customFormat="1" x14ac:dyDescent="0.45">
      <c r="A403" s="23"/>
      <c r="B403" s="18"/>
      <c r="C403" s="18"/>
      <c r="D403" s="18"/>
      <c r="E403" s="18"/>
      <c r="F403" s="18"/>
      <c r="G403" s="21"/>
      <c r="H403" s="20"/>
      <c r="I403" s="20"/>
      <c r="J403" s="19"/>
      <c r="K403" s="20"/>
      <c r="L403" s="22"/>
      <c r="M403" s="19"/>
      <c r="N403" s="30"/>
      <c r="O403" s="119"/>
      <c r="P403" s="20"/>
      <c r="Q403" s="20"/>
      <c r="R403" s="19"/>
      <c r="S403" s="24"/>
      <c r="T403" s="17"/>
      <c r="U403" s="9"/>
    </row>
    <row r="404" spans="1:21" s="8" customFormat="1" x14ac:dyDescent="0.45">
      <c r="A404" s="23"/>
      <c r="B404" s="18"/>
      <c r="C404" s="18"/>
      <c r="D404" s="18"/>
      <c r="E404" s="18"/>
      <c r="F404" s="18"/>
      <c r="G404" s="21"/>
      <c r="H404" s="20"/>
      <c r="I404" s="20"/>
      <c r="J404" s="19"/>
      <c r="K404" s="20"/>
      <c r="L404" s="22"/>
      <c r="M404" s="19"/>
      <c r="N404" s="30"/>
      <c r="O404" s="119"/>
      <c r="P404" s="20"/>
      <c r="Q404" s="20"/>
      <c r="R404" s="19"/>
      <c r="S404" s="24"/>
      <c r="T404" s="17"/>
      <c r="U404" s="9"/>
    </row>
    <row r="405" spans="1:21" s="8" customFormat="1" x14ac:dyDescent="0.45">
      <c r="A405" s="23"/>
      <c r="B405" s="18"/>
      <c r="C405" s="18"/>
      <c r="D405" s="18"/>
      <c r="E405" s="18"/>
      <c r="F405" s="18"/>
      <c r="G405" s="21"/>
      <c r="H405" s="20"/>
      <c r="I405" s="20"/>
      <c r="J405" s="19"/>
      <c r="K405" s="20"/>
      <c r="L405" s="22"/>
      <c r="M405" s="19"/>
      <c r="N405" s="30"/>
      <c r="O405" s="119"/>
      <c r="P405" s="20"/>
      <c r="Q405" s="20"/>
      <c r="R405" s="19"/>
      <c r="S405" s="24"/>
      <c r="T405" s="17"/>
      <c r="U405" s="9"/>
    </row>
    <row r="406" spans="1:21" s="8" customFormat="1" x14ac:dyDescent="0.45">
      <c r="A406" s="23"/>
      <c r="B406" s="18"/>
      <c r="C406" s="18"/>
      <c r="D406" s="18"/>
      <c r="E406" s="18"/>
      <c r="F406" s="18"/>
      <c r="G406" s="21"/>
      <c r="H406" s="20"/>
      <c r="I406" s="20"/>
      <c r="J406" s="19"/>
      <c r="K406" s="20"/>
      <c r="L406" s="22"/>
      <c r="M406" s="19"/>
      <c r="N406" s="30"/>
      <c r="O406" s="119"/>
      <c r="P406" s="20"/>
      <c r="Q406" s="20"/>
      <c r="R406" s="19"/>
      <c r="S406" s="24"/>
      <c r="T406" s="17"/>
      <c r="U406" s="9"/>
    </row>
    <row r="407" spans="1:21" s="8" customFormat="1" x14ac:dyDescent="0.45">
      <c r="A407" s="23"/>
      <c r="B407" s="18"/>
      <c r="C407" s="18"/>
      <c r="D407" s="18"/>
      <c r="E407" s="18"/>
      <c r="F407" s="18"/>
      <c r="G407" s="21"/>
      <c r="H407" s="20"/>
      <c r="I407" s="20"/>
      <c r="J407" s="19"/>
      <c r="K407" s="20"/>
      <c r="L407" s="22"/>
      <c r="M407" s="19"/>
      <c r="N407" s="30"/>
      <c r="O407" s="119"/>
      <c r="P407" s="20"/>
      <c r="Q407" s="20"/>
      <c r="R407" s="19"/>
      <c r="S407" s="24"/>
      <c r="T407" s="17"/>
      <c r="U407" s="9"/>
    </row>
    <row r="408" spans="1:21" s="8" customFormat="1" x14ac:dyDescent="0.45">
      <c r="A408" s="23"/>
      <c r="B408" s="18"/>
      <c r="C408" s="18"/>
      <c r="D408" s="18"/>
      <c r="E408" s="18"/>
      <c r="F408" s="18"/>
      <c r="G408" s="21"/>
      <c r="H408" s="20"/>
      <c r="I408" s="20"/>
      <c r="J408" s="19"/>
      <c r="K408" s="20"/>
      <c r="L408" s="22"/>
      <c r="M408" s="19"/>
      <c r="N408" s="30"/>
      <c r="O408" s="119"/>
      <c r="P408" s="20"/>
      <c r="Q408" s="20"/>
      <c r="R408" s="19"/>
      <c r="S408" s="24"/>
      <c r="T408" s="17"/>
      <c r="U408" s="9"/>
    </row>
    <row r="409" spans="1:21" s="8" customFormat="1" x14ac:dyDescent="0.45">
      <c r="A409" s="23"/>
      <c r="B409" s="18"/>
      <c r="C409" s="18"/>
      <c r="D409" s="18"/>
      <c r="E409" s="18"/>
      <c r="F409" s="18"/>
      <c r="G409" s="21"/>
      <c r="H409" s="20"/>
      <c r="I409" s="20"/>
      <c r="J409" s="19"/>
      <c r="K409" s="20"/>
      <c r="L409" s="22"/>
      <c r="M409" s="19"/>
      <c r="N409" s="30"/>
      <c r="O409" s="119"/>
      <c r="P409" s="20"/>
      <c r="Q409" s="20"/>
      <c r="R409" s="19"/>
      <c r="S409" s="24"/>
      <c r="T409" s="17"/>
      <c r="U409" s="9"/>
    </row>
    <row r="410" spans="1:21" s="8" customFormat="1" x14ac:dyDescent="0.45">
      <c r="A410" s="23"/>
      <c r="B410" s="18"/>
      <c r="C410" s="18"/>
      <c r="D410" s="18"/>
      <c r="E410" s="18"/>
      <c r="F410" s="18"/>
      <c r="G410" s="21"/>
      <c r="H410" s="20"/>
      <c r="I410" s="20"/>
      <c r="J410" s="19"/>
      <c r="K410" s="20"/>
      <c r="L410" s="22"/>
      <c r="M410" s="19"/>
      <c r="N410" s="30"/>
      <c r="O410" s="119"/>
      <c r="P410" s="20"/>
      <c r="Q410" s="20"/>
      <c r="R410" s="19"/>
      <c r="S410" s="24"/>
      <c r="T410" s="17"/>
      <c r="U410" s="9"/>
    </row>
    <row r="411" spans="1:21" s="8" customFormat="1" x14ac:dyDescent="0.45">
      <c r="A411" s="23"/>
      <c r="B411" s="18"/>
      <c r="C411" s="18"/>
      <c r="D411" s="18"/>
      <c r="E411" s="18"/>
      <c r="F411" s="18"/>
      <c r="G411" s="21"/>
      <c r="H411" s="20"/>
      <c r="I411" s="20"/>
      <c r="J411" s="19"/>
      <c r="K411" s="20"/>
      <c r="L411" s="22"/>
      <c r="M411" s="19"/>
      <c r="N411" s="30"/>
      <c r="O411" s="119"/>
      <c r="P411" s="20"/>
      <c r="Q411" s="20"/>
      <c r="R411" s="19"/>
      <c r="S411" s="24"/>
      <c r="T411" s="17"/>
      <c r="U411" s="9"/>
    </row>
    <row r="412" spans="1:21" s="8" customFormat="1" x14ac:dyDescent="0.45">
      <c r="A412" s="23"/>
      <c r="B412" s="18"/>
      <c r="C412" s="18"/>
      <c r="D412" s="18"/>
      <c r="E412" s="18"/>
      <c r="F412" s="18"/>
      <c r="G412" s="21"/>
      <c r="H412" s="20"/>
      <c r="I412" s="20"/>
      <c r="J412" s="19"/>
      <c r="K412" s="20"/>
      <c r="L412" s="22"/>
      <c r="M412" s="19"/>
      <c r="N412" s="30"/>
      <c r="O412" s="119"/>
      <c r="P412" s="20"/>
      <c r="Q412" s="20"/>
      <c r="R412" s="19"/>
      <c r="S412" s="24"/>
      <c r="T412" s="17"/>
      <c r="U412" s="9"/>
    </row>
    <row r="413" spans="1:21" s="8" customFormat="1" x14ac:dyDescent="0.45">
      <c r="A413" s="23"/>
      <c r="B413" s="18"/>
      <c r="C413" s="18"/>
      <c r="D413" s="18"/>
      <c r="E413" s="18"/>
      <c r="F413" s="18"/>
      <c r="G413" s="21"/>
      <c r="H413" s="20"/>
      <c r="I413" s="20"/>
      <c r="J413" s="19"/>
      <c r="K413" s="20"/>
      <c r="L413" s="22"/>
      <c r="M413" s="19"/>
      <c r="N413" s="30"/>
      <c r="O413" s="119"/>
      <c r="P413" s="20"/>
      <c r="Q413" s="20"/>
      <c r="R413" s="19"/>
      <c r="S413" s="24"/>
      <c r="T413" s="17"/>
      <c r="U413" s="9"/>
    </row>
    <row r="414" spans="1:21" s="8" customFormat="1" x14ac:dyDescent="0.45">
      <c r="A414" s="23"/>
      <c r="B414" s="18"/>
      <c r="C414" s="18"/>
      <c r="D414" s="18"/>
      <c r="E414" s="18"/>
      <c r="F414" s="18"/>
      <c r="G414" s="21"/>
      <c r="H414" s="20"/>
      <c r="I414" s="20"/>
      <c r="J414" s="19"/>
      <c r="K414" s="20"/>
      <c r="L414" s="22"/>
      <c r="M414" s="19"/>
      <c r="N414" s="30"/>
      <c r="O414" s="119"/>
      <c r="P414" s="20"/>
      <c r="Q414" s="20"/>
      <c r="R414" s="19"/>
      <c r="S414" s="24"/>
      <c r="T414" s="17"/>
      <c r="U414" s="9"/>
    </row>
    <row r="415" spans="1:21" s="8" customFormat="1" x14ac:dyDescent="0.45">
      <c r="A415" s="23"/>
      <c r="B415" s="18"/>
      <c r="C415" s="18"/>
      <c r="D415" s="18"/>
      <c r="E415" s="18"/>
      <c r="F415" s="18"/>
      <c r="G415" s="21"/>
      <c r="H415" s="20"/>
      <c r="I415" s="20"/>
      <c r="J415" s="19"/>
      <c r="K415" s="20"/>
      <c r="L415" s="22"/>
      <c r="M415" s="19"/>
      <c r="N415" s="30"/>
      <c r="O415" s="119"/>
      <c r="P415" s="20"/>
      <c r="Q415" s="20"/>
      <c r="R415" s="19"/>
      <c r="S415" s="24"/>
      <c r="T415" s="17"/>
      <c r="U415" s="9"/>
    </row>
    <row r="416" spans="1:21" s="8" customFormat="1" x14ac:dyDescent="0.45">
      <c r="A416" s="23"/>
      <c r="B416" s="18"/>
      <c r="C416" s="18"/>
      <c r="D416" s="18"/>
      <c r="E416" s="18"/>
      <c r="F416" s="18"/>
      <c r="G416" s="21"/>
      <c r="H416" s="20"/>
      <c r="I416" s="20"/>
      <c r="J416" s="19"/>
      <c r="K416" s="20"/>
      <c r="L416" s="22"/>
      <c r="M416" s="19"/>
      <c r="N416" s="30"/>
      <c r="O416" s="119"/>
      <c r="P416" s="20"/>
      <c r="Q416" s="20"/>
      <c r="R416" s="19"/>
      <c r="S416" s="24"/>
      <c r="T416" s="17"/>
      <c r="U416" s="9"/>
    </row>
    <row r="417" spans="1:21" s="8" customFormat="1" x14ac:dyDescent="0.45">
      <c r="A417" s="23"/>
      <c r="B417" s="18"/>
      <c r="C417" s="18"/>
      <c r="D417" s="18"/>
      <c r="E417" s="18"/>
      <c r="F417" s="18"/>
      <c r="G417" s="21"/>
      <c r="H417" s="20"/>
      <c r="I417" s="20"/>
      <c r="J417" s="19"/>
      <c r="K417" s="20"/>
      <c r="L417" s="22"/>
      <c r="M417" s="19"/>
      <c r="N417" s="30"/>
      <c r="O417" s="119"/>
      <c r="P417" s="20"/>
      <c r="Q417" s="20"/>
      <c r="R417" s="19"/>
      <c r="S417" s="24"/>
      <c r="T417" s="17"/>
      <c r="U417" s="9"/>
    </row>
    <row r="418" spans="1:21" s="8" customFormat="1" x14ac:dyDescent="0.45">
      <c r="A418" s="23"/>
      <c r="B418" s="18"/>
      <c r="C418" s="18"/>
      <c r="D418" s="18"/>
      <c r="E418" s="18"/>
      <c r="F418" s="18"/>
      <c r="G418" s="21"/>
      <c r="H418" s="20"/>
      <c r="I418" s="20"/>
      <c r="J418" s="19"/>
      <c r="K418" s="20"/>
      <c r="L418" s="22"/>
      <c r="M418" s="19"/>
      <c r="N418" s="30"/>
      <c r="O418" s="119"/>
      <c r="P418" s="20"/>
      <c r="Q418" s="20"/>
      <c r="R418" s="19"/>
      <c r="S418" s="24"/>
      <c r="T418" s="17"/>
      <c r="U418" s="9"/>
    </row>
    <row r="419" spans="1:21" s="8" customFormat="1" x14ac:dyDescent="0.45">
      <c r="A419" s="23"/>
      <c r="B419" s="18"/>
      <c r="C419" s="18"/>
      <c r="D419" s="18"/>
      <c r="E419" s="18"/>
      <c r="F419" s="18"/>
      <c r="G419" s="21"/>
      <c r="H419" s="20"/>
      <c r="I419" s="20"/>
      <c r="J419" s="19"/>
      <c r="K419" s="20"/>
      <c r="L419" s="22"/>
      <c r="M419" s="19"/>
      <c r="N419" s="30"/>
      <c r="O419" s="119"/>
      <c r="P419" s="20"/>
      <c r="Q419" s="20"/>
      <c r="R419" s="19"/>
      <c r="S419" s="24"/>
      <c r="T419" s="17"/>
      <c r="U419" s="9"/>
    </row>
    <row r="420" spans="1:21" s="8" customFormat="1" x14ac:dyDescent="0.45">
      <c r="A420" s="23"/>
      <c r="B420" s="18"/>
      <c r="C420" s="18"/>
      <c r="D420" s="18"/>
      <c r="E420" s="18"/>
      <c r="F420" s="18"/>
      <c r="G420" s="21"/>
      <c r="H420" s="20"/>
      <c r="I420" s="20"/>
      <c r="J420" s="19"/>
      <c r="K420" s="20"/>
      <c r="L420" s="22"/>
      <c r="M420" s="19"/>
      <c r="N420" s="30"/>
      <c r="O420" s="119"/>
      <c r="P420" s="20"/>
      <c r="Q420" s="20"/>
      <c r="R420" s="19"/>
      <c r="S420" s="24"/>
      <c r="T420" s="17"/>
      <c r="U420" s="9"/>
    </row>
    <row r="421" spans="1:21" s="8" customFormat="1" x14ac:dyDescent="0.45">
      <c r="A421" s="23"/>
      <c r="B421" s="18"/>
      <c r="C421" s="18"/>
      <c r="D421" s="18"/>
      <c r="E421" s="18"/>
      <c r="F421" s="18"/>
      <c r="G421" s="21"/>
      <c r="H421" s="20"/>
      <c r="I421" s="20"/>
      <c r="J421" s="19"/>
      <c r="K421" s="20"/>
      <c r="L421" s="22"/>
      <c r="M421" s="19"/>
      <c r="N421" s="30"/>
      <c r="O421" s="119"/>
      <c r="P421" s="20"/>
      <c r="Q421" s="20"/>
      <c r="R421" s="19"/>
      <c r="S421" s="24"/>
      <c r="T421" s="17"/>
      <c r="U421" s="9"/>
    </row>
    <row r="422" spans="1:21" s="8" customFormat="1" x14ac:dyDescent="0.45">
      <c r="A422" s="23"/>
      <c r="B422" s="18"/>
      <c r="C422" s="18"/>
      <c r="D422" s="18"/>
      <c r="E422" s="18"/>
      <c r="F422" s="18"/>
      <c r="G422" s="21"/>
      <c r="H422" s="20"/>
      <c r="I422" s="20"/>
      <c r="J422" s="19"/>
      <c r="K422" s="20"/>
      <c r="L422" s="22"/>
      <c r="M422" s="19"/>
      <c r="N422" s="30"/>
      <c r="O422" s="119"/>
      <c r="P422" s="20"/>
      <c r="Q422" s="20"/>
      <c r="R422" s="19"/>
      <c r="S422" s="24"/>
      <c r="T422" s="17"/>
      <c r="U422" s="9"/>
    </row>
    <row r="423" spans="1:21" s="8" customFormat="1" x14ac:dyDescent="0.45">
      <c r="A423" s="23"/>
      <c r="B423" s="18"/>
      <c r="C423" s="18"/>
      <c r="D423" s="18"/>
      <c r="E423" s="18"/>
      <c r="F423" s="18"/>
      <c r="G423" s="21"/>
      <c r="H423" s="20"/>
      <c r="I423" s="20"/>
      <c r="J423" s="19"/>
      <c r="K423" s="20"/>
      <c r="L423" s="22"/>
      <c r="M423" s="19"/>
      <c r="N423" s="30"/>
      <c r="O423" s="119"/>
      <c r="P423" s="20"/>
      <c r="Q423" s="20"/>
      <c r="R423" s="19"/>
      <c r="S423" s="24"/>
      <c r="T423" s="17"/>
      <c r="U423" s="9"/>
    </row>
    <row r="424" spans="1:21" s="8" customFormat="1" x14ac:dyDescent="0.45">
      <c r="A424" s="23"/>
      <c r="B424" s="18"/>
      <c r="C424" s="18"/>
      <c r="D424" s="18"/>
      <c r="E424" s="18"/>
      <c r="F424" s="18"/>
      <c r="G424" s="21"/>
      <c r="H424" s="20"/>
      <c r="I424" s="20"/>
      <c r="J424" s="19"/>
      <c r="K424" s="20"/>
      <c r="L424" s="22"/>
      <c r="M424" s="19"/>
      <c r="N424" s="30"/>
      <c r="O424" s="119"/>
      <c r="P424" s="20"/>
      <c r="Q424" s="20"/>
      <c r="R424" s="19"/>
      <c r="S424" s="24"/>
      <c r="T424" s="17"/>
      <c r="U424" s="9"/>
    </row>
    <row r="425" spans="1:21" s="8" customFormat="1" x14ac:dyDescent="0.45">
      <c r="A425" s="23"/>
      <c r="B425" s="18"/>
      <c r="C425" s="18"/>
      <c r="D425" s="18"/>
      <c r="E425" s="18"/>
      <c r="F425" s="18"/>
      <c r="G425" s="21"/>
      <c r="H425" s="20"/>
      <c r="I425" s="20"/>
      <c r="J425" s="19"/>
      <c r="K425" s="20"/>
      <c r="L425" s="22"/>
      <c r="M425" s="19"/>
      <c r="N425" s="30"/>
      <c r="O425" s="119"/>
      <c r="P425" s="20"/>
      <c r="Q425" s="20"/>
      <c r="R425" s="19"/>
      <c r="S425" s="24"/>
      <c r="T425" s="17"/>
      <c r="U425" s="9"/>
    </row>
    <row r="426" spans="1:21" s="8" customFormat="1" x14ac:dyDescent="0.45">
      <c r="A426" s="23"/>
      <c r="B426" s="18"/>
      <c r="C426" s="18"/>
      <c r="D426" s="18"/>
      <c r="E426" s="18"/>
      <c r="F426" s="18"/>
      <c r="G426" s="21"/>
      <c r="H426" s="20"/>
      <c r="I426" s="20"/>
      <c r="J426" s="19"/>
      <c r="K426" s="20"/>
      <c r="L426" s="22"/>
      <c r="M426" s="19"/>
      <c r="N426" s="30"/>
      <c r="O426" s="119"/>
      <c r="P426" s="20"/>
      <c r="Q426" s="20"/>
      <c r="R426" s="19"/>
      <c r="S426" s="24"/>
      <c r="T426" s="17"/>
      <c r="U426" s="9"/>
    </row>
    <row r="427" spans="1:21" s="8" customFormat="1" x14ac:dyDescent="0.45">
      <c r="A427" s="23"/>
      <c r="B427" s="18"/>
      <c r="C427" s="18"/>
      <c r="D427" s="18"/>
      <c r="E427" s="18"/>
      <c r="F427" s="18"/>
      <c r="G427" s="21"/>
      <c r="H427" s="20"/>
      <c r="I427" s="20"/>
      <c r="J427" s="19"/>
      <c r="K427" s="20"/>
      <c r="L427" s="22"/>
      <c r="M427" s="19"/>
      <c r="N427" s="30"/>
      <c r="O427" s="119"/>
      <c r="P427" s="20"/>
      <c r="Q427" s="20"/>
      <c r="R427" s="19"/>
      <c r="S427" s="24"/>
      <c r="T427" s="17"/>
      <c r="U427" s="9"/>
    </row>
    <row r="428" spans="1:21" s="8" customFormat="1" x14ac:dyDescent="0.45">
      <c r="A428" s="23"/>
      <c r="B428" s="18"/>
      <c r="C428" s="18"/>
      <c r="D428" s="18"/>
      <c r="E428" s="18"/>
      <c r="F428" s="18"/>
      <c r="G428" s="21"/>
      <c r="H428" s="20"/>
      <c r="I428" s="20"/>
      <c r="J428" s="19"/>
      <c r="K428" s="20"/>
      <c r="L428" s="22"/>
      <c r="M428" s="19"/>
      <c r="N428" s="30"/>
      <c r="O428" s="119"/>
      <c r="P428" s="20"/>
      <c r="Q428" s="20"/>
      <c r="R428" s="19"/>
      <c r="S428" s="24"/>
      <c r="T428" s="17"/>
      <c r="U428" s="9"/>
    </row>
    <row r="429" spans="1:21" s="8" customFormat="1" x14ac:dyDescent="0.45">
      <c r="A429" s="23"/>
      <c r="B429" s="18"/>
      <c r="C429" s="18"/>
      <c r="D429" s="18"/>
      <c r="E429" s="18"/>
      <c r="F429" s="18"/>
      <c r="G429" s="21"/>
      <c r="H429" s="20"/>
      <c r="I429" s="20"/>
      <c r="J429" s="19"/>
      <c r="K429" s="20"/>
      <c r="L429" s="22"/>
      <c r="M429" s="19"/>
      <c r="N429" s="30"/>
      <c r="O429" s="119"/>
      <c r="P429" s="20"/>
      <c r="Q429" s="20"/>
      <c r="R429" s="19"/>
      <c r="S429" s="24"/>
      <c r="T429" s="17"/>
      <c r="U429" s="9"/>
    </row>
    <row r="430" spans="1:21" s="8" customFormat="1" x14ac:dyDescent="0.45">
      <c r="A430" s="23"/>
      <c r="B430" s="18"/>
      <c r="C430" s="18"/>
      <c r="D430" s="18"/>
      <c r="E430" s="18"/>
      <c r="F430" s="18"/>
      <c r="G430" s="21"/>
      <c r="H430" s="20"/>
      <c r="I430" s="20"/>
      <c r="J430" s="19"/>
      <c r="K430" s="20"/>
      <c r="L430" s="22"/>
      <c r="M430" s="19"/>
      <c r="N430" s="30"/>
      <c r="O430" s="119"/>
      <c r="P430" s="20"/>
      <c r="Q430" s="20"/>
      <c r="R430" s="19"/>
      <c r="S430" s="24"/>
      <c r="T430" s="17"/>
      <c r="U430" s="9"/>
    </row>
    <row r="431" spans="1:21" s="8" customFormat="1" x14ac:dyDescent="0.45">
      <c r="A431" s="23"/>
      <c r="B431" s="18"/>
      <c r="C431" s="18"/>
      <c r="D431" s="18"/>
      <c r="E431" s="18"/>
      <c r="F431" s="18"/>
      <c r="G431" s="21"/>
      <c r="H431" s="20"/>
      <c r="I431" s="20"/>
      <c r="J431" s="19"/>
      <c r="K431" s="20"/>
      <c r="L431" s="22"/>
      <c r="M431" s="19"/>
      <c r="N431" s="30"/>
      <c r="O431" s="119"/>
      <c r="P431" s="20"/>
      <c r="Q431" s="20"/>
      <c r="R431" s="19"/>
      <c r="S431" s="24"/>
      <c r="T431" s="17"/>
      <c r="U431" s="9"/>
    </row>
    <row r="432" spans="1:21" s="8" customFormat="1" x14ac:dyDescent="0.45">
      <c r="A432" s="23"/>
      <c r="B432" s="18"/>
      <c r="C432" s="18"/>
      <c r="D432" s="18"/>
      <c r="E432" s="18"/>
      <c r="F432" s="18"/>
      <c r="G432" s="21"/>
      <c r="H432" s="20"/>
      <c r="I432" s="20"/>
      <c r="J432" s="19"/>
      <c r="K432" s="20"/>
      <c r="L432" s="22"/>
      <c r="M432" s="19"/>
      <c r="N432" s="30"/>
      <c r="O432" s="119"/>
      <c r="P432" s="20"/>
      <c r="Q432" s="20"/>
      <c r="R432" s="19"/>
      <c r="S432" s="24"/>
      <c r="T432" s="17"/>
      <c r="U432" s="9"/>
    </row>
    <row r="433" spans="1:21" s="8" customFormat="1" x14ac:dyDescent="0.45">
      <c r="A433" s="23"/>
      <c r="B433" s="18"/>
      <c r="C433" s="18"/>
      <c r="D433" s="18"/>
      <c r="E433" s="18"/>
      <c r="F433" s="18"/>
      <c r="G433" s="21"/>
      <c r="H433" s="20"/>
      <c r="I433" s="20"/>
      <c r="J433" s="19"/>
      <c r="K433" s="20"/>
      <c r="L433" s="22"/>
      <c r="M433" s="19"/>
      <c r="N433" s="30"/>
      <c r="O433" s="119"/>
      <c r="P433" s="20"/>
      <c r="Q433" s="20"/>
      <c r="R433" s="19"/>
      <c r="S433" s="24"/>
      <c r="T433" s="17"/>
      <c r="U433" s="9"/>
    </row>
    <row r="434" spans="1:21" s="8" customFormat="1" x14ac:dyDescent="0.45">
      <c r="A434" s="23"/>
      <c r="B434" s="18"/>
      <c r="C434" s="18"/>
      <c r="D434" s="18"/>
      <c r="E434" s="18"/>
      <c r="F434" s="18"/>
      <c r="G434" s="21"/>
      <c r="H434" s="20"/>
      <c r="I434" s="20"/>
      <c r="J434" s="19"/>
      <c r="K434" s="20"/>
      <c r="L434" s="22"/>
      <c r="M434" s="19"/>
      <c r="N434" s="30"/>
      <c r="O434" s="119"/>
      <c r="P434" s="20"/>
      <c r="Q434" s="20"/>
      <c r="R434" s="19"/>
      <c r="S434" s="24"/>
      <c r="T434" s="17"/>
      <c r="U434" s="9"/>
    </row>
    <row r="435" spans="1:21" s="8" customFormat="1" x14ac:dyDescent="0.45">
      <c r="A435" s="23"/>
      <c r="B435" s="18"/>
      <c r="C435" s="18"/>
      <c r="D435" s="18"/>
      <c r="E435" s="18"/>
      <c r="F435" s="18"/>
      <c r="G435" s="21"/>
      <c r="H435" s="20"/>
      <c r="I435" s="20"/>
      <c r="J435" s="19"/>
      <c r="K435" s="20"/>
      <c r="L435" s="22"/>
      <c r="M435" s="19"/>
      <c r="N435" s="30"/>
      <c r="O435" s="119"/>
      <c r="P435" s="20"/>
      <c r="Q435" s="20"/>
      <c r="R435" s="19"/>
      <c r="S435" s="24"/>
      <c r="T435" s="17"/>
      <c r="U435" s="9"/>
    </row>
    <row r="436" spans="1:21" s="8" customFormat="1" x14ac:dyDescent="0.45">
      <c r="A436" s="23"/>
      <c r="B436" s="18"/>
      <c r="C436" s="18"/>
      <c r="D436" s="18"/>
      <c r="E436" s="18"/>
      <c r="F436" s="18"/>
      <c r="G436" s="21"/>
      <c r="H436" s="20"/>
      <c r="I436" s="20"/>
      <c r="J436" s="19"/>
      <c r="K436" s="20"/>
      <c r="L436" s="22"/>
      <c r="M436" s="19"/>
      <c r="N436" s="30"/>
      <c r="O436" s="119"/>
      <c r="P436" s="20"/>
      <c r="Q436" s="20"/>
      <c r="R436" s="19"/>
      <c r="S436" s="24"/>
      <c r="T436" s="17"/>
      <c r="U436" s="9"/>
    </row>
    <row r="437" spans="1:21" s="8" customFormat="1" x14ac:dyDescent="0.45">
      <c r="A437" s="23"/>
      <c r="B437" s="18"/>
      <c r="C437" s="18"/>
      <c r="D437" s="18"/>
      <c r="E437" s="18"/>
      <c r="F437" s="18"/>
      <c r="G437" s="21"/>
      <c r="H437" s="20"/>
      <c r="I437" s="20"/>
      <c r="J437" s="19"/>
      <c r="K437" s="20"/>
      <c r="L437" s="22"/>
      <c r="M437" s="19"/>
      <c r="N437" s="30"/>
      <c r="O437" s="119"/>
      <c r="P437" s="20"/>
      <c r="Q437" s="20"/>
      <c r="R437" s="19"/>
      <c r="S437" s="24"/>
      <c r="T437" s="17"/>
      <c r="U437" s="9"/>
    </row>
    <row r="438" spans="1:21" s="8" customFormat="1" x14ac:dyDescent="0.45">
      <c r="A438" s="23"/>
      <c r="B438" s="18"/>
      <c r="C438" s="18"/>
      <c r="D438" s="18"/>
      <c r="E438" s="18"/>
      <c r="F438" s="18"/>
      <c r="G438" s="21"/>
      <c r="H438" s="20"/>
      <c r="I438" s="20"/>
      <c r="J438" s="19"/>
      <c r="K438" s="20"/>
      <c r="L438" s="22"/>
      <c r="M438" s="19"/>
      <c r="N438" s="30"/>
      <c r="O438" s="119"/>
      <c r="P438" s="20"/>
      <c r="Q438" s="20"/>
      <c r="R438" s="19"/>
      <c r="S438" s="24"/>
      <c r="T438" s="17"/>
      <c r="U438" s="9"/>
    </row>
    <row r="439" spans="1:21" s="8" customFormat="1" x14ac:dyDescent="0.45">
      <c r="A439" s="23"/>
      <c r="B439" s="18"/>
      <c r="C439" s="18"/>
      <c r="D439" s="18"/>
      <c r="E439" s="18"/>
      <c r="F439" s="18"/>
      <c r="G439" s="21"/>
      <c r="H439" s="20"/>
      <c r="I439" s="20"/>
      <c r="J439" s="19"/>
      <c r="K439" s="20"/>
      <c r="L439" s="22"/>
      <c r="M439" s="19"/>
      <c r="N439" s="30"/>
      <c r="O439" s="119"/>
      <c r="P439" s="20"/>
      <c r="Q439" s="20"/>
      <c r="R439" s="19"/>
      <c r="S439" s="24"/>
      <c r="T439" s="17"/>
      <c r="U439" s="9"/>
    </row>
    <row r="440" spans="1:21" s="8" customFormat="1" x14ac:dyDescent="0.45">
      <c r="A440" s="23"/>
      <c r="B440" s="18"/>
      <c r="C440" s="18"/>
      <c r="D440" s="18"/>
      <c r="E440" s="18"/>
      <c r="F440" s="18"/>
      <c r="G440" s="21"/>
      <c r="H440" s="20"/>
      <c r="I440" s="20"/>
      <c r="J440" s="19"/>
      <c r="K440" s="20"/>
      <c r="L440" s="22"/>
      <c r="M440" s="19"/>
      <c r="N440" s="30"/>
      <c r="O440" s="119"/>
      <c r="P440" s="20"/>
      <c r="Q440" s="20"/>
      <c r="R440" s="19"/>
      <c r="S440" s="24"/>
      <c r="T440" s="17"/>
      <c r="U440" s="9"/>
    </row>
    <row r="441" spans="1:21" s="8" customFormat="1" x14ac:dyDescent="0.45">
      <c r="A441" s="23"/>
      <c r="B441" s="18"/>
      <c r="C441" s="18"/>
      <c r="D441" s="18"/>
      <c r="E441" s="18"/>
      <c r="F441" s="18"/>
      <c r="G441" s="21"/>
      <c r="H441" s="20"/>
      <c r="I441" s="20"/>
      <c r="J441" s="19"/>
      <c r="K441" s="20"/>
      <c r="L441" s="22"/>
      <c r="M441" s="19"/>
      <c r="N441" s="30"/>
      <c r="O441" s="119"/>
      <c r="P441" s="20"/>
      <c r="Q441" s="20"/>
      <c r="R441" s="19"/>
      <c r="S441" s="24"/>
      <c r="T441" s="17"/>
      <c r="U441" s="9"/>
    </row>
    <row r="442" spans="1:21" s="8" customFormat="1" x14ac:dyDescent="0.45">
      <c r="A442" s="23"/>
      <c r="B442" s="18"/>
      <c r="C442" s="18"/>
      <c r="D442" s="18"/>
      <c r="E442" s="18"/>
      <c r="F442" s="18"/>
      <c r="G442" s="21"/>
      <c r="H442" s="20"/>
      <c r="I442" s="20"/>
      <c r="J442" s="19"/>
      <c r="K442" s="20"/>
      <c r="L442" s="22"/>
      <c r="M442" s="19"/>
      <c r="N442" s="30"/>
      <c r="O442" s="119"/>
      <c r="P442" s="20"/>
      <c r="Q442" s="20"/>
      <c r="R442" s="19"/>
      <c r="S442" s="24"/>
      <c r="T442" s="17"/>
      <c r="U442" s="9"/>
    </row>
    <row r="443" spans="1:21" s="8" customFormat="1" x14ac:dyDescent="0.45">
      <c r="A443" s="23"/>
      <c r="B443" s="18"/>
      <c r="C443" s="18"/>
      <c r="D443" s="18"/>
      <c r="E443" s="18"/>
      <c r="F443" s="18"/>
      <c r="G443" s="21"/>
      <c r="H443" s="20"/>
      <c r="I443" s="20"/>
      <c r="J443" s="19"/>
      <c r="K443" s="20"/>
      <c r="L443" s="22"/>
      <c r="M443" s="19"/>
      <c r="N443" s="30"/>
      <c r="O443" s="119"/>
      <c r="P443" s="20"/>
      <c r="Q443" s="20"/>
      <c r="R443" s="19"/>
      <c r="S443" s="24"/>
      <c r="T443" s="17"/>
      <c r="U443" s="9"/>
    </row>
    <row r="444" spans="1:21" s="8" customFormat="1" x14ac:dyDescent="0.45">
      <c r="A444" s="23"/>
      <c r="B444" s="18"/>
      <c r="C444" s="18"/>
      <c r="D444" s="18"/>
      <c r="E444" s="18"/>
      <c r="F444" s="18"/>
      <c r="G444" s="21"/>
      <c r="H444" s="20"/>
      <c r="I444" s="20"/>
      <c r="J444" s="19"/>
      <c r="K444" s="20"/>
      <c r="L444" s="22"/>
      <c r="M444" s="19"/>
      <c r="N444" s="30"/>
      <c r="O444" s="119"/>
      <c r="P444" s="20"/>
      <c r="Q444" s="20"/>
      <c r="R444" s="19"/>
      <c r="S444" s="24"/>
      <c r="T444" s="17"/>
      <c r="U444" s="9"/>
    </row>
    <row r="445" spans="1:21" s="8" customFormat="1" x14ac:dyDescent="0.45">
      <c r="A445" s="23"/>
      <c r="B445" s="18"/>
      <c r="C445" s="18"/>
      <c r="D445" s="18"/>
      <c r="E445" s="18"/>
      <c r="F445" s="18"/>
      <c r="G445" s="21"/>
      <c r="H445" s="20"/>
      <c r="I445" s="20"/>
      <c r="J445" s="19"/>
      <c r="K445" s="20"/>
      <c r="L445" s="22"/>
      <c r="M445" s="19"/>
      <c r="N445" s="30"/>
      <c r="O445" s="119"/>
      <c r="P445" s="20"/>
      <c r="Q445" s="20"/>
      <c r="R445" s="19"/>
      <c r="S445" s="24"/>
      <c r="T445" s="17"/>
      <c r="U445" s="9"/>
    </row>
    <row r="446" spans="1:21" s="8" customFormat="1" x14ac:dyDescent="0.45">
      <c r="A446" s="23"/>
      <c r="B446" s="18"/>
      <c r="C446" s="18"/>
      <c r="D446" s="18"/>
      <c r="E446" s="18"/>
      <c r="F446" s="18"/>
      <c r="G446" s="21"/>
      <c r="H446" s="20"/>
      <c r="I446" s="20"/>
      <c r="J446" s="19"/>
      <c r="K446" s="20"/>
      <c r="L446" s="22"/>
      <c r="M446" s="19"/>
      <c r="N446" s="30"/>
      <c r="O446" s="119"/>
      <c r="P446" s="20"/>
      <c r="Q446" s="20"/>
      <c r="R446" s="19"/>
      <c r="S446" s="24"/>
      <c r="T446" s="17"/>
      <c r="U446" s="9"/>
    </row>
    <row r="447" spans="1:21" s="8" customFormat="1" x14ac:dyDescent="0.45">
      <c r="A447" s="23"/>
      <c r="B447" s="18"/>
      <c r="C447" s="18"/>
      <c r="D447" s="18"/>
      <c r="E447" s="18"/>
      <c r="F447" s="18"/>
      <c r="G447" s="21"/>
      <c r="H447" s="20"/>
      <c r="I447" s="20"/>
      <c r="J447" s="19"/>
      <c r="K447" s="20"/>
      <c r="L447" s="22"/>
      <c r="M447" s="19"/>
      <c r="N447" s="30"/>
      <c r="O447" s="119"/>
      <c r="P447" s="20"/>
      <c r="Q447" s="20"/>
      <c r="R447" s="19"/>
      <c r="S447" s="24"/>
      <c r="T447" s="17"/>
      <c r="U447" s="9"/>
    </row>
    <row r="448" spans="1:21" s="8" customFormat="1" x14ac:dyDescent="0.45">
      <c r="A448" s="23"/>
      <c r="B448" s="18"/>
      <c r="C448" s="18"/>
      <c r="D448" s="18"/>
      <c r="E448" s="18"/>
      <c r="F448" s="18"/>
      <c r="G448" s="21"/>
      <c r="H448" s="20"/>
      <c r="I448" s="20"/>
      <c r="J448" s="19"/>
      <c r="K448" s="20"/>
      <c r="L448" s="22"/>
      <c r="M448" s="19"/>
      <c r="N448" s="30"/>
      <c r="O448" s="119"/>
      <c r="P448" s="20"/>
      <c r="Q448" s="20"/>
      <c r="R448" s="19"/>
      <c r="S448" s="24"/>
      <c r="T448" s="17"/>
      <c r="U448" s="9"/>
    </row>
    <row r="449" spans="1:21" s="8" customFormat="1" x14ac:dyDescent="0.45">
      <c r="A449" s="23"/>
      <c r="B449" s="18"/>
      <c r="C449" s="18"/>
      <c r="D449" s="18"/>
      <c r="E449" s="18"/>
      <c r="F449" s="18"/>
      <c r="G449" s="21"/>
      <c r="H449" s="20"/>
      <c r="I449" s="20"/>
      <c r="J449" s="19"/>
      <c r="K449" s="20"/>
      <c r="L449" s="22"/>
      <c r="M449" s="19"/>
      <c r="N449" s="30"/>
      <c r="O449" s="119"/>
      <c r="P449" s="20"/>
      <c r="Q449" s="20"/>
      <c r="R449" s="19"/>
      <c r="S449" s="24"/>
      <c r="T449" s="17"/>
      <c r="U449" s="9"/>
    </row>
    <row r="450" spans="1:21" s="8" customFormat="1" x14ac:dyDescent="0.45">
      <c r="A450" s="23"/>
      <c r="B450" s="18"/>
      <c r="C450" s="18"/>
      <c r="D450" s="18"/>
      <c r="E450" s="18"/>
      <c r="F450" s="18"/>
      <c r="G450" s="21"/>
      <c r="H450" s="20"/>
      <c r="I450" s="20"/>
      <c r="J450" s="19"/>
      <c r="K450" s="20"/>
      <c r="L450" s="22"/>
      <c r="M450" s="19"/>
      <c r="N450" s="30"/>
      <c r="O450" s="119"/>
      <c r="P450" s="20"/>
      <c r="Q450" s="20"/>
      <c r="R450" s="19"/>
      <c r="S450" s="24"/>
      <c r="T450" s="17"/>
      <c r="U450" s="9"/>
    </row>
    <row r="451" spans="1:21" s="8" customFormat="1" x14ac:dyDescent="0.45">
      <c r="A451" s="23"/>
      <c r="B451" s="18"/>
      <c r="C451" s="18"/>
      <c r="D451" s="18"/>
      <c r="E451" s="18"/>
      <c r="F451" s="18"/>
      <c r="G451" s="21"/>
      <c r="H451" s="20"/>
      <c r="I451" s="20"/>
      <c r="J451" s="19"/>
      <c r="K451" s="20"/>
      <c r="L451" s="22"/>
      <c r="M451" s="19"/>
      <c r="N451" s="30"/>
      <c r="O451" s="119"/>
      <c r="P451" s="20"/>
      <c r="Q451" s="20"/>
      <c r="R451" s="19"/>
      <c r="S451" s="24"/>
      <c r="T451" s="17"/>
      <c r="U451" s="9"/>
    </row>
    <row r="452" spans="1:21" s="8" customFormat="1" x14ac:dyDescent="0.45">
      <c r="A452" s="23"/>
      <c r="B452" s="18"/>
      <c r="C452" s="18"/>
      <c r="D452" s="18"/>
      <c r="E452" s="18"/>
      <c r="F452" s="18"/>
      <c r="G452" s="21"/>
      <c r="H452" s="20"/>
      <c r="I452" s="20"/>
      <c r="J452" s="19"/>
      <c r="K452" s="20"/>
      <c r="L452" s="22"/>
      <c r="M452" s="19"/>
      <c r="N452" s="30"/>
      <c r="O452" s="119"/>
      <c r="P452" s="20"/>
      <c r="Q452" s="20"/>
      <c r="R452" s="19"/>
      <c r="S452" s="24"/>
      <c r="T452" s="17"/>
      <c r="U452" s="9"/>
    </row>
    <row r="453" spans="1:21" s="8" customFormat="1" x14ac:dyDescent="0.45">
      <c r="A453" s="23"/>
      <c r="B453" s="18"/>
      <c r="C453" s="18"/>
      <c r="D453" s="18"/>
      <c r="E453" s="18"/>
      <c r="F453" s="18"/>
      <c r="G453" s="21"/>
      <c r="H453" s="20"/>
      <c r="I453" s="20"/>
      <c r="J453" s="19"/>
      <c r="K453" s="20"/>
      <c r="L453" s="22"/>
      <c r="M453" s="19"/>
      <c r="N453" s="30"/>
      <c r="O453" s="119"/>
      <c r="P453" s="20"/>
      <c r="Q453" s="20"/>
      <c r="R453" s="19"/>
      <c r="S453" s="24"/>
      <c r="T453" s="17"/>
      <c r="U453" s="9"/>
    </row>
    <row r="454" spans="1:21" s="8" customFormat="1" x14ac:dyDescent="0.45">
      <c r="A454" s="23"/>
      <c r="B454" s="18"/>
      <c r="C454" s="18"/>
      <c r="D454" s="18"/>
      <c r="E454" s="18"/>
      <c r="F454" s="18"/>
      <c r="G454" s="21"/>
      <c r="H454" s="20"/>
      <c r="I454" s="20"/>
      <c r="J454" s="19"/>
      <c r="K454" s="20"/>
      <c r="L454" s="22"/>
      <c r="M454" s="19"/>
      <c r="N454" s="30"/>
      <c r="O454" s="119"/>
      <c r="P454" s="20"/>
      <c r="Q454" s="20"/>
      <c r="R454" s="19"/>
      <c r="S454" s="24"/>
      <c r="T454" s="17"/>
      <c r="U454" s="9"/>
    </row>
    <row r="455" spans="1:21" s="8" customFormat="1" x14ac:dyDescent="0.45">
      <c r="A455" s="23"/>
      <c r="B455" s="18"/>
      <c r="C455" s="18"/>
      <c r="D455" s="18"/>
      <c r="E455" s="18"/>
      <c r="F455" s="18"/>
      <c r="G455" s="21"/>
      <c r="H455" s="20"/>
      <c r="I455" s="20"/>
      <c r="J455" s="19"/>
      <c r="K455" s="20"/>
      <c r="L455" s="22"/>
      <c r="M455" s="19"/>
      <c r="N455" s="30"/>
      <c r="O455" s="119"/>
      <c r="P455" s="20"/>
      <c r="Q455" s="20"/>
      <c r="R455" s="19"/>
      <c r="S455" s="24"/>
      <c r="T455" s="17"/>
      <c r="U455" s="9"/>
    </row>
    <row r="456" spans="1:21" s="8" customFormat="1" x14ac:dyDescent="0.45">
      <c r="A456" s="23"/>
      <c r="B456" s="18"/>
      <c r="C456" s="18"/>
      <c r="D456" s="18"/>
      <c r="E456" s="18"/>
      <c r="F456" s="18"/>
      <c r="G456" s="21"/>
      <c r="H456" s="20"/>
      <c r="I456" s="20"/>
      <c r="J456" s="19"/>
      <c r="K456" s="20"/>
      <c r="L456" s="22"/>
      <c r="M456" s="19"/>
      <c r="N456" s="30"/>
      <c r="O456" s="119"/>
      <c r="P456" s="20"/>
      <c r="Q456" s="20"/>
      <c r="R456" s="19"/>
      <c r="S456" s="24"/>
      <c r="T456" s="17"/>
      <c r="U456" s="9"/>
    </row>
    <row r="457" spans="1:21" s="8" customFormat="1" x14ac:dyDescent="0.45">
      <c r="A457" s="23"/>
      <c r="B457" s="18"/>
      <c r="C457" s="18"/>
      <c r="D457" s="18"/>
      <c r="E457" s="18"/>
      <c r="F457" s="18"/>
      <c r="G457" s="21"/>
      <c r="H457" s="20"/>
      <c r="I457" s="20"/>
      <c r="J457" s="19"/>
      <c r="K457" s="20"/>
      <c r="L457" s="22"/>
      <c r="M457" s="19"/>
      <c r="N457" s="30"/>
      <c r="O457" s="119"/>
      <c r="P457" s="20"/>
      <c r="Q457" s="20"/>
      <c r="R457" s="19"/>
      <c r="S457" s="24"/>
      <c r="T457" s="17"/>
      <c r="U457" s="9"/>
    </row>
    <row r="458" spans="1:21" s="8" customFormat="1" x14ac:dyDescent="0.45">
      <c r="A458" s="23"/>
      <c r="B458" s="18"/>
      <c r="C458" s="18"/>
      <c r="D458" s="18"/>
      <c r="E458" s="18"/>
      <c r="F458" s="18"/>
      <c r="G458" s="21"/>
      <c r="H458" s="20"/>
      <c r="I458" s="20"/>
      <c r="J458" s="19"/>
      <c r="K458" s="20"/>
      <c r="L458" s="22"/>
      <c r="M458" s="19"/>
      <c r="N458" s="30"/>
      <c r="O458" s="119"/>
      <c r="P458" s="20"/>
      <c r="Q458" s="20"/>
      <c r="R458" s="19"/>
      <c r="S458" s="24"/>
      <c r="T458" s="17"/>
      <c r="U458" s="9"/>
    </row>
    <row r="459" spans="1:21" s="8" customFormat="1" x14ac:dyDescent="0.45">
      <c r="A459" s="23"/>
      <c r="B459" s="18"/>
      <c r="C459" s="18"/>
      <c r="D459" s="18"/>
      <c r="E459" s="18"/>
      <c r="F459" s="18"/>
      <c r="G459" s="21"/>
      <c r="H459" s="20"/>
      <c r="I459" s="20"/>
      <c r="J459" s="19"/>
      <c r="K459" s="20"/>
      <c r="L459" s="22"/>
      <c r="M459" s="19"/>
      <c r="N459" s="30"/>
      <c r="O459" s="119"/>
      <c r="P459" s="20"/>
      <c r="Q459" s="20"/>
      <c r="R459" s="19"/>
      <c r="S459" s="24"/>
      <c r="T459" s="17"/>
      <c r="U459" s="9"/>
    </row>
    <row r="460" spans="1:21" s="8" customFormat="1" x14ac:dyDescent="0.45">
      <c r="A460" s="23"/>
      <c r="B460" s="18"/>
      <c r="C460" s="18"/>
      <c r="D460" s="18"/>
      <c r="E460" s="18"/>
      <c r="F460" s="18"/>
      <c r="G460" s="21"/>
      <c r="H460" s="20"/>
      <c r="I460" s="20"/>
      <c r="J460" s="19"/>
      <c r="K460" s="20"/>
      <c r="L460" s="22"/>
      <c r="M460" s="19"/>
      <c r="N460" s="30"/>
      <c r="O460" s="119"/>
      <c r="P460" s="20"/>
      <c r="Q460" s="20"/>
      <c r="R460" s="19"/>
      <c r="S460" s="24"/>
      <c r="T460" s="17"/>
      <c r="U460" s="9"/>
    </row>
    <row r="461" spans="1:21" s="8" customFormat="1" x14ac:dyDescent="0.45">
      <c r="A461" s="23"/>
      <c r="B461" s="18"/>
      <c r="C461" s="18"/>
      <c r="D461" s="18"/>
      <c r="E461" s="18"/>
      <c r="F461" s="18"/>
      <c r="G461" s="21"/>
      <c r="H461" s="20"/>
      <c r="I461" s="20"/>
      <c r="J461" s="19"/>
      <c r="K461" s="20"/>
      <c r="L461" s="22"/>
      <c r="M461" s="19"/>
      <c r="N461" s="30"/>
      <c r="O461" s="119"/>
      <c r="P461" s="20"/>
      <c r="Q461" s="20"/>
      <c r="R461" s="19"/>
      <c r="S461" s="24"/>
      <c r="T461" s="17"/>
      <c r="U461" s="9"/>
    </row>
    <row r="462" spans="1:21" s="8" customFormat="1" x14ac:dyDescent="0.45">
      <c r="A462" s="23"/>
      <c r="B462" s="18"/>
      <c r="C462" s="18"/>
      <c r="D462" s="18"/>
      <c r="E462" s="18"/>
      <c r="F462" s="18"/>
      <c r="G462" s="21"/>
      <c r="H462" s="20"/>
      <c r="I462" s="20"/>
      <c r="J462" s="19"/>
      <c r="K462" s="20"/>
      <c r="L462" s="22"/>
      <c r="M462" s="19"/>
      <c r="N462" s="30"/>
      <c r="O462" s="119"/>
      <c r="P462" s="20"/>
      <c r="Q462" s="20"/>
      <c r="R462" s="19"/>
      <c r="S462" s="24"/>
      <c r="T462" s="17"/>
      <c r="U462" s="9"/>
    </row>
    <row r="463" spans="1:21" s="8" customFormat="1" x14ac:dyDescent="0.45">
      <c r="A463" s="23"/>
      <c r="B463" s="18"/>
      <c r="C463" s="18"/>
      <c r="D463" s="18"/>
      <c r="E463" s="18"/>
      <c r="F463" s="18"/>
      <c r="G463" s="21"/>
      <c r="H463" s="20"/>
      <c r="I463" s="20"/>
      <c r="J463" s="19"/>
      <c r="K463" s="20"/>
      <c r="L463" s="22"/>
      <c r="M463" s="19"/>
      <c r="N463" s="30"/>
      <c r="O463" s="119"/>
      <c r="P463" s="20"/>
      <c r="Q463" s="20"/>
      <c r="R463" s="19"/>
      <c r="S463" s="24"/>
      <c r="T463" s="17"/>
      <c r="U463" s="9"/>
    </row>
    <row r="464" spans="1:21" s="8" customFormat="1" x14ac:dyDescent="0.45">
      <c r="A464" s="23"/>
      <c r="B464" s="18"/>
      <c r="C464" s="18"/>
      <c r="D464" s="18"/>
      <c r="E464" s="18"/>
      <c r="F464" s="18"/>
      <c r="G464" s="21"/>
      <c r="H464" s="20"/>
      <c r="I464" s="20"/>
      <c r="J464" s="19"/>
      <c r="K464" s="20"/>
      <c r="L464" s="22"/>
      <c r="M464" s="19"/>
      <c r="N464" s="30"/>
      <c r="O464" s="119"/>
      <c r="P464" s="20"/>
      <c r="Q464" s="20"/>
      <c r="R464" s="19"/>
      <c r="S464" s="24"/>
      <c r="T464" s="17"/>
      <c r="U464" s="9"/>
    </row>
    <row r="465" spans="1:21" s="8" customFormat="1" x14ac:dyDescent="0.45">
      <c r="A465" s="23"/>
      <c r="B465" s="18"/>
      <c r="C465" s="18"/>
      <c r="D465" s="18"/>
      <c r="E465" s="18"/>
      <c r="F465" s="18"/>
      <c r="G465" s="21"/>
      <c r="H465" s="20"/>
      <c r="I465" s="20"/>
      <c r="J465" s="19"/>
      <c r="K465" s="20"/>
      <c r="L465" s="22"/>
      <c r="M465" s="19"/>
      <c r="N465" s="30"/>
      <c r="O465" s="119"/>
      <c r="P465" s="20"/>
      <c r="Q465" s="20"/>
      <c r="R465" s="19"/>
      <c r="S465" s="24"/>
      <c r="T465" s="17"/>
      <c r="U465" s="9"/>
    </row>
    <row r="466" spans="1:21" s="8" customFormat="1" x14ac:dyDescent="0.45">
      <c r="A466" s="23"/>
      <c r="B466" s="18"/>
      <c r="C466" s="18"/>
      <c r="D466" s="18"/>
      <c r="E466" s="18"/>
      <c r="F466" s="18"/>
      <c r="G466" s="21"/>
      <c r="H466" s="20"/>
      <c r="I466" s="20"/>
      <c r="J466" s="19"/>
      <c r="K466" s="20"/>
      <c r="L466" s="22"/>
      <c r="M466" s="19"/>
      <c r="N466" s="30"/>
      <c r="O466" s="119"/>
      <c r="P466" s="20"/>
      <c r="Q466" s="20"/>
      <c r="R466" s="19"/>
      <c r="S466" s="24"/>
      <c r="T466" s="17"/>
      <c r="U466" s="9"/>
    </row>
    <row r="467" spans="1:21" s="8" customFormat="1" x14ac:dyDescent="0.45">
      <c r="A467" s="23"/>
      <c r="B467" s="18"/>
      <c r="C467" s="18"/>
      <c r="D467" s="18"/>
      <c r="E467" s="18"/>
      <c r="F467" s="18"/>
      <c r="G467" s="21"/>
      <c r="H467" s="20"/>
      <c r="I467" s="20"/>
      <c r="J467" s="19"/>
      <c r="K467" s="20"/>
      <c r="L467" s="22"/>
      <c r="M467" s="19"/>
      <c r="N467" s="30"/>
      <c r="O467" s="119"/>
      <c r="P467" s="20"/>
      <c r="Q467" s="20"/>
      <c r="R467" s="19"/>
      <c r="S467" s="24"/>
      <c r="T467" s="17"/>
      <c r="U467" s="9"/>
    </row>
    <row r="468" spans="1:21" s="8" customFormat="1" x14ac:dyDescent="0.45">
      <c r="A468" s="23"/>
      <c r="B468" s="18"/>
      <c r="C468" s="18"/>
      <c r="D468" s="18"/>
      <c r="E468" s="18"/>
      <c r="F468" s="18"/>
      <c r="G468" s="21"/>
      <c r="H468" s="20"/>
      <c r="I468" s="20"/>
      <c r="J468" s="19"/>
      <c r="K468" s="20"/>
      <c r="L468" s="22"/>
      <c r="M468" s="19"/>
      <c r="N468" s="30"/>
      <c r="O468" s="119"/>
      <c r="P468" s="20"/>
      <c r="Q468" s="20"/>
      <c r="R468" s="19"/>
      <c r="S468" s="24"/>
      <c r="T468" s="17"/>
      <c r="U468" s="9"/>
    </row>
    <row r="469" spans="1:21" s="8" customFormat="1" x14ac:dyDescent="0.45">
      <c r="A469" s="23"/>
      <c r="B469" s="18"/>
      <c r="C469" s="18"/>
      <c r="D469" s="18"/>
      <c r="E469" s="18"/>
      <c r="F469" s="18"/>
      <c r="G469" s="21"/>
      <c r="H469" s="20"/>
      <c r="I469" s="20"/>
      <c r="J469" s="19"/>
      <c r="K469" s="20"/>
      <c r="L469" s="22"/>
      <c r="M469" s="19"/>
      <c r="N469" s="30"/>
      <c r="O469" s="119"/>
      <c r="P469" s="20"/>
      <c r="Q469" s="20"/>
      <c r="R469" s="19"/>
      <c r="S469" s="24"/>
      <c r="T469" s="17"/>
      <c r="U469" s="9"/>
    </row>
    <row r="470" spans="1:21" s="8" customFormat="1" x14ac:dyDescent="0.45">
      <c r="A470" s="23"/>
      <c r="B470" s="18"/>
      <c r="C470" s="18"/>
      <c r="D470" s="18"/>
      <c r="E470" s="18"/>
      <c r="F470" s="18"/>
      <c r="G470" s="21"/>
      <c r="H470" s="20"/>
      <c r="I470" s="20"/>
      <c r="J470" s="19"/>
      <c r="K470" s="20"/>
      <c r="L470" s="22"/>
      <c r="M470" s="19"/>
      <c r="N470" s="30"/>
      <c r="O470" s="119"/>
      <c r="P470" s="20"/>
      <c r="Q470" s="20"/>
      <c r="R470" s="19"/>
      <c r="S470" s="24"/>
      <c r="T470" s="17"/>
      <c r="U470" s="9"/>
    </row>
    <row r="471" spans="1:21" s="8" customFormat="1" x14ac:dyDescent="0.45">
      <c r="A471" s="23"/>
      <c r="B471" s="18"/>
      <c r="C471" s="18"/>
      <c r="D471" s="18"/>
      <c r="E471" s="18"/>
      <c r="F471" s="18"/>
      <c r="G471" s="21"/>
      <c r="H471" s="20"/>
      <c r="I471" s="20"/>
      <c r="J471" s="19"/>
      <c r="K471" s="20"/>
      <c r="L471" s="22"/>
      <c r="M471" s="19"/>
      <c r="N471" s="30"/>
      <c r="O471" s="119"/>
      <c r="P471" s="20"/>
      <c r="Q471" s="20"/>
      <c r="R471" s="19"/>
      <c r="S471" s="24"/>
      <c r="T471" s="17"/>
      <c r="U471" s="9"/>
    </row>
    <row r="472" spans="1:21" s="8" customFormat="1" x14ac:dyDescent="0.45">
      <c r="A472" s="23"/>
      <c r="B472" s="18"/>
      <c r="C472" s="18"/>
      <c r="D472" s="18"/>
      <c r="E472" s="18"/>
      <c r="F472" s="18"/>
      <c r="G472" s="21"/>
      <c r="H472" s="20"/>
      <c r="I472" s="20"/>
      <c r="J472" s="19"/>
      <c r="K472" s="20"/>
      <c r="L472" s="22"/>
      <c r="M472" s="19"/>
      <c r="N472" s="30"/>
      <c r="O472" s="119"/>
      <c r="P472" s="20"/>
      <c r="Q472" s="20"/>
      <c r="R472" s="19"/>
      <c r="S472" s="24"/>
      <c r="T472" s="17"/>
      <c r="U472" s="9"/>
    </row>
    <row r="473" spans="1:21" s="8" customFormat="1" x14ac:dyDescent="0.45">
      <c r="A473" s="23"/>
      <c r="B473" s="18"/>
      <c r="C473" s="18"/>
      <c r="D473" s="18"/>
      <c r="E473" s="18"/>
      <c r="F473" s="18"/>
      <c r="G473" s="21"/>
      <c r="H473" s="20"/>
      <c r="I473" s="20"/>
      <c r="J473" s="19"/>
      <c r="K473" s="20"/>
      <c r="L473" s="22"/>
      <c r="M473" s="19"/>
      <c r="N473" s="30"/>
      <c r="O473" s="119"/>
      <c r="P473" s="20"/>
      <c r="Q473" s="20"/>
      <c r="R473" s="19"/>
      <c r="S473" s="24"/>
      <c r="T473" s="17"/>
      <c r="U473" s="9"/>
    </row>
    <row r="474" spans="1:21" s="8" customFormat="1" x14ac:dyDescent="0.45">
      <c r="A474" s="23"/>
      <c r="B474" s="18"/>
      <c r="C474" s="18"/>
      <c r="D474" s="18"/>
      <c r="E474" s="18"/>
      <c r="F474" s="18"/>
      <c r="G474" s="21"/>
      <c r="H474" s="20"/>
      <c r="I474" s="20"/>
      <c r="J474" s="19"/>
      <c r="K474" s="20"/>
      <c r="L474" s="22"/>
      <c r="M474" s="19"/>
      <c r="N474" s="30"/>
      <c r="O474" s="119"/>
      <c r="P474" s="20"/>
      <c r="Q474" s="20"/>
      <c r="R474" s="19"/>
      <c r="S474" s="24"/>
      <c r="T474" s="17"/>
      <c r="U474" s="9"/>
    </row>
    <row r="475" spans="1:21" s="8" customFormat="1" x14ac:dyDescent="0.45">
      <c r="A475" s="23"/>
      <c r="B475" s="18"/>
      <c r="C475" s="18"/>
      <c r="D475" s="18"/>
      <c r="E475" s="18"/>
      <c r="F475" s="18"/>
      <c r="G475" s="21"/>
      <c r="H475" s="20"/>
      <c r="I475" s="20"/>
      <c r="J475" s="19"/>
      <c r="K475" s="20"/>
      <c r="L475" s="22"/>
      <c r="M475" s="19"/>
      <c r="N475" s="30"/>
      <c r="O475" s="119"/>
      <c r="P475" s="20"/>
      <c r="Q475" s="20"/>
      <c r="R475" s="19"/>
      <c r="S475" s="24"/>
      <c r="T475" s="17"/>
      <c r="U475" s="9"/>
    </row>
    <row r="476" spans="1:21" s="8" customFormat="1" x14ac:dyDescent="0.45">
      <c r="A476" s="23"/>
      <c r="B476" s="18"/>
      <c r="C476" s="18"/>
      <c r="D476" s="18"/>
      <c r="E476" s="18"/>
      <c r="F476" s="18"/>
      <c r="G476" s="21"/>
      <c r="H476" s="20"/>
      <c r="I476" s="20"/>
      <c r="J476" s="19"/>
      <c r="K476" s="20"/>
      <c r="L476" s="22"/>
      <c r="M476" s="19"/>
      <c r="N476" s="30"/>
      <c r="O476" s="119"/>
      <c r="P476" s="20"/>
      <c r="Q476" s="20"/>
      <c r="R476" s="19"/>
      <c r="S476" s="24"/>
      <c r="T476" s="17"/>
      <c r="U476" s="9"/>
    </row>
    <row r="477" spans="1:21" s="8" customFormat="1" x14ac:dyDescent="0.45">
      <c r="A477" s="23"/>
      <c r="B477" s="18"/>
      <c r="C477" s="18"/>
      <c r="D477" s="18"/>
      <c r="E477" s="18"/>
      <c r="F477" s="18"/>
      <c r="G477" s="21"/>
      <c r="H477" s="20"/>
      <c r="I477" s="20"/>
      <c r="J477" s="19"/>
      <c r="K477" s="20"/>
      <c r="L477" s="22"/>
      <c r="M477" s="19"/>
      <c r="N477" s="30"/>
      <c r="O477" s="119"/>
      <c r="P477" s="20"/>
      <c r="Q477" s="20"/>
      <c r="R477" s="19"/>
      <c r="S477" s="24"/>
      <c r="T477" s="17"/>
      <c r="U477" s="9"/>
    </row>
    <row r="478" spans="1:21" s="8" customFormat="1" x14ac:dyDescent="0.45">
      <c r="A478" s="23"/>
      <c r="B478" s="18"/>
      <c r="C478" s="18"/>
      <c r="D478" s="18"/>
      <c r="E478" s="18"/>
      <c r="F478" s="18"/>
      <c r="G478" s="21"/>
      <c r="H478" s="20"/>
      <c r="I478" s="20"/>
      <c r="J478" s="19"/>
      <c r="K478" s="20"/>
      <c r="L478" s="22"/>
      <c r="M478" s="19"/>
      <c r="N478" s="30"/>
      <c r="O478" s="119"/>
      <c r="P478" s="20"/>
      <c r="Q478" s="20"/>
      <c r="R478" s="19"/>
      <c r="S478" s="24"/>
      <c r="T478" s="17"/>
      <c r="U478" s="9"/>
    </row>
    <row r="479" spans="1:21" s="8" customFormat="1" x14ac:dyDescent="0.45">
      <c r="A479" s="23"/>
      <c r="B479" s="18"/>
      <c r="C479" s="18"/>
      <c r="D479" s="18"/>
      <c r="E479" s="18"/>
      <c r="F479" s="18"/>
      <c r="G479" s="21"/>
      <c r="H479" s="20"/>
      <c r="I479" s="20"/>
      <c r="J479" s="19"/>
      <c r="K479" s="20"/>
      <c r="L479" s="22"/>
      <c r="M479" s="19"/>
      <c r="N479" s="30"/>
      <c r="O479" s="119"/>
      <c r="P479" s="20"/>
      <c r="Q479" s="20"/>
      <c r="R479" s="19"/>
      <c r="S479" s="24"/>
      <c r="T479" s="17"/>
      <c r="U479" s="9"/>
    </row>
    <row r="480" spans="1:21" s="8" customFormat="1" x14ac:dyDescent="0.45">
      <c r="A480" s="23"/>
      <c r="B480" s="18"/>
      <c r="C480" s="18"/>
      <c r="D480" s="18"/>
      <c r="E480" s="18"/>
      <c r="F480" s="18"/>
      <c r="G480" s="21"/>
      <c r="H480" s="20"/>
      <c r="I480" s="20"/>
      <c r="J480" s="19"/>
      <c r="K480" s="20"/>
      <c r="L480" s="22"/>
      <c r="M480" s="19"/>
      <c r="N480" s="30"/>
      <c r="O480" s="119"/>
      <c r="P480" s="20"/>
      <c r="Q480" s="20"/>
      <c r="R480" s="19"/>
      <c r="S480" s="24"/>
      <c r="T480" s="17"/>
      <c r="U480" s="9"/>
    </row>
    <row r="481" spans="1:21" s="8" customFormat="1" x14ac:dyDescent="0.45">
      <c r="A481" s="23"/>
      <c r="B481" s="18"/>
      <c r="C481" s="18"/>
      <c r="D481" s="18"/>
      <c r="E481" s="18"/>
      <c r="F481" s="18"/>
      <c r="G481" s="21"/>
      <c r="H481" s="20"/>
      <c r="I481" s="20"/>
      <c r="J481" s="19"/>
      <c r="K481" s="20"/>
      <c r="L481" s="22"/>
      <c r="M481" s="19"/>
      <c r="N481" s="30"/>
      <c r="O481" s="119"/>
      <c r="P481" s="20"/>
      <c r="Q481" s="20"/>
      <c r="R481" s="19"/>
      <c r="S481" s="24"/>
      <c r="T481" s="17"/>
      <c r="U481" s="9"/>
    </row>
    <row r="482" spans="1:21" s="8" customFormat="1" x14ac:dyDescent="0.45">
      <c r="A482" s="23"/>
      <c r="B482" s="18"/>
      <c r="C482" s="18"/>
      <c r="D482" s="18"/>
      <c r="E482" s="18"/>
      <c r="F482" s="18"/>
      <c r="G482" s="21"/>
      <c r="H482" s="20"/>
      <c r="I482" s="20"/>
      <c r="J482" s="19"/>
      <c r="K482" s="20"/>
      <c r="L482" s="22"/>
      <c r="M482" s="19"/>
      <c r="N482" s="30"/>
      <c r="O482" s="119"/>
      <c r="P482" s="20"/>
      <c r="Q482" s="20"/>
      <c r="R482" s="19"/>
      <c r="S482" s="24"/>
      <c r="T482" s="17"/>
      <c r="U482" s="9"/>
    </row>
    <row r="483" spans="1:21" s="8" customFormat="1" x14ac:dyDescent="0.45">
      <c r="A483" s="23"/>
      <c r="B483" s="18"/>
      <c r="C483" s="18"/>
      <c r="D483" s="18"/>
      <c r="E483" s="18"/>
      <c r="F483" s="18"/>
      <c r="G483" s="21"/>
      <c r="H483" s="20"/>
      <c r="I483" s="20"/>
      <c r="J483" s="19"/>
      <c r="K483" s="20"/>
      <c r="L483" s="22"/>
      <c r="M483" s="19"/>
      <c r="N483" s="30"/>
      <c r="O483" s="119"/>
      <c r="P483" s="20"/>
      <c r="Q483" s="20"/>
      <c r="R483" s="19"/>
      <c r="S483" s="24"/>
      <c r="T483" s="17"/>
      <c r="U483" s="9"/>
    </row>
    <row r="484" spans="1:21" s="8" customFormat="1" x14ac:dyDescent="0.45">
      <c r="A484" s="23"/>
      <c r="B484" s="18"/>
      <c r="C484" s="18"/>
      <c r="D484" s="18"/>
      <c r="E484" s="18"/>
      <c r="F484" s="18"/>
      <c r="G484" s="21"/>
      <c r="H484" s="20"/>
      <c r="I484" s="20"/>
      <c r="J484" s="19"/>
      <c r="K484" s="20"/>
      <c r="L484" s="22"/>
      <c r="M484" s="19"/>
      <c r="N484" s="30"/>
      <c r="O484" s="119"/>
      <c r="P484" s="20"/>
      <c r="Q484" s="20"/>
      <c r="R484" s="19"/>
      <c r="S484" s="24"/>
      <c r="T484" s="17"/>
      <c r="U484" s="9"/>
    </row>
    <row r="485" spans="1:21" s="8" customFormat="1" x14ac:dyDescent="0.45">
      <c r="A485" s="23"/>
      <c r="B485" s="18"/>
      <c r="C485" s="18"/>
      <c r="D485" s="18"/>
      <c r="E485" s="18"/>
      <c r="F485" s="18"/>
      <c r="G485" s="21"/>
      <c r="H485" s="20"/>
      <c r="I485" s="20"/>
      <c r="J485" s="19"/>
      <c r="K485" s="20"/>
      <c r="L485" s="22"/>
      <c r="M485" s="19"/>
      <c r="N485" s="30"/>
      <c r="O485" s="119"/>
      <c r="P485" s="20"/>
      <c r="Q485" s="20"/>
      <c r="R485" s="19"/>
      <c r="S485" s="24"/>
      <c r="T485" s="17"/>
      <c r="U485" s="9"/>
    </row>
    <row r="486" spans="1:21" s="8" customFormat="1" x14ac:dyDescent="0.45">
      <c r="A486" s="23"/>
      <c r="B486" s="18"/>
      <c r="C486" s="18"/>
      <c r="D486" s="18"/>
      <c r="E486" s="18"/>
      <c r="F486" s="18"/>
      <c r="G486" s="21"/>
      <c r="H486" s="20"/>
      <c r="I486" s="20"/>
      <c r="J486" s="19"/>
      <c r="K486" s="20"/>
      <c r="L486" s="22"/>
      <c r="M486" s="19"/>
      <c r="N486" s="30"/>
      <c r="O486" s="119"/>
      <c r="P486" s="20"/>
      <c r="Q486" s="20"/>
      <c r="R486" s="19"/>
      <c r="S486" s="24"/>
      <c r="T486" s="17"/>
      <c r="U486" s="9"/>
    </row>
    <row r="487" spans="1:21" s="8" customFormat="1" x14ac:dyDescent="0.45">
      <c r="A487" s="23"/>
      <c r="B487" s="18"/>
      <c r="C487" s="18"/>
      <c r="D487" s="18"/>
      <c r="E487" s="18"/>
      <c r="F487" s="18"/>
      <c r="G487" s="21"/>
      <c r="H487" s="20"/>
      <c r="I487" s="20"/>
      <c r="J487" s="19"/>
      <c r="K487" s="20"/>
      <c r="L487" s="22"/>
      <c r="M487" s="19"/>
      <c r="N487" s="30"/>
      <c r="O487" s="119"/>
      <c r="P487" s="20"/>
      <c r="Q487" s="20"/>
      <c r="R487" s="19"/>
      <c r="S487" s="24"/>
      <c r="T487" s="17"/>
      <c r="U487" s="9"/>
    </row>
    <row r="488" spans="1:21" s="8" customFormat="1" x14ac:dyDescent="0.45">
      <c r="A488" s="23"/>
      <c r="B488" s="18"/>
      <c r="C488" s="18"/>
      <c r="D488" s="18"/>
      <c r="E488" s="18"/>
      <c r="F488" s="18"/>
      <c r="G488" s="21"/>
      <c r="H488" s="20"/>
      <c r="I488" s="20"/>
      <c r="J488" s="19"/>
      <c r="K488" s="20"/>
      <c r="L488" s="22"/>
      <c r="M488" s="19"/>
      <c r="N488" s="30"/>
      <c r="O488" s="119"/>
      <c r="P488" s="20"/>
      <c r="Q488" s="20"/>
      <c r="R488" s="19"/>
      <c r="S488" s="24"/>
      <c r="T488" s="17"/>
      <c r="U488" s="9"/>
    </row>
    <row r="489" spans="1:21" s="8" customFormat="1" x14ac:dyDescent="0.45">
      <c r="A489" s="23"/>
      <c r="B489" s="18"/>
      <c r="C489" s="18"/>
      <c r="D489" s="18"/>
      <c r="E489" s="18"/>
      <c r="F489" s="18"/>
      <c r="G489" s="21"/>
      <c r="H489" s="20"/>
      <c r="I489" s="20"/>
      <c r="J489" s="19"/>
      <c r="K489" s="20"/>
      <c r="L489" s="22"/>
      <c r="M489" s="19"/>
      <c r="N489" s="30"/>
      <c r="O489" s="119"/>
      <c r="P489" s="20"/>
      <c r="Q489" s="20"/>
      <c r="R489" s="19"/>
      <c r="S489" s="24"/>
      <c r="T489" s="17"/>
      <c r="U489" s="9"/>
    </row>
    <row r="490" spans="1:21" s="8" customFormat="1" x14ac:dyDescent="0.45">
      <c r="A490" s="23"/>
      <c r="B490" s="18"/>
      <c r="C490" s="18"/>
      <c r="D490" s="18"/>
      <c r="E490" s="18"/>
      <c r="F490" s="18"/>
      <c r="G490" s="21"/>
      <c r="H490" s="20"/>
      <c r="I490" s="20"/>
      <c r="J490" s="19"/>
      <c r="K490" s="20"/>
      <c r="L490" s="22"/>
      <c r="M490" s="19"/>
      <c r="N490" s="30"/>
      <c r="O490" s="119"/>
      <c r="P490" s="20"/>
      <c r="Q490" s="20"/>
      <c r="R490" s="19"/>
      <c r="S490" s="24"/>
      <c r="T490" s="17"/>
      <c r="U490" s="9"/>
    </row>
    <row r="491" spans="1:21" s="8" customFormat="1" x14ac:dyDescent="0.45">
      <c r="A491" s="23"/>
      <c r="B491" s="18"/>
      <c r="C491" s="18"/>
      <c r="D491" s="18"/>
      <c r="E491" s="18"/>
      <c r="F491" s="18"/>
      <c r="G491" s="21"/>
      <c r="H491" s="20"/>
      <c r="I491" s="20"/>
      <c r="J491" s="19"/>
      <c r="K491" s="20"/>
      <c r="L491" s="22"/>
      <c r="M491" s="19"/>
      <c r="N491" s="30"/>
      <c r="O491" s="119"/>
      <c r="P491" s="20"/>
      <c r="Q491" s="20"/>
      <c r="R491" s="19"/>
      <c r="S491" s="24"/>
      <c r="T491" s="17"/>
      <c r="U491" s="9"/>
    </row>
    <row r="492" spans="1:21" s="8" customFormat="1" x14ac:dyDescent="0.45">
      <c r="A492" s="23"/>
      <c r="B492" s="18"/>
      <c r="C492" s="18"/>
      <c r="D492" s="18"/>
      <c r="E492" s="18"/>
      <c r="F492" s="18"/>
      <c r="G492" s="21"/>
      <c r="H492" s="20"/>
      <c r="I492" s="20"/>
      <c r="J492" s="19"/>
      <c r="K492" s="20"/>
      <c r="L492" s="22"/>
      <c r="M492" s="19"/>
      <c r="N492" s="30"/>
      <c r="O492" s="119"/>
      <c r="P492" s="20"/>
      <c r="Q492" s="20"/>
      <c r="R492" s="19"/>
      <c r="S492" s="24"/>
      <c r="T492" s="17"/>
      <c r="U492" s="9"/>
    </row>
    <row r="493" spans="1:21" s="8" customFormat="1" x14ac:dyDescent="0.45">
      <c r="A493" s="23"/>
      <c r="B493" s="18"/>
      <c r="C493" s="18"/>
      <c r="D493" s="18"/>
      <c r="E493" s="18"/>
      <c r="F493" s="18"/>
      <c r="G493" s="21"/>
      <c r="H493" s="20"/>
      <c r="I493" s="20"/>
      <c r="J493" s="19"/>
      <c r="K493" s="20"/>
      <c r="L493" s="22"/>
      <c r="M493" s="19"/>
      <c r="N493" s="30"/>
      <c r="O493" s="119"/>
      <c r="P493" s="20"/>
      <c r="Q493" s="20"/>
      <c r="R493" s="19"/>
      <c r="S493" s="24"/>
      <c r="T493" s="17"/>
      <c r="U493" s="9"/>
    </row>
    <row r="494" spans="1:21" s="8" customFormat="1" x14ac:dyDescent="0.45">
      <c r="A494" s="23"/>
      <c r="B494" s="18"/>
      <c r="C494" s="18"/>
      <c r="D494" s="18"/>
      <c r="E494" s="18"/>
      <c r="F494" s="18"/>
      <c r="G494" s="21"/>
      <c r="H494" s="20"/>
      <c r="I494" s="20"/>
      <c r="J494" s="19"/>
      <c r="K494" s="20"/>
      <c r="L494" s="22"/>
      <c r="M494" s="19"/>
      <c r="N494" s="30"/>
      <c r="O494" s="119"/>
      <c r="P494" s="20"/>
      <c r="Q494" s="20"/>
      <c r="R494" s="19"/>
      <c r="S494" s="24"/>
      <c r="T494" s="17"/>
      <c r="U494" s="9"/>
    </row>
    <row r="495" spans="1:21" s="8" customFormat="1" x14ac:dyDescent="0.45">
      <c r="A495" s="23"/>
      <c r="B495" s="18"/>
      <c r="C495" s="18"/>
      <c r="D495" s="18"/>
      <c r="E495" s="18"/>
      <c r="F495" s="18"/>
      <c r="G495" s="21"/>
      <c r="H495" s="20"/>
      <c r="I495" s="20"/>
      <c r="J495" s="19"/>
      <c r="K495" s="20"/>
      <c r="L495" s="22"/>
      <c r="M495" s="19"/>
      <c r="N495" s="30"/>
      <c r="O495" s="119"/>
      <c r="P495" s="20"/>
      <c r="Q495" s="20"/>
      <c r="R495" s="19"/>
      <c r="S495" s="24"/>
      <c r="T495" s="17"/>
      <c r="U495" s="9"/>
    </row>
    <row r="496" spans="1:21" s="8" customFormat="1" x14ac:dyDescent="0.45">
      <c r="A496" s="23"/>
      <c r="B496" s="18"/>
      <c r="C496" s="18"/>
      <c r="D496" s="18"/>
      <c r="E496" s="18"/>
      <c r="F496" s="18"/>
      <c r="G496" s="21"/>
      <c r="H496" s="20"/>
      <c r="I496" s="20"/>
      <c r="J496" s="19"/>
      <c r="K496" s="20"/>
      <c r="L496" s="22"/>
      <c r="M496" s="19"/>
      <c r="N496" s="30"/>
      <c r="O496" s="119"/>
      <c r="P496" s="20"/>
      <c r="Q496" s="20"/>
      <c r="R496" s="19"/>
      <c r="S496" s="24"/>
      <c r="T496" s="17"/>
      <c r="U496" s="9"/>
    </row>
    <row r="497" spans="1:21" s="8" customFormat="1" x14ac:dyDescent="0.45">
      <c r="A497" s="23"/>
      <c r="B497" s="18"/>
      <c r="C497" s="18"/>
      <c r="D497" s="18"/>
      <c r="E497" s="18"/>
      <c r="F497" s="18"/>
      <c r="G497" s="21"/>
      <c r="H497" s="20"/>
      <c r="I497" s="20"/>
      <c r="J497" s="19"/>
      <c r="K497" s="20"/>
      <c r="L497" s="22"/>
      <c r="M497" s="19"/>
      <c r="N497" s="30"/>
      <c r="O497" s="119"/>
      <c r="P497" s="20"/>
      <c r="Q497" s="20"/>
      <c r="R497" s="19"/>
      <c r="S497" s="24"/>
      <c r="T497" s="17"/>
      <c r="U497" s="9"/>
    </row>
    <row r="498" spans="1:21" s="8" customFormat="1" x14ac:dyDescent="0.45">
      <c r="A498" s="23"/>
      <c r="B498" s="18"/>
      <c r="C498" s="18"/>
      <c r="D498" s="18"/>
      <c r="E498" s="18"/>
      <c r="F498" s="18"/>
      <c r="G498" s="21"/>
      <c r="H498" s="20"/>
      <c r="I498" s="20"/>
      <c r="J498" s="19"/>
      <c r="K498" s="20"/>
      <c r="L498" s="22"/>
      <c r="M498" s="19"/>
      <c r="N498" s="30"/>
      <c r="O498" s="119"/>
      <c r="P498" s="20"/>
      <c r="Q498" s="20"/>
      <c r="R498" s="19"/>
      <c r="S498" s="24"/>
      <c r="T498" s="17"/>
      <c r="U498" s="9"/>
    </row>
    <row r="499" spans="1:21" s="8" customFormat="1" x14ac:dyDescent="0.45">
      <c r="A499" s="23"/>
      <c r="B499" s="18"/>
      <c r="C499" s="18"/>
      <c r="D499" s="18"/>
      <c r="E499" s="18"/>
      <c r="F499" s="18"/>
      <c r="G499" s="21"/>
      <c r="H499" s="20"/>
      <c r="I499" s="20"/>
      <c r="J499" s="19"/>
      <c r="K499" s="20"/>
      <c r="L499" s="22"/>
      <c r="M499" s="19"/>
      <c r="N499" s="30"/>
      <c r="O499" s="119"/>
      <c r="P499" s="20"/>
      <c r="Q499" s="20"/>
      <c r="R499" s="19"/>
      <c r="S499" s="24"/>
      <c r="T499" s="17"/>
      <c r="U499" s="9"/>
    </row>
    <row r="500" spans="1:21" s="8" customFormat="1" x14ac:dyDescent="0.45">
      <c r="A500" s="23"/>
      <c r="B500" s="18"/>
      <c r="C500" s="18"/>
      <c r="D500" s="18"/>
      <c r="E500" s="18"/>
      <c r="F500" s="18"/>
      <c r="G500" s="21"/>
      <c r="H500" s="20"/>
      <c r="I500" s="20"/>
      <c r="J500" s="19"/>
      <c r="K500" s="20"/>
      <c r="L500" s="22"/>
      <c r="M500" s="19"/>
      <c r="N500" s="30"/>
      <c r="O500" s="119"/>
      <c r="P500" s="20"/>
      <c r="Q500" s="20"/>
      <c r="R500" s="19"/>
      <c r="S500" s="24"/>
      <c r="T500" s="17"/>
      <c r="U500" s="9"/>
    </row>
    <row r="501" spans="1:21" s="8" customFormat="1" x14ac:dyDescent="0.45">
      <c r="A501" s="23"/>
      <c r="B501" s="18"/>
      <c r="C501" s="18"/>
      <c r="D501" s="18"/>
      <c r="E501" s="18"/>
      <c r="F501" s="18"/>
      <c r="G501" s="21"/>
      <c r="H501" s="20"/>
      <c r="I501" s="20"/>
      <c r="J501" s="19"/>
      <c r="K501" s="20"/>
      <c r="L501" s="22"/>
      <c r="M501" s="19"/>
      <c r="N501" s="30"/>
      <c r="O501" s="119"/>
      <c r="P501" s="20"/>
      <c r="Q501" s="20"/>
      <c r="R501" s="19"/>
      <c r="S501" s="24"/>
      <c r="T501" s="17"/>
      <c r="U501" s="9"/>
    </row>
    <row r="502" spans="1:21" s="8" customFormat="1" x14ac:dyDescent="0.45">
      <c r="A502" s="23"/>
      <c r="B502" s="18"/>
      <c r="C502" s="18"/>
      <c r="D502" s="18"/>
      <c r="E502" s="18"/>
      <c r="F502" s="18"/>
      <c r="G502" s="21"/>
      <c r="H502" s="20"/>
      <c r="I502" s="20"/>
      <c r="J502" s="19"/>
      <c r="K502" s="20"/>
      <c r="L502" s="22"/>
      <c r="M502" s="19"/>
      <c r="N502" s="30"/>
      <c r="O502" s="119"/>
      <c r="P502" s="20"/>
      <c r="Q502" s="20"/>
      <c r="R502" s="19"/>
      <c r="S502" s="24"/>
      <c r="T502" s="17"/>
      <c r="U502" s="9"/>
    </row>
    <row r="503" spans="1:21" s="8" customFormat="1" x14ac:dyDescent="0.45">
      <c r="A503" s="23"/>
      <c r="B503" s="18"/>
      <c r="C503" s="18"/>
      <c r="D503" s="18"/>
      <c r="E503" s="18"/>
      <c r="F503" s="18"/>
      <c r="G503" s="21"/>
      <c r="H503" s="20"/>
      <c r="I503" s="20"/>
      <c r="J503" s="19"/>
      <c r="K503" s="20"/>
      <c r="L503" s="22"/>
      <c r="M503" s="19"/>
      <c r="N503" s="30"/>
      <c r="O503" s="119"/>
      <c r="P503" s="20"/>
      <c r="Q503" s="20"/>
      <c r="R503" s="19"/>
      <c r="S503" s="24"/>
      <c r="T503" s="17"/>
      <c r="U503" s="9"/>
    </row>
    <row r="504" spans="1:21" s="8" customFormat="1" x14ac:dyDescent="0.45">
      <c r="A504" s="23"/>
      <c r="B504" s="18"/>
      <c r="C504" s="18"/>
      <c r="D504" s="18"/>
      <c r="E504" s="18"/>
      <c r="F504" s="18"/>
      <c r="G504" s="21"/>
      <c r="H504" s="20"/>
      <c r="I504" s="20"/>
      <c r="J504" s="19"/>
      <c r="K504" s="20"/>
      <c r="L504" s="22"/>
      <c r="M504" s="19"/>
      <c r="N504" s="30"/>
      <c r="O504" s="119"/>
      <c r="P504" s="20"/>
      <c r="Q504" s="20"/>
      <c r="R504" s="19"/>
      <c r="S504" s="24"/>
      <c r="T504" s="17"/>
      <c r="U504" s="9"/>
    </row>
    <row r="505" spans="1:21" s="8" customFormat="1" x14ac:dyDescent="0.45">
      <c r="A505" s="23"/>
      <c r="B505" s="18"/>
      <c r="C505" s="18"/>
      <c r="D505" s="18"/>
      <c r="E505" s="18"/>
      <c r="F505" s="18"/>
      <c r="G505" s="21"/>
      <c r="H505" s="20"/>
      <c r="I505" s="20"/>
      <c r="J505" s="19"/>
      <c r="K505" s="20"/>
      <c r="L505" s="22"/>
      <c r="M505" s="19"/>
      <c r="N505" s="30"/>
      <c r="O505" s="119"/>
      <c r="P505" s="20"/>
      <c r="Q505" s="20"/>
      <c r="R505" s="19"/>
      <c r="S505" s="24"/>
      <c r="T505" s="17"/>
      <c r="U505" s="9"/>
    </row>
    <row r="506" spans="1:21" s="8" customFormat="1" x14ac:dyDescent="0.45">
      <c r="A506" s="23"/>
      <c r="B506" s="18"/>
      <c r="C506" s="18"/>
      <c r="D506" s="18"/>
      <c r="E506" s="18"/>
      <c r="F506" s="18"/>
      <c r="G506" s="21"/>
      <c r="H506" s="20"/>
      <c r="I506" s="20"/>
      <c r="J506" s="19"/>
      <c r="K506" s="20"/>
      <c r="L506" s="22"/>
      <c r="M506" s="19"/>
      <c r="N506" s="30"/>
      <c r="O506" s="119"/>
      <c r="P506" s="20"/>
      <c r="Q506" s="20"/>
      <c r="R506" s="19"/>
      <c r="S506" s="24"/>
      <c r="T506" s="17"/>
      <c r="U506" s="9"/>
    </row>
    <row r="507" spans="1:21" s="8" customFormat="1" x14ac:dyDescent="0.45">
      <c r="A507" s="23"/>
      <c r="B507" s="18"/>
      <c r="C507" s="18"/>
      <c r="D507" s="18"/>
      <c r="E507" s="18"/>
      <c r="F507" s="18"/>
      <c r="G507" s="21"/>
      <c r="H507" s="20"/>
      <c r="I507" s="20"/>
      <c r="J507" s="19"/>
      <c r="K507" s="20"/>
      <c r="L507" s="22"/>
      <c r="M507" s="19"/>
      <c r="N507" s="30"/>
      <c r="O507" s="119"/>
      <c r="P507" s="20"/>
      <c r="Q507" s="20"/>
      <c r="R507" s="19"/>
      <c r="S507" s="24"/>
      <c r="T507" s="17"/>
      <c r="U507" s="9"/>
    </row>
    <row r="508" spans="1:21" s="8" customFormat="1" x14ac:dyDescent="0.45">
      <c r="G508" s="37"/>
      <c r="I508" s="46"/>
      <c r="K508" s="124"/>
      <c r="O508" s="120"/>
    </row>
    <row r="509" spans="1:21" s="8" customFormat="1" x14ac:dyDescent="0.45">
      <c r="G509" s="37"/>
      <c r="I509" s="46"/>
      <c r="K509" s="124"/>
      <c r="O509" s="120"/>
    </row>
    <row r="510" spans="1:21" s="8" customFormat="1" x14ac:dyDescent="0.45">
      <c r="G510" s="37"/>
      <c r="I510" s="46"/>
      <c r="K510" s="124"/>
      <c r="O510" s="120"/>
    </row>
    <row r="511" spans="1:21" s="8" customFormat="1" x14ac:dyDescent="0.45">
      <c r="G511" s="37"/>
      <c r="I511" s="46"/>
      <c r="K511" s="124"/>
      <c r="O511" s="120"/>
    </row>
    <row r="512" spans="1:21" s="8" customFormat="1" x14ac:dyDescent="0.45">
      <c r="G512" s="37"/>
      <c r="I512" s="46"/>
      <c r="K512" s="124"/>
      <c r="O512" s="120"/>
    </row>
    <row r="513" spans="7:15" s="8" customFormat="1" x14ac:dyDescent="0.45">
      <c r="G513" s="37"/>
      <c r="I513" s="46"/>
      <c r="K513" s="124"/>
      <c r="O513" s="120"/>
    </row>
    <row r="514" spans="7:15" s="8" customFormat="1" x14ac:dyDescent="0.45">
      <c r="G514" s="37"/>
      <c r="I514" s="46"/>
      <c r="K514" s="124"/>
      <c r="O514" s="120"/>
    </row>
    <row r="515" spans="7:15" s="8" customFormat="1" x14ac:dyDescent="0.45">
      <c r="G515" s="37"/>
      <c r="I515" s="46"/>
      <c r="K515" s="124"/>
      <c r="O515" s="120"/>
    </row>
    <row r="516" spans="7:15" s="8" customFormat="1" x14ac:dyDescent="0.45">
      <c r="G516" s="37"/>
      <c r="I516" s="46"/>
      <c r="K516" s="124"/>
      <c r="O516" s="120"/>
    </row>
    <row r="517" spans="7:15" s="8" customFormat="1" x14ac:dyDescent="0.45">
      <c r="G517" s="37"/>
      <c r="I517" s="46"/>
      <c r="K517" s="124"/>
      <c r="O517" s="120"/>
    </row>
    <row r="518" spans="7:15" s="8" customFormat="1" x14ac:dyDescent="0.45">
      <c r="G518" s="37"/>
      <c r="I518" s="46"/>
      <c r="K518" s="124"/>
      <c r="O518" s="120"/>
    </row>
    <row r="519" spans="7:15" s="8" customFormat="1" x14ac:dyDescent="0.45">
      <c r="G519" s="37"/>
      <c r="I519" s="46"/>
      <c r="K519" s="124"/>
      <c r="O519" s="120"/>
    </row>
    <row r="520" spans="7:15" s="8" customFormat="1" x14ac:dyDescent="0.45">
      <c r="G520" s="37"/>
      <c r="I520" s="46"/>
      <c r="K520" s="124"/>
      <c r="O520" s="120"/>
    </row>
    <row r="521" spans="7:15" s="8" customFormat="1" x14ac:dyDescent="0.45">
      <c r="G521" s="37"/>
      <c r="I521" s="46"/>
      <c r="K521" s="124"/>
      <c r="O521" s="120"/>
    </row>
    <row r="522" spans="7:15" s="8" customFormat="1" x14ac:dyDescent="0.45">
      <c r="G522" s="37"/>
      <c r="I522" s="46"/>
      <c r="K522" s="124"/>
      <c r="O522" s="120"/>
    </row>
    <row r="523" spans="7:15" s="8" customFormat="1" x14ac:dyDescent="0.45">
      <c r="G523" s="37"/>
      <c r="I523" s="46"/>
      <c r="K523" s="124"/>
      <c r="O523" s="120"/>
    </row>
    <row r="524" spans="7:15" s="8" customFormat="1" x14ac:dyDescent="0.45">
      <c r="G524" s="37"/>
      <c r="I524" s="46"/>
      <c r="K524" s="124"/>
      <c r="O524" s="120"/>
    </row>
    <row r="525" spans="7:15" s="8" customFormat="1" x14ac:dyDescent="0.45">
      <c r="G525" s="37"/>
      <c r="I525" s="46"/>
      <c r="K525" s="124"/>
      <c r="O525" s="120"/>
    </row>
    <row r="526" spans="7:15" s="8" customFormat="1" x14ac:dyDescent="0.45">
      <c r="G526" s="37"/>
      <c r="I526" s="46"/>
      <c r="K526" s="124"/>
      <c r="O526" s="120"/>
    </row>
    <row r="527" spans="7:15" s="8" customFormat="1" x14ac:dyDescent="0.45">
      <c r="G527" s="37"/>
      <c r="I527" s="46"/>
      <c r="K527" s="124"/>
      <c r="O527" s="120"/>
    </row>
    <row r="528" spans="7:15" s="8" customFormat="1" x14ac:dyDescent="0.45">
      <c r="G528" s="37"/>
      <c r="I528" s="46"/>
      <c r="K528" s="124"/>
      <c r="O528" s="120"/>
    </row>
    <row r="529" spans="7:15" s="8" customFormat="1" x14ac:dyDescent="0.45">
      <c r="G529" s="37"/>
      <c r="I529" s="46"/>
      <c r="K529" s="124"/>
      <c r="O529" s="120"/>
    </row>
    <row r="530" spans="7:15" s="8" customFormat="1" x14ac:dyDescent="0.45">
      <c r="G530" s="37"/>
      <c r="I530" s="46"/>
      <c r="K530" s="124"/>
      <c r="O530" s="120"/>
    </row>
    <row r="531" spans="7:15" s="8" customFormat="1" x14ac:dyDescent="0.45">
      <c r="G531" s="37"/>
      <c r="I531" s="46"/>
      <c r="K531" s="124"/>
      <c r="O531" s="120"/>
    </row>
    <row r="532" spans="7:15" s="8" customFormat="1" x14ac:dyDescent="0.45">
      <c r="G532" s="37"/>
      <c r="I532" s="46"/>
      <c r="K532" s="124"/>
      <c r="O532" s="120"/>
    </row>
    <row r="533" spans="7:15" s="8" customFormat="1" x14ac:dyDescent="0.45">
      <c r="G533" s="37"/>
      <c r="I533" s="46"/>
      <c r="K533" s="124"/>
      <c r="O533" s="120"/>
    </row>
    <row r="534" spans="7:15" s="8" customFormat="1" x14ac:dyDescent="0.45">
      <c r="G534" s="37"/>
      <c r="I534" s="46"/>
      <c r="K534" s="124"/>
      <c r="O534" s="120"/>
    </row>
    <row r="535" spans="7:15" s="8" customFormat="1" x14ac:dyDescent="0.45">
      <c r="G535" s="37"/>
      <c r="I535" s="46"/>
      <c r="K535" s="124"/>
      <c r="O535" s="120"/>
    </row>
    <row r="536" spans="7:15" s="8" customFormat="1" x14ac:dyDescent="0.45">
      <c r="G536" s="37"/>
      <c r="I536" s="46"/>
      <c r="K536" s="124"/>
      <c r="O536" s="120"/>
    </row>
    <row r="537" spans="7:15" s="8" customFormat="1" x14ac:dyDescent="0.45">
      <c r="G537" s="37"/>
      <c r="I537" s="46"/>
      <c r="K537" s="124"/>
      <c r="O537" s="120"/>
    </row>
    <row r="538" spans="7:15" s="8" customFormat="1" x14ac:dyDescent="0.45">
      <c r="G538" s="37"/>
      <c r="I538" s="46"/>
      <c r="K538" s="124"/>
      <c r="O538" s="120"/>
    </row>
    <row r="539" spans="7:15" s="8" customFormat="1" x14ac:dyDescent="0.45">
      <c r="G539" s="37"/>
      <c r="I539" s="46"/>
      <c r="K539" s="124"/>
      <c r="O539" s="120"/>
    </row>
    <row r="540" spans="7:15" s="8" customFormat="1" x14ac:dyDescent="0.45">
      <c r="G540" s="37"/>
      <c r="I540" s="46"/>
      <c r="K540" s="124"/>
      <c r="O540" s="120"/>
    </row>
    <row r="541" spans="7:15" s="8" customFormat="1" x14ac:dyDescent="0.45">
      <c r="G541" s="37"/>
      <c r="I541" s="46"/>
      <c r="K541" s="124"/>
      <c r="O541" s="120"/>
    </row>
    <row r="542" spans="7:15" s="8" customFormat="1" x14ac:dyDescent="0.45">
      <c r="G542" s="37"/>
      <c r="I542" s="46"/>
      <c r="K542" s="124"/>
      <c r="O542" s="120"/>
    </row>
    <row r="543" spans="7:15" s="8" customFormat="1" x14ac:dyDescent="0.45">
      <c r="G543" s="37"/>
      <c r="I543" s="46"/>
      <c r="K543" s="124"/>
      <c r="O543" s="120"/>
    </row>
    <row r="544" spans="7:15" s="8" customFormat="1" x14ac:dyDescent="0.45">
      <c r="G544" s="37"/>
      <c r="I544" s="46"/>
      <c r="K544" s="124"/>
      <c r="O544" s="120"/>
    </row>
    <row r="545" spans="7:15" s="8" customFormat="1" x14ac:dyDescent="0.45">
      <c r="G545" s="37"/>
      <c r="I545" s="46"/>
      <c r="K545" s="124"/>
      <c r="O545" s="120"/>
    </row>
    <row r="546" spans="7:15" s="8" customFormat="1" x14ac:dyDescent="0.45">
      <c r="G546" s="37"/>
      <c r="I546" s="46"/>
      <c r="K546" s="124"/>
      <c r="O546" s="120"/>
    </row>
    <row r="547" spans="7:15" s="8" customFormat="1" x14ac:dyDescent="0.45">
      <c r="G547" s="37"/>
      <c r="I547" s="46"/>
      <c r="K547" s="124"/>
      <c r="O547" s="120"/>
    </row>
    <row r="548" spans="7:15" s="8" customFormat="1" x14ac:dyDescent="0.45">
      <c r="G548" s="37"/>
      <c r="I548" s="46"/>
      <c r="K548" s="124"/>
      <c r="O548" s="120"/>
    </row>
    <row r="549" spans="7:15" s="8" customFormat="1" x14ac:dyDescent="0.45">
      <c r="G549" s="37"/>
      <c r="I549" s="46"/>
      <c r="K549" s="124"/>
      <c r="O549" s="120"/>
    </row>
    <row r="550" spans="7:15" s="8" customFormat="1" x14ac:dyDescent="0.45">
      <c r="G550" s="37"/>
      <c r="I550" s="46"/>
      <c r="K550" s="124"/>
      <c r="O550" s="120"/>
    </row>
    <row r="551" spans="7:15" s="8" customFormat="1" x14ac:dyDescent="0.45">
      <c r="G551" s="37"/>
      <c r="I551" s="46"/>
      <c r="K551" s="124"/>
      <c r="O551" s="120"/>
    </row>
    <row r="552" spans="7:15" s="8" customFormat="1" x14ac:dyDescent="0.45">
      <c r="G552" s="37"/>
      <c r="I552" s="46"/>
      <c r="K552" s="124"/>
      <c r="O552" s="120"/>
    </row>
    <row r="553" spans="7:15" s="8" customFormat="1" x14ac:dyDescent="0.45">
      <c r="G553" s="37"/>
      <c r="I553" s="46"/>
      <c r="K553" s="124"/>
      <c r="O553" s="120"/>
    </row>
    <row r="554" spans="7:15" s="8" customFormat="1" x14ac:dyDescent="0.45">
      <c r="G554" s="37"/>
      <c r="I554" s="46"/>
      <c r="K554" s="124"/>
      <c r="O554" s="120"/>
    </row>
    <row r="555" spans="7:15" s="8" customFormat="1" x14ac:dyDescent="0.45">
      <c r="G555" s="37"/>
      <c r="I555" s="46"/>
      <c r="K555" s="124"/>
      <c r="O555" s="120"/>
    </row>
    <row r="556" spans="7:15" s="8" customFormat="1" x14ac:dyDescent="0.45">
      <c r="G556" s="37"/>
      <c r="I556" s="46"/>
      <c r="K556" s="124"/>
      <c r="O556" s="120"/>
    </row>
    <row r="557" spans="7:15" s="8" customFormat="1" x14ac:dyDescent="0.45">
      <c r="G557" s="37"/>
      <c r="I557" s="46"/>
      <c r="K557" s="124"/>
      <c r="O557" s="120"/>
    </row>
    <row r="558" spans="7:15" s="8" customFormat="1" x14ac:dyDescent="0.45">
      <c r="G558" s="37"/>
      <c r="I558" s="46"/>
      <c r="K558" s="124"/>
      <c r="O558" s="120"/>
    </row>
    <row r="559" spans="7:15" s="8" customFormat="1" x14ac:dyDescent="0.45">
      <c r="G559" s="37"/>
      <c r="I559" s="46"/>
      <c r="K559" s="124"/>
      <c r="O559" s="120"/>
    </row>
    <row r="560" spans="7:15" s="8" customFormat="1" x14ac:dyDescent="0.45">
      <c r="G560" s="37"/>
      <c r="I560" s="46"/>
      <c r="K560" s="124"/>
      <c r="O560" s="120"/>
    </row>
    <row r="561" spans="7:15" s="8" customFormat="1" x14ac:dyDescent="0.45">
      <c r="G561" s="37"/>
      <c r="I561" s="46"/>
      <c r="K561" s="124"/>
      <c r="O561" s="120"/>
    </row>
    <row r="562" spans="7:15" s="8" customFormat="1" x14ac:dyDescent="0.45">
      <c r="G562" s="37"/>
      <c r="I562" s="46"/>
      <c r="K562" s="124"/>
      <c r="O562" s="120"/>
    </row>
    <row r="563" spans="7:15" s="8" customFormat="1" x14ac:dyDescent="0.45">
      <c r="G563" s="37"/>
      <c r="I563" s="46"/>
      <c r="K563" s="124"/>
      <c r="O563" s="120"/>
    </row>
    <row r="564" spans="7:15" s="8" customFormat="1" x14ac:dyDescent="0.45">
      <c r="G564" s="37"/>
      <c r="I564" s="46"/>
      <c r="K564" s="124"/>
      <c r="O564" s="120"/>
    </row>
    <row r="565" spans="7:15" s="8" customFormat="1" x14ac:dyDescent="0.45">
      <c r="G565" s="37"/>
      <c r="I565" s="46"/>
      <c r="K565" s="124"/>
      <c r="O565" s="120"/>
    </row>
    <row r="566" spans="7:15" s="8" customFormat="1" x14ac:dyDescent="0.45">
      <c r="G566" s="37"/>
      <c r="I566" s="46"/>
      <c r="K566" s="124"/>
      <c r="O566" s="120"/>
    </row>
    <row r="567" spans="7:15" s="8" customFormat="1" x14ac:dyDescent="0.45">
      <c r="G567" s="37"/>
      <c r="I567" s="46"/>
      <c r="K567" s="124"/>
      <c r="O567" s="120"/>
    </row>
    <row r="568" spans="7:15" s="8" customFormat="1" x14ac:dyDescent="0.45">
      <c r="G568" s="37"/>
      <c r="I568" s="46"/>
      <c r="K568" s="124"/>
      <c r="O568" s="120"/>
    </row>
    <row r="569" spans="7:15" s="8" customFormat="1" x14ac:dyDescent="0.45">
      <c r="G569" s="37"/>
      <c r="I569" s="46"/>
      <c r="K569" s="124"/>
      <c r="O569" s="120"/>
    </row>
    <row r="570" spans="7:15" s="8" customFormat="1" x14ac:dyDescent="0.45">
      <c r="G570" s="37"/>
      <c r="I570" s="46"/>
      <c r="K570" s="124"/>
      <c r="O570" s="120"/>
    </row>
    <row r="571" spans="7:15" s="8" customFormat="1" x14ac:dyDescent="0.45">
      <c r="G571" s="37"/>
      <c r="I571" s="46"/>
      <c r="K571" s="124"/>
      <c r="O571" s="120"/>
    </row>
    <row r="572" spans="7:15" s="8" customFormat="1" x14ac:dyDescent="0.45">
      <c r="G572" s="37"/>
      <c r="I572" s="46"/>
      <c r="K572" s="124"/>
      <c r="O572" s="120"/>
    </row>
    <row r="573" spans="7:15" s="8" customFormat="1" x14ac:dyDescent="0.45">
      <c r="G573" s="37"/>
      <c r="I573" s="46"/>
      <c r="K573" s="124"/>
      <c r="O573" s="120"/>
    </row>
    <row r="574" spans="7:15" s="8" customFormat="1" x14ac:dyDescent="0.45">
      <c r="G574" s="37"/>
      <c r="I574" s="46"/>
      <c r="K574" s="124"/>
      <c r="O574" s="120"/>
    </row>
    <row r="575" spans="7:15" s="8" customFormat="1" x14ac:dyDescent="0.45">
      <c r="G575" s="37"/>
      <c r="I575" s="46"/>
      <c r="K575" s="124"/>
      <c r="O575" s="120"/>
    </row>
    <row r="576" spans="7:15" s="8" customFormat="1" x14ac:dyDescent="0.45">
      <c r="G576" s="37"/>
      <c r="I576" s="46"/>
      <c r="K576" s="124"/>
      <c r="O576" s="120"/>
    </row>
    <row r="577" spans="7:15" s="8" customFormat="1" x14ac:dyDescent="0.45">
      <c r="G577" s="37"/>
      <c r="I577" s="46"/>
      <c r="K577" s="124"/>
      <c r="O577" s="120"/>
    </row>
    <row r="578" spans="7:15" s="8" customFormat="1" x14ac:dyDescent="0.45">
      <c r="G578" s="37"/>
      <c r="I578" s="46"/>
      <c r="K578" s="124"/>
      <c r="O578" s="120"/>
    </row>
    <row r="579" spans="7:15" s="8" customFormat="1" x14ac:dyDescent="0.45">
      <c r="G579" s="37"/>
      <c r="I579" s="46"/>
      <c r="K579" s="124"/>
      <c r="O579" s="120"/>
    </row>
    <row r="580" spans="7:15" s="8" customFormat="1" x14ac:dyDescent="0.45">
      <c r="G580" s="37"/>
      <c r="I580" s="46"/>
      <c r="K580" s="124"/>
      <c r="O580" s="120"/>
    </row>
    <row r="581" spans="7:15" s="8" customFormat="1" x14ac:dyDescent="0.45">
      <c r="G581" s="37"/>
      <c r="I581" s="46"/>
      <c r="K581" s="124"/>
      <c r="O581" s="120"/>
    </row>
    <row r="582" spans="7:15" s="8" customFormat="1" x14ac:dyDescent="0.45">
      <c r="G582" s="37"/>
      <c r="I582" s="46"/>
      <c r="K582" s="124"/>
      <c r="O582" s="120"/>
    </row>
    <row r="583" spans="7:15" s="8" customFormat="1" x14ac:dyDescent="0.45">
      <c r="G583" s="37"/>
      <c r="I583" s="46"/>
      <c r="K583" s="124"/>
      <c r="O583" s="120"/>
    </row>
    <row r="584" spans="7:15" s="8" customFormat="1" x14ac:dyDescent="0.45">
      <c r="G584" s="37"/>
      <c r="I584" s="46"/>
      <c r="K584" s="124"/>
      <c r="O584" s="120"/>
    </row>
    <row r="585" spans="7:15" s="8" customFormat="1" x14ac:dyDescent="0.45">
      <c r="G585" s="37"/>
      <c r="I585" s="46"/>
      <c r="K585" s="124"/>
      <c r="O585" s="120"/>
    </row>
    <row r="586" spans="7:15" s="8" customFormat="1" x14ac:dyDescent="0.45">
      <c r="G586" s="37"/>
      <c r="I586" s="46"/>
      <c r="K586" s="124"/>
      <c r="O586" s="120"/>
    </row>
    <row r="587" spans="7:15" s="8" customFormat="1" x14ac:dyDescent="0.45">
      <c r="G587" s="37"/>
      <c r="I587" s="46"/>
      <c r="K587" s="124"/>
      <c r="O587" s="120"/>
    </row>
    <row r="588" spans="7:15" s="8" customFormat="1" x14ac:dyDescent="0.45">
      <c r="G588" s="37"/>
      <c r="I588" s="46"/>
      <c r="K588" s="124"/>
      <c r="O588" s="120"/>
    </row>
    <row r="589" spans="7:15" s="8" customFormat="1" x14ac:dyDescent="0.45">
      <c r="G589" s="37"/>
      <c r="I589" s="46"/>
      <c r="K589" s="124"/>
      <c r="O589" s="120"/>
    </row>
    <row r="590" spans="7:15" s="8" customFormat="1" x14ac:dyDescent="0.45">
      <c r="G590" s="37"/>
      <c r="I590" s="46"/>
      <c r="K590" s="124"/>
      <c r="O590" s="120"/>
    </row>
    <row r="591" spans="7:15" s="8" customFormat="1" x14ac:dyDescent="0.45">
      <c r="G591" s="37"/>
      <c r="I591" s="46"/>
      <c r="K591" s="124"/>
      <c r="O591" s="120"/>
    </row>
    <row r="592" spans="7:15" s="8" customFormat="1" x14ac:dyDescent="0.45">
      <c r="G592" s="37"/>
      <c r="I592" s="46"/>
      <c r="K592" s="124"/>
      <c r="O592" s="120"/>
    </row>
    <row r="593" spans="7:15" s="8" customFormat="1" x14ac:dyDescent="0.45">
      <c r="G593" s="37"/>
      <c r="I593" s="46"/>
      <c r="K593" s="124"/>
      <c r="O593" s="120"/>
    </row>
    <row r="594" spans="7:15" s="8" customFormat="1" x14ac:dyDescent="0.45">
      <c r="G594" s="37"/>
      <c r="I594" s="46"/>
      <c r="K594" s="124"/>
      <c r="O594" s="120"/>
    </row>
    <row r="595" spans="7:15" s="8" customFormat="1" x14ac:dyDescent="0.45">
      <c r="G595" s="37"/>
      <c r="I595" s="46"/>
      <c r="K595" s="124"/>
      <c r="O595" s="120"/>
    </row>
    <row r="596" spans="7:15" s="8" customFormat="1" x14ac:dyDescent="0.45">
      <c r="G596" s="37"/>
      <c r="I596" s="46"/>
      <c r="K596" s="124"/>
      <c r="O596" s="120"/>
    </row>
    <row r="597" spans="7:15" s="8" customFormat="1" x14ac:dyDescent="0.45">
      <c r="G597" s="37"/>
      <c r="I597" s="46"/>
      <c r="K597" s="124"/>
      <c r="O597" s="120"/>
    </row>
    <row r="598" spans="7:15" s="8" customFormat="1" x14ac:dyDescent="0.45">
      <c r="G598" s="37"/>
      <c r="I598" s="46"/>
      <c r="K598" s="124"/>
      <c r="O598" s="120"/>
    </row>
    <row r="599" spans="7:15" s="8" customFormat="1" x14ac:dyDescent="0.45">
      <c r="G599" s="37"/>
      <c r="I599" s="46"/>
      <c r="K599" s="124"/>
      <c r="O599" s="120"/>
    </row>
    <row r="600" spans="7:15" s="8" customFormat="1" x14ac:dyDescent="0.45">
      <c r="G600" s="37"/>
      <c r="I600" s="46"/>
      <c r="K600" s="124"/>
      <c r="O600" s="120"/>
    </row>
    <row r="601" spans="7:15" s="8" customFormat="1" x14ac:dyDescent="0.45">
      <c r="G601" s="37"/>
      <c r="I601" s="46"/>
      <c r="K601" s="124"/>
      <c r="O601" s="120"/>
    </row>
    <row r="602" spans="7:15" s="8" customFormat="1" x14ac:dyDescent="0.45">
      <c r="G602" s="37"/>
      <c r="I602" s="46"/>
      <c r="K602" s="124"/>
      <c r="O602" s="120"/>
    </row>
    <row r="603" spans="7:15" s="8" customFormat="1" x14ac:dyDescent="0.45">
      <c r="G603" s="37"/>
      <c r="I603" s="46"/>
      <c r="K603" s="124"/>
      <c r="O603" s="120"/>
    </row>
    <row r="604" spans="7:15" s="8" customFormat="1" x14ac:dyDescent="0.45">
      <c r="G604" s="37"/>
      <c r="I604" s="46"/>
      <c r="K604" s="124"/>
      <c r="O604" s="120"/>
    </row>
    <row r="605" spans="7:15" s="8" customFormat="1" x14ac:dyDescent="0.45">
      <c r="G605" s="37"/>
      <c r="I605" s="46"/>
      <c r="K605" s="124"/>
      <c r="O605" s="120"/>
    </row>
    <row r="606" spans="7:15" s="8" customFormat="1" x14ac:dyDescent="0.45">
      <c r="G606" s="37"/>
      <c r="I606" s="46"/>
      <c r="K606" s="124"/>
      <c r="O606" s="120"/>
    </row>
    <row r="607" spans="7:15" s="8" customFormat="1" x14ac:dyDescent="0.45">
      <c r="G607" s="37"/>
      <c r="I607" s="46"/>
      <c r="K607" s="124"/>
      <c r="O607" s="120"/>
    </row>
    <row r="608" spans="7:15" s="8" customFormat="1" x14ac:dyDescent="0.45">
      <c r="G608" s="37"/>
      <c r="I608" s="46"/>
      <c r="K608" s="124"/>
      <c r="O608" s="120"/>
    </row>
    <row r="609" spans="7:15" s="8" customFormat="1" x14ac:dyDescent="0.45">
      <c r="G609" s="37"/>
      <c r="I609" s="46"/>
      <c r="K609" s="124"/>
      <c r="O609" s="120"/>
    </row>
    <row r="610" spans="7:15" s="8" customFormat="1" x14ac:dyDescent="0.45">
      <c r="G610" s="37"/>
      <c r="I610" s="46"/>
      <c r="K610" s="124"/>
      <c r="O610" s="120"/>
    </row>
    <row r="611" spans="7:15" s="8" customFormat="1" x14ac:dyDescent="0.45">
      <c r="G611" s="37"/>
      <c r="I611" s="46"/>
      <c r="K611" s="124"/>
      <c r="O611" s="120"/>
    </row>
    <row r="612" spans="7:15" s="8" customFormat="1" x14ac:dyDescent="0.45">
      <c r="G612" s="37"/>
      <c r="I612" s="46"/>
      <c r="K612" s="124"/>
      <c r="O612" s="120"/>
    </row>
    <row r="613" spans="7:15" s="8" customFormat="1" x14ac:dyDescent="0.45">
      <c r="G613" s="37"/>
      <c r="I613" s="46"/>
      <c r="K613" s="124"/>
      <c r="O613" s="120"/>
    </row>
    <row r="614" spans="7:15" s="8" customFormat="1" x14ac:dyDescent="0.45">
      <c r="G614" s="37"/>
      <c r="I614" s="46"/>
      <c r="K614" s="124"/>
      <c r="O614" s="120"/>
    </row>
    <row r="615" spans="7:15" s="8" customFormat="1" x14ac:dyDescent="0.45">
      <c r="G615" s="37"/>
      <c r="I615" s="46"/>
      <c r="K615" s="124"/>
      <c r="O615" s="120"/>
    </row>
    <row r="616" spans="7:15" s="8" customFormat="1" x14ac:dyDescent="0.45">
      <c r="G616" s="37"/>
      <c r="I616" s="46"/>
      <c r="K616" s="124"/>
      <c r="O616" s="120"/>
    </row>
    <row r="617" spans="7:15" s="8" customFormat="1" x14ac:dyDescent="0.45">
      <c r="G617" s="37"/>
      <c r="I617" s="46"/>
      <c r="K617" s="124"/>
      <c r="O617" s="120"/>
    </row>
    <row r="618" spans="7:15" s="8" customFormat="1" x14ac:dyDescent="0.45">
      <c r="G618" s="37"/>
      <c r="I618" s="46"/>
      <c r="K618" s="124"/>
      <c r="O618" s="120"/>
    </row>
    <row r="619" spans="7:15" s="8" customFormat="1" x14ac:dyDescent="0.45">
      <c r="G619" s="37"/>
      <c r="I619" s="46"/>
      <c r="K619" s="124"/>
      <c r="O619" s="120"/>
    </row>
    <row r="620" spans="7:15" s="8" customFormat="1" x14ac:dyDescent="0.45">
      <c r="G620" s="37"/>
      <c r="I620" s="46"/>
      <c r="K620" s="124"/>
      <c r="O620" s="120"/>
    </row>
    <row r="621" spans="7:15" s="8" customFormat="1" x14ac:dyDescent="0.45">
      <c r="G621" s="37"/>
      <c r="I621" s="46"/>
      <c r="K621" s="124"/>
      <c r="O621" s="120"/>
    </row>
    <row r="622" spans="7:15" s="8" customFormat="1" x14ac:dyDescent="0.45">
      <c r="G622" s="37"/>
      <c r="I622" s="46"/>
      <c r="K622" s="124"/>
      <c r="O622" s="120"/>
    </row>
    <row r="623" spans="7:15" s="8" customFormat="1" x14ac:dyDescent="0.45">
      <c r="G623" s="37"/>
      <c r="I623" s="46"/>
      <c r="K623" s="124"/>
      <c r="O623" s="120"/>
    </row>
    <row r="624" spans="7:15" s="8" customFormat="1" x14ac:dyDescent="0.45">
      <c r="G624" s="37"/>
      <c r="I624" s="46"/>
      <c r="K624" s="124"/>
      <c r="O624" s="120"/>
    </row>
    <row r="625" spans="7:15" s="8" customFormat="1" x14ac:dyDescent="0.45">
      <c r="G625" s="37"/>
      <c r="I625" s="46"/>
      <c r="K625" s="124"/>
      <c r="O625" s="120"/>
    </row>
    <row r="626" spans="7:15" s="8" customFormat="1" x14ac:dyDescent="0.45">
      <c r="G626" s="37"/>
      <c r="I626" s="46"/>
      <c r="K626" s="124"/>
      <c r="O626" s="120"/>
    </row>
    <row r="627" spans="7:15" s="8" customFormat="1" x14ac:dyDescent="0.45">
      <c r="G627" s="37"/>
      <c r="I627" s="46"/>
      <c r="K627" s="124"/>
      <c r="O627" s="120"/>
    </row>
    <row r="628" spans="7:15" s="8" customFormat="1" x14ac:dyDescent="0.45">
      <c r="G628" s="37"/>
      <c r="I628" s="46"/>
      <c r="K628" s="124"/>
      <c r="O628" s="120"/>
    </row>
    <row r="629" spans="7:15" s="8" customFormat="1" x14ac:dyDescent="0.45">
      <c r="G629" s="37"/>
      <c r="I629" s="46"/>
      <c r="K629" s="124"/>
      <c r="O629" s="120"/>
    </row>
    <row r="630" spans="7:15" s="8" customFormat="1" x14ac:dyDescent="0.45">
      <c r="G630" s="37"/>
      <c r="I630" s="46"/>
      <c r="K630" s="124"/>
      <c r="O630" s="120"/>
    </row>
    <row r="631" spans="7:15" s="8" customFormat="1" x14ac:dyDescent="0.45">
      <c r="G631" s="37"/>
      <c r="I631" s="46"/>
      <c r="K631" s="124"/>
      <c r="O631" s="120"/>
    </row>
    <row r="632" spans="7:15" s="8" customFormat="1" x14ac:dyDescent="0.45">
      <c r="G632" s="37"/>
      <c r="I632" s="46"/>
      <c r="K632" s="124"/>
      <c r="O632" s="120"/>
    </row>
    <row r="633" spans="7:15" s="8" customFormat="1" x14ac:dyDescent="0.45">
      <c r="G633" s="37"/>
      <c r="I633" s="46"/>
      <c r="K633" s="124"/>
      <c r="O633" s="120"/>
    </row>
    <row r="634" spans="7:15" s="8" customFormat="1" x14ac:dyDescent="0.45">
      <c r="G634" s="37"/>
      <c r="I634" s="46"/>
      <c r="K634" s="124"/>
      <c r="O634" s="120"/>
    </row>
    <row r="635" spans="7:15" s="8" customFormat="1" x14ac:dyDescent="0.45">
      <c r="G635" s="37"/>
      <c r="I635" s="46"/>
      <c r="K635" s="124"/>
      <c r="O635" s="120"/>
    </row>
    <row r="636" spans="7:15" s="8" customFormat="1" x14ac:dyDescent="0.45">
      <c r="G636" s="37"/>
      <c r="I636" s="46"/>
      <c r="K636" s="124"/>
      <c r="O636" s="120"/>
    </row>
    <row r="637" spans="7:15" s="8" customFormat="1" x14ac:dyDescent="0.45">
      <c r="G637" s="37"/>
      <c r="I637" s="46"/>
      <c r="K637" s="124"/>
      <c r="O637" s="120"/>
    </row>
    <row r="638" spans="7:15" s="8" customFormat="1" x14ac:dyDescent="0.45">
      <c r="G638" s="37"/>
      <c r="I638" s="46"/>
      <c r="K638" s="124"/>
      <c r="O638" s="120"/>
    </row>
    <row r="639" spans="7:15" s="8" customFormat="1" x14ac:dyDescent="0.45">
      <c r="G639" s="37"/>
      <c r="I639" s="46"/>
      <c r="K639" s="124"/>
      <c r="O639" s="120"/>
    </row>
    <row r="640" spans="7:15" s="8" customFormat="1" x14ac:dyDescent="0.45">
      <c r="G640" s="37"/>
      <c r="I640" s="46"/>
      <c r="K640" s="124"/>
      <c r="O640" s="120"/>
    </row>
    <row r="641" spans="7:15" s="8" customFormat="1" x14ac:dyDescent="0.45">
      <c r="G641" s="37"/>
      <c r="I641" s="46"/>
      <c r="K641" s="124"/>
      <c r="O641" s="120"/>
    </row>
    <row r="642" spans="7:15" s="8" customFormat="1" x14ac:dyDescent="0.45">
      <c r="G642" s="37"/>
      <c r="I642" s="46"/>
      <c r="K642" s="124"/>
      <c r="O642" s="120"/>
    </row>
    <row r="643" spans="7:15" s="8" customFormat="1" x14ac:dyDescent="0.45">
      <c r="G643" s="37"/>
      <c r="I643" s="46"/>
      <c r="K643" s="124"/>
      <c r="O643" s="120"/>
    </row>
    <row r="644" spans="7:15" s="8" customFormat="1" x14ac:dyDescent="0.45">
      <c r="G644" s="37"/>
      <c r="I644" s="46"/>
      <c r="K644" s="124"/>
      <c r="O644" s="120"/>
    </row>
    <row r="645" spans="7:15" s="8" customFormat="1" x14ac:dyDescent="0.45">
      <c r="G645" s="37"/>
      <c r="I645" s="46"/>
      <c r="K645" s="124"/>
      <c r="O645" s="120"/>
    </row>
    <row r="646" spans="7:15" s="8" customFormat="1" x14ac:dyDescent="0.45">
      <c r="G646" s="37"/>
      <c r="I646" s="46"/>
      <c r="K646" s="124"/>
      <c r="O646" s="120"/>
    </row>
    <row r="647" spans="7:15" s="8" customFormat="1" x14ac:dyDescent="0.45">
      <c r="G647" s="37"/>
      <c r="I647" s="46"/>
      <c r="K647" s="124"/>
      <c r="O647" s="120"/>
    </row>
    <row r="648" spans="7:15" s="8" customFormat="1" x14ac:dyDescent="0.45">
      <c r="G648" s="37"/>
      <c r="I648" s="46"/>
      <c r="K648" s="124"/>
      <c r="O648" s="120"/>
    </row>
    <row r="649" spans="7:15" s="8" customFormat="1" x14ac:dyDescent="0.45">
      <c r="G649" s="37"/>
      <c r="I649" s="46"/>
      <c r="K649" s="124"/>
      <c r="O649" s="120"/>
    </row>
    <row r="650" spans="7:15" s="8" customFormat="1" x14ac:dyDescent="0.45">
      <c r="G650" s="37"/>
      <c r="I650" s="46"/>
      <c r="K650" s="124"/>
      <c r="O650" s="120"/>
    </row>
    <row r="651" spans="7:15" s="8" customFormat="1" x14ac:dyDescent="0.45">
      <c r="G651" s="37"/>
      <c r="I651" s="46"/>
      <c r="K651" s="124"/>
      <c r="O651" s="120"/>
    </row>
    <row r="652" spans="7:15" s="8" customFormat="1" x14ac:dyDescent="0.45">
      <c r="G652" s="37"/>
      <c r="I652" s="46"/>
      <c r="K652" s="124"/>
      <c r="O652" s="120"/>
    </row>
    <row r="653" spans="7:15" s="8" customFormat="1" x14ac:dyDescent="0.45">
      <c r="G653" s="37"/>
      <c r="I653" s="46"/>
      <c r="K653" s="124"/>
      <c r="O653" s="120"/>
    </row>
    <row r="654" spans="7:15" s="8" customFormat="1" x14ac:dyDescent="0.45">
      <c r="G654" s="37"/>
      <c r="I654" s="46"/>
      <c r="K654" s="124"/>
      <c r="O654" s="120"/>
    </row>
    <row r="655" spans="7:15" s="8" customFormat="1" x14ac:dyDescent="0.45">
      <c r="G655" s="37"/>
      <c r="I655" s="46"/>
      <c r="K655" s="124"/>
      <c r="O655" s="120"/>
    </row>
    <row r="656" spans="7:15" s="8" customFormat="1" x14ac:dyDescent="0.45">
      <c r="G656" s="37"/>
      <c r="I656" s="46"/>
      <c r="K656" s="124"/>
      <c r="O656" s="120"/>
    </row>
    <row r="657" spans="7:15" s="8" customFormat="1" x14ac:dyDescent="0.45">
      <c r="G657" s="37"/>
      <c r="I657" s="46"/>
      <c r="K657" s="124"/>
      <c r="O657" s="120"/>
    </row>
    <row r="658" spans="7:15" s="8" customFormat="1" x14ac:dyDescent="0.45">
      <c r="G658" s="37"/>
      <c r="I658" s="46"/>
      <c r="K658" s="124"/>
      <c r="O658" s="120"/>
    </row>
    <row r="659" spans="7:15" s="8" customFormat="1" x14ac:dyDescent="0.45">
      <c r="G659" s="37"/>
      <c r="I659" s="46"/>
      <c r="K659" s="124"/>
      <c r="O659" s="120"/>
    </row>
    <row r="660" spans="7:15" s="8" customFormat="1" x14ac:dyDescent="0.45">
      <c r="G660" s="37"/>
      <c r="I660" s="46"/>
      <c r="K660" s="124"/>
      <c r="O660" s="120"/>
    </row>
    <row r="661" spans="7:15" s="8" customFormat="1" x14ac:dyDescent="0.45">
      <c r="G661" s="37"/>
      <c r="I661" s="46"/>
      <c r="K661" s="124"/>
      <c r="O661" s="120"/>
    </row>
    <row r="662" spans="7:15" s="8" customFormat="1" x14ac:dyDescent="0.45">
      <c r="G662" s="37"/>
      <c r="I662" s="46"/>
      <c r="K662" s="124"/>
      <c r="O662" s="120"/>
    </row>
    <row r="663" spans="7:15" s="8" customFormat="1" x14ac:dyDescent="0.45">
      <c r="G663" s="37"/>
      <c r="I663" s="46"/>
      <c r="K663" s="124"/>
      <c r="O663" s="120"/>
    </row>
    <row r="664" spans="7:15" s="8" customFormat="1" x14ac:dyDescent="0.45">
      <c r="G664" s="37"/>
      <c r="I664" s="46"/>
      <c r="K664" s="124"/>
      <c r="O664" s="120"/>
    </row>
    <row r="665" spans="7:15" s="8" customFormat="1" x14ac:dyDescent="0.45">
      <c r="G665" s="37"/>
      <c r="I665" s="46"/>
      <c r="K665" s="124"/>
      <c r="O665" s="120"/>
    </row>
    <row r="666" spans="7:15" s="8" customFormat="1" x14ac:dyDescent="0.45">
      <c r="G666" s="37"/>
      <c r="I666" s="46"/>
      <c r="K666" s="124"/>
      <c r="O666" s="120"/>
    </row>
    <row r="667" spans="7:15" s="8" customFormat="1" x14ac:dyDescent="0.45">
      <c r="G667" s="37"/>
      <c r="I667" s="46"/>
      <c r="K667" s="124"/>
      <c r="O667" s="120"/>
    </row>
    <row r="668" spans="7:15" s="8" customFormat="1" x14ac:dyDescent="0.45">
      <c r="G668" s="37"/>
      <c r="I668" s="46"/>
      <c r="K668" s="124"/>
      <c r="O668" s="120"/>
    </row>
    <row r="669" spans="7:15" s="8" customFormat="1" x14ac:dyDescent="0.45">
      <c r="G669" s="37"/>
      <c r="I669" s="46"/>
      <c r="K669" s="124"/>
      <c r="O669" s="120"/>
    </row>
    <row r="670" spans="7:15" s="8" customFormat="1" x14ac:dyDescent="0.45">
      <c r="G670" s="37"/>
      <c r="I670" s="46"/>
      <c r="K670" s="124"/>
      <c r="O670" s="120"/>
    </row>
    <row r="671" spans="7:15" s="8" customFormat="1" x14ac:dyDescent="0.45">
      <c r="G671" s="37"/>
      <c r="I671" s="46"/>
      <c r="K671" s="124"/>
      <c r="O671" s="120"/>
    </row>
    <row r="672" spans="7:15" s="8" customFormat="1" x14ac:dyDescent="0.45">
      <c r="G672" s="37"/>
      <c r="I672" s="46"/>
      <c r="K672" s="124"/>
      <c r="O672" s="120"/>
    </row>
    <row r="673" spans="7:15" s="8" customFormat="1" x14ac:dyDescent="0.45">
      <c r="G673" s="37"/>
      <c r="I673" s="46"/>
      <c r="K673" s="124"/>
      <c r="O673" s="120"/>
    </row>
    <row r="674" spans="7:15" s="8" customFormat="1" x14ac:dyDescent="0.45">
      <c r="G674" s="37"/>
      <c r="I674" s="46"/>
      <c r="K674" s="124"/>
      <c r="O674" s="120"/>
    </row>
    <row r="675" spans="7:15" s="8" customFormat="1" x14ac:dyDescent="0.45">
      <c r="G675" s="37"/>
      <c r="I675" s="46"/>
      <c r="K675" s="124"/>
      <c r="O675" s="120"/>
    </row>
    <row r="676" spans="7:15" s="8" customFormat="1" x14ac:dyDescent="0.45">
      <c r="G676" s="37"/>
      <c r="I676" s="46"/>
      <c r="K676" s="124"/>
      <c r="O676" s="120"/>
    </row>
    <row r="677" spans="7:15" s="8" customFormat="1" x14ac:dyDescent="0.45">
      <c r="G677" s="37"/>
      <c r="I677" s="46"/>
      <c r="K677" s="124"/>
      <c r="O677" s="120"/>
    </row>
    <row r="678" spans="7:15" s="8" customFormat="1" x14ac:dyDescent="0.45">
      <c r="G678" s="37"/>
      <c r="I678" s="46"/>
      <c r="K678" s="124"/>
      <c r="O678" s="120"/>
    </row>
    <row r="679" spans="7:15" s="8" customFormat="1" x14ac:dyDescent="0.45">
      <c r="G679" s="37"/>
      <c r="I679" s="46"/>
      <c r="K679" s="124"/>
      <c r="O679" s="120"/>
    </row>
    <row r="680" spans="7:15" s="8" customFormat="1" x14ac:dyDescent="0.45">
      <c r="G680" s="37"/>
      <c r="I680" s="46"/>
      <c r="K680" s="124"/>
      <c r="O680" s="120"/>
    </row>
    <row r="681" spans="7:15" s="8" customFormat="1" x14ac:dyDescent="0.45">
      <c r="G681" s="37"/>
      <c r="I681" s="46"/>
      <c r="K681" s="124"/>
      <c r="O681" s="120"/>
    </row>
    <row r="682" spans="7:15" s="8" customFormat="1" x14ac:dyDescent="0.45">
      <c r="G682" s="37"/>
      <c r="I682" s="46"/>
      <c r="K682" s="124"/>
      <c r="O682" s="120"/>
    </row>
    <row r="683" spans="7:15" s="8" customFormat="1" x14ac:dyDescent="0.45">
      <c r="G683" s="37"/>
      <c r="I683" s="46"/>
      <c r="K683" s="124"/>
      <c r="O683" s="120"/>
    </row>
    <row r="684" spans="7:15" s="8" customFormat="1" x14ac:dyDescent="0.45">
      <c r="G684" s="37"/>
      <c r="I684" s="46"/>
      <c r="K684" s="124"/>
      <c r="O684" s="120"/>
    </row>
    <row r="685" spans="7:15" s="8" customFormat="1" x14ac:dyDescent="0.45">
      <c r="G685" s="37"/>
      <c r="I685" s="46"/>
      <c r="K685" s="124"/>
      <c r="O685" s="120"/>
    </row>
    <row r="686" spans="7:15" s="8" customFormat="1" x14ac:dyDescent="0.45">
      <c r="G686" s="37"/>
      <c r="I686" s="46"/>
      <c r="K686" s="124"/>
      <c r="O686" s="120"/>
    </row>
    <row r="687" spans="7:15" s="8" customFormat="1" x14ac:dyDescent="0.45">
      <c r="G687" s="37"/>
      <c r="I687" s="46"/>
      <c r="K687" s="124"/>
      <c r="O687" s="120"/>
    </row>
    <row r="688" spans="7:15" s="8" customFormat="1" x14ac:dyDescent="0.45">
      <c r="G688" s="37"/>
      <c r="I688" s="46"/>
      <c r="K688" s="124"/>
      <c r="O688" s="120"/>
    </row>
    <row r="689" spans="7:15" s="8" customFormat="1" x14ac:dyDescent="0.45">
      <c r="G689" s="37"/>
      <c r="I689" s="46"/>
      <c r="K689" s="124"/>
      <c r="O689" s="120"/>
    </row>
    <row r="690" spans="7:15" s="8" customFormat="1" x14ac:dyDescent="0.45">
      <c r="G690" s="37"/>
      <c r="I690" s="46"/>
      <c r="K690" s="124"/>
      <c r="O690" s="120"/>
    </row>
    <row r="691" spans="7:15" s="8" customFormat="1" x14ac:dyDescent="0.45">
      <c r="G691" s="37"/>
      <c r="I691" s="46"/>
      <c r="K691" s="124"/>
      <c r="O691" s="120"/>
    </row>
    <row r="692" spans="7:15" s="8" customFormat="1" x14ac:dyDescent="0.45">
      <c r="G692" s="37"/>
      <c r="I692" s="46"/>
      <c r="K692" s="124"/>
      <c r="O692" s="120"/>
    </row>
    <row r="693" spans="7:15" s="8" customFormat="1" x14ac:dyDescent="0.45">
      <c r="G693" s="37"/>
      <c r="I693" s="46"/>
      <c r="K693" s="124"/>
      <c r="O693" s="120"/>
    </row>
    <row r="694" spans="7:15" s="8" customFormat="1" x14ac:dyDescent="0.45">
      <c r="G694" s="37"/>
      <c r="I694" s="46"/>
      <c r="K694" s="124"/>
      <c r="O694" s="120"/>
    </row>
    <row r="695" spans="7:15" s="8" customFormat="1" x14ac:dyDescent="0.45">
      <c r="G695" s="37"/>
      <c r="I695" s="46"/>
      <c r="K695" s="124"/>
      <c r="O695" s="120"/>
    </row>
    <row r="696" spans="7:15" s="8" customFormat="1" x14ac:dyDescent="0.45">
      <c r="G696" s="37"/>
      <c r="I696" s="46"/>
      <c r="K696" s="124"/>
      <c r="O696" s="120"/>
    </row>
    <row r="697" spans="7:15" s="8" customFormat="1" x14ac:dyDescent="0.45">
      <c r="G697" s="37"/>
      <c r="I697" s="46"/>
      <c r="K697" s="124"/>
      <c r="O697" s="120"/>
    </row>
    <row r="698" spans="7:15" s="8" customFormat="1" x14ac:dyDescent="0.45">
      <c r="G698" s="37"/>
      <c r="I698" s="46"/>
      <c r="K698" s="124"/>
      <c r="O698" s="120"/>
    </row>
    <row r="699" spans="7:15" s="8" customFormat="1" x14ac:dyDescent="0.45">
      <c r="G699" s="37"/>
      <c r="I699" s="46"/>
      <c r="K699" s="124"/>
      <c r="O699" s="120"/>
    </row>
    <row r="700" spans="7:15" s="8" customFormat="1" x14ac:dyDescent="0.45">
      <c r="G700" s="37"/>
      <c r="I700" s="46"/>
      <c r="K700" s="124"/>
      <c r="O700" s="120"/>
    </row>
    <row r="701" spans="7:15" s="8" customFormat="1" x14ac:dyDescent="0.45">
      <c r="G701" s="37"/>
      <c r="I701" s="46"/>
      <c r="K701" s="124"/>
      <c r="O701" s="120"/>
    </row>
    <row r="702" spans="7:15" s="8" customFormat="1" x14ac:dyDescent="0.45">
      <c r="G702" s="37"/>
      <c r="I702" s="46"/>
      <c r="K702" s="124"/>
      <c r="O702" s="120"/>
    </row>
    <row r="703" spans="7:15" s="8" customFormat="1" x14ac:dyDescent="0.45">
      <c r="G703" s="37"/>
      <c r="I703" s="46"/>
      <c r="K703" s="124"/>
      <c r="O703" s="120"/>
    </row>
    <row r="704" spans="7:15" s="8" customFormat="1" x14ac:dyDescent="0.45">
      <c r="G704" s="37"/>
      <c r="I704" s="46"/>
      <c r="K704" s="124"/>
      <c r="O704" s="120"/>
    </row>
    <row r="705" spans="7:15" s="8" customFormat="1" x14ac:dyDescent="0.45">
      <c r="G705" s="37"/>
      <c r="I705" s="46"/>
      <c r="K705" s="124"/>
      <c r="O705" s="120"/>
    </row>
    <row r="706" spans="7:15" s="8" customFormat="1" x14ac:dyDescent="0.45">
      <c r="G706" s="37"/>
      <c r="I706" s="46"/>
      <c r="K706" s="124"/>
      <c r="O706" s="120"/>
    </row>
    <row r="707" spans="7:15" s="8" customFormat="1" x14ac:dyDescent="0.45">
      <c r="G707" s="37"/>
      <c r="I707" s="46"/>
      <c r="K707" s="124"/>
      <c r="O707" s="120"/>
    </row>
    <row r="708" spans="7:15" s="8" customFormat="1" x14ac:dyDescent="0.45">
      <c r="G708" s="37"/>
      <c r="I708" s="46"/>
      <c r="K708" s="124"/>
      <c r="O708" s="120"/>
    </row>
    <row r="709" spans="7:15" s="8" customFormat="1" x14ac:dyDescent="0.45">
      <c r="G709" s="37"/>
      <c r="I709" s="46"/>
      <c r="K709" s="124"/>
      <c r="O709" s="120"/>
    </row>
    <row r="710" spans="7:15" s="8" customFormat="1" x14ac:dyDescent="0.45">
      <c r="G710" s="37"/>
      <c r="I710" s="46"/>
      <c r="K710" s="124"/>
      <c r="O710" s="120"/>
    </row>
    <row r="711" spans="7:15" s="8" customFormat="1" x14ac:dyDescent="0.45">
      <c r="G711" s="37"/>
      <c r="I711" s="46"/>
      <c r="K711" s="124"/>
      <c r="O711" s="120"/>
    </row>
    <row r="712" spans="7:15" s="8" customFormat="1" x14ac:dyDescent="0.45">
      <c r="G712" s="37"/>
      <c r="I712" s="46"/>
      <c r="K712" s="124"/>
      <c r="O712" s="120"/>
    </row>
    <row r="713" spans="7:15" s="8" customFormat="1" x14ac:dyDescent="0.45">
      <c r="G713" s="37"/>
      <c r="I713" s="46"/>
      <c r="K713" s="124"/>
      <c r="O713" s="120"/>
    </row>
    <row r="714" spans="7:15" s="8" customFormat="1" x14ac:dyDescent="0.45">
      <c r="G714" s="37"/>
      <c r="I714" s="46"/>
      <c r="K714" s="124"/>
      <c r="O714" s="120"/>
    </row>
    <row r="715" spans="7:15" s="8" customFormat="1" x14ac:dyDescent="0.45">
      <c r="G715" s="37"/>
      <c r="I715" s="46"/>
      <c r="K715" s="124"/>
      <c r="O715" s="120"/>
    </row>
    <row r="716" spans="7:15" s="8" customFormat="1" x14ac:dyDescent="0.45">
      <c r="G716" s="37"/>
      <c r="I716" s="46"/>
      <c r="K716" s="124"/>
      <c r="O716" s="120"/>
    </row>
    <row r="717" spans="7:15" s="8" customFormat="1" x14ac:dyDescent="0.45">
      <c r="G717" s="37"/>
      <c r="I717" s="46"/>
      <c r="K717" s="124"/>
      <c r="O717" s="120"/>
    </row>
    <row r="718" spans="7:15" s="8" customFormat="1" x14ac:dyDescent="0.45">
      <c r="G718" s="37"/>
      <c r="I718" s="46"/>
      <c r="K718" s="124"/>
      <c r="O718" s="120"/>
    </row>
    <row r="719" spans="7:15" s="8" customFormat="1" x14ac:dyDescent="0.45">
      <c r="G719" s="37"/>
      <c r="I719" s="46"/>
      <c r="K719" s="124"/>
      <c r="O719" s="120"/>
    </row>
    <row r="720" spans="7:15" s="8" customFormat="1" x14ac:dyDescent="0.45">
      <c r="G720" s="37"/>
      <c r="I720" s="46"/>
      <c r="K720" s="124"/>
      <c r="O720" s="120"/>
    </row>
    <row r="721" spans="7:15" s="8" customFormat="1" x14ac:dyDescent="0.45">
      <c r="G721" s="37"/>
      <c r="I721" s="46"/>
      <c r="K721" s="124"/>
      <c r="O721" s="120"/>
    </row>
    <row r="722" spans="7:15" s="8" customFormat="1" x14ac:dyDescent="0.45">
      <c r="G722" s="37"/>
      <c r="I722" s="46"/>
      <c r="K722" s="124"/>
      <c r="O722" s="120"/>
    </row>
    <row r="723" spans="7:15" s="8" customFormat="1" x14ac:dyDescent="0.45">
      <c r="G723" s="37"/>
      <c r="I723" s="46"/>
      <c r="K723" s="124"/>
      <c r="O723" s="120"/>
    </row>
    <row r="724" spans="7:15" s="8" customFormat="1" x14ac:dyDescent="0.45">
      <c r="G724" s="37"/>
      <c r="I724" s="46"/>
      <c r="K724" s="124"/>
      <c r="O724" s="120"/>
    </row>
    <row r="725" spans="7:15" s="8" customFormat="1" x14ac:dyDescent="0.45">
      <c r="G725" s="37"/>
      <c r="I725" s="46"/>
      <c r="K725" s="124"/>
      <c r="O725" s="120"/>
    </row>
    <row r="726" spans="7:15" s="8" customFormat="1" x14ac:dyDescent="0.45">
      <c r="G726" s="37"/>
      <c r="I726" s="46"/>
      <c r="K726" s="124"/>
      <c r="O726" s="120"/>
    </row>
    <row r="727" spans="7:15" s="8" customFormat="1" x14ac:dyDescent="0.45">
      <c r="G727" s="37"/>
      <c r="I727" s="46"/>
      <c r="K727" s="124"/>
      <c r="O727" s="120"/>
    </row>
    <row r="728" spans="7:15" s="8" customFormat="1" x14ac:dyDescent="0.45">
      <c r="G728" s="37"/>
      <c r="I728" s="46"/>
      <c r="K728" s="124"/>
      <c r="O728" s="120"/>
    </row>
    <row r="729" spans="7:15" s="8" customFormat="1" x14ac:dyDescent="0.45">
      <c r="G729" s="37"/>
      <c r="I729" s="46"/>
      <c r="K729" s="124"/>
      <c r="O729" s="120"/>
    </row>
    <row r="730" spans="7:15" s="8" customFormat="1" x14ac:dyDescent="0.45">
      <c r="G730" s="37"/>
      <c r="I730" s="46"/>
      <c r="K730" s="124"/>
      <c r="O730" s="120"/>
    </row>
    <row r="731" spans="7:15" s="8" customFormat="1" x14ac:dyDescent="0.45">
      <c r="G731" s="37"/>
      <c r="I731" s="46"/>
      <c r="K731" s="124"/>
      <c r="O731" s="120"/>
    </row>
    <row r="732" spans="7:15" s="8" customFormat="1" x14ac:dyDescent="0.45">
      <c r="G732" s="37"/>
      <c r="I732" s="46"/>
      <c r="K732" s="124"/>
      <c r="O732" s="120"/>
    </row>
    <row r="733" spans="7:15" s="8" customFormat="1" x14ac:dyDescent="0.45">
      <c r="G733" s="37"/>
      <c r="I733" s="46"/>
      <c r="K733" s="124"/>
      <c r="O733" s="120"/>
    </row>
    <row r="734" spans="7:15" s="8" customFormat="1" x14ac:dyDescent="0.45">
      <c r="G734" s="37"/>
      <c r="I734" s="46"/>
      <c r="K734" s="124"/>
      <c r="O734" s="120"/>
    </row>
    <row r="735" spans="7:15" s="8" customFormat="1" x14ac:dyDescent="0.45">
      <c r="G735" s="37"/>
      <c r="I735" s="46"/>
      <c r="K735" s="124"/>
      <c r="O735" s="120"/>
    </row>
    <row r="736" spans="7:15" s="8" customFormat="1" x14ac:dyDescent="0.45">
      <c r="G736" s="37"/>
      <c r="I736" s="46"/>
      <c r="K736" s="124"/>
      <c r="O736" s="120"/>
    </row>
    <row r="737" spans="7:15" s="8" customFormat="1" x14ac:dyDescent="0.45">
      <c r="G737" s="37"/>
      <c r="I737" s="46"/>
      <c r="K737" s="124"/>
      <c r="O737" s="120"/>
    </row>
    <row r="738" spans="7:15" s="8" customFormat="1" x14ac:dyDescent="0.45">
      <c r="G738" s="37"/>
      <c r="I738" s="46"/>
      <c r="K738" s="124"/>
      <c r="O738" s="120"/>
    </row>
    <row r="739" spans="7:15" s="8" customFormat="1" x14ac:dyDescent="0.45">
      <c r="G739" s="37"/>
      <c r="I739" s="46"/>
      <c r="K739" s="124"/>
      <c r="O739" s="120"/>
    </row>
    <row r="740" spans="7:15" s="8" customFormat="1" x14ac:dyDescent="0.45">
      <c r="G740" s="37"/>
      <c r="I740" s="46"/>
      <c r="K740" s="124"/>
      <c r="O740" s="120"/>
    </row>
    <row r="741" spans="7:15" s="8" customFormat="1" x14ac:dyDescent="0.45">
      <c r="G741" s="37"/>
      <c r="I741" s="46"/>
      <c r="K741" s="124"/>
      <c r="O741" s="120"/>
    </row>
    <row r="742" spans="7:15" s="8" customFormat="1" x14ac:dyDescent="0.45">
      <c r="G742" s="37"/>
      <c r="I742" s="46"/>
      <c r="K742" s="124"/>
      <c r="O742" s="120"/>
    </row>
    <row r="743" spans="7:15" s="8" customFormat="1" x14ac:dyDescent="0.45">
      <c r="G743" s="37"/>
      <c r="I743" s="46"/>
      <c r="K743" s="124"/>
      <c r="O743" s="120"/>
    </row>
    <row r="744" spans="7:15" s="8" customFormat="1" x14ac:dyDescent="0.45">
      <c r="G744" s="37"/>
      <c r="I744" s="46"/>
      <c r="K744" s="124"/>
      <c r="O744" s="120"/>
    </row>
    <row r="745" spans="7:15" s="8" customFormat="1" x14ac:dyDescent="0.45">
      <c r="G745" s="37"/>
      <c r="I745" s="46"/>
      <c r="K745" s="124"/>
      <c r="O745" s="120"/>
    </row>
    <row r="746" spans="7:15" s="8" customFormat="1" x14ac:dyDescent="0.45">
      <c r="G746" s="37"/>
      <c r="I746" s="46"/>
      <c r="K746" s="124"/>
      <c r="O746" s="120"/>
    </row>
    <row r="747" spans="7:15" s="8" customFormat="1" x14ac:dyDescent="0.45">
      <c r="G747" s="37"/>
      <c r="I747" s="46"/>
      <c r="K747" s="124"/>
      <c r="O747" s="120"/>
    </row>
    <row r="748" spans="7:15" s="8" customFormat="1" x14ac:dyDescent="0.45">
      <c r="G748" s="37"/>
      <c r="I748" s="46"/>
      <c r="K748" s="124"/>
      <c r="O748" s="120"/>
    </row>
    <row r="749" spans="7:15" s="8" customFormat="1" x14ac:dyDescent="0.45">
      <c r="G749" s="37"/>
      <c r="I749" s="46"/>
      <c r="K749" s="124"/>
      <c r="O749" s="120"/>
    </row>
    <row r="750" spans="7:15" s="8" customFormat="1" x14ac:dyDescent="0.45">
      <c r="G750" s="37"/>
      <c r="I750" s="46"/>
      <c r="K750" s="124"/>
      <c r="O750" s="120"/>
    </row>
    <row r="751" spans="7:15" s="8" customFormat="1" x14ac:dyDescent="0.45">
      <c r="G751" s="37"/>
      <c r="I751" s="46"/>
      <c r="K751" s="124"/>
      <c r="O751" s="120"/>
    </row>
    <row r="752" spans="7:15" s="8" customFormat="1" x14ac:dyDescent="0.45">
      <c r="G752" s="37"/>
      <c r="I752" s="46"/>
      <c r="K752" s="124"/>
      <c r="O752" s="120"/>
    </row>
    <row r="753" spans="7:15" s="8" customFormat="1" x14ac:dyDescent="0.45">
      <c r="G753" s="37"/>
      <c r="I753" s="46"/>
      <c r="K753" s="124"/>
      <c r="O753" s="120"/>
    </row>
    <row r="754" spans="7:15" s="8" customFormat="1" x14ac:dyDescent="0.45">
      <c r="G754" s="37"/>
      <c r="I754" s="46"/>
      <c r="K754" s="124"/>
      <c r="O754" s="120"/>
    </row>
    <row r="755" spans="7:15" s="8" customFormat="1" x14ac:dyDescent="0.45">
      <c r="G755" s="37"/>
      <c r="I755" s="46"/>
      <c r="K755" s="124"/>
      <c r="O755" s="120"/>
    </row>
    <row r="756" spans="7:15" s="8" customFormat="1" x14ac:dyDescent="0.45">
      <c r="G756" s="37"/>
      <c r="I756" s="46"/>
      <c r="K756" s="124"/>
      <c r="O756" s="120"/>
    </row>
    <row r="757" spans="7:15" s="8" customFormat="1" x14ac:dyDescent="0.45">
      <c r="G757" s="37"/>
      <c r="I757" s="46"/>
      <c r="K757" s="124"/>
      <c r="O757" s="120"/>
    </row>
    <row r="758" spans="7:15" s="8" customFormat="1" x14ac:dyDescent="0.45">
      <c r="G758" s="37"/>
      <c r="I758" s="46"/>
      <c r="K758" s="124"/>
      <c r="O758" s="120"/>
    </row>
    <row r="759" spans="7:15" s="8" customFormat="1" x14ac:dyDescent="0.45">
      <c r="G759" s="37"/>
      <c r="I759" s="46"/>
      <c r="K759" s="124"/>
      <c r="O759" s="120"/>
    </row>
    <row r="760" spans="7:15" s="8" customFormat="1" x14ac:dyDescent="0.45">
      <c r="G760" s="37"/>
      <c r="I760" s="46"/>
      <c r="K760" s="124"/>
      <c r="O760" s="120"/>
    </row>
    <row r="761" spans="7:15" s="8" customFormat="1" x14ac:dyDescent="0.45">
      <c r="G761" s="37"/>
      <c r="I761" s="46"/>
      <c r="K761" s="124"/>
      <c r="O761" s="120"/>
    </row>
    <row r="762" spans="7:15" s="8" customFormat="1" x14ac:dyDescent="0.45">
      <c r="G762" s="37"/>
      <c r="I762" s="46"/>
      <c r="K762" s="124"/>
      <c r="O762" s="120"/>
    </row>
    <row r="763" spans="7:15" s="8" customFormat="1" x14ac:dyDescent="0.45">
      <c r="G763" s="37"/>
      <c r="I763" s="46"/>
      <c r="K763" s="124"/>
      <c r="O763" s="120"/>
    </row>
    <row r="764" spans="7:15" s="8" customFormat="1" x14ac:dyDescent="0.45">
      <c r="G764" s="37"/>
      <c r="I764" s="46"/>
      <c r="K764" s="124"/>
      <c r="O764" s="120"/>
    </row>
    <row r="765" spans="7:15" s="8" customFormat="1" x14ac:dyDescent="0.45">
      <c r="G765" s="37"/>
      <c r="I765" s="46"/>
      <c r="K765" s="124"/>
      <c r="O765" s="120"/>
    </row>
    <row r="766" spans="7:15" s="8" customFormat="1" x14ac:dyDescent="0.45">
      <c r="G766" s="37"/>
      <c r="I766" s="46"/>
      <c r="K766" s="124"/>
      <c r="O766" s="120"/>
    </row>
    <row r="767" spans="7:15" s="8" customFormat="1" x14ac:dyDescent="0.45">
      <c r="G767" s="37"/>
      <c r="I767" s="46"/>
      <c r="K767" s="124"/>
      <c r="O767" s="120"/>
    </row>
    <row r="768" spans="7:15" s="8" customFormat="1" x14ac:dyDescent="0.45">
      <c r="G768" s="37"/>
      <c r="I768" s="46"/>
      <c r="K768" s="124"/>
      <c r="O768" s="120"/>
    </row>
    <row r="769" spans="7:15" s="8" customFormat="1" x14ac:dyDescent="0.45">
      <c r="G769" s="37"/>
      <c r="I769" s="46"/>
      <c r="K769" s="124"/>
      <c r="O769" s="120"/>
    </row>
    <row r="770" spans="7:15" s="8" customFormat="1" x14ac:dyDescent="0.45">
      <c r="G770" s="37"/>
      <c r="I770" s="46"/>
      <c r="K770" s="124"/>
      <c r="O770" s="120"/>
    </row>
    <row r="771" spans="7:15" s="8" customFormat="1" x14ac:dyDescent="0.45">
      <c r="G771" s="37"/>
      <c r="I771" s="46"/>
      <c r="K771" s="124"/>
      <c r="O771" s="120"/>
    </row>
    <row r="772" spans="7:15" s="8" customFormat="1" x14ac:dyDescent="0.45">
      <c r="G772" s="37"/>
      <c r="I772" s="46"/>
      <c r="K772" s="124"/>
      <c r="O772" s="120"/>
    </row>
    <row r="773" spans="7:15" s="8" customFormat="1" x14ac:dyDescent="0.45">
      <c r="G773" s="37"/>
      <c r="I773" s="46"/>
      <c r="K773" s="124"/>
      <c r="O773" s="120"/>
    </row>
    <row r="774" spans="7:15" s="8" customFormat="1" x14ac:dyDescent="0.45">
      <c r="G774" s="37"/>
      <c r="I774" s="46"/>
      <c r="K774" s="124"/>
      <c r="O774" s="120"/>
    </row>
    <row r="775" spans="7:15" s="8" customFormat="1" x14ac:dyDescent="0.45">
      <c r="G775" s="37"/>
      <c r="I775" s="46"/>
      <c r="K775" s="124"/>
      <c r="O775" s="120"/>
    </row>
    <row r="776" spans="7:15" s="8" customFormat="1" x14ac:dyDescent="0.45">
      <c r="G776" s="37"/>
      <c r="I776" s="46"/>
      <c r="K776" s="124"/>
      <c r="O776" s="120"/>
    </row>
    <row r="777" spans="7:15" s="8" customFormat="1" x14ac:dyDescent="0.45">
      <c r="G777" s="37"/>
      <c r="I777" s="46"/>
      <c r="K777" s="124"/>
      <c r="O777" s="120"/>
    </row>
    <row r="778" spans="7:15" s="8" customFormat="1" x14ac:dyDescent="0.45">
      <c r="G778" s="37"/>
      <c r="I778" s="46"/>
      <c r="K778" s="124"/>
      <c r="O778" s="120"/>
    </row>
    <row r="779" spans="7:15" s="8" customFormat="1" x14ac:dyDescent="0.45">
      <c r="G779" s="37"/>
      <c r="I779" s="46"/>
      <c r="K779" s="124"/>
      <c r="O779" s="120"/>
    </row>
    <row r="780" spans="7:15" s="8" customFormat="1" x14ac:dyDescent="0.45">
      <c r="G780" s="37"/>
      <c r="I780" s="46"/>
      <c r="K780" s="124"/>
      <c r="O780" s="120"/>
    </row>
    <row r="781" spans="7:15" s="8" customFormat="1" x14ac:dyDescent="0.45">
      <c r="G781" s="37"/>
      <c r="I781" s="46"/>
      <c r="K781" s="124"/>
      <c r="O781" s="120"/>
    </row>
    <row r="782" spans="7:15" s="8" customFormat="1" x14ac:dyDescent="0.45">
      <c r="G782" s="37"/>
      <c r="I782" s="46"/>
      <c r="K782" s="124"/>
      <c r="O782" s="120"/>
    </row>
    <row r="783" spans="7:15" s="8" customFormat="1" x14ac:dyDescent="0.45">
      <c r="G783" s="37"/>
      <c r="I783" s="46"/>
      <c r="K783" s="124"/>
      <c r="O783" s="120"/>
    </row>
    <row r="784" spans="7:15" s="8" customFormat="1" x14ac:dyDescent="0.45">
      <c r="G784" s="37"/>
      <c r="I784" s="46"/>
      <c r="K784" s="124"/>
      <c r="O784" s="120"/>
    </row>
    <row r="785" spans="7:15" s="8" customFormat="1" x14ac:dyDescent="0.45">
      <c r="G785" s="37"/>
      <c r="I785" s="46"/>
      <c r="K785" s="124"/>
      <c r="O785" s="120"/>
    </row>
    <row r="786" spans="7:15" s="8" customFormat="1" x14ac:dyDescent="0.45">
      <c r="G786" s="37"/>
      <c r="I786" s="46"/>
      <c r="K786" s="124"/>
      <c r="O786" s="120"/>
    </row>
    <row r="787" spans="7:15" s="8" customFormat="1" x14ac:dyDescent="0.45">
      <c r="G787" s="37"/>
      <c r="I787" s="46"/>
      <c r="K787" s="124"/>
      <c r="O787" s="120"/>
    </row>
    <row r="788" spans="7:15" s="8" customFormat="1" x14ac:dyDescent="0.45">
      <c r="G788" s="37"/>
      <c r="I788" s="46"/>
      <c r="K788" s="124"/>
      <c r="O788" s="120"/>
    </row>
    <row r="789" spans="7:15" s="8" customFormat="1" x14ac:dyDescent="0.45">
      <c r="G789" s="37"/>
      <c r="I789" s="46"/>
      <c r="K789" s="124"/>
      <c r="O789" s="120"/>
    </row>
    <row r="790" spans="7:15" s="8" customFormat="1" x14ac:dyDescent="0.45">
      <c r="G790" s="37"/>
      <c r="I790" s="46"/>
      <c r="K790" s="124"/>
      <c r="O790" s="120"/>
    </row>
    <row r="791" spans="7:15" s="8" customFormat="1" x14ac:dyDescent="0.45">
      <c r="G791" s="37"/>
      <c r="I791" s="46"/>
      <c r="K791" s="124"/>
      <c r="O791" s="120"/>
    </row>
    <row r="792" spans="7:15" s="8" customFormat="1" x14ac:dyDescent="0.45">
      <c r="G792" s="37"/>
      <c r="I792" s="46"/>
      <c r="K792" s="124"/>
      <c r="O792" s="120"/>
    </row>
    <row r="793" spans="7:15" s="8" customFormat="1" x14ac:dyDescent="0.45">
      <c r="G793" s="37"/>
      <c r="I793" s="46"/>
      <c r="K793" s="124"/>
      <c r="O793" s="120"/>
    </row>
    <row r="794" spans="7:15" s="8" customFormat="1" x14ac:dyDescent="0.45">
      <c r="G794" s="37"/>
      <c r="I794" s="46"/>
      <c r="K794" s="124"/>
      <c r="O794" s="120"/>
    </row>
    <row r="795" spans="7:15" s="8" customFormat="1" x14ac:dyDescent="0.45">
      <c r="G795" s="37"/>
      <c r="I795" s="46"/>
      <c r="K795" s="124"/>
      <c r="O795" s="120"/>
    </row>
    <row r="796" spans="7:15" s="8" customFormat="1" x14ac:dyDescent="0.45">
      <c r="G796" s="37"/>
      <c r="I796" s="46"/>
      <c r="K796" s="124"/>
      <c r="O796" s="120"/>
    </row>
    <row r="797" spans="7:15" s="8" customFormat="1" x14ac:dyDescent="0.45">
      <c r="G797" s="37"/>
      <c r="I797" s="46"/>
      <c r="K797" s="124"/>
      <c r="O797" s="120"/>
    </row>
    <row r="798" spans="7:15" s="8" customFormat="1" x14ac:dyDescent="0.45">
      <c r="G798" s="37"/>
      <c r="I798" s="46"/>
      <c r="K798" s="124"/>
      <c r="O798" s="120"/>
    </row>
    <row r="799" spans="7:15" s="8" customFormat="1" x14ac:dyDescent="0.45">
      <c r="G799" s="37"/>
      <c r="I799" s="46"/>
      <c r="K799" s="124"/>
      <c r="O799" s="120"/>
    </row>
    <row r="800" spans="7:15" s="8" customFormat="1" x14ac:dyDescent="0.45">
      <c r="G800" s="37"/>
      <c r="I800" s="46"/>
      <c r="K800" s="124"/>
      <c r="O800" s="120"/>
    </row>
    <row r="801" spans="7:15" s="8" customFormat="1" x14ac:dyDescent="0.45">
      <c r="G801" s="37"/>
      <c r="I801" s="46"/>
      <c r="K801" s="124"/>
      <c r="O801" s="120"/>
    </row>
    <row r="802" spans="7:15" s="8" customFormat="1" x14ac:dyDescent="0.45">
      <c r="G802" s="37"/>
      <c r="I802" s="46"/>
      <c r="K802" s="124"/>
      <c r="O802" s="120"/>
    </row>
    <row r="803" spans="7:15" s="8" customFormat="1" x14ac:dyDescent="0.45">
      <c r="G803" s="37"/>
      <c r="I803" s="46"/>
      <c r="K803" s="124"/>
      <c r="O803" s="120"/>
    </row>
    <row r="804" spans="7:15" s="8" customFormat="1" x14ac:dyDescent="0.45">
      <c r="G804" s="37"/>
      <c r="I804" s="46"/>
      <c r="K804" s="124"/>
      <c r="O804" s="120"/>
    </row>
    <row r="805" spans="7:15" s="8" customFormat="1" x14ac:dyDescent="0.45">
      <c r="G805" s="37"/>
      <c r="I805" s="46"/>
      <c r="K805" s="124"/>
      <c r="O805" s="120"/>
    </row>
    <row r="806" spans="7:15" s="8" customFormat="1" x14ac:dyDescent="0.45">
      <c r="G806" s="37"/>
      <c r="I806" s="46"/>
      <c r="K806" s="124"/>
      <c r="O806" s="120"/>
    </row>
    <row r="807" spans="7:15" s="8" customFormat="1" x14ac:dyDescent="0.45">
      <c r="G807" s="37"/>
      <c r="I807" s="46"/>
      <c r="K807" s="124"/>
      <c r="O807" s="120"/>
    </row>
    <row r="808" spans="7:15" s="8" customFormat="1" x14ac:dyDescent="0.45">
      <c r="G808" s="37"/>
      <c r="I808" s="46"/>
      <c r="K808" s="124"/>
      <c r="O808" s="120"/>
    </row>
    <row r="809" spans="7:15" s="8" customFormat="1" x14ac:dyDescent="0.45">
      <c r="G809" s="37"/>
      <c r="I809" s="46"/>
      <c r="K809" s="124"/>
      <c r="O809" s="120"/>
    </row>
    <row r="810" spans="7:15" s="8" customFormat="1" x14ac:dyDescent="0.45">
      <c r="G810" s="37"/>
      <c r="I810" s="46"/>
      <c r="K810" s="124"/>
      <c r="O810" s="120"/>
    </row>
    <row r="811" spans="7:15" s="8" customFormat="1" x14ac:dyDescent="0.45">
      <c r="G811" s="37"/>
      <c r="I811" s="46"/>
      <c r="K811" s="124"/>
      <c r="O811" s="120"/>
    </row>
    <row r="812" spans="7:15" s="8" customFormat="1" x14ac:dyDescent="0.45">
      <c r="G812" s="37"/>
      <c r="I812" s="46"/>
      <c r="K812" s="124"/>
      <c r="O812" s="120"/>
    </row>
    <row r="813" spans="7:15" s="8" customFormat="1" x14ac:dyDescent="0.45">
      <c r="G813" s="37"/>
      <c r="I813" s="46"/>
      <c r="K813" s="124"/>
      <c r="O813" s="120"/>
    </row>
    <row r="814" spans="7:15" s="8" customFormat="1" x14ac:dyDescent="0.45">
      <c r="G814" s="37"/>
      <c r="I814" s="46"/>
      <c r="K814" s="124"/>
      <c r="O814" s="120"/>
    </row>
    <row r="815" spans="7:15" s="8" customFormat="1" x14ac:dyDescent="0.45">
      <c r="G815" s="37"/>
      <c r="I815" s="46"/>
      <c r="K815" s="124"/>
      <c r="O815" s="120"/>
    </row>
    <row r="816" spans="7:15" s="8" customFormat="1" x14ac:dyDescent="0.45">
      <c r="G816" s="37"/>
      <c r="I816" s="46"/>
      <c r="K816" s="124"/>
      <c r="O816" s="120"/>
    </row>
    <row r="817" spans="7:15" s="8" customFormat="1" x14ac:dyDescent="0.45">
      <c r="G817" s="37"/>
      <c r="I817" s="46"/>
      <c r="K817" s="124"/>
      <c r="O817" s="120"/>
    </row>
    <row r="818" spans="7:15" s="8" customFormat="1" x14ac:dyDescent="0.45">
      <c r="G818" s="37"/>
      <c r="I818" s="46"/>
      <c r="K818" s="124"/>
      <c r="O818" s="120"/>
    </row>
    <row r="819" spans="7:15" s="8" customFormat="1" x14ac:dyDescent="0.45">
      <c r="G819" s="37"/>
      <c r="I819" s="46"/>
      <c r="K819" s="124"/>
      <c r="O819" s="120"/>
    </row>
    <row r="820" spans="7:15" s="8" customFormat="1" x14ac:dyDescent="0.45">
      <c r="G820" s="37"/>
      <c r="I820" s="46"/>
      <c r="K820" s="124"/>
      <c r="O820" s="120"/>
    </row>
    <row r="821" spans="7:15" s="8" customFormat="1" x14ac:dyDescent="0.45">
      <c r="G821" s="37"/>
      <c r="I821" s="46"/>
      <c r="K821" s="124"/>
      <c r="O821" s="120"/>
    </row>
    <row r="822" spans="7:15" s="8" customFormat="1" x14ac:dyDescent="0.45">
      <c r="G822" s="37"/>
      <c r="I822" s="46"/>
      <c r="K822" s="124"/>
      <c r="O822" s="120"/>
    </row>
    <row r="823" spans="7:15" s="8" customFormat="1" x14ac:dyDescent="0.45">
      <c r="G823" s="37"/>
      <c r="I823" s="46"/>
      <c r="K823" s="124"/>
      <c r="O823" s="120"/>
    </row>
    <row r="824" spans="7:15" s="8" customFormat="1" x14ac:dyDescent="0.45">
      <c r="G824" s="37"/>
      <c r="I824" s="46"/>
      <c r="K824" s="124"/>
      <c r="O824" s="120"/>
    </row>
    <row r="825" spans="7:15" s="8" customFormat="1" x14ac:dyDescent="0.45">
      <c r="G825" s="37"/>
      <c r="I825" s="46"/>
      <c r="K825" s="124"/>
      <c r="O825" s="120"/>
    </row>
    <row r="826" spans="7:15" s="8" customFormat="1" x14ac:dyDescent="0.45">
      <c r="G826" s="37"/>
      <c r="I826" s="46"/>
      <c r="K826" s="124"/>
      <c r="O826" s="120"/>
    </row>
    <row r="827" spans="7:15" s="8" customFormat="1" x14ac:dyDescent="0.45">
      <c r="G827" s="37"/>
      <c r="I827" s="46"/>
      <c r="K827" s="124"/>
      <c r="O827" s="120"/>
    </row>
    <row r="828" spans="7:15" s="8" customFormat="1" x14ac:dyDescent="0.45">
      <c r="G828" s="37"/>
      <c r="I828" s="46"/>
      <c r="K828" s="124"/>
      <c r="O828" s="120"/>
    </row>
    <row r="829" spans="7:15" s="8" customFormat="1" x14ac:dyDescent="0.45">
      <c r="G829" s="37"/>
      <c r="I829" s="46"/>
      <c r="K829" s="124"/>
      <c r="O829" s="120"/>
    </row>
    <row r="830" spans="7:15" s="8" customFormat="1" x14ac:dyDescent="0.45">
      <c r="G830" s="37"/>
      <c r="I830" s="46"/>
      <c r="K830" s="124"/>
      <c r="O830" s="120"/>
    </row>
    <row r="831" spans="7:15" s="8" customFormat="1" x14ac:dyDescent="0.45">
      <c r="G831" s="37"/>
      <c r="I831" s="46"/>
      <c r="K831" s="124"/>
      <c r="O831" s="120"/>
    </row>
    <row r="832" spans="7:15" s="8" customFormat="1" x14ac:dyDescent="0.45">
      <c r="G832" s="37"/>
      <c r="I832" s="46"/>
      <c r="K832" s="124"/>
      <c r="O832" s="120"/>
    </row>
    <row r="833" spans="7:15" s="8" customFormat="1" x14ac:dyDescent="0.45">
      <c r="G833" s="37"/>
      <c r="I833" s="46"/>
      <c r="K833" s="124"/>
      <c r="O833" s="120"/>
    </row>
    <row r="834" spans="7:15" s="8" customFormat="1" x14ac:dyDescent="0.45">
      <c r="G834" s="37"/>
      <c r="I834" s="46"/>
      <c r="K834" s="124"/>
      <c r="O834" s="120"/>
    </row>
    <row r="835" spans="7:15" s="8" customFormat="1" x14ac:dyDescent="0.45">
      <c r="G835" s="37"/>
      <c r="I835" s="46"/>
      <c r="K835" s="124"/>
      <c r="O835" s="120"/>
    </row>
    <row r="836" spans="7:15" s="8" customFormat="1" x14ac:dyDescent="0.45">
      <c r="G836" s="37"/>
      <c r="I836" s="46"/>
      <c r="K836" s="124"/>
      <c r="O836" s="120"/>
    </row>
    <row r="837" spans="7:15" s="8" customFormat="1" x14ac:dyDescent="0.45">
      <c r="G837" s="37"/>
      <c r="I837" s="46"/>
      <c r="K837" s="124"/>
      <c r="O837" s="120"/>
    </row>
    <row r="838" spans="7:15" s="8" customFormat="1" x14ac:dyDescent="0.45">
      <c r="G838" s="37"/>
      <c r="I838" s="46"/>
      <c r="K838" s="124"/>
      <c r="O838" s="120"/>
    </row>
    <row r="839" spans="7:15" s="8" customFormat="1" x14ac:dyDescent="0.45">
      <c r="G839" s="37"/>
      <c r="I839" s="46"/>
      <c r="K839" s="124"/>
      <c r="O839" s="120"/>
    </row>
    <row r="840" spans="7:15" s="8" customFormat="1" x14ac:dyDescent="0.45">
      <c r="G840" s="37"/>
      <c r="I840" s="46"/>
      <c r="K840" s="124"/>
      <c r="O840" s="120"/>
    </row>
    <row r="841" spans="7:15" s="8" customFormat="1" x14ac:dyDescent="0.45">
      <c r="G841" s="37"/>
      <c r="I841" s="46"/>
      <c r="K841" s="124"/>
      <c r="O841" s="120"/>
    </row>
    <row r="842" spans="7:15" s="8" customFormat="1" x14ac:dyDescent="0.45">
      <c r="G842" s="37"/>
      <c r="I842" s="46"/>
      <c r="K842" s="124"/>
      <c r="O842" s="120"/>
    </row>
    <row r="843" spans="7:15" s="8" customFormat="1" x14ac:dyDescent="0.45">
      <c r="G843" s="37"/>
      <c r="I843" s="46"/>
      <c r="K843" s="124"/>
      <c r="O843" s="120"/>
    </row>
    <row r="844" spans="7:15" s="8" customFormat="1" x14ac:dyDescent="0.45">
      <c r="G844" s="37"/>
      <c r="I844" s="46"/>
      <c r="K844" s="124"/>
      <c r="O844" s="120"/>
    </row>
    <row r="845" spans="7:15" s="8" customFormat="1" x14ac:dyDescent="0.45">
      <c r="G845" s="37"/>
      <c r="I845" s="46"/>
      <c r="K845" s="124"/>
      <c r="O845" s="120"/>
    </row>
    <row r="846" spans="7:15" s="8" customFormat="1" x14ac:dyDescent="0.45">
      <c r="G846" s="37"/>
      <c r="I846" s="46"/>
      <c r="K846" s="124"/>
      <c r="O846" s="120"/>
    </row>
    <row r="847" spans="7:15" s="8" customFormat="1" x14ac:dyDescent="0.45">
      <c r="G847" s="37"/>
      <c r="I847" s="46"/>
      <c r="K847" s="124"/>
      <c r="O847" s="120"/>
    </row>
    <row r="848" spans="7:15" s="8" customFormat="1" x14ac:dyDescent="0.45">
      <c r="G848" s="37"/>
      <c r="I848" s="46"/>
      <c r="K848" s="124"/>
      <c r="O848" s="120"/>
    </row>
    <row r="849" spans="7:15" s="8" customFormat="1" x14ac:dyDescent="0.45">
      <c r="G849" s="37"/>
      <c r="I849" s="46"/>
      <c r="K849" s="124"/>
      <c r="O849" s="120"/>
    </row>
    <row r="850" spans="7:15" s="8" customFormat="1" x14ac:dyDescent="0.45">
      <c r="G850" s="37"/>
      <c r="I850" s="46"/>
      <c r="K850" s="124"/>
      <c r="O850" s="120"/>
    </row>
    <row r="851" spans="7:15" s="8" customFormat="1" x14ac:dyDescent="0.45">
      <c r="G851" s="37"/>
      <c r="I851" s="46"/>
      <c r="K851" s="124"/>
      <c r="O851" s="120"/>
    </row>
    <row r="852" spans="7:15" s="8" customFormat="1" x14ac:dyDescent="0.45">
      <c r="G852" s="37"/>
      <c r="I852" s="46"/>
      <c r="K852" s="124"/>
      <c r="O852" s="120"/>
    </row>
    <row r="853" spans="7:15" s="8" customFormat="1" x14ac:dyDescent="0.45">
      <c r="G853" s="37"/>
      <c r="I853" s="46"/>
      <c r="K853" s="124"/>
      <c r="O853" s="120"/>
    </row>
    <row r="854" spans="7:15" s="8" customFormat="1" x14ac:dyDescent="0.45">
      <c r="G854" s="37"/>
      <c r="I854" s="46"/>
      <c r="K854" s="124"/>
      <c r="O854" s="120"/>
    </row>
    <row r="855" spans="7:15" s="8" customFormat="1" x14ac:dyDescent="0.45">
      <c r="G855" s="37"/>
      <c r="I855" s="46"/>
      <c r="K855" s="124"/>
      <c r="O855" s="120"/>
    </row>
    <row r="856" spans="7:15" s="8" customFormat="1" x14ac:dyDescent="0.45">
      <c r="G856" s="37"/>
      <c r="I856" s="46"/>
      <c r="K856" s="124"/>
      <c r="O856" s="120"/>
    </row>
    <row r="857" spans="7:15" s="8" customFormat="1" x14ac:dyDescent="0.45">
      <c r="G857" s="37"/>
      <c r="I857" s="46"/>
      <c r="K857" s="124"/>
      <c r="O857" s="120"/>
    </row>
    <row r="858" spans="7:15" s="8" customFormat="1" x14ac:dyDescent="0.45">
      <c r="G858" s="37"/>
      <c r="I858" s="46"/>
      <c r="K858" s="124"/>
      <c r="O858" s="120"/>
    </row>
    <row r="859" spans="7:15" s="8" customFormat="1" x14ac:dyDescent="0.45">
      <c r="G859" s="37"/>
      <c r="I859" s="46"/>
      <c r="K859" s="124"/>
      <c r="O859" s="120"/>
    </row>
    <row r="860" spans="7:15" s="8" customFormat="1" x14ac:dyDescent="0.45">
      <c r="G860" s="37"/>
      <c r="I860" s="46"/>
      <c r="K860" s="124"/>
      <c r="O860" s="120"/>
    </row>
    <row r="861" spans="7:15" s="8" customFormat="1" x14ac:dyDescent="0.45">
      <c r="G861" s="37"/>
      <c r="I861" s="46"/>
      <c r="K861" s="124"/>
      <c r="O861" s="120"/>
    </row>
    <row r="862" spans="7:15" s="8" customFormat="1" x14ac:dyDescent="0.45">
      <c r="G862" s="37"/>
      <c r="I862" s="46"/>
      <c r="K862" s="124"/>
      <c r="O862" s="120"/>
    </row>
    <row r="863" spans="7:15" s="8" customFormat="1" x14ac:dyDescent="0.45">
      <c r="G863" s="37"/>
      <c r="I863" s="46"/>
      <c r="K863" s="124"/>
      <c r="O863" s="120"/>
    </row>
    <row r="864" spans="7:15" s="8" customFormat="1" x14ac:dyDescent="0.45">
      <c r="G864" s="37"/>
      <c r="I864" s="46"/>
      <c r="K864" s="124"/>
      <c r="O864" s="120"/>
    </row>
    <row r="865" spans="7:15" s="8" customFormat="1" x14ac:dyDescent="0.45">
      <c r="G865" s="37"/>
      <c r="I865" s="46"/>
      <c r="K865" s="124"/>
      <c r="O865" s="120"/>
    </row>
    <row r="866" spans="7:15" s="8" customFormat="1" x14ac:dyDescent="0.45">
      <c r="G866" s="37"/>
      <c r="I866" s="46"/>
      <c r="K866" s="124"/>
      <c r="O866" s="120"/>
    </row>
    <row r="867" spans="7:15" s="8" customFormat="1" x14ac:dyDescent="0.45">
      <c r="G867" s="37"/>
      <c r="I867" s="46"/>
      <c r="K867" s="124"/>
      <c r="O867" s="120"/>
    </row>
    <row r="868" spans="7:15" s="8" customFormat="1" x14ac:dyDescent="0.45">
      <c r="G868" s="37"/>
      <c r="I868" s="46"/>
      <c r="K868" s="124"/>
      <c r="O868" s="120"/>
    </row>
    <row r="869" spans="7:15" s="8" customFormat="1" x14ac:dyDescent="0.45">
      <c r="G869" s="37"/>
      <c r="I869" s="46"/>
      <c r="K869" s="124"/>
      <c r="O869" s="120"/>
    </row>
    <row r="870" spans="7:15" s="8" customFormat="1" x14ac:dyDescent="0.45">
      <c r="G870" s="37"/>
      <c r="I870" s="46"/>
      <c r="K870" s="124"/>
      <c r="O870" s="120"/>
    </row>
    <row r="871" spans="7:15" s="8" customFormat="1" x14ac:dyDescent="0.45">
      <c r="G871" s="37"/>
      <c r="I871" s="46"/>
      <c r="K871" s="124"/>
      <c r="O871" s="120"/>
    </row>
    <row r="872" spans="7:15" s="8" customFormat="1" x14ac:dyDescent="0.45">
      <c r="G872" s="37"/>
      <c r="I872" s="46"/>
      <c r="K872" s="124"/>
      <c r="O872" s="120"/>
    </row>
    <row r="873" spans="7:15" s="8" customFormat="1" x14ac:dyDescent="0.45">
      <c r="G873" s="37"/>
      <c r="I873" s="46"/>
      <c r="K873" s="124"/>
      <c r="O873" s="120"/>
    </row>
    <row r="874" spans="7:15" s="8" customFormat="1" x14ac:dyDescent="0.45">
      <c r="G874" s="37"/>
      <c r="I874" s="46"/>
      <c r="K874" s="124"/>
      <c r="O874" s="120"/>
    </row>
    <row r="875" spans="7:15" s="8" customFormat="1" x14ac:dyDescent="0.45">
      <c r="G875" s="37"/>
      <c r="I875" s="46"/>
      <c r="K875" s="124"/>
      <c r="O875" s="120"/>
    </row>
    <row r="876" spans="7:15" s="8" customFormat="1" x14ac:dyDescent="0.45">
      <c r="G876" s="37"/>
      <c r="I876" s="46"/>
      <c r="K876" s="124"/>
      <c r="O876" s="120"/>
    </row>
    <row r="877" spans="7:15" s="8" customFormat="1" x14ac:dyDescent="0.45">
      <c r="G877" s="37"/>
      <c r="I877" s="46"/>
      <c r="K877" s="124"/>
      <c r="O877" s="120"/>
    </row>
    <row r="878" spans="7:15" s="8" customFormat="1" x14ac:dyDescent="0.45">
      <c r="G878" s="37"/>
      <c r="I878" s="46"/>
      <c r="K878" s="124"/>
      <c r="O878" s="120"/>
    </row>
    <row r="879" spans="7:15" s="8" customFormat="1" x14ac:dyDescent="0.45">
      <c r="G879" s="37"/>
      <c r="I879" s="46"/>
      <c r="K879" s="124"/>
      <c r="O879" s="120"/>
    </row>
    <row r="880" spans="7:15" s="8" customFormat="1" x14ac:dyDescent="0.45">
      <c r="G880" s="37"/>
      <c r="I880" s="46"/>
      <c r="K880" s="124"/>
      <c r="O880" s="120"/>
    </row>
    <row r="881" spans="7:15" s="8" customFormat="1" x14ac:dyDescent="0.45">
      <c r="G881" s="37"/>
      <c r="I881" s="46"/>
      <c r="K881" s="124"/>
      <c r="O881" s="120"/>
    </row>
    <row r="882" spans="7:15" s="8" customFormat="1" x14ac:dyDescent="0.45">
      <c r="G882" s="37"/>
      <c r="I882" s="46"/>
      <c r="K882" s="124"/>
      <c r="O882" s="120"/>
    </row>
    <row r="883" spans="7:15" s="8" customFormat="1" x14ac:dyDescent="0.45">
      <c r="G883" s="37"/>
      <c r="I883" s="46"/>
      <c r="K883" s="124"/>
      <c r="O883" s="120"/>
    </row>
    <row r="884" spans="7:15" s="8" customFormat="1" x14ac:dyDescent="0.45">
      <c r="G884" s="37"/>
      <c r="I884" s="46"/>
      <c r="K884" s="124"/>
      <c r="O884" s="120"/>
    </row>
    <row r="885" spans="7:15" s="8" customFormat="1" x14ac:dyDescent="0.45">
      <c r="G885" s="37"/>
      <c r="I885" s="46"/>
      <c r="K885" s="124"/>
      <c r="O885" s="120"/>
    </row>
    <row r="886" spans="7:15" s="8" customFormat="1" x14ac:dyDescent="0.45">
      <c r="G886" s="37"/>
      <c r="I886" s="46"/>
      <c r="K886" s="124"/>
      <c r="O886" s="120"/>
    </row>
    <row r="887" spans="7:15" s="8" customFormat="1" x14ac:dyDescent="0.45">
      <c r="G887" s="37"/>
      <c r="I887" s="46"/>
      <c r="K887" s="124"/>
      <c r="O887" s="120"/>
    </row>
    <row r="888" spans="7:15" s="8" customFormat="1" x14ac:dyDescent="0.45">
      <c r="G888" s="37"/>
      <c r="I888" s="46"/>
      <c r="K888" s="124"/>
      <c r="O888" s="120"/>
    </row>
    <row r="889" spans="7:15" s="8" customFormat="1" x14ac:dyDescent="0.45">
      <c r="G889" s="37"/>
      <c r="I889" s="46"/>
      <c r="K889" s="124"/>
      <c r="O889" s="120"/>
    </row>
    <row r="890" spans="7:15" s="8" customFormat="1" x14ac:dyDescent="0.45">
      <c r="G890" s="37"/>
      <c r="I890" s="46"/>
      <c r="K890" s="124"/>
      <c r="O890" s="120"/>
    </row>
    <row r="891" spans="7:15" s="8" customFormat="1" x14ac:dyDescent="0.45">
      <c r="G891" s="37"/>
      <c r="I891" s="46"/>
      <c r="K891" s="124"/>
      <c r="O891" s="120"/>
    </row>
    <row r="892" spans="7:15" s="8" customFormat="1" x14ac:dyDescent="0.45">
      <c r="G892" s="37"/>
      <c r="I892" s="46"/>
      <c r="K892" s="124"/>
      <c r="O892" s="120"/>
    </row>
    <row r="893" spans="7:15" s="8" customFormat="1" x14ac:dyDescent="0.45">
      <c r="G893" s="37"/>
      <c r="I893" s="46"/>
      <c r="K893" s="124"/>
      <c r="O893" s="120"/>
    </row>
    <row r="894" spans="7:15" s="8" customFormat="1" x14ac:dyDescent="0.45">
      <c r="G894" s="37"/>
      <c r="I894" s="46"/>
      <c r="K894" s="124"/>
      <c r="O894" s="120"/>
    </row>
    <row r="895" spans="7:15" s="8" customFormat="1" x14ac:dyDescent="0.45">
      <c r="G895" s="37"/>
      <c r="I895" s="46"/>
      <c r="K895" s="124"/>
      <c r="O895" s="120"/>
    </row>
    <row r="896" spans="7:15" s="8" customFormat="1" x14ac:dyDescent="0.45">
      <c r="G896" s="37"/>
      <c r="I896" s="46"/>
      <c r="K896" s="124"/>
      <c r="O896" s="120"/>
    </row>
    <row r="897" spans="7:15" s="8" customFormat="1" x14ac:dyDescent="0.45">
      <c r="G897" s="37"/>
      <c r="I897" s="46"/>
      <c r="K897" s="124"/>
      <c r="O897" s="120"/>
    </row>
    <row r="898" spans="7:15" s="8" customFormat="1" x14ac:dyDescent="0.45">
      <c r="G898" s="37"/>
      <c r="I898" s="46"/>
      <c r="K898" s="124"/>
      <c r="O898" s="120"/>
    </row>
    <row r="899" spans="7:15" s="8" customFormat="1" x14ac:dyDescent="0.45">
      <c r="G899" s="37"/>
      <c r="I899" s="46"/>
      <c r="K899" s="124"/>
      <c r="O899" s="120"/>
    </row>
    <row r="900" spans="7:15" s="8" customFormat="1" x14ac:dyDescent="0.45">
      <c r="G900" s="37"/>
      <c r="I900" s="46"/>
      <c r="K900" s="124"/>
      <c r="O900" s="120"/>
    </row>
    <row r="901" spans="7:15" s="8" customFormat="1" x14ac:dyDescent="0.45">
      <c r="G901" s="37"/>
      <c r="I901" s="46"/>
      <c r="K901" s="124"/>
      <c r="O901" s="120"/>
    </row>
    <row r="902" spans="7:15" s="8" customFormat="1" x14ac:dyDescent="0.45">
      <c r="G902" s="37"/>
      <c r="I902" s="46"/>
      <c r="K902" s="124"/>
      <c r="O902" s="120"/>
    </row>
    <row r="903" spans="7:15" s="8" customFormat="1" x14ac:dyDescent="0.45">
      <c r="G903" s="37"/>
      <c r="I903" s="46"/>
      <c r="K903" s="124"/>
      <c r="O903" s="120"/>
    </row>
    <row r="904" spans="7:15" s="8" customFormat="1" x14ac:dyDescent="0.45">
      <c r="G904" s="37"/>
      <c r="I904" s="46"/>
      <c r="K904" s="124"/>
      <c r="O904" s="120"/>
    </row>
    <row r="905" spans="7:15" s="8" customFormat="1" x14ac:dyDescent="0.45">
      <c r="G905" s="37"/>
      <c r="I905" s="46"/>
      <c r="K905" s="124"/>
      <c r="O905" s="120"/>
    </row>
    <row r="906" spans="7:15" s="8" customFormat="1" x14ac:dyDescent="0.45">
      <c r="G906" s="37"/>
      <c r="I906" s="46"/>
      <c r="K906" s="124"/>
      <c r="O906" s="120"/>
    </row>
    <row r="907" spans="7:15" s="8" customFormat="1" x14ac:dyDescent="0.45">
      <c r="G907" s="37"/>
      <c r="I907" s="46"/>
      <c r="K907" s="124"/>
      <c r="O907" s="120"/>
    </row>
    <row r="908" spans="7:15" s="8" customFormat="1" x14ac:dyDescent="0.45">
      <c r="G908" s="37"/>
      <c r="I908" s="46"/>
      <c r="K908" s="124"/>
      <c r="O908" s="120"/>
    </row>
    <row r="909" spans="7:15" s="8" customFormat="1" x14ac:dyDescent="0.45">
      <c r="G909" s="37"/>
      <c r="I909" s="46"/>
      <c r="K909" s="124"/>
      <c r="O909" s="120"/>
    </row>
    <row r="910" spans="7:15" s="8" customFormat="1" x14ac:dyDescent="0.45">
      <c r="G910" s="37"/>
      <c r="I910" s="46"/>
      <c r="K910" s="124"/>
      <c r="O910" s="120"/>
    </row>
    <row r="911" spans="7:15" s="8" customFormat="1" x14ac:dyDescent="0.45">
      <c r="G911" s="37"/>
      <c r="I911" s="46"/>
      <c r="K911" s="124"/>
      <c r="O911" s="120"/>
    </row>
    <row r="912" spans="7:15" s="8" customFormat="1" x14ac:dyDescent="0.45">
      <c r="G912" s="37"/>
      <c r="I912" s="46"/>
      <c r="K912" s="124"/>
      <c r="O912" s="120"/>
    </row>
    <row r="913" spans="7:15" s="8" customFormat="1" x14ac:dyDescent="0.45">
      <c r="G913" s="37"/>
      <c r="I913" s="46"/>
      <c r="K913" s="124"/>
      <c r="O913" s="120"/>
    </row>
    <row r="914" spans="7:15" s="8" customFormat="1" x14ac:dyDescent="0.45">
      <c r="G914" s="37"/>
      <c r="I914" s="46"/>
      <c r="K914" s="124"/>
      <c r="O914" s="120"/>
    </row>
    <row r="915" spans="7:15" s="8" customFormat="1" x14ac:dyDescent="0.45">
      <c r="G915" s="37"/>
      <c r="I915" s="46"/>
      <c r="K915" s="124"/>
      <c r="O915" s="120"/>
    </row>
    <row r="916" spans="7:15" s="8" customFormat="1" x14ac:dyDescent="0.45">
      <c r="G916" s="37"/>
      <c r="I916" s="46"/>
      <c r="K916" s="124"/>
      <c r="O916" s="120"/>
    </row>
    <row r="917" spans="7:15" s="8" customFormat="1" x14ac:dyDescent="0.45">
      <c r="G917" s="37"/>
      <c r="I917" s="46"/>
      <c r="K917" s="124"/>
      <c r="O917" s="120"/>
    </row>
    <row r="918" spans="7:15" s="8" customFormat="1" x14ac:dyDescent="0.45">
      <c r="G918" s="37"/>
      <c r="I918" s="46"/>
      <c r="K918" s="124"/>
      <c r="O918" s="120"/>
    </row>
    <row r="919" spans="7:15" s="8" customFormat="1" x14ac:dyDescent="0.45">
      <c r="G919" s="37"/>
      <c r="I919" s="46"/>
      <c r="K919" s="124"/>
      <c r="O919" s="120"/>
    </row>
    <row r="920" spans="7:15" s="8" customFormat="1" x14ac:dyDescent="0.45">
      <c r="G920" s="37"/>
      <c r="I920" s="46"/>
      <c r="K920" s="124"/>
      <c r="O920" s="120"/>
    </row>
    <row r="921" spans="7:15" s="8" customFormat="1" x14ac:dyDescent="0.45">
      <c r="G921" s="37"/>
      <c r="I921" s="46"/>
      <c r="K921" s="124"/>
      <c r="O921" s="120"/>
    </row>
    <row r="922" spans="7:15" s="8" customFormat="1" x14ac:dyDescent="0.45">
      <c r="G922" s="37"/>
      <c r="I922" s="46"/>
      <c r="K922" s="124"/>
      <c r="O922" s="120"/>
    </row>
    <row r="923" spans="7:15" s="8" customFormat="1" x14ac:dyDescent="0.45">
      <c r="G923" s="37"/>
      <c r="I923" s="46"/>
      <c r="K923" s="124"/>
      <c r="O923" s="120"/>
    </row>
    <row r="924" spans="7:15" s="8" customFormat="1" x14ac:dyDescent="0.45">
      <c r="G924" s="37"/>
      <c r="I924" s="46"/>
      <c r="K924" s="124"/>
      <c r="O924" s="120"/>
    </row>
    <row r="925" spans="7:15" s="8" customFormat="1" x14ac:dyDescent="0.45">
      <c r="G925" s="37"/>
      <c r="I925" s="46"/>
      <c r="K925" s="124"/>
      <c r="O925" s="120"/>
    </row>
    <row r="926" spans="7:15" s="8" customFormat="1" x14ac:dyDescent="0.45">
      <c r="G926" s="37"/>
      <c r="I926" s="46"/>
      <c r="K926" s="124"/>
      <c r="O926" s="120"/>
    </row>
    <row r="927" spans="7:15" s="8" customFormat="1" x14ac:dyDescent="0.45">
      <c r="G927" s="37"/>
      <c r="I927" s="46"/>
      <c r="K927" s="124"/>
      <c r="O927" s="120"/>
    </row>
    <row r="928" spans="7:15" s="8" customFormat="1" x14ac:dyDescent="0.45">
      <c r="G928" s="37"/>
      <c r="I928" s="46"/>
      <c r="K928" s="124"/>
      <c r="O928" s="120"/>
    </row>
    <row r="929" spans="7:15" s="8" customFormat="1" x14ac:dyDescent="0.45">
      <c r="G929" s="37"/>
      <c r="I929" s="46"/>
      <c r="K929" s="124"/>
      <c r="O929" s="120"/>
    </row>
    <row r="930" spans="7:15" s="8" customFormat="1" x14ac:dyDescent="0.45">
      <c r="G930" s="37"/>
      <c r="I930" s="46"/>
      <c r="K930" s="124"/>
      <c r="O930" s="120"/>
    </row>
    <row r="931" spans="7:15" s="8" customFormat="1" x14ac:dyDescent="0.45">
      <c r="G931" s="37"/>
      <c r="I931" s="46"/>
      <c r="K931" s="124"/>
      <c r="O931" s="120"/>
    </row>
    <row r="932" spans="7:15" s="8" customFormat="1" x14ac:dyDescent="0.45">
      <c r="G932" s="37"/>
      <c r="I932" s="46"/>
      <c r="K932" s="124"/>
      <c r="O932" s="120"/>
    </row>
    <row r="933" spans="7:15" s="8" customFormat="1" x14ac:dyDescent="0.45">
      <c r="G933" s="37"/>
      <c r="I933" s="46"/>
      <c r="K933" s="124"/>
      <c r="O933" s="120"/>
    </row>
    <row r="934" spans="7:15" s="8" customFormat="1" x14ac:dyDescent="0.45">
      <c r="G934" s="37"/>
      <c r="I934" s="46"/>
      <c r="K934" s="124"/>
      <c r="O934" s="120"/>
    </row>
    <row r="935" spans="7:15" s="8" customFormat="1" x14ac:dyDescent="0.45">
      <c r="G935" s="37"/>
      <c r="I935" s="46"/>
      <c r="K935" s="124"/>
      <c r="O935" s="120"/>
    </row>
    <row r="936" spans="7:15" s="8" customFormat="1" x14ac:dyDescent="0.45">
      <c r="G936" s="37"/>
      <c r="I936" s="46"/>
      <c r="K936" s="124"/>
      <c r="O936" s="120"/>
    </row>
    <row r="937" spans="7:15" s="8" customFormat="1" x14ac:dyDescent="0.45">
      <c r="G937" s="37"/>
      <c r="I937" s="46"/>
      <c r="K937" s="124"/>
      <c r="O937" s="120"/>
    </row>
    <row r="938" spans="7:15" s="8" customFormat="1" x14ac:dyDescent="0.45">
      <c r="G938" s="37"/>
      <c r="I938" s="46"/>
      <c r="K938" s="124"/>
      <c r="O938" s="120"/>
    </row>
    <row r="939" spans="7:15" s="8" customFormat="1" x14ac:dyDescent="0.45">
      <c r="G939" s="37"/>
      <c r="I939" s="46"/>
      <c r="K939" s="124"/>
      <c r="O939" s="120"/>
    </row>
    <row r="940" spans="7:15" s="8" customFormat="1" x14ac:dyDescent="0.45">
      <c r="G940" s="37"/>
      <c r="I940" s="46"/>
      <c r="K940" s="124"/>
      <c r="O940" s="120"/>
    </row>
    <row r="941" spans="7:15" s="8" customFormat="1" x14ac:dyDescent="0.45">
      <c r="G941" s="37"/>
      <c r="I941" s="46"/>
      <c r="K941" s="124"/>
      <c r="O941" s="120"/>
    </row>
    <row r="942" spans="7:15" s="8" customFormat="1" x14ac:dyDescent="0.45">
      <c r="G942" s="37"/>
      <c r="I942" s="46"/>
      <c r="K942" s="124"/>
      <c r="O942" s="120"/>
    </row>
    <row r="943" spans="7:15" s="8" customFormat="1" x14ac:dyDescent="0.45">
      <c r="G943" s="37"/>
      <c r="I943" s="46"/>
      <c r="K943" s="124"/>
      <c r="O943" s="120"/>
    </row>
    <row r="944" spans="7:15" s="8" customFormat="1" x14ac:dyDescent="0.45">
      <c r="G944" s="37"/>
      <c r="I944" s="46"/>
      <c r="K944" s="124"/>
      <c r="O944" s="120"/>
    </row>
    <row r="945" spans="7:15" s="8" customFormat="1" x14ac:dyDescent="0.45">
      <c r="G945" s="37"/>
      <c r="I945" s="46"/>
      <c r="K945" s="124"/>
      <c r="O945" s="120"/>
    </row>
    <row r="946" spans="7:15" s="8" customFormat="1" x14ac:dyDescent="0.45">
      <c r="G946" s="37"/>
      <c r="I946" s="46"/>
      <c r="K946" s="124"/>
      <c r="O946" s="120"/>
    </row>
    <row r="947" spans="7:15" s="8" customFormat="1" x14ac:dyDescent="0.45">
      <c r="G947" s="37"/>
      <c r="I947" s="46"/>
      <c r="K947" s="124"/>
      <c r="O947" s="120"/>
    </row>
    <row r="948" spans="7:15" s="8" customFormat="1" x14ac:dyDescent="0.45">
      <c r="G948" s="37"/>
      <c r="I948" s="46"/>
      <c r="K948" s="124"/>
      <c r="O948" s="120"/>
    </row>
    <row r="949" spans="7:15" s="8" customFormat="1" x14ac:dyDescent="0.45">
      <c r="G949" s="37"/>
      <c r="I949" s="46"/>
      <c r="K949" s="124"/>
      <c r="O949" s="120"/>
    </row>
    <row r="950" spans="7:15" s="8" customFormat="1" x14ac:dyDescent="0.45">
      <c r="G950" s="37"/>
      <c r="I950" s="46"/>
      <c r="K950" s="124"/>
      <c r="O950" s="120"/>
    </row>
    <row r="951" spans="7:15" s="8" customFormat="1" x14ac:dyDescent="0.45">
      <c r="G951" s="37"/>
      <c r="I951" s="46"/>
      <c r="K951" s="124"/>
      <c r="O951" s="120"/>
    </row>
    <row r="952" spans="7:15" s="8" customFormat="1" x14ac:dyDescent="0.45">
      <c r="G952" s="37"/>
      <c r="I952" s="46"/>
      <c r="K952" s="124"/>
      <c r="O952" s="120"/>
    </row>
    <row r="953" spans="7:15" s="8" customFormat="1" x14ac:dyDescent="0.45">
      <c r="G953" s="37"/>
      <c r="I953" s="46"/>
      <c r="K953" s="124"/>
      <c r="O953" s="120"/>
    </row>
    <row r="954" spans="7:15" s="8" customFormat="1" x14ac:dyDescent="0.45">
      <c r="G954" s="37"/>
      <c r="I954" s="46"/>
      <c r="K954" s="124"/>
      <c r="O954" s="120"/>
    </row>
    <row r="955" spans="7:15" s="8" customFormat="1" x14ac:dyDescent="0.45">
      <c r="G955" s="37"/>
      <c r="I955" s="46"/>
      <c r="K955" s="124"/>
      <c r="O955" s="120"/>
    </row>
    <row r="956" spans="7:15" s="8" customFormat="1" x14ac:dyDescent="0.45">
      <c r="G956" s="37"/>
      <c r="I956" s="46"/>
      <c r="K956" s="124"/>
      <c r="O956" s="120"/>
    </row>
    <row r="957" spans="7:15" s="8" customFormat="1" x14ac:dyDescent="0.45">
      <c r="G957" s="37"/>
      <c r="I957" s="46"/>
      <c r="K957" s="124"/>
      <c r="O957" s="120"/>
    </row>
    <row r="958" spans="7:15" s="8" customFormat="1" x14ac:dyDescent="0.45">
      <c r="G958" s="37"/>
      <c r="I958" s="46"/>
      <c r="K958" s="124"/>
      <c r="O958" s="120"/>
    </row>
    <row r="959" spans="7:15" s="8" customFormat="1" x14ac:dyDescent="0.45">
      <c r="G959" s="37"/>
      <c r="I959" s="46"/>
      <c r="K959" s="124"/>
      <c r="O959" s="120"/>
    </row>
    <row r="960" spans="7:15" s="8" customFormat="1" x14ac:dyDescent="0.45">
      <c r="G960" s="37"/>
      <c r="I960" s="46"/>
      <c r="K960" s="124"/>
      <c r="O960" s="120"/>
    </row>
    <row r="961" spans="7:15" s="8" customFormat="1" x14ac:dyDescent="0.45">
      <c r="G961" s="37"/>
      <c r="I961" s="46"/>
      <c r="K961" s="124"/>
      <c r="O961" s="120"/>
    </row>
    <row r="962" spans="7:15" s="8" customFormat="1" x14ac:dyDescent="0.45">
      <c r="G962" s="37"/>
      <c r="I962" s="46"/>
      <c r="K962" s="124"/>
      <c r="O962" s="120"/>
    </row>
    <row r="963" spans="7:15" s="8" customFormat="1" x14ac:dyDescent="0.45">
      <c r="G963" s="37"/>
      <c r="I963" s="46"/>
      <c r="K963" s="124"/>
      <c r="O963" s="120"/>
    </row>
    <row r="964" spans="7:15" s="8" customFormat="1" x14ac:dyDescent="0.45">
      <c r="G964" s="37"/>
      <c r="I964" s="46"/>
      <c r="K964" s="124"/>
      <c r="O964" s="120"/>
    </row>
    <row r="965" spans="7:15" s="8" customFormat="1" x14ac:dyDescent="0.45">
      <c r="G965" s="37"/>
      <c r="I965" s="46"/>
      <c r="K965" s="124"/>
      <c r="O965" s="120"/>
    </row>
    <row r="966" spans="7:15" s="8" customFormat="1" x14ac:dyDescent="0.45">
      <c r="G966" s="37"/>
      <c r="I966" s="46"/>
      <c r="K966" s="124"/>
      <c r="O966" s="120"/>
    </row>
    <row r="967" spans="7:15" s="8" customFormat="1" x14ac:dyDescent="0.45">
      <c r="G967" s="37"/>
      <c r="I967" s="46"/>
      <c r="K967" s="124"/>
      <c r="O967" s="120"/>
    </row>
    <row r="968" spans="7:15" s="8" customFormat="1" x14ac:dyDescent="0.45">
      <c r="G968" s="37"/>
      <c r="I968" s="46"/>
      <c r="K968" s="124"/>
      <c r="O968" s="120"/>
    </row>
    <row r="969" spans="7:15" s="8" customFormat="1" x14ac:dyDescent="0.45">
      <c r="G969" s="37"/>
      <c r="I969" s="46"/>
      <c r="K969" s="124"/>
      <c r="O969" s="120"/>
    </row>
    <row r="970" spans="7:15" s="8" customFormat="1" x14ac:dyDescent="0.45">
      <c r="G970" s="37"/>
      <c r="I970" s="46"/>
      <c r="K970" s="124"/>
      <c r="O970" s="120"/>
    </row>
    <row r="971" spans="7:15" s="8" customFormat="1" x14ac:dyDescent="0.45">
      <c r="G971" s="37"/>
      <c r="I971" s="46"/>
      <c r="K971" s="124"/>
      <c r="O971" s="120"/>
    </row>
    <row r="972" spans="7:15" s="8" customFormat="1" x14ac:dyDescent="0.45">
      <c r="G972" s="37"/>
      <c r="I972" s="46"/>
      <c r="K972" s="124"/>
      <c r="O972" s="120"/>
    </row>
    <row r="973" spans="7:15" s="8" customFormat="1" x14ac:dyDescent="0.45">
      <c r="G973" s="37"/>
      <c r="I973" s="46"/>
      <c r="K973" s="124"/>
      <c r="O973" s="120"/>
    </row>
    <row r="974" spans="7:15" s="8" customFormat="1" x14ac:dyDescent="0.45">
      <c r="G974" s="37"/>
      <c r="I974" s="46"/>
      <c r="K974" s="124"/>
      <c r="O974" s="120"/>
    </row>
    <row r="975" spans="7:15" s="8" customFormat="1" x14ac:dyDescent="0.45">
      <c r="G975" s="37"/>
      <c r="I975" s="46"/>
      <c r="K975" s="124"/>
      <c r="O975" s="120"/>
    </row>
    <row r="976" spans="7:15" s="8" customFormat="1" x14ac:dyDescent="0.45">
      <c r="G976" s="37"/>
      <c r="I976" s="46"/>
      <c r="K976" s="124"/>
      <c r="O976" s="120"/>
    </row>
    <row r="977" spans="7:15" s="8" customFormat="1" x14ac:dyDescent="0.45">
      <c r="G977" s="37"/>
      <c r="I977" s="46"/>
      <c r="K977" s="124"/>
      <c r="O977" s="120"/>
    </row>
    <row r="978" spans="7:15" s="8" customFormat="1" x14ac:dyDescent="0.45">
      <c r="G978" s="37"/>
      <c r="I978" s="46"/>
      <c r="K978" s="124"/>
      <c r="O978" s="120"/>
    </row>
    <row r="979" spans="7:15" s="8" customFormat="1" x14ac:dyDescent="0.45">
      <c r="G979" s="37"/>
      <c r="I979" s="46"/>
      <c r="K979" s="124"/>
      <c r="O979" s="120"/>
    </row>
    <row r="980" spans="7:15" s="8" customFormat="1" x14ac:dyDescent="0.45">
      <c r="G980" s="37"/>
      <c r="I980" s="46"/>
      <c r="K980" s="124"/>
      <c r="O980" s="120"/>
    </row>
    <row r="981" spans="7:15" s="8" customFormat="1" x14ac:dyDescent="0.45">
      <c r="G981" s="37"/>
      <c r="I981" s="46"/>
      <c r="K981" s="124"/>
      <c r="O981" s="120"/>
    </row>
    <row r="982" spans="7:15" s="8" customFormat="1" x14ac:dyDescent="0.45">
      <c r="G982" s="37"/>
      <c r="I982" s="46"/>
      <c r="K982" s="124"/>
      <c r="O982" s="120"/>
    </row>
    <row r="983" spans="7:15" s="8" customFormat="1" x14ac:dyDescent="0.45">
      <c r="G983" s="37"/>
      <c r="I983" s="46"/>
      <c r="K983" s="124"/>
      <c r="O983" s="120"/>
    </row>
    <row r="984" spans="7:15" s="8" customFormat="1" x14ac:dyDescent="0.45">
      <c r="G984" s="37"/>
      <c r="I984" s="46"/>
      <c r="K984" s="124"/>
      <c r="O984" s="120"/>
    </row>
    <row r="985" spans="7:15" s="8" customFormat="1" x14ac:dyDescent="0.45">
      <c r="G985" s="37"/>
      <c r="I985" s="46"/>
      <c r="K985" s="124"/>
      <c r="O985" s="120"/>
    </row>
    <row r="986" spans="7:15" s="8" customFormat="1" x14ac:dyDescent="0.45">
      <c r="G986" s="37"/>
      <c r="I986" s="46"/>
      <c r="K986" s="124"/>
      <c r="O986" s="120"/>
    </row>
    <row r="987" spans="7:15" s="8" customFormat="1" x14ac:dyDescent="0.45">
      <c r="G987" s="37"/>
      <c r="I987" s="46"/>
      <c r="K987" s="124"/>
      <c r="O987" s="120"/>
    </row>
    <row r="988" spans="7:15" s="8" customFormat="1" x14ac:dyDescent="0.45">
      <c r="G988" s="37"/>
      <c r="I988" s="46"/>
      <c r="K988" s="124"/>
      <c r="O988" s="120"/>
    </row>
    <row r="989" spans="7:15" s="8" customFormat="1" x14ac:dyDescent="0.45">
      <c r="G989" s="37"/>
      <c r="I989" s="46"/>
      <c r="K989" s="124"/>
      <c r="O989" s="120"/>
    </row>
    <row r="990" spans="7:15" s="8" customFormat="1" x14ac:dyDescent="0.45">
      <c r="G990" s="37"/>
      <c r="I990" s="46"/>
      <c r="K990" s="124"/>
      <c r="O990" s="120"/>
    </row>
    <row r="991" spans="7:15" s="8" customFormat="1" x14ac:dyDescent="0.45">
      <c r="G991" s="37"/>
      <c r="I991" s="46"/>
      <c r="K991" s="124"/>
      <c r="O991" s="120"/>
    </row>
    <row r="992" spans="7:15" s="8" customFormat="1" x14ac:dyDescent="0.45">
      <c r="G992" s="37"/>
      <c r="I992" s="46"/>
      <c r="K992" s="124"/>
      <c r="O992" s="120"/>
    </row>
    <row r="993" spans="7:15" s="8" customFormat="1" x14ac:dyDescent="0.45">
      <c r="G993" s="37"/>
      <c r="I993" s="46"/>
      <c r="K993" s="124"/>
      <c r="O993" s="120"/>
    </row>
    <row r="994" spans="7:15" s="8" customFormat="1" x14ac:dyDescent="0.45">
      <c r="G994" s="37"/>
      <c r="I994" s="46"/>
      <c r="K994" s="124"/>
      <c r="O994" s="120"/>
    </row>
    <row r="995" spans="7:15" s="8" customFormat="1" x14ac:dyDescent="0.45">
      <c r="G995" s="37"/>
      <c r="I995" s="46"/>
      <c r="K995" s="124"/>
      <c r="O995" s="120"/>
    </row>
    <row r="996" spans="7:15" s="8" customFormat="1" x14ac:dyDescent="0.45">
      <c r="G996" s="37"/>
      <c r="I996" s="46"/>
      <c r="K996" s="124"/>
      <c r="O996" s="120"/>
    </row>
    <row r="997" spans="7:15" s="8" customFormat="1" x14ac:dyDescent="0.45">
      <c r="G997" s="37"/>
      <c r="I997" s="46"/>
      <c r="K997" s="124"/>
      <c r="O997" s="120"/>
    </row>
    <row r="998" spans="7:15" s="8" customFormat="1" x14ac:dyDescent="0.45">
      <c r="G998" s="37"/>
      <c r="I998" s="46"/>
      <c r="K998" s="124"/>
      <c r="O998" s="120"/>
    </row>
    <row r="999" spans="7:15" s="8" customFormat="1" x14ac:dyDescent="0.45">
      <c r="G999" s="37"/>
      <c r="I999" s="46"/>
      <c r="K999" s="124"/>
      <c r="O999" s="120"/>
    </row>
    <row r="1000" spans="7:15" s="8" customFormat="1" x14ac:dyDescent="0.45">
      <c r="G1000" s="37"/>
      <c r="I1000" s="46"/>
      <c r="K1000" s="124"/>
      <c r="O1000" s="120"/>
    </row>
  </sheetData>
  <sheetProtection algorithmName="SHA-512" hashValue="xgSsCOtSQMTIJrE5sJacXpA52VIQL14cn69NyFO3gVyNbYk50n6d3ubRbywD34ZvxS+jvqfPGfvK/oXagvUIlQ==" saltValue="e7AlR52FretOWFu84Mj+HQ==" spinCount="100000" sheet="1" objects="1" scenarios="1" selectLockedCells="1"/>
  <mergeCells count="2">
    <mergeCell ref="A1:P1"/>
    <mergeCell ref="A2:P2"/>
  </mergeCells>
  <conditionalFormatting sqref="H20">
    <cfRule type="expression" priority="2">
      <formula>AND($K7="",$M7="")</formula>
    </cfRule>
  </conditionalFormatting>
  <conditionalFormatting sqref="M7:M507">
    <cfRule type="expression" dxfId="9" priority="1">
      <formula>$M7="EN RETARD"</formula>
    </cfRule>
  </conditionalFormatting>
  <conditionalFormatting sqref="A7:P507">
    <cfRule type="expression" dxfId="8" priority="5">
      <formula>$N7="Validé"</formula>
    </cfRule>
    <cfRule type="expression" dxfId="7" priority="7">
      <formula>$N7="Refusé"</formula>
    </cfRule>
    <cfRule type="expression" dxfId="6" priority="8">
      <formula>MOD(ROW(),2)=0</formula>
    </cfRule>
  </conditionalFormatting>
  <printOptions horizontalCentered="1"/>
  <pageMargins left="0.39370078740157477" right="0.39370078740157477" top="0.98425196850393704" bottom="0.39370078740157477" header="0.39370078740157477" footer="0.3"/>
  <pageSetup paperSize="9" scale="47" fitToHeight="0" orientation="landscape" horizontalDpi="0" verticalDpi="0" r:id="rId1"/>
  <headerFooter>
    <oddHeader>&amp;CRAPPORT TMA&amp;REntreprise : TOUS</oddHeader>
    <oddFooter>&amp;CDocument généré le 21/04/2026&amp;RPage &amp;P /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FD97A7-23A0-4467-A677-1E342922C8AF}">
          <x14:formula1>
            <xm:f>REF_ENTREPRISES!A:A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5C892-50E3-44A4-A8B5-DD25A0D1D7EB}">
  <sheetPr codeName="Feuil4">
    <tabColor theme="9" tint="0.79998168889431442"/>
    <pageSetUpPr fitToPage="1"/>
  </sheetPr>
  <dimension ref="A1:T1000"/>
  <sheetViews>
    <sheetView zoomScaleNormal="100" workbookViewId="0">
      <selection activeCell="B3" sqref="B3"/>
    </sheetView>
  </sheetViews>
  <sheetFormatPr baseColWidth="10" defaultRowHeight="14.25" x14ac:dyDescent="0.45"/>
  <cols>
    <col min="1" max="1" width="12.6640625" style="8" customWidth="1"/>
    <col min="2" max="2" width="15.46484375" style="8" customWidth="1"/>
    <col min="3" max="3" width="11.19921875" style="8" customWidth="1"/>
    <col min="4" max="4" width="28" style="8" customWidth="1"/>
    <col min="5" max="5" width="16" style="8" customWidth="1"/>
    <col min="6" max="6" width="58.6640625" style="8" customWidth="1"/>
    <col min="7" max="7" width="13.06640625" style="8" hidden="1" customWidth="1"/>
    <col min="8" max="8" width="12.53125" style="8" customWidth="1"/>
    <col min="9" max="9" width="13.19921875" style="8" hidden="1" customWidth="1"/>
    <col min="10" max="10" width="16.265625" style="8" hidden="1" customWidth="1"/>
    <col min="11" max="11" width="11.73046875" style="8" hidden="1" customWidth="1"/>
    <col min="12" max="12" width="15.19921875" style="8" hidden="1" customWidth="1"/>
    <col min="13" max="13" width="0" style="8" hidden="1" customWidth="1"/>
    <col min="14" max="14" width="13.59765625" style="8" customWidth="1"/>
    <col min="15" max="15" width="14" style="8" customWidth="1"/>
    <col min="16" max="16" width="12.53125" style="8" customWidth="1"/>
    <col min="17" max="17" width="11.33203125" style="8" customWidth="1"/>
    <col min="18" max="18" width="0" style="8" hidden="1" customWidth="1"/>
    <col min="19" max="19" width="10.6640625" style="8"/>
    <col min="20" max="20" width="31.86328125" style="8" customWidth="1"/>
    <col min="21" max="16384" width="10.6640625" style="8"/>
  </cols>
  <sheetData>
    <row r="1" spans="1:20" ht="36.4" customHeight="1" thickBot="1" x14ac:dyDescent="0.5">
      <c r="A1" s="453" t="s">
        <v>152</v>
      </c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454"/>
      <c r="S1" s="454"/>
      <c r="T1" s="454"/>
    </row>
    <row r="2" spans="1:20" s="16" customFormat="1" ht="37.9" customHeight="1" x14ac:dyDescent="0.45">
      <c r="A2" s="455" t="str">
        <f>Suivi_TMA!C5</f>
        <v>Résidence LES JOLIETTES</v>
      </c>
      <c r="B2" s="456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6"/>
    </row>
    <row r="3" spans="1:20" ht="30.75" customHeight="1" x14ac:dyDescent="0.45">
      <c r="A3" s="10" t="s">
        <v>112</v>
      </c>
      <c r="B3" s="452" t="s">
        <v>111</v>
      </c>
      <c r="C3" s="11" t="s">
        <v>71</v>
      </c>
      <c r="D3" s="357" t="str">
        <f>Suivi_TMA!C6</f>
        <v>12 avenue Jean JAURES</v>
      </c>
      <c r="E3" s="10" t="s">
        <v>280</v>
      </c>
      <c r="F3" s="229" t="str">
        <f>Suivi_TMA!C8</f>
        <v>12</v>
      </c>
    </row>
    <row r="4" spans="1:20" ht="31.15" customHeight="1" x14ac:dyDescent="0.45">
      <c r="A4" s="10" t="s">
        <v>191</v>
      </c>
      <c r="B4" s="229" t="str">
        <f>Suivi_TMA!C4</f>
        <v>XXX</v>
      </c>
      <c r="C4" s="11" t="s">
        <v>72</v>
      </c>
      <c r="D4" s="5" t="str">
        <f>Suivi_TMA!C7</f>
        <v>CIBOURE (64500)</v>
      </c>
      <c r="E4" s="10" t="s">
        <v>74</v>
      </c>
      <c r="F4" s="357">
        <f>Suivi_TMA!C9</f>
        <v>46447</v>
      </c>
    </row>
    <row r="5" spans="1:20" ht="17.649999999999999" customHeight="1" thickBot="1" x14ac:dyDescent="0.5">
      <c r="A5" s="10"/>
      <c r="B5" s="13"/>
      <c r="C5" s="11"/>
      <c r="D5" s="10"/>
    </row>
    <row r="6" spans="1:20" s="15" customFormat="1" ht="63.4" thickBot="1" x14ac:dyDescent="0.5">
      <c r="A6" s="188" t="s">
        <v>0</v>
      </c>
      <c r="B6" s="189" t="s">
        <v>92</v>
      </c>
      <c r="C6" s="189" t="s">
        <v>93</v>
      </c>
      <c r="D6" s="189" t="s">
        <v>94</v>
      </c>
      <c r="E6" s="189" t="s">
        <v>95</v>
      </c>
      <c r="F6" s="189" t="s">
        <v>96</v>
      </c>
      <c r="G6" s="189" t="s">
        <v>97</v>
      </c>
      <c r="H6" s="190" t="s">
        <v>121</v>
      </c>
      <c r="I6" s="190" t="s">
        <v>98</v>
      </c>
      <c r="J6" s="189" t="s">
        <v>99</v>
      </c>
      <c r="K6" s="189" t="s">
        <v>100</v>
      </c>
      <c r="L6" s="191" t="s">
        <v>101</v>
      </c>
      <c r="M6" s="189" t="s">
        <v>102</v>
      </c>
      <c r="N6" s="187" t="s">
        <v>122</v>
      </c>
      <c r="O6" s="190" t="s">
        <v>103</v>
      </c>
      <c r="P6" s="190" t="s">
        <v>104</v>
      </c>
      <c r="Q6" s="190" t="s">
        <v>105</v>
      </c>
      <c r="R6" s="189" t="s">
        <v>106</v>
      </c>
      <c r="S6" s="189" t="s">
        <v>91</v>
      </c>
      <c r="T6" s="258" t="s">
        <v>272</v>
      </c>
    </row>
    <row r="7" spans="1:20" ht="24" customHeight="1" x14ac:dyDescent="0.45">
      <c r="A7" s="433">
        <v>1</v>
      </c>
      <c r="B7" s="419" t="s">
        <v>13</v>
      </c>
      <c r="C7" s="419" t="s">
        <v>25</v>
      </c>
      <c r="D7" s="419" t="s">
        <v>206</v>
      </c>
      <c r="E7" s="419" t="s">
        <v>14</v>
      </c>
      <c r="F7" s="419" t="s">
        <v>207</v>
      </c>
      <c r="G7" s="420"/>
      <c r="H7" s="421">
        <v>45708</v>
      </c>
      <c r="I7" s="422">
        <v>45709</v>
      </c>
      <c r="J7" s="420">
        <v>1</v>
      </c>
      <c r="K7" s="420" t="s">
        <v>109</v>
      </c>
      <c r="L7" s="423">
        <v>55.710000000000036</v>
      </c>
      <c r="M7" s="420"/>
      <c r="N7" s="424">
        <v>72.423000000000044</v>
      </c>
      <c r="O7" s="421">
        <v>45713</v>
      </c>
      <c r="P7" s="421">
        <v>46079</v>
      </c>
      <c r="Q7" s="421">
        <v>45728</v>
      </c>
      <c r="R7" s="420" t="s">
        <v>108</v>
      </c>
      <c r="S7" s="420" t="s">
        <v>20</v>
      </c>
      <c r="T7" s="437"/>
    </row>
    <row r="8" spans="1:20" ht="24" customHeight="1" x14ac:dyDescent="0.45">
      <c r="A8" s="434">
        <v>2</v>
      </c>
      <c r="B8" s="395" t="s">
        <v>22</v>
      </c>
      <c r="C8" s="395" t="s">
        <v>27</v>
      </c>
      <c r="D8" s="395" t="s">
        <v>210</v>
      </c>
      <c r="E8" s="395" t="s">
        <v>19</v>
      </c>
      <c r="F8" s="395" t="s">
        <v>211</v>
      </c>
      <c r="G8" s="396"/>
      <c r="H8" s="397">
        <v>45713</v>
      </c>
      <c r="I8" s="398">
        <v>45715</v>
      </c>
      <c r="J8" s="396">
        <v>4</v>
      </c>
      <c r="K8" s="396" t="s">
        <v>163</v>
      </c>
      <c r="L8" s="399">
        <v>-575.73</v>
      </c>
      <c r="M8" s="396" t="s">
        <v>17</v>
      </c>
      <c r="N8" s="400">
        <v>-575.73</v>
      </c>
      <c r="O8" s="397"/>
      <c r="P8" s="397"/>
      <c r="Q8" s="397"/>
      <c r="R8" s="396" t="s">
        <v>108</v>
      </c>
      <c r="S8" s="396" t="s">
        <v>16</v>
      </c>
      <c r="T8" s="438"/>
    </row>
    <row r="9" spans="1:20" ht="24" customHeight="1" x14ac:dyDescent="0.45">
      <c r="A9" s="284">
        <v>3</v>
      </c>
      <c r="B9" s="247" t="s">
        <v>22</v>
      </c>
      <c r="C9" s="247" t="s">
        <v>27</v>
      </c>
      <c r="D9" s="247" t="s">
        <v>210</v>
      </c>
      <c r="E9" s="247" t="s">
        <v>217</v>
      </c>
      <c r="F9" s="247" t="s">
        <v>218</v>
      </c>
      <c r="G9" s="244"/>
      <c r="H9" s="243">
        <v>45713</v>
      </c>
      <c r="I9" s="280">
        <v>45715</v>
      </c>
      <c r="J9" s="244">
        <v>1</v>
      </c>
      <c r="K9" s="244" t="s">
        <v>109</v>
      </c>
      <c r="L9" s="281">
        <v>477</v>
      </c>
      <c r="M9" s="244" t="s">
        <v>21</v>
      </c>
      <c r="N9" s="282">
        <v>620.1</v>
      </c>
      <c r="O9" s="243"/>
      <c r="P9" s="243"/>
      <c r="Q9" s="243"/>
      <c r="R9" s="244" t="s">
        <v>108</v>
      </c>
      <c r="S9" s="244" t="s">
        <v>133</v>
      </c>
      <c r="T9" s="353"/>
    </row>
    <row r="10" spans="1:20" ht="24" customHeight="1" x14ac:dyDescent="0.45">
      <c r="A10" s="434">
        <v>4</v>
      </c>
      <c r="B10" s="395" t="s">
        <v>22</v>
      </c>
      <c r="C10" s="395" t="s">
        <v>27</v>
      </c>
      <c r="D10" s="395" t="s">
        <v>210</v>
      </c>
      <c r="E10" s="395" t="s">
        <v>54</v>
      </c>
      <c r="F10" s="395" t="s">
        <v>246</v>
      </c>
      <c r="G10" s="396"/>
      <c r="H10" s="397">
        <v>45713</v>
      </c>
      <c r="I10" s="398">
        <v>45715</v>
      </c>
      <c r="J10" s="396">
        <v>2</v>
      </c>
      <c r="K10" s="396" t="s">
        <v>109</v>
      </c>
      <c r="L10" s="399">
        <v>526.09999999999991</v>
      </c>
      <c r="M10" s="396" t="s">
        <v>23</v>
      </c>
      <c r="N10" s="400">
        <v>683.93</v>
      </c>
      <c r="O10" s="397"/>
      <c r="P10" s="397"/>
      <c r="Q10" s="397"/>
      <c r="R10" s="396" t="s">
        <v>108</v>
      </c>
      <c r="S10" s="396" t="s">
        <v>133</v>
      </c>
      <c r="T10" s="438"/>
    </row>
    <row r="11" spans="1:20" ht="24" customHeight="1" x14ac:dyDescent="0.45">
      <c r="A11" s="284">
        <v>5</v>
      </c>
      <c r="B11" s="247" t="s">
        <v>22</v>
      </c>
      <c r="C11" s="247" t="s">
        <v>27</v>
      </c>
      <c r="D11" s="247" t="s">
        <v>210</v>
      </c>
      <c r="E11" s="247" t="s">
        <v>217</v>
      </c>
      <c r="F11" s="247" t="s">
        <v>250</v>
      </c>
      <c r="G11" s="244"/>
      <c r="H11" s="243">
        <v>45713</v>
      </c>
      <c r="I11" s="280">
        <v>45715</v>
      </c>
      <c r="J11" s="244">
        <v>1</v>
      </c>
      <c r="K11" s="244" t="s">
        <v>108</v>
      </c>
      <c r="L11" s="281">
        <v>0</v>
      </c>
      <c r="M11" s="244"/>
      <c r="N11" s="282">
        <v>0</v>
      </c>
      <c r="O11" s="243"/>
      <c r="P11" s="243"/>
      <c r="Q11" s="243"/>
      <c r="R11" s="244" t="s">
        <v>108</v>
      </c>
      <c r="S11" s="244" t="s">
        <v>16</v>
      </c>
      <c r="T11" s="353"/>
    </row>
    <row r="12" spans="1:20" ht="24" customHeight="1" x14ac:dyDescent="0.45">
      <c r="A12" s="434">
        <v>6</v>
      </c>
      <c r="B12" s="395" t="s">
        <v>119</v>
      </c>
      <c r="C12" s="395" t="s">
        <v>26</v>
      </c>
      <c r="D12" s="395" t="s">
        <v>252</v>
      </c>
      <c r="E12" s="395" t="s">
        <v>53</v>
      </c>
      <c r="F12" s="395" t="s">
        <v>253</v>
      </c>
      <c r="G12" s="396"/>
      <c r="H12" s="397">
        <v>45710</v>
      </c>
      <c r="I12" s="398">
        <v>45715</v>
      </c>
      <c r="J12" s="396">
        <v>1</v>
      </c>
      <c r="K12" s="396" t="s">
        <v>109</v>
      </c>
      <c r="L12" s="399">
        <v>352.6</v>
      </c>
      <c r="M12" s="396"/>
      <c r="N12" s="400">
        <v>458.38000000000005</v>
      </c>
      <c r="O12" s="397">
        <v>45716</v>
      </c>
      <c r="P12" s="397"/>
      <c r="Q12" s="397">
        <v>45731</v>
      </c>
      <c r="R12" s="396" t="s">
        <v>109</v>
      </c>
      <c r="S12" s="396" t="s">
        <v>133</v>
      </c>
      <c r="T12" s="438"/>
    </row>
    <row r="13" spans="1:20" customFormat="1" ht="28.5" x14ac:dyDescent="0.45">
      <c r="A13" s="284">
        <v>7</v>
      </c>
      <c r="B13" s="247" t="s">
        <v>255</v>
      </c>
      <c r="C13" s="247" t="s">
        <v>25</v>
      </c>
      <c r="D13" s="247" t="s">
        <v>256</v>
      </c>
      <c r="E13" s="247" t="s">
        <v>217</v>
      </c>
      <c r="F13" s="247" t="s">
        <v>257</v>
      </c>
      <c r="G13" s="244"/>
      <c r="H13" s="243">
        <v>45771</v>
      </c>
      <c r="I13" s="280">
        <v>45772</v>
      </c>
      <c r="J13" s="244">
        <v>1</v>
      </c>
      <c r="K13" s="244" t="s">
        <v>108</v>
      </c>
      <c r="L13" s="281">
        <v>0</v>
      </c>
      <c r="M13" s="244"/>
      <c r="N13" s="282">
        <v>0</v>
      </c>
      <c r="O13" s="243" t="s">
        <v>164</v>
      </c>
      <c r="P13" s="243"/>
      <c r="Q13" s="243"/>
      <c r="R13" s="244"/>
      <c r="S13" s="244" t="s">
        <v>114</v>
      </c>
      <c r="T13" s="353" t="s">
        <v>259</v>
      </c>
    </row>
    <row r="14" spans="1:20" customFormat="1" ht="28.5" x14ac:dyDescent="0.45">
      <c r="A14" s="434">
        <v>8</v>
      </c>
      <c r="B14" s="395" t="s">
        <v>260</v>
      </c>
      <c r="C14" s="395" t="s">
        <v>26</v>
      </c>
      <c r="D14" s="395" t="s">
        <v>261</v>
      </c>
      <c r="E14" s="395" t="s">
        <v>217</v>
      </c>
      <c r="F14" s="395" t="s">
        <v>262</v>
      </c>
      <c r="G14" s="396"/>
      <c r="H14" s="397">
        <v>45896</v>
      </c>
      <c r="I14" s="398">
        <v>45896</v>
      </c>
      <c r="J14" s="396">
        <v>1</v>
      </c>
      <c r="K14" s="396" t="s">
        <v>109</v>
      </c>
      <c r="L14" s="399">
        <v>782.95999999999992</v>
      </c>
      <c r="M14" s="396"/>
      <c r="N14" s="400">
        <v>1017.848</v>
      </c>
      <c r="O14" s="397">
        <v>45902</v>
      </c>
      <c r="P14" s="397">
        <v>45905</v>
      </c>
      <c r="Q14" s="397">
        <v>45917</v>
      </c>
      <c r="R14" s="396" t="s">
        <v>108</v>
      </c>
      <c r="S14" s="396" t="s">
        <v>20</v>
      </c>
      <c r="T14" s="438"/>
    </row>
    <row r="15" spans="1:20" customFormat="1" ht="24" customHeight="1" x14ac:dyDescent="0.45">
      <c r="A15" s="284">
        <v>9</v>
      </c>
      <c r="B15" s="247" t="s">
        <v>263</v>
      </c>
      <c r="C15" s="247" t="s">
        <v>27</v>
      </c>
      <c r="D15" s="247" t="s">
        <v>264</v>
      </c>
      <c r="E15" s="247" t="s">
        <v>54</v>
      </c>
      <c r="F15" s="247" t="s">
        <v>246</v>
      </c>
      <c r="G15" s="244"/>
      <c r="H15" s="243">
        <v>45744</v>
      </c>
      <c r="I15" s="280">
        <v>45745</v>
      </c>
      <c r="J15" s="244">
        <v>2</v>
      </c>
      <c r="K15" s="244" t="s">
        <v>163</v>
      </c>
      <c r="L15" s="281">
        <v>406.09999999999997</v>
      </c>
      <c r="M15" s="244"/>
      <c r="N15" s="282">
        <v>527.92999999999995</v>
      </c>
      <c r="O15" s="243"/>
      <c r="P15" s="243"/>
      <c r="Q15" s="243"/>
      <c r="R15" s="244" t="s">
        <v>108</v>
      </c>
      <c r="S15" s="244" t="s">
        <v>16</v>
      </c>
      <c r="T15" s="353"/>
    </row>
    <row r="16" spans="1:20" ht="24" customHeight="1" x14ac:dyDescent="0.45">
      <c r="A16" s="284">
        <v>10</v>
      </c>
      <c r="B16" s="247" t="s">
        <v>263</v>
      </c>
      <c r="C16" s="247" t="s">
        <v>27</v>
      </c>
      <c r="D16" s="247" t="s">
        <v>264</v>
      </c>
      <c r="E16" s="247" t="s">
        <v>265</v>
      </c>
      <c r="F16" s="247" t="s">
        <v>266</v>
      </c>
      <c r="G16" s="244"/>
      <c r="H16" s="243">
        <v>45744</v>
      </c>
      <c r="I16" s="280">
        <v>45745</v>
      </c>
      <c r="J16" s="244">
        <v>1</v>
      </c>
      <c r="K16" s="244" t="s">
        <v>109</v>
      </c>
      <c r="L16" s="281">
        <v>658.47</v>
      </c>
      <c r="M16" s="244"/>
      <c r="N16" s="282">
        <v>856.01100000000008</v>
      </c>
      <c r="O16" s="243">
        <v>45746</v>
      </c>
      <c r="P16" s="243"/>
      <c r="Q16" s="243">
        <v>45761</v>
      </c>
      <c r="R16" s="244" t="s">
        <v>109</v>
      </c>
      <c r="S16" s="244" t="s">
        <v>133</v>
      </c>
      <c r="T16" s="439"/>
    </row>
    <row r="17" spans="1:20" ht="24" customHeight="1" x14ac:dyDescent="0.45">
      <c r="A17" s="284">
        <v>11</v>
      </c>
      <c r="B17" s="247" t="s">
        <v>24</v>
      </c>
      <c r="C17" s="247" t="s">
        <v>25</v>
      </c>
      <c r="D17" s="247" t="s">
        <v>268</v>
      </c>
      <c r="E17" s="247" t="s">
        <v>217</v>
      </c>
      <c r="F17" s="247" t="s">
        <v>269</v>
      </c>
      <c r="G17" s="244"/>
      <c r="H17" s="401">
        <v>45956</v>
      </c>
      <c r="I17" s="402">
        <v>45956</v>
      </c>
      <c r="J17" s="403">
        <v>1</v>
      </c>
      <c r="K17" s="403" t="s">
        <v>109</v>
      </c>
      <c r="L17" s="404">
        <v>-249.61999999999989</v>
      </c>
      <c r="M17" s="403"/>
      <c r="N17" s="405">
        <v>-249.61999999999989</v>
      </c>
      <c r="O17" s="243"/>
      <c r="P17" s="243"/>
      <c r="Q17" s="243"/>
      <c r="R17" s="244" t="s">
        <v>108</v>
      </c>
      <c r="S17" s="244" t="s">
        <v>133</v>
      </c>
      <c r="T17" s="353"/>
    </row>
    <row r="18" spans="1:20" s="5" customFormat="1" ht="24" customHeight="1" x14ac:dyDescent="0.45">
      <c r="A18" s="434">
        <v>12</v>
      </c>
      <c r="B18" s="395" t="s">
        <v>18</v>
      </c>
      <c r="C18" s="395" t="s">
        <v>26</v>
      </c>
      <c r="D18" s="395" t="s">
        <v>273</v>
      </c>
      <c r="E18" s="395" t="s">
        <v>217</v>
      </c>
      <c r="F18" s="395" t="s">
        <v>279</v>
      </c>
      <c r="G18" s="396"/>
      <c r="H18" s="406">
        <v>45956</v>
      </c>
      <c r="I18" s="407">
        <v>45957</v>
      </c>
      <c r="J18" s="408">
        <v>1</v>
      </c>
      <c r="K18" s="408" t="s">
        <v>109</v>
      </c>
      <c r="L18" s="409">
        <v>444</v>
      </c>
      <c r="M18" s="408"/>
      <c r="N18" s="410">
        <v>577.20000000000005</v>
      </c>
      <c r="O18" s="397">
        <v>45957</v>
      </c>
      <c r="P18" s="397">
        <v>45958</v>
      </c>
      <c r="Q18" s="397">
        <v>45972</v>
      </c>
      <c r="R18" s="396" t="s">
        <v>108</v>
      </c>
      <c r="S18" s="396" t="s">
        <v>20</v>
      </c>
      <c r="T18" s="438"/>
    </row>
    <row r="19" spans="1:20" s="5" customFormat="1" ht="24" customHeight="1" x14ac:dyDescent="0.45">
      <c r="A19" s="284"/>
      <c r="B19" s="247"/>
      <c r="C19" s="247"/>
      <c r="D19" s="247"/>
      <c r="E19" s="247"/>
      <c r="F19" s="247"/>
      <c r="G19" s="244"/>
      <c r="H19" s="363"/>
      <c r="I19" s="364"/>
      <c r="J19" s="365"/>
      <c r="K19" s="365"/>
      <c r="L19" s="366"/>
      <c r="M19" s="365"/>
      <c r="N19" s="367"/>
      <c r="O19" s="243"/>
      <c r="P19" s="243"/>
      <c r="Q19" s="243"/>
      <c r="R19" s="244"/>
      <c r="S19" s="244"/>
      <c r="T19" s="353"/>
    </row>
    <row r="20" spans="1:20" s="5" customFormat="1" ht="24" customHeight="1" thickBot="1" x14ac:dyDescent="0.5">
      <c r="A20" s="368"/>
      <c r="B20" s="369"/>
      <c r="C20" s="369"/>
      <c r="D20" s="369"/>
      <c r="E20" s="369"/>
      <c r="F20" s="369"/>
      <c r="G20" s="370"/>
      <c r="H20" s="371"/>
      <c r="I20" s="372"/>
      <c r="J20" s="373"/>
      <c r="K20" s="373"/>
      <c r="L20" s="374"/>
      <c r="M20" s="373"/>
      <c r="N20" s="375"/>
      <c r="O20" s="376"/>
      <c r="P20" s="376"/>
      <c r="Q20" s="376"/>
      <c r="R20" s="370"/>
      <c r="S20" s="370"/>
      <c r="T20" s="377"/>
    </row>
    <row r="21" spans="1:20" customFormat="1" ht="24" customHeight="1" x14ac:dyDescent="0.45">
      <c r="A21" s="442"/>
      <c r="B21" s="443"/>
      <c r="C21" s="443"/>
      <c r="D21" s="443"/>
      <c r="E21" s="443"/>
      <c r="F21" s="443"/>
      <c r="G21" s="444"/>
      <c r="H21" s="445" t="s">
        <v>117</v>
      </c>
      <c r="I21" s="446"/>
      <c r="J21" s="447"/>
      <c r="K21" s="447"/>
      <c r="L21" s="448"/>
      <c r="M21" s="447"/>
      <c r="N21" s="449">
        <v>3988.4719999999998</v>
      </c>
      <c r="O21" s="450"/>
      <c r="P21" s="450"/>
      <c r="Q21" s="450"/>
      <c r="R21" s="444"/>
      <c r="S21" s="444"/>
      <c r="T21" s="451"/>
    </row>
    <row r="22" spans="1:20" customFormat="1" ht="24" customHeight="1" x14ac:dyDescent="0.45">
      <c r="A22" s="435"/>
      <c r="B22" s="411"/>
      <c r="C22" s="411"/>
      <c r="D22" s="411"/>
      <c r="E22" s="411"/>
      <c r="F22" s="411"/>
      <c r="G22" s="412"/>
      <c r="H22" s="413" t="s">
        <v>116</v>
      </c>
      <c r="I22" s="414"/>
      <c r="J22" s="415"/>
      <c r="K22" s="415"/>
      <c r="L22" s="416"/>
      <c r="M22" s="415"/>
      <c r="N22" s="417">
        <v>664.74</v>
      </c>
      <c r="O22" s="418"/>
      <c r="P22" s="418"/>
      <c r="Q22" s="418"/>
      <c r="R22" s="412"/>
      <c r="S22" s="412"/>
      <c r="T22" s="440"/>
    </row>
    <row r="23" spans="1:20" customFormat="1" ht="24" customHeight="1" thickBot="1" x14ac:dyDescent="0.5">
      <c r="A23" s="436"/>
      <c r="B23" s="425"/>
      <c r="C23" s="425"/>
      <c r="D23" s="425"/>
      <c r="E23" s="425"/>
      <c r="F23" s="425"/>
      <c r="G23" s="426"/>
      <c r="H23" s="427" t="s">
        <v>115</v>
      </c>
      <c r="I23" s="428"/>
      <c r="J23" s="429"/>
      <c r="K23" s="429"/>
      <c r="L23" s="430"/>
      <c r="M23" s="429"/>
      <c r="N23" s="431">
        <v>3323.73</v>
      </c>
      <c r="O23" s="432"/>
      <c r="P23" s="432"/>
      <c r="Q23" s="432"/>
      <c r="R23" s="426"/>
      <c r="S23" s="426"/>
      <c r="T23" s="441"/>
    </row>
    <row r="24" spans="1:20" ht="15.75" x14ac:dyDescent="0.5">
      <c r="A24" s="383"/>
      <c r="B24" s="383"/>
      <c r="C24" s="383"/>
      <c r="D24" s="383"/>
      <c r="E24" s="383"/>
      <c r="F24" s="383"/>
      <c r="G24" s="384"/>
      <c r="H24" s="386"/>
      <c r="I24" s="387"/>
      <c r="J24" s="388"/>
      <c r="K24" s="388"/>
      <c r="L24" s="389"/>
      <c r="M24" s="388"/>
      <c r="N24" s="390"/>
      <c r="O24" s="385"/>
      <c r="P24" s="385"/>
      <c r="Q24" s="385"/>
      <c r="R24" s="384"/>
      <c r="S24" s="384"/>
      <c r="T24" s="378"/>
    </row>
    <row r="25" spans="1:20" x14ac:dyDescent="0.45">
      <c r="A25" s="380"/>
      <c r="B25" s="380"/>
      <c r="C25" s="380"/>
      <c r="D25" s="380"/>
      <c r="E25" s="380"/>
      <c r="F25" s="380"/>
      <c r="G25" s="381"/>
      <c r="H25" s="382"/>
      <c r="I25" s="391"/>
      <c r="J25" s="381"/>
      <c r="K25" s="381"/>
      <c r="L25" s="392"/>
      <c r="M25" s="381"/>
      <c r="N25" s="392"/>
      <c r="O25" s="382"/>
      <c r="P25" s="382"/>
      <c r="Q25" s="382"/>
      <c r="R25" s="381"/>
      <c r="S25" s="381"/>
      <c r="T25" s="185"/>
    </row>
    <row r="26" spans="1:20" x14ac:dyDescent="0.45">
      <c r="A26" s="383"/>
      <c r="B26" s="383"/>
      <c r="C26" s="383"/>
      <c r="D26" s="383"/>
      <c r="E26" s="383"/>
      <c r="F26" s="383"/>
      <c r="G26" s="384"/>
      <c r="H26" s="385"/>
      <c r="I26" s="393"/>
      <c r="J26" s="384"/>
      <c r="K26" s="384"/>
      <c r="L26" s="394"/>
      <c r="M26" s="384"/>
      <c r="N26" s="394"/>
      <c r="O26" s="385"/>
      <c r="P26" s="385"/>
      <c r="Q26" s="385"/>
      <c r="R26" s="384"/>
      <c r="S26" s="384"/>
      <c r="T26" s="378"/>
    </row>
    <row r="27" spans="1:20" x14ac:dyDescent="0.45">
      <c r="A27" s="380"/>
      <c r="B27" s="380"/>
      <c r="C27" s="380"/>
      <c r="D27" s="380"/>
      <c r="E27" s="380"/>
      <c r="F27" s="380"/>
      <c r="G27" s="381"/>
      <c r="H27" s="382"/>
      <c r="I27" s="391"/>
      <c r="J27" s="381"/>
      <c r="K27" s="381"/>
      <c r="L27" s="392"/>
      <c r="M27" s="381"/>
      <c r="N27" s="392"/>
      <c r="O27" s="382"/>
      <c r="P27" s="382"/>
      <c r="Q27" s="382"/>
      <c r="R27" s="381"/>
      <c r="S27" s="381"/>
      <c r="T27" s="185"/>
    </row>
    <row r="28" spans="1:20" x14ac:dyDescent="0.45">
      <c r="A28" s="383"/>
      <c r="B28" s="383"/>
      <c r="C28" s="383"/>
      <c r="D28" s="383"/>
      <c r="E28" s="383"/>
      <c r="F28" s="383"/>
      <c r="G28" s="384"/>
      <c r="H28" s="385"/>
      <c r="I28" s="393"/>
      <c r="J28" s="384"/>
      <c r="K28" s="384"/>
      <c r="L28" s="394"/>
      <c r="M28" s="384"/>
      <c r="N28" s="394"/>
      <c r="O28" s="385"/>
      <c r="P28" s="385"/>
      <c r="Q28" s="385"/>
      <c r="R28" s="384"/>
      <c r="S28" s="384"/>
      <c r="T28" s="378"/>
    </row>
    <row r="29" spans="1:20" x14ac:dyDescent="0.45">
      <c r="A29" s="380"/>
      <c r="B29" s="380"/>
      <c r="C29" s="380"/>
      <c r="D29" s="380"/>
      <c r="E29" s="380"/>
      <c r="F29" s="380"/>
      <c r="G29" s="381"/>
      <c r="H29" s="382"/>
      <c r="I29" s="391"/>
      <c r="J29" s="381"/>
      <c r="K29" s="381"/>
      <c r="L29" s="392"/>
      <c r="M29" s="381"/>
      <c r="N29" s="392"/>
      <c r="O29" s="382"/>
      <c r="P29" s="382"/>
      <c r="Q29" s="382"/>
      <c r="R29" s="381"/>
      <c r="S29" s="381"/>
      <c r="T29" s="185"/>
    </row>
    <row r="30" spans="1:20" x14ac:dyDescent="0.45">
      <c r="A30" s="383"/>
      <c r="B30" s="383"/>
      <c r="C30" s="383"/>
      <c r="D30" s="383"/>
      <c r="E30" s="383"/>
      <c r="F30" s="383"/>
      <c r="G30" s="384"/>
      <c r="H30" s="385"/>
      <c r="I30" s="393"/>
      <c r="J30" s="384"/>
      <c r="K30" s="384"/>
      <c r="L30" s="394"/>
      <c r="M30" s="384"/>
      <c r="N30" s="394"/>
      <c r="O30" s="385"/>
      <c r="P30" s="385"/>
      <c r="Q30" s="385"/>
      <c r="R30" s="384"/>
      <c r="S30" s="384"/>
      <c r="T30" s="378"/>
    </row>
    <row r="31" spans="1:20" x14ac:dyDescent="0.45">
      <c r="A31" s="380"/>
      <c r="B31" s="380"/>
      <c r="C31" s="380"/>
      <c r="D31" s="380"/>
      <c r="E31" s="380"/>
      <c r="F31" s="380"/>
      <c r="G31" s="381"/>
      <c r="H31" s="382"/>
      <c r="I31" s="391"/>
      <c r="J31" s="381"/>
      <c r="K31" s="381"/>
      <c r="L31" s="392"/>
      <c r="M31" s="381"/>
      <c r="N31" s="392"/>
      <c r="O31" s="382"/>
      <c r="P31" s="382"/>
      <c r="Q31" s="382"/>
      <c r="R31" s="381"/>
      <c r="S31" s="381"/>
      <c r="T31" s="185"/>
    </row>
    <row r="32" spans="1:20" x14ac:dyDescent="0.45">
      <c r="A32" s="383"/>
      <c r="B32" s="383"/>
      <c r="C32" s="383"/>
      <c r="D32" s="383"/>
      <c r="E32" s="383"/>
      <c r="F32" s="383"/>
      <c r="G32" s="384"/>
      <c r="H32" s="385"/>
      <c r="I32" s="393"/>
      <c r="J32" s="384"/>
      <c r="K32" s="384"/>
      <c r="L32" s="394"/>
      <c r="M32" s="384"/>
      <c r="N32" s="394"/>
      <c r="O32" s="385"/>
      <c r="P32" s="385"/>
      <c r="Q32" s="385"/>
      <c r="R32" s="384"/>
      <c r="S32" s="384"/>
      <c r="T32" s="378"/>
    </row>
    <row r="33" spans="1:20" x14ac:dyDescent="0.45">
      <c r="A33" s="380"/>
      <c r="B33" s="380"/>
      <c r="C33" s="380"/>
      <c r="D33" s="380"/>
      <c r="E33" s="380"/>
      <c r="F33" s="380"/>
      <c r="G33" s="381"/>
      <c r="H33" s="382"/>
      <c r="I33" s="391"/>
      <c r="J33" s="381"/>
      <c r="K33" s="381"/>
      <c r="L33" s="392"/>
      <c r="M33" s="381"/>
      <c r="N33" s="392"/>
      <c r="O33" s="382"/>
      <c r="P33" s="382"/>
      <c r="Q33" s="382"/>
      <c r="R33" s="381"/>
      <c r="S33" s="381"/>
      <c r="T33" s="185"/>
    </row>
    <row r="34" spans="1:20" x14ac:dyDescent="0.45">
      <c r="A34" s="383"/>
      <c r="B34" s="383"/>
      <c r="C34" s="383"/>
      <c r="D34" s="383"/>
      <c r="E34" s="383"/>
      <c r="F34" s="383"/>
      <c r="G34" s="384"/>
      <c r="H34" s="385"/>
      <c r="I34" s="393"/>
      <c r="J34" s="384"/>
      <c r="K34" s="384"/>
      <c r="L34" s="394"/>
      <c r="M34" s="384"/>
      <c r="N34" s="394"/>
      <c r="O34" s="385"/>
      <c r="P34" s="385"/>
      <c r="Q34" s="385"/>
      <c r="R34" s="384"/>
      <c r="S34" s="384"/>
      <c r="T34" s="378"/>
    </row>
    <row r="35" spans="1:20" x14ac:dyDescent="0.45">
      <c r="A35" s="380"/>
      <c r="B35" s="380"/>
      <c r="C35" s="380"/>
      <c r="D35" s="380"/>
      <c r="E35" s="380"/>
      <c r="F35" s="380"/>
      <c r="G35" s="381"/>
      <c r="H35" s="382"/>
      <c r="I35" s="391"/>
      <c r="J35" s="381"/>
      <c r="K35" s="381"/>
      <c r="L35" s="392"/>
      <c r="M35" s="381"/>
      <c r="N35" s="392"/>
      <c r="O35" s="382"/>
      <c r="P35" s="382"/>
      <c r="Q35" s="382"/>
      <c r="R35" s="381"/>
      <c r="S35" s="381"/>
      <c r="T35" s="185"/>
    </row>
    <row r="36" spans="1:20" x14ac:dyDescent="0.45">
      <c r="A36" s="383"/>
      <c r="B36" s="383"/>
      <c r="C36" s="383"/>
      <c r="D36" s="383"/>
      <c r="E36" s="383"/>
      <c r="F36" s="383"/>
      <c r="G36" s="384"/>
      <c r="H36" s="385"/>
      <c r="I36" s="393"/>
      <c r="J36" s="384"/>
      <c r="K36" s="384"/>
      <c r="L36" s="394"/>
      <c r="M36" s="384"/>
      <c r="N36" s="394"/>
      <c r="O36" s="385"/>
      <c r="P36" s="385"/>
      <c r="Q36" s="385"/>
      <c r="R36" s="384"/>
      <c r="S36" s="384"/>
      <c r="T36" s="378"/>
    </row>
    <row r="37" spans="1:20" x14ac:dyDescent="0.45">
      <c r="A37" s="380"/>
      <c r="B37" s="380"/>
      <c r="C37" s="380"/>
      <c r="D37" s="380"/>
      <c r="E37" s="380"/>
      <c r="F37" s="380"/>
      <c r="G37" s="381"/>
      <c r="H37" s="382"/>
      <c r="I37" s="391"/>
      <c r="J37" s="381"/>
      <c r="K37" s="381"/>
      <c r="L37" s="392"/>
      <c r="M37" s="381"/>
      <c r="N37" s="392"/>
      <c r="O37" s="382"/>
      <c r="P37" s="382"/>
      <c r="Q37" s="382"/>
      <c r="R37" s="381"/>
      <c r="S37" s="381"/>
      <c r="T37" s="185"/>
    </row>
    <row r="38" spans="1:20" x14ac:dyDescent="0.45">
      <c r="A38" s="383"/>
      <c r="B38" s="383"/>
      <c r="C38" s="383"/>
      <c r="D38" s="383"/>
      <c r="E38" s="383"/>
      <c r="F38" s="383"/>
      <c r="G38" s="384"/>
      <c r="H38" s="385"/>
      <c r="I38" s="393"/>
      <c r="J38" s="384"/>
      <c r="K38" s="384"/>
      <c r="L38" s="394"/>
      <c r="M38" s="384"/>
      <c r="N38" s="394"/>
      <c r="O38" s="385"/>
      <c r="P38" s="385"/>
      <c r="Q38" s="385"/>
      <c r="R38" s="384"/>
      <c r="S38" s="384"/>
      <c r="T38" s="378"/>
    </row>
    <row r="39" spans="1:20" x14ac:dyDescent="0.45">
      <c r="A39" s="380"/>
      <c r="B39" s="380"/>
      <c r="C39" s="380"/>
      <c r="D39" s="380"/>
      <c r="E39" s="380"/>
      <c r="F39" s="380"/>
      <c r="G39" s="381"/>
      <c r="H39" s="382"/>
      <c r="I39" s="391"/>
      <c r="J39" s="381"/>
      <c r="K39" s="381"/>
      <c r="L39" s="392"/>
      <c r="M39" s="381"/>
      <c r="N39" s="392"/>
      <c r="O39" s="382"/>
      <c r="P39" s="382"/>
      <c r="Q39" s="382"/>
      <c r="R39" s="381"/>
      <c r="S39" s="381"/>
      <c r="T39" s="185"/>
    </row>
    <row r="40" spans="1:20" x14ac:dyDescent="0.45">
      <c r="A40" s="383"/>
      <c r="B40" s="383"/>
      <c r="C40" s="383"/>
      <c r="D40" s="383"/>
      <c r="E40" s="383"/>
      <c r="F40" s="383"/>
      <c r="G40" s="384"/>
      <c r="H40" s="385"/>
      <c r="I40" s="393"/>
      <c r="J40" s="384"/>
      <c r="K40" s="384"/>
      <c r="L40" s="394"/>
      <c r="M40" s="384"/>
      <c r="N40" s="394"/>
      <c r="O40" s="385"/>
      <c r="P40" s="385"/>
      <c r="Q40" s="385"/>
      <c r="R40" s="384"/>
      <c r="S40" s="384"/>
      <c r="T40" s="378"/>
    </row>
    <row r="41" spans="1:20" x14ac:dyDescent="0.45">
      <c r="A41" s="380"/>
      <c r="B41" s="380"/>
      <c r="C41" s="380"/>
      <c r="D41" s="380"/>
      <c r="E41" s="380"/>
      <c r="F41" s="380"/>
      <c r="G41" s="381"/>
      <c r="H41" s="382"/>
      <c r="I41" s="391"/>
      <c r="J41" s="381"/>
      <c r="K41" s="381"/>
      <c r="L41" s="392"/>
      <c r="M41" s="381"/>
      <c r="N41" s="392"/>
      <c r="O41" s="382"/>
      <c r="P41" s="382"/>
      <c r="Q41" s="382"/>
      <c r="R41" s="381"/>
      <c r="S41" s="381"/>
      <c r="T41" s="185"/>
    </row>
    <row r="42" spans="1:20" x14ac:dyDescent="0.45">
      <c r="A42" s="383"/>
      <c r="B42" s="383"/>
      <c r="C42" s="383"/>
      <c r="D42" s="383"/>
      <c r="E42" s="383"/>
      <c r="F42" s="383"/>
      <c r="G42" s="384"/>
      <c r="H42" s="385"/>
      <c r="I42" s="393"/>
      <c r="J42" s="384"/>
      <c r="K42" s="384"/>
      <c r="L42" s="394"/>
      <c r="M42" s="384"/>
      <c r="N42" s="394"/>
      <c r="O42" s="385"/>
      <c r="P42" s="385"/>
      <c r="Q42" s="385"/>
      <c r="R42" s="384"/>
      <c r="S42" s="384"/>
      <c r="T42" s="378"/>
    </row>
    <row r="43" spans="1:20" x14ac:dyDescent="0.45">
      <c r="A43" s="380"/>
      <c r="B43" s="380"/>
      <c r="C43" s="380"/>
      <c r="D43" s="380"/>
      <c r="E43" s="380"/>
      <c r="F43" s="380"/>
      <c r="G43" s="381"/>
      <c r="H43" s="382"/>
      <c r="I43" s="391"/>
      <c r="J43" s="381"/>
      <c r="K43" s="381"/>
      <c r="L43" s="392"/>
      <c r="M43" s="381"/>
      <c r="N43" s="392"/>
      <c r="O43" s="382"/>
      <c r="P43" s="382"/>
      <c r="Q43" s="382"/>
      <c r="R43" s="381"/>
      <c r="S43" s="381"/>
      <c r="T43" s="185"/>
    </row>
    <row r="44" spans="1:20" x14ac:dyDescent="0.45">
      <c r="A44" s="383"/>
      <c r="B44" s="383"/>
      <c r="C44" s="383"/>
      <c r="D44" s="383"/>
      <c r="E44" s="383"/>
      <c r="F44" s="383"/>
      <c r="G44" s="384"/>
      <c r="H44" s="385"/>
      <c r="I44" s="393"/>
      <c r="J44" s="384"/>
      <c r="K44" s="384"/>
      <c r="L44" s="394"/>
      <c r="M44" s="384"/>
      <c r="N44" s="394"/>
      <c r="O44" s="385"/>
      <c r="P44" s="385"/>
      <c r="Q44" s="385"/>
      <c r="R44" s="384"/>
      <c r="S44" s="384"/>
      <c r="T44" s="378"/>
    </row>
    <row r="45" spans="1:20" x14ac:dyDescent="0.45">
      <c r="A45" s="380"/>
      <c r="B45" s="380"/>
      <c r="C45" s="380"/>
      <c r="D45" s="380"/>
      <c r="E45" s="380"/>
      <c r="F45" s="380"/>
      <c r="G45" s="381"/>
      <c r="H45" s="382"/>
      <c r="I45" s="391"/>
      <c r="J45" s="381"/>
      <c r="K45" s="381"/>
      <c r="L45" s="392"/>
      <c r="M45" s="381"/>
      <c r="N45" s="392"/>
      <c r="O45" s="382"/>
      <c r="P45" s="382"/>
      <c r="Q45" s="382"/>
      <c r="R45" s="381"/>
      <c r="S45" s="381"/>
      <c r="T45" s="185"/>
    </row>
    <row r="46" spans="1:20" x14ac:dyDescent="0.45">
      <c r="A46" s="383"/>
      <c r="B46" s="383"/>
      <c r="C46" s="383"/>
      <c r="D46" s="383"/>
      <c r="E46" s="383"/>
      <c r="F46" s="383"/>
      <c r="G46" s="384"/>
      <c r="H46" s="385"/>
      <c r="I46" s="393"/>
      <c r="J46" s="384"/>
      <c r="K46" s="384"/>
      <c r="L46" s="394"/>
      <c r="M46" s="384"/>
      <c r="N46" s="394"/>
      <c r="O46" s="385"/>
      <c r="P46" s="385"/>
      <c r="Q46" s="385"/>
      <c r="R46" s="384"/>
      <c r="S46" s="384"/>
      <c r="T46" s="378"/>
    </row>
    <row r="47" spans="1:20" x14ac:dyDescent="0.45">
      <c r="A47" s="380"/>
      <c r="B47" s="380"/>
      <c r="C47" s="380"/>
      <c r="D47" s="380"/>
      <c r="E47" s="380"/>
      <c r="F47" s="380"/>
      <c r="G47" s="381"/>
      <c r="H47" s="382"/>
      <c r="I47" s="391"/>
      <c r="J47" s="381"/>
      <c r="K47" s="381"/>
      <c r="L47" s="392"/>
      <c r="M47" s="381"/>
      <c r="N47" s="392"/>
      <c r="O47" s="382"/>
      <c r="P47" s="382"/>
      <c r="Q47" s="382"/>
      <c r="R47" s="381"/>
      <c r="S47" s="381"/>
      <c r="T47" s="185"/>
    </row>
    <row r="48" spans="1:20" x14ac:dyDescent="0.45">
      <c r="A48" s="383"/>
      <c r="B48" s="383"/>
      <c r="C48" s="383"/>
      <c r="D48" s="383"/>
      <c r="E48" s="383"/>
      <c r="F48" s="383"/>
      <c r="G48" s="384"/>
      <c r="H48" s="385"/>
      <c r="I48" s="393"/>
      <c r="J48" s="384"/>
      <c r="K48" s="384"/>
      <c r="L48" s="394"/>
      <c r="M48" s="384"/>
      <c r="N48" s="394"/>
      <c r="O48" s="385"/>
      <c r="P48" s="385"/>
      <c r="Q48" s="385"/>
      <c r="R48" s="384"/>
      <c r="S48" s="384"/>
      <c r="T48" s="378"/>
    </row>
    <row r="49" spans="1:20" x14ac:dyDescent="0.45">
      <c r="A49" s="380"/>
      <c r="B49" s="380"/>
      <c r="C49" s="380"/>
      <c r="D49" s="380"/>
      <c r="E49" s="380"/>
      <c r="F49" s="380"/>
      <c r="G49" s="381"/>
      <c r="H49" s="382"/>
      <c r="I49" s="391"/>
      <c r="J49" s="381"/>
      <c r="K49" s="381"/>
      <c r="L49" s="392"/>
      <c r="M49" s="381"/>
      <c r="N49" s="392"/>
      <c r="O49" s="382"/>
      <c r="P49" s="382"/>
      <c r="Q49" s="382"/>
      <c r="R49" s="381"/>
      <c r="S49" s="381"/>
      <c r="T49" s="185"/>
    </row>
    <row r="50" spans="1:20" x14ac:dyDescent="0.45">
      <c r="A50" s="383"/>
      <c r="B50" s="383"/>
      <c r="C50" s="383"/>
      <c r="D50" s="383"/>
      <c r="E50" s="383"/>
      <c r="F50" s="383"/>
      <c r="G50" s="384"/>
      <c r="H50" s="385"/>
      <c r="I50" s="393"/>
      <c r="J50" s="384"/>
      <c r="K50" s="384"/>
      <c r="L50" s="394"/>
      <c r="M50" s="384"/>
      <c r="N50" s="394"/>
      <c r="O50" s="385"/>
      <c r="P50" s="385"/>
      <c r="Q50" s="385"/>
      <c r="R50" s="384"/>
      <c r="S50" s="384"/>
      <c r="T50" s="378"/>
    </row>
    <row r="51" spans="1:20" x14ac:dyDescent="0.45">
      <c r="A51" s="380"/>
      <c r="B51" s="380"/>
      <c r="C51" s="380"/>
      <c r="D51" s="380"/>
      <c r="E51" s="380"/>
      <c r="F51" s="380"/>
      <c r="G51" s="381"/>
      <c r="H51" s="382"/>
      <c r="I51" s="391"/>
      <c r="J51" s="381"/>
      <c r="K51" s="381"/>
      <c r="L51" s="392"/>
      <c r="M51" s="381"/>
      <c r="N51" s="392"/>
      <c r="O51" s="382"/>
      <c r="P51" s="382"/>
      <c r="Q51" s="382"/>
      <c r="R51" s="381"/>
      <c r="S51" s="381"/>
      <c r="T51" s="185"/>
    </row>
    <row r="52" spans="1:20" x14ac:dyDescent="0.45">
      <c r="A52" s="383"/>
      <c r="B52" s="383"/>
      <c r="C52" s="383"/>
      <c r="D52" s="383"/>
      <c r="E52" s="383"/>
      <c r="F52" s="383"/>
      <c r="G52" s="384"/>
      <c r="H52" s="385"/>
      <c r="I52" s="393"/>
      <c r="J52" s="384"/>
      <c r="K52" s="384"/>
      <c r="L52" s="394"/>
      <c r="M52" s="384"/>
      <c r="N52" s="394"/>
      <c r="O52" s="385"/>
      <c r="P52" s="385"/>
      <c r="Q52" s="385"/>
      <c r="R52" s="384"/>
      <c r="S52" s="384"/>
      <c r="T52" s="378"/>
    </row>
    <row r="53" spans="1:20" x14ac:dyDescent="0.45">
      <c r="A53" s="380"/>
      <c r="B53" s="380"/>
      <c r="C53" s="380"/>
      <c r="D53" s="380"/>
      <c r="E53" s="380"/>
      <c r="F53" s="380"/>
      <c r="G53" s="381"/>
      <c r="H53" s="382"/>
      <c r="I53" s="391"/>
      <c r="J53" s="381"/>
      <c r="K53" s="381"/>
      <c r="L53" s="392"/>
      <c r="M53" s="381"/>
      <c r="N53" s="392"/>
      <c r="O53" s="382"/>
      <c r="P53" s="382"/>
      <c r="Q53" s="382"/>
      <c r="R53" s="381"/>
      <c r="S53" s="381"/>
      <c r="T53" s="185"/>
    </row>
    <row r="54" spans="1:20" x14ac:dyDescent="0.45">
      <c r="A54" s="383"/>
      <c r="B54" s="383"/>
      <c r="C54" s="383"/>
      <c r="D54" s="383"/>
      <c r="E54" s="383"/>
      <c r="F54" s="383"/>
      <c r="G54" s="384"/>
      <c r="H54" s="385"/>
      <c r="I54" s="393"/>
      <c r="J54" s="384"/>
      <c r="K54" s="384"/>
      <c r="L54" s="394"/>
      <c r="M54" s="384"/>
      <c r="N54" s="394"/>
      <c r="O54" s="385"/>
      <c r="P54" s="385"/>
      <c r="Q54" s="385"/>
      <c r="R54" s="384"/>
      <c r="S54" s="384"/>
      <c r="T54" s="378"/>
    </row>
    <row r="55" spans="1:20" x14ac:dyDescent="0.45">
      <c r="A55" s="380"/>
      <c r="B55" s="380"/>
      <c r="C55" s="380"/>
      <c r="D55" s="380"/>
      <c r="E55" s="380"/>
      <c r="F55" s="380"/>
      <c r="G55" s="381"/>
      <c r="H55" s="382"/>
      <c r="I55" s="391"/>
      <c r="J55" s="381"/>
      <c r="K55" s="381"/>
      <c r="L55" s="392"/>
      <c r="M55" s="381"/>
      <c r="N55" s="392"/>
      <c r="O55" s="382"/>
      <c r="P55" s="382"/>
      <c r="Q55" s="382"/>
      <c r="R55" s="381"/>
      <c r="S55" s="381"/>
      <c r="T55" s="185"/>
    </row>
    <row r="56" spans="1:20" x14ac:dyDescent="0.45">
      <c r="A56" s="383"/>
      <c r="B56" s="383"/>
      <c r="C56" s="383"/>
      <c r="D56" s="383"/>
      <c r="E56" s="383"/>
      <c r="F56" s="383"/>
      <c r="G56" s="384"/>
      <c r="H56" s="385"/>
      <c r="I56" s="393"/>
      <c r="J56" s="384"/>
      <c r="K56" s="384"/>
      <c r="L56" s="394"/>
      <c r="M56" s="384"/>
      <c r="N56" s="394"/>
      <c r="O56" s="385"/>
      <c r="P56" s="385"/>
      <c r="Q56" s="385"/>
      <c r="R56" s="384"/>
      <c r="S56" s="384"/>
      <c r="T56" s="378"/>
    </row>
    <row r="57" spans="1:20" x14ac:dyDescent="0.45">
      <c r="A57" s="380"/>
      <c r="B57" s="380"/>
      <c r="C57" s="380"/>
      <c r="D57" s="380"/>
      <c r="E57" s="380"/>
      <c r="F57" s="380"/>
      <c r="G57" s="381"/>
      <c r="H57" s="382"/>
      <c r="I57" s="391"/>
      <c r="J57" s="381"/>
      <c r="K57" s="381"/>
      <c r="L57" s="392"/>
      <c r="M57" s="381"/>
      <c r="N57" s="392"/>
      <c r="O57" s="382"/>
      <c r="P57" s="382"/>
      <c r="Q57" s="382"/>
      <c r="R57" s="381"/>
      <c r="S57" s="381"/>
      <c r="T57" s="185"/>
    </row>
    <row r="58" spans="1:20" x14ac:dyDescent="0.45">
      <c r="A58" s="383"/>
      <c r="B58" s="383"/>
      <c r="C58" s="383"/>
      <c r="D58" s="383"/>
      <c r="E58" s="383"/>
      <c r="F58" s="383"/>
      <c r="G58" s="384"/>
      <c r="H58" s="385"/>
      <c r="I58" s="393"/>
      <c r="J58" s="384"/>
      <c r="K58" s="384"/>
      <c r="L58" s="394"/>
      <c r="M58" s="384"/>
      <c r="N58" s="394"/>
      <c r="O58" s="385"/>
      <c r="P58" s="385"/>
      <c r="Q58" s="385"/>
      <c r="R58" s="384"/>
      <c r="S58" s="384"/>
      <c r="T58" s="378"/>
    </row>
    <row r="59" spans="1:20" x14ac:dyDescent="0.45">
      <c r="A59" s="380"/>
      <c r="B59" s="380"/>
      <c r="C59" s="380"/>
      <c r="D59" s="380"/>
      <c r="E59" s="380"/>
      <c r="F59" s="380"/>
      <c r="G59" s="381"/>
      <c r="H59" s="382"/>
      <c r="I59" s="391"/>
      <c r="J59" s="381"/>
      <c r="K59" s="381"/>
      <c r="L59" s="392"/>
      <c r="M59" s="381"/>
      <c r="N59" s="392"/>
      <c r="O59" s="382"/>
      <c r="P59" s="382"/>
      <c r="Q59" s="382"/>
      <c r="R59" s="381"/>
      <c r="S59" s="381"/>
      <c r="T59" s="185"/>
    </row>
    <row r="60" spans="1:20" x14ac:dyDescent="0.45">
      <c r="A60" s="383"/>
      <c r="B60" s="383"/>
      <c r="C60" s="383"/>
      <c r="D60" s="383"/>
      <c r="E60" s="383"/>
      <c r="F60" s="383"/>
      <c r="G60" s="384"/>
      <c r="H60" s="385"/>
      <c r="I60" s="393"/>
      <c r="J60" s="384"/>
      <c r="K60" s="384"/>
      <c r="L60" s="394"/>
      <c r="M60" s="384"/>
      <c r="N60" s="394"/>
      <c r="O60" s="385"/>
      <c r="P60" s="385"/>
      <c r="Q60" s="385"/>
      <c r="R60" s="384"/>
      <c r="S60" s="384"/>
      <c r="T60" s="378"/>
    </row>
    <row r="61" spans="1:20" x14ac:dyDescent="0.45">
      <c r="A61" s="380"/>
      <c r="B61" s="380"/>
      <c r="C61" s="380"/>
      <c r="D61" s="380"/>
      <c r="E61" s="380"/>
      <c r="F61" s="380"/>
      <c r="G61" s="381"/>
      <c r="H61" s="382"/>
      <c r="I61" s="391"/>
      <c r="J61" s="381"/>
      <c r="K61" s="381"/>
      <c r="L61" s="392"/>
      <c r="M61" s="381"/>
      <c r="N61" s="392"/>
      <c r="O61" s="382"/>
      <c r="P61" s="382"/>
      <c r="Q61" s="382"/>
      <c r="R61" s="381"/>
      <c r="S61" s="381"/>
      <c r="T61" s="185"/>
    </row>
    <row r="62" spans="1:20" x14ac:dyDescent="0.45">
      <c r="A62" s="383"/>
      <c r="B62" s="383"/>
      <c r="C62" s="383"/>
      <c r="D62" s="383"/>
      <c r="E62" s="383"/>
      <c r="F62" s="383"/>
      <c r="G62" s="384"/>
      <c r="H62" s="385"/>
      <c r="I62" s="393"/>
      <c r="J62" s="384"/>
      <c r="K62" s="384"/>
      <c r="L62" s="394"/>
      <c r="M62" s="384"/>
      <c r="N62" s="394"/>
      <c r="O62" s="385"/>
      <c r="P62" s="385"/>
      <c r="Q62" s="385"/>
      <c r="R62" s="384"/>
      <c r="S62" s="384"/>
      <c r="T62" s="378"/>
    </row>
    <row r="63" spans="1:20" x14ac:dyDescent="0.45">
      <c r="A63" s="380"/>
      <c r="B63" s="380"/>
      <c r="C63" s="380"/>
      <c r="D63" s="380"/>
      <c r="E63" s="380"/>
      <c r="F63" s="380"/>
      <c r="G63" s="381"/>
      <c r="H63" s="382"/>
      <c r="I63" s="391"/>
      <c r="J63" s="381"/>
      <c r="K63" s="381"/>
      <c r="L63" s="392"/>
      <c r="M63" s="381"/>
      <c r="N63" s="392"/>
      <c r="O63" s="382"/>
      <c r="P63" s="382"/>
      <c r="Q63" s="382"/>
      <c r="R63" s="381"/>
      <c r="S63" s="381"/>
      <c r="T63" s="185"/>
    </row>
    <row r="64" spans="1:20" x14ac:dyDescent="0.45">
      <c r="A64" s="383"/>
      <c r="B64" s="383"/>
      <c r="C64" s="383"/>
      <c r="D64" s="383"/>
      <c r="E64" s="383"/>
      <c r="F64" s="383"/>
      <c r="G64" s="384"/>
      <c r="H64" s="385"/>
      <c r="I64" s="393"/>
      <c r="J64" s="384"/>
      <c r="K64" s="384"/>
      <c r="L64" s="394"/>
      <c r="M64" s="384"/>
      <c r="N64" s="394"/>
      <c r="O64" s="385"/>
      <c r="P64" s="385"/>
      <c r="Q64" s="385"/>
      <c r="R64" s="384"/>
      <c r="S64" s="384"/>
      <c r="T64" s="378"/>
    </row>
    <row r="65" spans="1:20" x14ac:dyDescent="0.45">
      <c r="A65" s="380"/>
      <c r="B65" s="380"/>
      <c r="C65" s="380"/>
      <c r="D65" s="380"/>
      <c r="E65" s="380"/>
      <c r="F65" s="380"/>
      <c r="G65" s="381"/>
      <c r="H65" s="382"/>
      <c r="I65" s="391"/>
      <c r="J65" s="381"/>
      <c r="K65" s="381"/>
      <c r="L65" s="392"/>
      <c r="M65" s="381"/>
      <c r="N65" s="392"/>
      <c r="O65" s="382"/>
      <c r="P65" s="382"/>
      <c r="Q65" s="382"/>
      <c r="R65" s="381"/>
      <c r="S65" s="381"/>
      <c r="T65" s="185"/>
    </row>
    <row r="66" spans="1:20" x14ac:dyDescent="0.45">
      <c r="A66" s="383"/>
      <c r="B66" s="383"/>
      <c r="C66" s="383"/>
      <c r="D66" s="383"/>
      <c r="E66" s="383"/>
      <c r="F66" s="383"/>
      <c r="G66" s="384"/>
      <c r="H66" s="385"/>
      <c r="I66" s="393"/>
      <c r="J66" s="384"/>
      <c r="K66" s="384"/>
      <c r="L66" s="394"/>
      <c r="M66" s="384"/>
      <c r="N66" s="394"/>
      <c r="O66" s="385"/>
      <c r="P66" s="385"/>
      <c r="Q66" s="385"/>
      <c r="R66" s="384"/>
      <c r="S66" s="384"/>
      <c r="T66" s="378"/>
    </row>
    <row r="67" spans="1:20" x14ac:dyDescent="0.45">
      <c r="A67" s="380"/>
      <c r="B67" s="380"/>
      <c r="C67" s="380"/>
      <c r="D67" s="380"/>
      <c r="E67" s="380"/>
      <c r="F67" s="380"/>
      <c r="G67" s="381"/>
      <c r="H67" s="382"/>
      <c r="I67" s="391"/>
      <c r="J67" s="381"/>
      <c r="K67" s="381"/>
      <c r="L67" s="392"/>
      <c r="M67" s="381"/>
      <c r="N67" s="392"/>
      <c r="O67" s="382"/>
      <c r="P67" s="382"/>
      <c r="Q67" s="382"/>
      <c r="R67" s="381"/>
      <c r="S67" s="381"/>
      <c r="T67" s="185"/>
    </row>
    <row r="68" spans="1:20" x14ac:dyDescent="0.45">
      <c r="A68" s="383"/>
      <c r="B68" s="383"/>
      <c r="C68" s="383"/>
      <c r="D68" s="383"/>
      <c r="E68" s="383"/>
      <c r="F68" s="383"/>
      <c r="G68" s="384"/>
      <c r="H68" s="385"/>
      <c r="I68" s="393"/>
      <c r="J68" s="384"/>
      <c r="K68" s="384"/>
      <c r="L68" s="394"/>
      <c r="M68" s="384"/>
      <c r="N68" s="394"/>
      <c r="O68" s="385"/>
      <c r="P68" s="385"/>
      <c r="Q68" s="385"/>
      <c r="R68" s="384"/>
      <c r="S68" s="384"/>
      <c r="T68" s="378"/>
    </row>
    <row r="69" spans="1:20" x14ac:dyDescent="0.45">
      <c r="A69" s="380"/>
      <c r="B69" s="380"/>
      <c r="C69" s="380"/>
      <c r="D69" s="380"/>
      <c r="E69" s="380"/>
      <c r="F69" s="380"/>
      <c r="G69" s="381"/>
      <c r="H69" s="382"/>
      <c r="I69" s="391"/>
      <c r="J69" s="381"/>
      <c r="K69" s="381"/>
      <c r="L69" s="392"/>
      <c r="M69" s="381"/>
      <c r="N69" s="392"/>
      <c r="O69" s="382"/>
      <c r="P69" s="382"/>
      <c r="Q69" s="382"/>
      <c r="R69" s="381"/>
      <c r="S69" s="381"/>
      <c r="T69" s="185"/>
    </row>
    <row r="70" spans="1:20" x14ac:dyDescent="0.45">
      <c r="A70" s="383"/>
      <c r="B70" s="383"/>
      <c r="C70" s="383"/>
      <c r="D70" s="383"/>
      <c r="E70" s="383"/>
      <c r="F70" s="383"/>
      <c r="G70" s="384"/>
      <c r="H70" s="385"/>
      <c r="I70" s="393"/>
      <c r="J70" s="384"/>
      <c r="K70" s="384"/>
      <c r="L70" s="394"/>
      <c r="M70" s="384"/>
      <c r="N70" s="394"/>
      <c r="O70" s="385"/>
      <c r="P70" s="385"/>
      <c r="Q70" s="385"/>
      <c r="R70" s="384"/>
      <c r="S70" s="384"/>
      <c r="T70" s="378"/>
    </row>
    <row r="71" spans="1:20" x14ac:dyDescent="0.45">
      <c r="A71" s="380"/>
      <c r="B71" s="380"/>
      <c r="C71" s="380"/>
      <c r="D71" s="380"/>
      <c r="E71" s="380"/>
      <c r="F71" s="380"/>
      <c r="G71" s="381"/>
      <c r="H71" s="382"/>
      <c r="I71" s="391"/>
      <c r="J71" s="381"/>
      <c r="K71" s="381"/>
      <c r="L71" s="392"/>
      <c r="M71" s="381"/>
      <c r="N71" s="392"/>
      <c r="O71" s="382"/>
      <c r="P71" s="382"/>
      <c r="Q71" s="382"/>
      <c r="R71" s="381"/>
      <c r="S71" s="381"/>
      <c r="T71" s="185"/>
    </row>
    <row r="72" spans="1:20" x14ac:dyDescent="0.45">
      <c r="A72" s="383"/>
      <c r="B72" s="383"/>
      <c r="C72" s="383"/>
      <c r="D72" s="383"/>
      <c r="E72" s="383"/>
      <c r="F72" s="383"/>
      <c r="G72" s="384"/>
      <c r="H72" s="385"/>
      <c r="I72" s="393"/>
      <c r="J72" s="384"/>
      <c r="K72" s="384"/>
      <c r="L72" s="394"/>
      <c r="M72" s="384"/>
      <c r="N72" s="394"/>
      <c r="O72" s="385"/>
      <c r="P72" s="385"/>
      <c r="Q72" s="385"/>
      <c r="R72" s="384"/>
      <c r="S72" s="384"/>
      <c r="T72" s="378"/>
    </row>
    <row r="73" spans="1:20" x14ac:dyDescent="0.45">
      <c r="A73" s="380"/>
      <c r="B73" s="380"/>
      <c r="C73" s="380"/>
      <c r="D73" s="380"/>
      <c r="E73" s="380"/>
      <c r="F73" s="380"/>
      <c r="G73" s="381"/>
      <c r="H73" s="382"/>
      <c r="I73" s="391"/>
      <c r="J73" s="381"/>
      <c r="K73" s="381"/>
      <c r="L73" s="392"/>
      <c r="M73" s="381"/>
      <c r="N73" s="392"/>
      <c r="O73" s="382"/>
      <c r="P73" s="382"/>
      <c r="Q73" s="382"/>
      <c r="R73" s="381"/>
      <c r="S73" s="381"/>
      <c r="T73" s="185"/>
    </row>
    <row r="74" spans="1:20" x14ac:dyDescent="0.45">
      <c r="A74" s="383"/>
      <c r="B74" s="383"/>
      <c r="C74" s="383"/>
      <c r="D74" s="383"/>
      <c r="E74" s="383"/>
      <c r="F74" s="383"/>
      <c r="G74" s="384"/>
      <c r="H74" s="385"/>
      <c r="I74" s="393"/>
      <c r="J74" s="384"/>
      <c r="K74" s="384"/>
      <c r="L74" s="394"/>
      <c r="M74" s="384"/>
      <c r="N74" s="394"/>
      <c r="O74" s="385"/>
      <c r="P74" s="385"/>
      <c r="Q74" s="385"/>
      <c r="R74" s="384"/>
      <c r="S74" s="384"/>
      <c r="T74" s="378"/>
    </row>
    <row r="75" spans="1:20" x14ac:dyDescent="0.45">
      <c r="A75" s="380"/>
      <c r="B75" s="380"/>
      <c r="C75" s="380"/>
      <c r="D75" s="380"/>
      <c r="E75" s="380"/>
      <c r="F75" s="380"/>
      <c r="G75" s="381"/>
      <c r="H75" s="382"/>
      <c r="I75" s="391"/>
      <c r="J75" s="381"/>
      <c r="K75" s="381"/>
      <c r="L75" s="392"/>
      <c r="M75" s="381"/>
      <c r="N75" s="392"/>
      <c r="O75" s="382"/>
      <c r="P75" s="382"/>
      <c r="Q75" s="382"/>
      <c r="R75" s="381"/>
      <c r="S75" s="381"/>
      <c r="T75" s="185"/>
    </row>
    <row r="76" spans="1:20" x14ac:dyDescent="0.45">
      <c r="A76" s="383"/>
      <c r="B76" s="383"/>
      <c r="C76" s="383"/>
      <c r="D76" s="383"/>
      <c r="E76" s="383"/>
      <c r="F76" s="383"/>
      <c r="G76" s="384"/>
      <c r="H76" s="385"/>
      <c r="I76" s="393"/>
      <c r="J76" s="384"/>
      <c r="K76" s="384"/>
      <c r="L76" s="394"/>
      <c r="M76" s="384"/>
      <c r="N76" s="394"/>
      <c r="O76" s="385"/>
      <c r="P76" s="385"/>
      <c r="Q76" s="385"/>
      <c r="R76" s="384"/>
      <c r="S76" s="384"/>
      <c r="T76" s="378"/>
    </row>
    <row r="77" spans="1:20" x14ac:dyDescent="0.45">
      <c r="A77" s="380"/>
      <c r="B77" s="380"/>
      <c r="C77" s="380"/>
      <c r="D77" s="380"/>
      <c r="E77" s="380"/>
      <c r="F77" s="380"/>
      <c r="G77" s="381"/>
      <c r="H77" s="382"/>
      <c r="I77" s="391"/>
      <c r="J77" s="381"/>
      <c r="K77" s="381"/>
      <c r="L77" s="392"/>
      <c r="M77" s="381"/>
      <c r="N77" s="392"/>
      <c r="O77" s="382"/>
      <c r="P77" s="382"/>
      <c r="Q77" s="382"/>
      <c r="R77" s="381"/>
      <c r="S77" s="381"/>
      <c r="T77" s="185"/>
    </row>
    <row r="78" spans="1:20" x14ac:dyDescent="0.45">
      <c r="A78" s="383"/>
      <c r="B78" s="383"/>
      <c r="C78" s="383"/>
      <c r="D78" s="383"/>
      <c r="E78" s="383"/>
      <c r="F78" s="383"/>
      <c r="G78" s="384"/>
      <c r="H78" s="385"/>
      <c r="I78" s="393"/>
      <c r="J78" s="384"/>
      <c r="K78" s="384"/>
      <c r="L78" s="394"/>
      <c r="M78" s="384"/>
      <c r="N78" s="394"/>
      <c r="O78" s="385"/>
      <c r="P78" s="385"/>
      <c r="Q78" s="385"/>
      <c r="R78" s="384"/>
      <c r="S78" s="384"/>
      <c r="T78" s="378"/>
    </row>
    <row r="79" spans="1:20" x14ac:dyDescent="0.45">
      <c r="A79" s="380"/>
      <c r="B79" s="380"/>
      <c r="C79" s="380"/>
      <c r="D79" s="380"/>
      <c r="E79" s="380"/>
      <c r="F79" s="380"/>
      <c r="G79" s="381"/>
      <c r="H79" s="382"/>
      <c r="I79" s="391"/>
      <c r="J79" s="381"/>
      <c r="K79" s="381"/>
      <c r="L79" s="392"/>
      <c r="M79" s="381"/>
      <c r="N79" s="392"/>
      <c r="O79" s="382"/>
      <c r="P79" s="382"/>
      <c r="Q79" s="382"/>
      <c r="R79" s="381"/>
      <c r="S79" s="381"/>
      <c r="T79" s="185"/>
    </row>
    <row r="80" spans="1:20" x14ac:dyDescent="0.45">
      <c r="A80" s="383"/>
      <c r="B80" s="383"/>
      <c r="C80" s="383"/>
      <c r="D80" s="383"/>
      <c r="E80" s="383"/>
      <c r="F80" s="383"/>
      <c r="G80" s="384"/>
      <c r="H80" s="385"/>
      <c r="I80" s="393"/>
      <c r="J80" s="384"/>
      <c r="K80" s="384"/>
      <c r="L80" s="394"/>
      <c r="M80" s="384"/>
      <c r="N80" s="394"/>
      <c r="O80" s="385"/>
      <c r="P80" s="385"/>
      <c r="Q80" s="385"/>
      <c r="R80" s="384"/>
      <c r="S80" s="384"/>
      <c r="T80" s="378"/>
    </row>
    <row r="81" spans="1:20" x14ac:dyDescent="0.45">
      <c r="A81" s="380"/>
      <c r="B81" s="380"/>
      <c r="C81" s="380"/>
      <c r="D81" s="380"/>
      <c r="E81" s="380"/>
      <c r="F81" s="380"/>
      <c r="G81" s="381"/>
      <c r="H81" s="382"/>
      <c r="I81" s="391"/>
      <c r="J81" s="381"/>
      <c r="K81" s="381"/>
      <c r="L81" s="392"/>
      <c r="M81" s="381"/>
      <c r="N81" s="392"/>
      <c r="O81" s="382"/>
      <c r="P81" s="382"/>
      <c r="Q81" s="382"/>
      <c r="R81" s="381"/>
      <c r="S81" s="381"/>
      <c r="T81" s="185"/>
    </row>
    <row r="82" spans="1:20" x14ac:dyDescent="0.45">
      <c r="A82" s="383"/>
      <c r="B82" s="383"/>
      <c r="C82" s="383"/>
      <c r="D82" s="383"/>
      <c r="E82" s="383"/>
      <c r="F82" s="383"/>
      <c r="G82" s="384"/>
      <c r="H82" s="385"/>
      <c r="I82" s="393"/>
      <c r="J82" s="384"/>
      <c r="K82" s="384"/>
      <c r="L82" s="394"/>
      <c r="M82" s="384"/>
      <c r="N82" s="394"/>
      <c r="O82" s="385"/>
      <c r="P82" s="385"/>
      <c r="Q82" s="385"/>
      <c r="R82" s="384"/>
      <c r="S82" s="384"/>
      <c r="T82" s="378"/>
    </row>
    <row r="83" spans="1:20" x14ac:dyDescent="0.45">
      <c r="A83" s="380"/>
      <c r="B83" s="380"/>
      <c r="C83" s="380"/>
      <c r="D83" s="380"/>
      <c r="E83" s="380"/>
      <c r="F83" s="380"/>
      <c r="G83" s="381"/>
      <c r="H83" s="382"/>
      <c r="I83" s="391"/>
      <c r="J83" s="381"/>
      <c r="K83" s="381"/>
      <c r="L83" s="392"/>
      <c r="M83" s="381"/>
      <c r="N83" s="392"/>
      <c r="O83" s="382"/>
      <c r="P83" s="382"/>
      <c r="Q83" s="382"/>
      <c r="R83" s="381"/>
      <c r="S83" s="381"/>
      <c r="T83" s="185"/>
    </row>
    <row r="84" spans="1:20" x14ac:dyDescent="0.45">
      <c r="A84" s="383"/>
      <c r="B84" s="383"/>
      <c r="C84" s="383"/>
      <c r="D84" s="383"/>
      <c r="E84" s="383"/>
      <c r="F84" s="383"/>
      <c r="G84" s="384"/>
      <c r="H84" s="385"/>
      <c r="I84" s="393"/>
      <c r="J84" s="384"/>
      <c r="K84" s="384"/>
      <c r="L84" s="394"/>
      <c r="M84" s="384"/>
      <c r="N84" s="394"/>
      <c r="O84" s="385"/>
      <c r="P84" s="385"/>
      <c r="Q84" s="385"/>
      <c r="R84" s="384"/>
      <c r="S84" s="384"/>
      <c r="T84" s="378"/>
    </row>
    <row r="85" spans="1:20" x14ac:dyDescent="0.45">
      <c r="A85" s="380"/>
      <c r="B85" s="380"/>
      <c r="C85" s="380"/>
      <c r="D85" s="380"/>
      <c r="E85" s="380"/>
      <c r="F85" s="380"/>
      <c r="G85" s="381"/>
      <c r="H85" s="382"/>
      <c r="I85" s="391"/>
      <c r="J85" s="381"/>
      <c r="K85" s="381"/>
      <c r="L85" s="392"/>
      <c r="M85" s="381"/>
      <c r="N85" s="392"/>
      <c r="O85" s="382"/>
      <c r="P85" s="382"/>
      <c r="Q85" s="382"/>
      <c r="R85" s="381"/>
      <c r="S85" s="381"/>
      <c r="T85" s="185"/>
    </row>
    <row r="86" spans="1:20" x14ac:dyDescent="0.45">
      <c r="A86" s="383"/>
      <c r="B86" s="383"/>
      <c r="C86" s="383"/>
      <c r="D86" s="383"/>
      <c r="E86" s="383"/>
      <c r="F86" s="383"/>
      <c r="G86" s="384"/>
      <c r="H86" s="385"/>
      <c r="I86" s="393"/>
      <c r="J86" s="384"/>
      <c r="K86" s="384"/>
      <c r="L86" s="394"/>
      <c r="M86" s="384"/>
      <c r="N86" s="394"/>
      <c r="O86" s="385"/>
      <c r="P86" s="385"/>
      <c r="Q86" s="385"/>
      <c r="R86" s="384"/>
      <c r="S86" s="384"/>
      <c r="T86" s="378"/>
    </row>
    <row r="87" spans="1:20" x14ac:dyDescent="0.45">
      <c r="A87" s="380"/>
      <c r="B87" s="380"/>
      <c r="C87" s="380"/>
      <c r="D87" s="380"/>
      <c r="E87" s="380"/>
      <c r="F87" s="380"/>
      <c r="G87" s="381"/>
      <c r="H87" s="382"/>
      <c r="I87" s="391"/>
      <c r="J87" s="381"/>
      <c r="K87" s="381"/>
      <c r="L87" s="392"/>
      <c r="M87" s="381"/>
      <c r="N87" s="392"/>
      <c r="O87" s="382"/>
      <c r="P87" s="382"/>
      <c r="Q87" s="382"/>
      <c r="R87" s="381"/>
      <c r="S87" s="381"/>
      <c r="T87" s="185"/>
    </row>
    <row r="88" spans="1:20" x14ac:dyDescent="0.45">
      <c r="A88" s="383"/>
      <c r="B88" s="383"/>
      <c r="C88" s="383"/>
      <c r="D88" s="383"/>
      <c r="E88" s="383"/>
      <c r="F88" s="383"/>
      <c r="G88" s="384"/>
      <c r="H88" s="385"/>
      <c r="I88" s="393"/>
      <c r="J88" s="384"/>
      <c r="K88" s="384"/>
      <c r="L88" s="394"/>
      <c r="M88" s="384"/>
      <c r="N88" s="394"/>
      <c r="O88" s="385"/>
      <c r="P88" s="385"/>
      <c r="Q88" s="385"/>
      <c r="R88" s="384"/>
      <c r="S88" s="384"/>
      <c r="T88" s="378"/>
    </row>
    <row r="89" spans="1:20" x14ac:dyDescent="0.45">
      <c r="A89" s="380"/>
      <c r="B89" s="380"/>
      <c r="C89" s="380"/>
      <c r="D89" s="380"/>
      <c r="E89" s="380"/>
      <c r="F89" s="380"/>
      <c r="G89" s="381"/>
      <c r="H89" s="382"/>
      <c r="I89" s="391"/>
      <c r="J89" s="381"/>
      <c r="K89" s="381"/>
      <c r="L89" s="392"/>
      <c r="M89" s="381"/>
      <c r="N89" s="392"/>
      <c r="O89" s="382"/>
      <c r="P89" s="382"/>
      <c r="Q89" s="382"/>
      <c r="R89" s="381"/>
      <c r="S89" s="381"/>
      <c r="T89" s="185"/>
    </row>
    <row r="90" spans="1:20" x14ac:dyDescent="0.45">
      <c r="A90" s="383"/>
      <c r="B90" s="383"/>
      <c r="C90" s="383"/>
      <c r="D90" s="383"/>
      <c r="E90" s="383"/>
      <c r="F90" s="383"/>
      <c r="G90" s="384"/>
      <c r="H90" s="385"/>
      <c r="I90" s="393"/>
      <c r="J90" s="384"/>
      <c r="K90" s="384"/>
      <c r="L90" s="394"/>
      <c r="M90" s="384"/>
      <c r="N90" s="394"/>
      <c r="O90" s="385"/>
      <c r="P90" s="385"/>
      <c r="Q90" s="385"/>
      <c r="R90" s="384"/>
      <c r="S90" s="384"/>
      <c r="T90" s="378"/>
    </row>
    <row r="91" spans="1:20" x14ac:dyDescent="0.45">
      <c r="A91" s="380"/>
      <c r="B91" s="380"/>
      <c r="C91" s="380"/>
      <c r="D91" s="380"/>
      <c r="E91" s="380"/>
      <c r="F91" s="380"/>
      <c r="G91" s="381"/>
      <c r="H91" s="382"/>
      <c r="I91" s="391"/>
      <c r="J91" s="381"/>
      <c r="K91" s="381"/>
      <c r="L91" s="392"/>
      <c r="M91" s="381"/>
      <c r="N91" s="392"/>
      <c r="O91" s="382"/>
      <c r="P91" s="382"/>
      <c r="Q91" s="382"/>
      <c r="R91" s="381"/>
      <c r="S91" s="381"/>
      <c r="T91" s="185"/>
    </row>
    <row r="92" spans="1:20" x14ac:dyDescent="0.45">
      <c r="A92" s="383"/>
      <c r="B92" s="383"/>
      <c r="C92" s="383"/>
      <c r="D92" s="383"/>
      <c r="E92" s="383"/>
      <c r="F92" s="383"/>
      <c r="G92" s="384"/>
      <c r="H92" s="385"/>
      <c r="I92" s="393"/>
      <c r="J92" s="384"/>
      <c r="K92" s="384"/>
      <c r="L92" s="394"/>
      <c r="M92" s="384"/>
      <c r="N92" s="394"/>
      <c r="O92" s="385"/>
      <c r="P92" s="385"/>
      <c r="Q92" s="385"/>
      <c r="R92" s="384"/>
      <c r="S92" s="384"/>
      <c r="T92" s="378"/>
    </row>
    <row r="93" spans="1:20" x14ac:dyDescent="0.45">
      <c r="A93" s="380"/>
      <c r="B93" s="380"/>
      <c r="C93" s="380"/>
      <c r="D93" s="380"/>
      <c r="E93" s="380"/>
      <c r="F93" s="380"/>
      <c r="G93" s="381"/>
      <c r="H93" s="382"/>
      <c r="I93" s="391"/>
      <c r="J93" s="381"/>
      <c r="K93" s="381"/>
      <c r="L93" s="392"/>
      <c r="M93" s="381"/>
      <c r="N93" s="392"/>
      <c r="O93" s="382"/>
      <c r="P93" s="382"/>
      <c r="Q93" s="382"/>
      <c r="R93" s="381"/>
      <c r="S93" s="381"/>
      <c r="T93" s="185"/>
    </row>
    <row r="94" spans="1:20" x14ac:dyDescent="0.45">
      <c r="A94" s="383"/>
      <c r="B94" s="383"/>
      <c r="C94" s="383"/>
      <c r="D94" s="383"/>
      <c r="E94" s="383"/>
      <c r="F94" s="383"/>
      <c r="G94" s="384"/>
      <c r="H94" s="385"/>
      <c r="I94" s="393"/>
      <c r="J94" s="384"/>
      <c r="K94" s="384"/>
      <c r="L94" s="394"/>
      <c r="M94" s="384"/>
      <c r="N94" s="394"/>
      <c r="O94" s="385"/>
      <c r="P94" s="385"/>
      <c r="Q94" s="385"/>
      <c r="R94" s="384"/>
      <c r="S94" s="384"/>
      <c r="T94" s="378"/>
    </row>
    <row r="95" spans="1:20" x14ac:dyDescent="0.45">
      <c r="A95" s="380"/>
      <c r="B95" s="380"/>
      <c r="C95" s="380"/>
      <c r="D95" s="380"/>
      <c r="E95" s="380"/>
      <c r="F95" s="380"/>
      <c r="G95" s="381"/>
      <c r="H95" s="382"/>
      <c r="I95" s="391"/>
      <c r="J95" s="381"/>
      <c r="K95" s="381"/>
      <c r="L95" s="392"/>
      <c r="M95" s="381"/>
      <c r="N95" s="392"/>
      <c r="O95" s="382"/>
      <c r="P95" s="382"/>
      <c r="Q95" s="382"/>
      <c r="R95" s="381"/>
      <c r="S95" s="381"/>
      <c r="T95" s="185"/>
    </row>
    <row r="96" spans="1:20" x14ac:dyDescent="0.45">
      <c r="A96" s="383"/>
      <c r="B96" s="383"/>
      <c r="C96" s="383"/>
      <c r="D96" s="383"/>
      <c r="E96" s="383"/>
      <c r="F96" s="383"/>
      <c r="G96" s="384"/>
      <c r="H96" s="385"/>
      <c r="I96" s="393"/>
      <c r="J96" s="384"/>
      <c r="K96" s="384"/>
      <c r="L96" s="394"/>
      <c r="M96" s="384"/>
      <c r="N96" s="394"/>
      <c r="O96" s="385"/>
      <c r="P96" s="385"/>
      <c r="Q96" s="385"/>
      <c r="R96" s="384"/>
      <c r="S96" s="384"/>
      <c r="T96" s="378"/>
    </row>
    <row r="97" spans="1:20" x14ac:dyDescent="0.45">
      <c r="A97" s="380"/>
      <c r="B97" s="380"/>
      <c r="C97" s="380"/>
      <c r="D97" s="380"/>
      <c r="E97" s="380"/>
      <c r="F97" s="380"/>
      <c r="G97" s="381"/>
      <c r="H97" s="382"/>
      <c r="I97" s="391"/>
      <c r="J97" s="381"/>
      <c r="K97" s="381"/>
      <c r="L97" s="392"/>
      <c r="M97" s="381"/>
      <c r="N97" s="392"/>
      <c r="O97" s="382"/>
      <c r="P97" s="382"/>
      <c r="Q97" s="382"/>
      <c r="R97" s="381"/>
      <c r="S97" s="381"/>
      <c r="T97" s="185"/>
    </row>
    <row r="98" spans="1:20" x14ac:dyDescent="0.45">
      <c r="A98" s="383"/>
      <c r="B98" s="383"/>
      <c r="C98" s="383"/>
      <c r="D98" s="383"/>
      <c r="E98" s="383"/>
      <c r="F98" s="383"/>
      <c r="G98" s="384"/>
      <c r="H98" s="385"/>
      <c r="I98" s="393"/>
      <c r="J98" s="384"/>
      <c r="K98" s="384"/>
      <c r="L98" s="394"/>
      <c r="M98" s="384"/>
      <c r="N98" s="394"/>
      <c r="O98" s="385"/>
      <c r="P98" s="385"/>
      <c r="Q98" s="385"/>
      <c r="R98" s="384"/>
      <c r="S98" s="384"/>
      <c r="T98" s="378"/>
    </row>
    <row r="99" spans="1:20" x14ac:dyDescent="0.45">
      <c r="A99" s="380"/>
      <c r="B99" s="380"/>
      <c r="C99" s="380"/>
      <c r="D99" s="380"/>
      <c r="E99" s="380"/>
      <c r="F99" s="380"/>
      <c r="G99" s="381"/>
      <c r="H99" s="382"/>
      <c r="I99" s="391"/>
      <c r="J99" s="381"/>
      <c r="K99" s="381"/>
      <c r="L99" s="392"/>
      <c r="M99" s="381"/>
      <c r="N99" s="392"/>
      <c r="O99" s="382"/>
      <c r="P99" s="382"/>
      <c r="Q99" s="382"/>
      <c r="R99" s="381"/>
      <c r="S99" s="381"/>
      <c r="T99" s="185"/>
    </row>
    <row r="100" spans="1:20" x14ac:dyDescent="0.45">
      <c r="A100" s="383"/>
      <c r="B100" s="383"/>
      <c r="C100" s="383"/>
      <c r="D100" s="383"/>
      <c r="E100" s="383"/>
      <c r="F100" s="383"/>
      <c r="G100" s="384"/>
      <c r="H100" s="385"/>
      <c r="I100" s="393"/>
      <c r="J100" s="384"/>
      <c r="K100" s="384"/>
      <c r="L100" s="394"/>
      <c r="M100" s="384"/>
      <c r="N100" s="394"/>
      <c r="O100" s="385"/>
      <c r="P100" s="385"/>
      <c r="Q100" s="385"/>
      <c r="R100" s="384"/>
      <c r="S100" s="384"/>
      <c r="T100" s="378"/>
    </row>
    <row r="101" spans="1:20" x14ac:dyDescent="0.45">
      <c r="A101" s="380"/>
      <c r="B101" s="380"/>
      <c r="C101" s="380"/>
      <c r="D101" s="380"/>
      <c r="E101" s="380"/>
      <c r="F101" s="380"/>
      <c r="G101" s="381"/>
      <c r="H101" s="382"/>
      <c r="I101" s="391"/>
      <c r="J101" s="381"/>
      <c r="K101" s="381"/>
      <c r="L101" s="392"/>
      <c r="M101" s="381"/>
      <c r="N101" s="392"/>
      <c r="O101" s="382"/>
      <c r="P101" s="382"/>
      <c r="Q101" s="382"/>
      <c r="R101" s="381"/>
      <c r="S101" s="381"/>
      <c r="T101" s="185"/>
    </row>
    <row r="102" spans="1:20" x14ac:dyDescent="0.45">
      <c r="A102" s="383"/>
      <c r="B102" s="383"/>
      <c r="C102" s="383"/>
      <c r="D102" s="383"/>
      <c r="E102" s="383"/>
      <c r="F102" s="383"/>
      <c r="G102" s="384"/>
      <c r="H102" s="385"/>
      <c r="I102" s="393"/>
      <c r="J102" s="384"/>
      <c r="K102" s="384"/>
      <c r="L102" s="394"/>
      <c r="M102" s="384"/>
      <c r="N102" s="394"/>
      <c r="O102" s="385"/>
      <c r="P102" s="385"/>
      <c r="Q102" s="385"/>
      <c r="R102" s="384"/>
      <c r="S102" s="384"/>
      <c r="T102" s="378"/>
    </row>
    <row r="103" spans="1:20" x14ac:dyDescent="0.45">
      <c r="A103" s="380"/>
      <c r="B103" s="380"/>
      <c r="C103" s="380"/>
      <c r="D103" s="380"/>
      <c r="E103" s="380"/>
      <c r="F103" s="380"/>
      <c r="G103" s="381"/>
      <c r="H103" s="382"/>
      <c r="I103" s="391"/>
      <c r="J103" s="381"/>
      <c r="K103" s="381"/>
      <c r="L103" s="392"/>
      <c r="M103" s="381"/>
      <c r="N103" s="392"/>
      <c r="O103" s="382"/>
      <c r="P103" s="382"/>
      <c r="Q103" s="382"/>
      <c r="R103" s="381"/>
      <c r="S103" s="381"/>
      <c r="T103" s="185"/>
    </row>
    <row r="104" spans="1:20" x14ac:dyDescent="0.45">
      <c r="A104" s="383"/>
      <c r="B104" s="383"/>
      <c r="C104" s="383"/>
      <c r="D104" s="383"/>
      <c r="E104" s="383"/>
      <c r="F104" s="383"/>
      <c r="G104" s="384"/>
      <c r="H104" s="385"/>
      <c r="I104" s="393"/>
      <c r="J104" s="384"/>
      <c r="K104" s="384"/>
      <c r="L104" s="394"/>
      <c r="M104" s="384"/>
      <c r="N104" s="394"/>
      <c r="O104" s="385"/>
      <c r="P104" s="385"/>
      <c r="Q104" s="385"/>
      <c r="R104" s="384"/>
      <c r="S104" s="384"/>
      <c r="T104" s="378"/>
    </row>
    <row r="105" spans="1:20" x14ac:dyDescent="0.45">
      <c r="A105" s="380"/>
      <c r="B105" s="380"/>
      <c r="C105" s="380"/>
      <c r="D105" s="380"/>
      <c r="E105" s="380"/>
      <c r="F105" s="380"/>
      <c r="G105" s="381"/>
      <c r="H105" s="382"/>
      <c r="I105" s="391"/>
      <c r="J105" s="381"/>
      <c r="K105" s="381"/>
      <c r="L105" s="392"/>
      <c r="M105" s="381"/>
      <c r="N105" s="392"/>
      <c r="O105" s="382"/>
      <c r="P105" s="382"/>
      <c r="Q105" s="382"/>
      <c r="R105" s="381"/>
      <c r="S105" s="381"/>
      <c r="T105" s="185"/>
    </row>
    <row r="106" spans="1:20" x14ac:dyDescent="0.45">
      <c r="A106" s="383"/>
      <c r="B106" s="383"/>
      <c r="C106" s="383"/>
      <c r="D106" s="383"/>
      <c r="E106" s="383"/>
      <c r="F106" s="383"/>
      <c r="G106" s="384"/>
      <c r="H106" s="385"/>
      <c r="I106" s="393"/>
      <c r="J106" s="384"/>
      <c r="K106" s="384"/>
      <c r="L106" s="394"/>
      <c r="M106" s="384"/>
      <c r="N106" s="394"/>
      <c r="O106" s="385"/>
      <c r="P106" s="385"/>
      <c r="Q106" s="385"/>
      <c r="R106" s="384"/>
      <c r="S106" s="384"/>
      <c r="T106" s="378"/>
    </row>
    <row r="107" spans="1:20" x14ac:dyDescent="0.45">
      <c r="A107" s="380"/>
      <c r="B107" s="380"/>
      <c r="C107" s="380"/>
      <c r="D107" s="380"/>
      <c r="E107" s="380"/>
      <c r="F107" s="380"/>
      <c r="G107" s="381"/>
      <c r="H107" s="382"/>
      <c r="I107" s="391"/>
      <c r="J107" s="381"/>
      <c r="K107" s="381"/>
      <c r="L107" s="392"/>
      <c r="M107" s="381"/>
      <c r="N107" s="392"/>
      <c r="O107" s="382"/>
      <c r="P107" s="382"/>
      <c r="Q107" s="382"/>
      <c r="R107" s="381"/>
      <c r="S107" s="381"/>
      <c r="T107" s="185"/>
    </row>
    <row r="108" spans="1:20" x14ac:dyDescent="0.45">
      <c r="A108" s="383"/>
      <c r="B108" s="383"/>
      <c r="C108" s="383"/>
      <c r="D108" s="383"/>
      <c r="E108" s="383"/>
      <c r="F108" s="383"/>
      <c r="G108" s="384"/>
      <c r="H108" s="385"/>
      <c r="I108" s="393"/>
      <c r="J108" s="384"/>
      <c r="K108" s="384"/>
      <c r="L108" s="394"/>
      <c r="M108" s="384"/>
      <c r="N108" s="394"/>
      <c r="O108" s="385"/>
      <c r="P108" s="385"/>
      <c r="Q108" s="385"/>
      <c r="R108" s="384"/>
      <c r="S108" s="384"/>
      <c r="T108" s="378"/>
    </row>
    <row r="109" spans="1:20" x14ac:dyDescent="0.45">
      <c r="A109" s="380"/>
      <c r="B109" s="380"/>
      <c r="C109" s="380"/>
      <c r="D109" s="380"/>
      <c r="E109" s="380"/>
      <c r="F109" s="380"/>
      <c r="G109" s="381"/>
      <c r="H109" s="382"/>
      <c r="I109" s="391"/>
      <c r="J109" s="381"/>
      <c r="K109" s="381"/>
      <c r="L109" s="392"/>
      <c r="M109" s="381"/>
      <c r="N109" s="392"/>
      <c r="O109" s="382"/>
      <c r="P109" s="382"/>
      <c r="Q109" s="382"/>
      <c r="R109" s="381"/>
      <c r="S109" s="381"/>
      <c r="T109" s="185"/>
    </row>
    <row r="110" spans="1:20" x14ac:dyDescent="0.45">
      <c r="A110" s="383"/>
      <c r="B110" s="383"/>
      <c r="C110" s="383"/>
      <c r="D110" s="383"/>
      <c r="E110" s="383"/>
      <c r="F110" s="383"/>
      <c r="G110" s="384"/>
      <c r="H110" s="385"/>
      <c r="I110" s="393"/>
      <c r="J110" s="384"/>
      <c r="K110" s="384"/>
      <c r="L110" s="394"/>
      <c r="M110" s="384"/>
      <c r="N110" s="394"/>
      <c r="O110" s="385"/>
      <c r="P110" s="385"/>
      <c r="Q110" s="385"/>
      <c r="R110" s="384"/>
      <c r="S110" s="384"/>
      <c r="T110" s="378"/>
    </row>
    <row r="111" spans="1:20" x14ac:dyDescent="0.45">
      <c r="A111" s="380"/>
      <c r="B111" s="380"/>
      <c r="C111" s="380"/>
      <c r="D111" s="380"/>
      <c r="E111" s="380"/>
      <c r="F111" s="380"/>
      <c r="G111" s="381"/>
      <c r="H111" s="382"/>
      <c r="I111" s="391"/>
      <c r="J111" s="381"/>
      <c r="K111" s="381"/>
      <c r="L111" s="392"/>
      <c r="M111" s="381"/>
      <c r="N111" s="392"/>
      <c r="O111" s="382"/>
      <c r="P111" s="382"/>
      <c r="Q111" s="382"/>
      <c r="R111" s="381"/>
      <c r="S111" s="381"/>
      <c r="T111" s="185"/>
    </row>
    <row r="112" spans="1:20" x14ac:dyDescent="0.45">
      <c r="A112" s="383"/>
      <c r="B112" s="383"/>
      <c r="C112" s="383"/>
      <c r="D112" s="383"/>
      <c r="E112" s="383"/>
      <c r="F112" s="383"/>
      <c r="G112" s="384"/>
      <c r="H112" s="385"/>
      <c r="I112" s="393"/>
      <c r="J112" s="384"/>
      <c r="K112" s="384"/>
      <c r="L112" s="394"/>
      <c r="M112" s="384"/>
      <c r="N112" s="394"/>
      <c r="O112" s="385"/>
      <c r="P112" s="385"/>
      <c r="Q112" s="385"/>
      <c r="R112" s="384"/>
      <c r="S112" s="384"/>
      <c r="T112" s="378"/>
    </row>
    <row r="113" spans="1:20" x14ac:dyDescent="0.45">
      <c r="A113" s="380"/>
      <c r="B113" s="380"/>
      <c r="C113" s="380"/>
      <c r="D113" s="380"/>
      <c r="E113" s="380"/>
      <c r="F113" s="380"/>
      <c r="G113" s="381"/>
      <c r="H113" s="382"/>
      <c r="I113" s="391"/>
      <c r="J113" s="381"/>
      <c r="K113" s="381"/>
      <c r="L113" s="392"/>
      <c r="M113" s="381"/>
      <c r="N113" s="392"/>
      <c r="O113" s="382"/>
      <c r="P113" s="382"/>
      <c r="Q113" s="382"/>
      <c r="R113" s="381"/>
      <c r="S113" s="381"/>
      <c r="T113" s="185"/>
    </row>
    <row r="114" spans="1:20" x14ac:dyDescent="0.45">
      <c r="A114" s="383"/>
      <c r="B114" s="383"/>
      <c r="C114" s="383"/>
      <c r="D114" s="383"/>
      <c r="E114" s="383"/>
      <c r="F114" s="383"/>
      <c r="G114" s="384"/>
      <c r="H114" s="385"/>
      <c r="I114" s="393"/>
      <c r="J114" s="384"/>
      <c r="K114" s="384"/>
      <c r="L114" s="394"/>
      <c r="M114" s="384"/>
      <c r="N114" s="394"/>
      <c r="O114" s="385"/>
      <c r="P114" s="385"/>
      <c r="Q114" s="385"/>
      <c r="R114" s="384"/>
      <c r="S114" s="384"/>
      <c r="T114" s="378"/>
    </row>
    <row r="115" spans="1:20" x14ac:dyDescent="0.45">
      <c r="A115" s="380"/>
      <c r="B115" s="380"/>
      <c r="C115" s="380"/>
      <c r="D115" s="380"/>
      <c r="E115" s="380"/>
      <c r="F115" s="380"/>
      <c r="G115" s="381"/>
      <c r="H115" s="382"/>
      <c r="I115" s="391"/>
      <c r="J115" s="381"/>
      <c r="K115" s="381"/>
      <c r="L115" s="392"/>
      <c r="M115" s="381"/>
      <c r="N115" s="392"/>
      <c r="O115" s="382"/>
      <c r="P115" s="382"/>
      <c r="Q115" s="382"/>
      <c r="R115" s="381"/>
      <c r="S115" s="381"/>
      <c r="T115" s="379"/>
    </row>
    <row r="116" spans="1:20" x14ac:dyDescent="0.45">
      <c r="A116" s="383"/>
      <c r="B116" s="383"/>
      <c r="C116" s="383"/>
      <c r="D116" s="383"/>
      <c r="E116" s="383"/>
      <c r="F116" s="383"/>
      <c r="G116" s="384"/>
      <c r="H116" s="385"/>
      <c r="I116" s="393"/>
      <c r="J116" s="384"/>
      <c r="K116" s="384"/>
      <c r="L116" s="394"/>
      <c r="M116" s="384"/>
      <c r="N116" s="394"/>
      <c r="O116" s="385"/>
      <c r="P116" s="385"/>
      <c r="Q116" s="385"/>
      <c r="R116" s="384"/>
      <c r="S116" s="384"/>
      <c r="T116" s="378"/>
    </row>
    <row r="117" spans="1:20" x14ac:dyDescent="0.45">
      <c r="A117" s="380"/>
      <c r="B117" s="380"/>
      <c r="C117" s="380"/>
      <c r="D117" s="380"/>
      <c r="E117" s="380"/>
      <c r="F117" s="380"/>
      <c r="G117" s="381"/>
      <c r="H117" s="382"/>
      <c r="I117" s="391"/>
      <c r="J117" s="381"/>
      <c r="K117" s="381"/>
      <c r="L117" s="392"/>
      <c r="M117" s="381"/>
      <c r="N117" s="392"/>
      <c r="O117" s="382"/>
      <c r="P117" s="382"/>
      <c r="Q117" s="382"/>
      <c r="R117" s="381"/>
      <c r="S117" s="381"/>
      <c r="T117" s="379"/>
    </row>
    <row r="118" spans="1:20" x14ac:dyDescent="0.45">
      <c r="A118" s="383"/>
      <c r="B118" s="383"/>
      <c r="C118" s="383"/>
      <c r="D118" s="383"/>
      <c r="E118" s="383"/>
      <c r="F118" s="383"/>
      <c r="G118" s="384"/>
      <c r="H118" s="385"/>
      <c r="I118" s="393"/>
      <c r="J118" s="384"/>
      <c r="K118" s="384"/>
      <c r="L118" s="394"/>
      <c r="M118" s="384"/>
      <c r="N118" s="394"/>
      <c r="O118" s="385"/>
      <c r="P118" s="385"/>
      <c r="Q118" s="385"/>
      <c r="R118" s="384"/>
      <c r="S118" s="384"/>
      <c r="T118" s="378"/>
    </row>
    <row r="119" spans="1:20" x14ac:dyDescent="0.45">
      <c r="A119" s="380"/>
      <c r="B119" s="380"/>
      <c r="C119" s="380"/>
      <c r="D119" s="380"/>
      <c r="E119" s="380"/>
      <c r="F119" s="380"/>
      <c r="G119" s="381"/>
      <c r="H119" s="382"/>
      <c r="I119" s="391"/>
      <c r="J119" s="381"/>
      <c r="K119" s="381"/>
      <c r="L119" s="392"/>
      <c r="M119" s="381"/>
      <c r="N119" s="392"/>
      <c r="O119" s="382"/>
      <c r="P119" s="382"/>
      <c r="Q119" s="382"/>
      <c r="R119" s="381"/>
      <c r="S119" s="381"/>
      <c r="T119" s="379"/>
    </row>
    <row r="120" spans="1:20" x14ac:dyDescent="0.45">
      <c r="A120" s="383"/>
      <c r="B120" s="383"/>
      <c r="C120" s="383"/>
      <c r="D120" s="383"/>
      <c r="E120" s="383"/>
      <c r="F120" s="383"/>
      <c r="G120" s="384"/>
      <c r="H120" s="385"/>
      <c r="I120" s="393"/>
      <c r="J120" s="384"/>
      <c r="K120" s="384"/>
      <c r="L120" s="394"/>
      <c r="M120" s="384"/>
      <c r="N120" s="394"/>
      <c r="O120" s="385"/>
      <c r="P120" s="385"/>
      <c r="Q120" s="385"/>
      <c r="R120" s="384"/>
      <c r="S120" s="384"/>
      <c r="T120" s="378"/>
    </row>
    <row r="121" spans="1:20" x14ac:dyDescent="0.45">
      <c r="A121" s="380"/>
      <c r="B121" s="380"/>
      <c r="C121" s="380"/>
      <c r="D121" s="380"/>
      <c r="E121" s="380"/>
      <c r="F121" s="380"/>
      <c r="G121" s="381"/>
      <c r="H121" s="382"/>
      <c r="I121" s="391"/>
      <c r="J121" s="381"/>
      <c r="K121" s="381"/>
      <c r="L121" s="392"/>
      <c r="M121" s="381"/>
      <c r="N121" s="392"/>
      <c r="O121" s="382"/>
      <c r="P121" s="382"/>
      <c r="Q121" s="382"/>
      <c r="R121" s="381"/>
      <c r="S121" s="381"/>
      <c r="T121" s="379"/>
    </row>
    <row r="122" spans="1:20" x14ac:dyDescent="0.45">
      <c r="A122" s="383"/>
      <c r="B122" s="383"/>
      <c r="C122" s="383"/>
      <c r="D122" s="383"/>
      <c r="E122" s="383"/>
      <c r="F122" s="383"/>
      <c r="G122" s="384"/>
      <c r="H122" s="385"/>
      <c r="I122" s="393"/>
      <c r="J122" s="384"/>
      <c r="K122" s="384"/>
      <c r="L122" s="394"/>
      <c r="M122" s="384"/>
      <c r="N122" s="394"/>
      <c r="O122" s="385"/>
      <c r="P122" s="385"/>
      <c r="Q122" s="385"/>
      <c r="R122" s="384"/>
      <c r="S122" s="384"/>
      <c r="T122" s="378"/>
    </row>
    <row r="123" spans="1:20" x14ac:dyDescent="0.45">
      <c r="A123" s="380"/>
      <c r="B123" s="380"/>
      <c r="C123" s="380"/>
      <c r="D123" s="380"/>
      <c r="E123" s="380"/>
      <c r="F123" s="380"/>
      <c r="G123" s="381"/>
      <c r="H123" s="382"/>
      <c r="I123" s="391"/>
      <c r="J123" s="381"/>
      <c r="K123" s="381"/>
      <c r="L123" s="392"/>
      <c r="M123" s="381"/>
      <c r="N123" s="392"/>
      <c r="O123" s="382"/>
      <c r="P123" s="382"/>
      <c r="Q123" s="382"/>
      <c r="R123" s="381"/>
      <c r="S123" s="381"/>
      <c r="T123" s="379"/>
    </row>
    <row r="124" spans="1:20" x14ac:dyDescent="0.45">
      <c r="A124" s="383"/>
      <c r="B124" s="383"/>
      <c r="C124" s="383"/>
      <c r="D124" s="383"/>
      <c r="E124" s="383"/>
      <c r="F124" s="383"/>
      <c r="G124" s="384"/>
      <c r="H124" s="385"/>
      <c r="I124" s="393"/>
      <c r="J124" s="384"/>
      <c r="K124" s="384"/>
      <c r="L124" s="394"/>
      <c r="M124" s="384"/>
      <c r="N124" s="394"/>
      <c r="O124" s="385"/>
      <c r="P124" s="385"/>
      <c r="Q124" s="385"/>
      <c r="R124" s="384"/>
      <c r="S124" s="384"/>
      <c r="T124" s="378"/>
    </row>
    <row r="125" spans="1:20" x14ac:dyDescent="0.45">
      <c r="A125" s="380"/>
      <c r="B125" s="380"/>
      <c r="C125" s="380"/>
      <c r="D125" s="380"/>
      <c r="E125" s="380"/>
      <c r="F125" s="380"/>
      <c r="G125" s="381"/>
      <c r="H125" s="382"/>
      <c r="I125" s="391"/>
      <c r="J125" s="381"/>
      <c r="K125" s="381"/>
      <c r="L125" s="392"/>
      <c r="M125" s="381"/>
      <c r="N125" s="392"/>
      <c r="O125" s="382"/>
      <c r="P125" s="382"/>
      <c r="Q125" s="382"/>
      <c r="R125" s="381"/>
      <c r="S125" s="381"/>
      <c r="T125" s="379"/>
    </row>
    <row r="126" spans="1:20" x14ac:dyDescent="0.45">
      <c r="A126" s="383"/>
      <c r="B126" s="383"/>
      <c r="C126" s="383"/>
      <c r="D126" s="383"/>
      <c r="E126" s="383"/>
      <c r="F126" s="383"/>
      <c r="G126" s="384"/>
      <c r="H126" s="385"/>
      <c r="I126" s="393"/>
      <c r="J126" s="384"/>
      <c r="K126" s="384"/>
      <c r="L126" s="394"/>
      <c r="M126" s="384"/>
      <c r="N126" s="394"/>
      <c r="O126" s="385"/>
      <c r="P126" s="385"/>
      <c r="Q126" s="385"/>
      <c r="R126" s="384"/>
      <c r="S126" s="384"/>
      <c r="T126" s="378"/>
    </row>
    <row r="127" spans="1:20" x14ac:dyDescent="0.45">
      <c r="A127" s="380"/>
      <c r="B127" s="380"/>
      <c r="C127" s="380"/>
      <c r="D127" s="380"/>
      <c r="E127" s="380"/>
      <c r="F127" s="380"/>
      <c r="G127" s="381"/>
      <c r="H127" s="382"/>
      <c r="I127" s="391"/>
      <c r="J127" s="381"/>
      <c r="K127" s="381"/>
      <c r="L127" s="392"/>
      <c r="M127" s="381"/>
      <c r="N127" s="392"/>
      <c r="O127" s="382"/>
      <c r="P127" s="382"/>
      <c r="Q127" s="382"/>
      <c r="R127" s="381"/>
      <c r="S127" s="381"/>
      <c r="T127" s="379"/>
    </row>
    <row r="128" spans="1:20" x14ac:dyDescent="0.45">
      <c r="A128" s="383"/>
      <c r="B128" s="383"/>
      <c r="C128" s="383"/>
      <c r="D128" s="383"/>
      <c r="E128" s="383"/>
      <c r="F128" s="383"/>
      <c r="G128" s="384"/>
      <c r="H128" s="385"/>
      <c r="I128" s="393"/>
      <c r="J128" s="384"/>
      <c r="K128" s="384"/>
      <c r="L128" s="394"/>
      <c r="M128" s="384"/>
      <c r="N128" s="394"/>
      <c r="O128" s="385"/>
      <c r="P128" s="385"/>
      <c r="Q128" s="385"/>
      <c r="R128" s="384"/>
      <c r="S128" s="384"/>
      <c r="T128" s="378"/>
    </row>
    <row r="129" spans="1:20" x14ac:dyDescent="0.45">
      <c r="A129" s="380"/>
      <c r="B129" s="380"/>
      <c r="C129" s="380"/>
      <c r="D129" s="380"/>
      <c r="E129" s="380"/>
      <c r="F129" s="380"/>
      <c r="G129" s="381"/>
      <c r="H129" s="382"/>
      <c r="I129" s="391"/>
      <c r="J129" s="381"/>
      <c r="K129" s="381"/>
      <c r="L129" s="392"/>
      <c r="M129" s="381"/>
      <c r="N129" s="392"/>
      <c r="O129" s="382"/>
      <c r="P129" s="382"/>
      <c r="Q129" s="382"/>
      <c r="R129" s="381"/>
      <c r="S129" s="381"/>
      <c r="T129" s="379"/>
    </row>
    <row r="130" spans="1:20" x14ac:dyDescent="0.45">
      <c r="A130" s="383"/>
      <c r="B130" s="383"/>
      <c r="C130" s="383"/>
      <c r="D130" s="383"/>
      <c r="E130" s="383"/>
      <c r="F130" s="383"/>
      <c r="G130" s="384"/>
      <c r="H130" s="385"/>
      <c r="I130" s="393"/>
      <c r="J130" s="384"/>
      <c r="K130" s="384"/>
      <c r="L130" s="394"/>
      <c r="M130" s="384"/>
      <c r="N130" s="394"/>
      <c r="O130" s="385"/>
      <c r="P130" s="385"/>
      <c r="Q130" s="385"/>
      <c r="R130" s="384"/>
      <c r="S130" s="384"/>
      <c r="T130" s="378"/>
    </row>
    <row r="131" spans="1:20" x14ac:dyDescent="0.45">
      <c r="A131" s="380"/>
      <c r="B131" s="380"/>
      <c r="C131" s="380"/>
      <c r="D131" s="380"/>
      <c r="E131" s="380"/>
      <c r="F131" s="380"/>
      <c r="G131" s="381"/>
      <c r="H131" s="382"/>
      <c r="I131" s="391"/>
      <c r="J131" s="381"/>
      <c r="K131" s="381"/>
      <c r="L131" s="392"/>
      <c r="M131" s="381"/>
      <c r="N131" s="392"/>
      <c r="O131" s="382"/>
      <c r="P131" s="382"/>
      <c r="Q131" s="382"/>
      <c r="R131" s="381"/>
      <c r="S131" s="381"/>
      <c r="T131" s="379"/>
    </row>
    <row r="132" spans="1:20" x14ac:dyDescent="0.45">
      <c r="A132" s="383"/>
      <c r="B132" s="383"/>
      <c r="C132" s="383"/>
      <c r="D132" s="383"/>
      <c r="E132" s="383"/>
      <c r="F132" s="383"/>
      <c r="G132" s="384"/>
      <c r="H132" s="385"/>
      <c r="I132" s="393"/>
      <c r="J132" s="384"/>
      <c r="K132" s="384"/>
      <c r="L132" s="394"/>
      <c r="M132" s="384"/>
      <c r="N132" s="394"/>
      <c r="O132" s="385"/>
      <c r="P132" s="385"/>
      <c r="Q132" s="385"/>
      <c r="R132" s="384"/>
      <c r="S132" s="384"/>
      <c r="T132" s="378"/>
    </row>
    <row r="133" spans="1:20" x14ac:dyDescent="0.45">
      <c r="A133" s="380"/>
      <c r="B133" s="380"/>
      <c r="C133" s="380"/>
      <c r="D133" s="380"/>
      <c r="E133" s="380"/>
      <c r="F133" s="380"/>
      <c r="G133" s="381"/>
      <c r="H133" s="382"/>
      <c r="I133" s="391"/>
      <c r="J133" s="381"/>
      <c r="K133" s="381"/>
      <c r="L133" s="392"/>
      <c r="M133" s="381"/>
      <c r="N133" s="392"/>
      <c r="O133" s="382"/>
      <c r="P133" s="382"/>
      <c r="Q133" s="382"/>
      <c r="R133" s="381"/>
      <c r="S133" s="381"/>
      <c r="T133" s="379"/>
    </row>
    <row r="134" spans="1:20" x14ac:dyDescent="0.45">
      <c r="A134" s="383"/>
      <c r="B134" s="383"/>
      <c r="C134" s="383"/>
      <c r="D134" s="383"/>
      <c r="E134" s="383"/>
      <c r="F134" s="383"/>
      <c r="G134" s="384"/>
      <c r="H134" s="385"/>
      <c r="I134" s="393"/>
      <c r="J134" s="384"/>
      <c r="K134" s="384"/>
      <c r="L134" s="394"/>
      <c r="M134" s="384"/>
      <c r="N134" s="394"/>
      <c r="O134" s="385"/>
      <c r="P134" s="385"/>
      <c r="Q134" s="385"/>
      <c r="R134" s="384"/>
      <c r="S134" s="384"/>
      <c r="T134" s="378"/>
    </row>
    <row r="135" spans="1:20" x14ac:dyDescent="0.45">
      <c r="A135" s="380"/>
      <c r="B135" s="380"/>
      <c r="C135" s="380"/>
      <c r="D135" s="380"/>
      <c r="E135" s="380"/>
      <c r="F135" s="380"/>
      <c r="G135" s="381"/>
      <c r="H135" s="382"/>
      <c r="I135" s="391"/>
      <c r="J135" s="381"/>
      <c r="K135" s="381"/>
      <c r="L135" s="392"/>
      <c r="M135" s="381"/>
      <c r="N135" s="392"/>
      <c r="O135" s="382"/>
      <c r="P135" s="382"/>
      <c r="Q135" s="382"/>
      <c r="R135" s="381"/>
      <c r="S135" s="381"/>
      <c r="T135" s="379"/>
    </row>
    <row r="136" spans="1:20" x14ac:dyDescent="0.45">
      <c r="A136" s="383"/>
      <c r="B136" s="383"/>
      <c r="C136" s="383"/>
      <c r="D136" s="383"/>
      <c r="E136" s="383"/>
      <c r="F136" s="383"/>
      <c r="G136" s="384"/>
      <c r="H136" s="385"/>
      <c r="I136" s="393"/>
      <c r="J136" s="384"/>
      <c r="K136" s="384"/>
      <c r="L136" s="394"/>
      <c r="M136" s="384"/>
      <c r="N136" s="394"/>
      <c r="O136" s="385"/>
      <c r="P136" s="385"/>
      <c r="Q136" s="385"/>
      <c r="R136" s="384"/>
      <c r="S136" s="384"/>
      <c r="T136" s="378"/>
    </row>
    <row r="137" spans="1:20" x14ac:dyDescent="0.45">
      <c r="A137" s="380"/>
      <c r="B137" s="380"/>
      <c r="C137" s="380"/>
      <c r="D137" s="380"/>
      <c r="E137" s="380"/>
      <c r="F137" s="380"/>
      <c r="G137" s="381"/>
      <c r="H137" s="382"/>
      <c r="I137" s="391"/>
      <c r="J137" s="381"/>
      <c r="K137" s="381"/>
      <c r="L137" s="392"/>
      <c r="M137" s="381"/>
      <c r="N137" s="392"/>
      <c r="O137" s="382"/>
      <c r="P137" s="382"/>
      <c r="Q137" s="382"/>
      <c r="R137" s="381"/>
      <c r="S137" s="381"/>
      <c r="T137" s="379"/>
    </row>
    <row r="138" spans="1:20" x14ac:dyDescent="0.45">
      <c r="A138" s="383"/>
      <c r="B138" s="383"/>
      <c r="C138" s="383"/>
      <c r="D138" s="383"/>
      <c r="E138" s="383"/>
      <c r="F138" s="383"/>
      <c r="G138" s="384"/>
      <c r="H138" s="385"/>
      <c r="I138" s="393"/>
      <c r="J138" s="384"/>
      <c r="K138" s="384"/>
      <c r="L138" s="394"/>
      <c r="M138" s="384"/>
      <c r="N138" s="394"/>
      <c r="O138" s="385"/>
      <c r="P138" s="385"/>
      <c r="Q138" s="385"/>
      <c r="R138" s="384"/>
      <c r="S138" s="384"/>
      <c r="T138" s="378"/>
    </row>
    <row r="139" spans="1:20" x14ac:dyDescent="0.45">
      <c r="A139" s="380"/>
      <c r="B139" s="380"/>
      <c r="C139" s="380"/>
      <c r="D139" s="380"/>
      <c r="E139" s="380"/>
      <c r="F139" s="380"/>
      <c r="G139" s="381"/>
      <c r="H139" s="382"/>
      <c r="I139" s="391"/>
      <c r="J139" s="381"/>
      <c r="K139" s="381"/>
      <c r="L139" s="392"/>
      <c r="M139" s="381"/>
      <c r="N139" s="392"/>
      <c r="O139" s="382"/>
      <c r="P139" s="382"/>
      <c r="Q139" s="382"/>
      <c r="R139" s="381"/>
      <c r="S139" s="381"/>
      <c r="T139" s="379"/>
    </row>
    <row r="140" spans="1:20" x14ac:dyDescent="0.45">
      <c r="A140" s="383"/>
      <c r="B140" s="383"/>
      <c r="C140" s="383"/>
      <c r="D140" s="383"/>
      <c r="E140" s="383"/>
      <c r="F140" s="383"/>
      <c r="G140" s="384"/>
      <c r="H140" s="385"/>
      <c r="I140" s="393"/>
      <c r="J140" s="384"/>
      <c r="K140" s="384"/>
      <c r="L140" s="394"/>
      <c r="M140" s="384"/>
      <c r="N140" s="394"/>
      <c r="O140" s="385"/>
      <c r="P140" s="385"/>
      <c r="Q140" s="385"/>
      <c r="R140" s="384"/>
      <c r="S140" s="384"/>
      <c r="T140" s="378"/>
    </row>
    <row r="141" spans="1:20" x14ac:dyDescent="0.45">
      <c r="A141" s="380"/>
      <c r="B141" s="380"/>
      <c r="C141" s="380"/>
      <c r="D141" s="380"/>
      <c r="E141" s="380"/>
      <c r="F141" s="380"/>
      <c r="G141" s="381"/>
      <c r="H141" s="382"/>
      <c r="I141" s="391"/>
      <c r="J141" s="381"/>
      <c r="K141" s="381"/>
      <c r="L141" s="392"/>
      <c r="M141" s="381"/>
      <c r="N141" s="392"/>
      <c r="O141" s="382"/>
      <c r="P141" s="382"/>
      <c r="Q141" s="382"/>
      <c r="R141" s="381"/>
      <c r="S141" s="381"/>
      <c r="T141" s="379"/>
    </row>
    <row r="142" spans="1:20" x14ac:dyDescent="0.45">
      <c r="A142" s="383"/>
      <c r="B142" s="383"/>
      <c r="C142" s="383"/>
      <c r="D142" s="383"/>
      <c r="E142" s="383"/>
      <c r="F142" s="383"/>
      <c r="G142" s="384"/>
      <c r="H142" s="385"/>
      <c r="I142" s="393"/>
      <c r="J142" s="384"/>
      <c r="K142" s="384"/>
      <c r="L142" s="394"/>
      <c r="M142" s="384"/>
      <c r="N142" s="394"/>
      <c r="O142" s="385"/>
      <c r="P142" s="385"/>
      <c r="Q142" s="385"/>
      <c r="R142" s="384"/>
      <c r="S142" s="384"/>
      <c r="T142" s="378"/>
    </row>
    <row r="143" spans="1:20" x14ac:dyDescent="0.45">
      <c r="A143" s="380"/>
      <c r="B143" s="380"/>
      <c r="C143" s="380"/>
      <c r="D143" s="380"/>
      <c r="E143" s="380"/>
      <c r="F143" s="380"/>
      <c r="G143" s="381"/>
      <c r="H143" s="382"/>
      <c r="I143" s="391"/>
      <c r="J143" s="381"/>
      <c r="K143" s="381"/>
      <c r="L143" s="392"/>
      <c r="M143" s="381"/>
      <c r="N143" s="392"/>
      <c r="O143" s="382"/>
      <c r="P143" s="382"/>
      <c r="Q143" s="382"/>
      <c r="R143" s="381"/>
      <c r="S143" s="381"/>
      <c r="T143" s="379"/>
    </row>
    <row r="144" spans="1:20" x14ac:dyDescent="0.45">
      <c r="A144" s="383"/>
      <c r="B144" s="383"/>
      <c r="C144" s="383"/>
      <c r="D144" s="383"/>
      <c r="E144" s="383"/>
      <c r="F144" s="383"/>
      <c r="G144" s="384"/>
      <c r="H144" s="385"/>
      <c r="I144" s="393"/>
      <c r="J144" s="384"/>
      <c r="K144" s="384"/>
      <c r="L144" s="394"/>
      <c r="M144" s="384"/>
      <c r="N144" s="394"/>
      <c r="O144" s="385"/>
      <c r="P144" s="385"/>
      <c r="Q144" s="385"/>
      <c r="R144" s="384"/>
      <c r="S144" s="384"/>
      <c r="T144" s="378"/>
    </row>
    <row r="145" spans="1:20" x14ac:dyDescent="0.45">
      <c r="A145" s="380"/>
      <c r="B145" s="380"/>
      <c r="C145" s="380"/>
      <c r="D145" s="380"/>
      <c r="E145" s="380"/>
      <c r="F145" s="380"/>
      <c r="G145" s="381"/>
      <c r="H145" s="382"/>
      <c r="I145" s="391"/>
      <c r="J145" s="381"/>
      <c r="K145" s="381"/>
      <c r="L145" s="392"/>
      <c r="M145" s="381"/>
      <c r="N145" s="392"/>
      <c r="O145" s="382"/>
      <c r="P145" s="382"/>
      <c r="Q145" s="382"/>
      <c r="R145" s="381"/>
      <c r="S145" s="381"/>
      <c r="T145" s="379"/>
    </row>
    <row r="146" spans="1:20" x14ac:dyDescent="0.45">
      <c r="A146" s="383"/>
      <c r="B146" s="383"/>
      <c r="C146" s="383"/>
      <c r="D146" s="383"/>
      <c r="E146" s="383"/>
      <c r="F146" s="383"/>
      <c r="G146" s="384"/>
      <c r="H146" s="385"/>
      <c r="I146" s="393"/>
      <c r="J146" s="384"/>
      <c r="K146" s="384"/>
      <c r="L146" s="394"/>
      <c r="M146" s="384"/>
      <c r="N146" s="394"/>
      <c r="O146" s="385"/>
      <c r="P146" s="385"/>
      <c r="Q146" s="385"/>
      <c r="R146" s="384"/>
      <c r="S146" s="384"/>
      <c r="T146" s="378"/>
    </row>
    <row r="147" spans="1:20" x14ac:dyDescent="0.45">
      <c r="A147" s="380"/>
      <c r="B147" s="380"/>
      <c r="C147" s="380"/>
      <c r="D147" s="380"/>
      <c r="E147" s="380"/>
      <c r="F147" s="380"/>
      <c r="G147" s="381"/>
      <c r="H147" s="382"/>
      <c r="I147" s="391"/>
      <c r="J147" s="381"/>
      <c r="K147" s="381"/>
      <c r="L147" s="392"/>
      <c r="M147" s="381"/>
      <c r="N147" s="392"/>
      <c r="O147" s="382"/>
      <c r="P147" s="382"/>
      <c r="Q147" s="382"/>
      <c r="R147" s="381"/>
      <c r="S147" s="381"/>
      <c r="T147" s="379"/>
    </row>
    <row r="148" spans="1:20" x14ac:dyDescent="0.45">
      <c r="A148" s="383"/>
      <c r="B148" s="383"/>
      <c r="C148" s="383"/>
      <c r="D148" s="383"/>
      <c r="E148" s="383"/>
      <c r="F148" s="383"/>
      <c r="G148" s="384"/>
      <c r="H148" s="385"/>
      <c r="I148" s="393"/>
      <c r="J148" s="384"/>
      <c r="K148" s="384"/>
      <c r="L148" s="394"/>
      <c r="M148" s="384"/>
      <c r="N148" s="394"/>
      <c r="O148" s="385"/>
      <c r="P148" s="385"/>
      <c r="Q148" s="385"/>
      <c r="R148" s="384"/>
      <c r="S148" s="384"/>
      <c r="T148" s="378"/>
    </row>
    <row r="149" spans="1:20" x14ac:dyDescent="0.45">
      <c r="A149" s="380"/>
      <c r="B149" s="380"/>
      <c r="C149" s="380"/>
      <c r="D149" s="380"/>
      <c r="E149" s="380"/>
      <c r="F149" s="380"/>
      <c r="G149" s="381"/>
      <c r="H149" s="382"/>
      <c r="I149" s="391"/>
      <c r="J149" s="381"/>
      <c r="K149" s="381"/>
      <c r="L149" s="392"/>
      <c r="M149" s="381"/>
      <c r="N149" s="392"/>
      <c r="O149" s="382"/>
      <c r="P149" s="382"/>
      <c r="Q149" s="382"/>
      <c r="R149" s="381"/>
      <c r="S149" s="381"/>
      <c r="T149" s="379"/>
    </row>
    <row r="150" spans="1:20" x14ac:dyDescent="0.45">
      <c r="A150" s="383"/>
      <c r="B150" s="383"/>
      <c r="C150" s="383"/>
      <c r="D150" s="383"/>
      <c r="E150" s="383"/>
      <c r="F150" s="383"/>
      <c r="G150" s="384"/>
      <c r="H150" s="385"/>
      <c r="I150" s="393"/>
      <c r="J150" s="384"/>
      <c r="K150" s="384"/>
      <c r="L150" s="394"/>
      <c r="M150" s="384"/>
      <c r="N150" s="394"/>
      <c r="O150" s="385"/>
      <c r="P150" s="385"/>
      <c r="Q150" s="385"/>
      <c r="R150" s="384"/>
      <c r="S150" s="384"/>
      <c r="T150" s="378"/>
    </row>
    <row r="151" spans="1:20" x14ac:dyDescent="0.45">
      <c r="A151" s="380"/>
      <c r="B151" s="380"/>
      <c r="C151" s="380"/>
      <c r="D151" s="380"/>
      <c r="E151" s="380"/>
      <c r="F151" s="380"/>
      <c r="G151" s="381"/>
      <c r="H151" s="382"/>
      <c r="I151" s="391"/>
      <c r="J151" s="381"/>
      <c r="K151" s="381"/>
      <c r="L151" s="392"/>
      <c r="M151" s="381"/>
      <c r="N151" s="392"/>
      <c r="O151" s="382"/>
      <c r="P151" s="382"/>
      <c r="Q151" s="382"/>
      <c r="R151" s="381"/>
      <c r="S151" s="381"/>
      <c r="T151" s="379"/>
    </row>
    <row r="152" spans="1:20" x14ac:dyDescent="0.45">
      <c r="A152" s="383"/>
      <c r="B152" s="383"/>
      <c r="C152" s="383"/>
      <c r="D152" s="383"/>
      <c r="E152" s="383"/>
      <c r="F152" s="383"/>
      <c r="G152" s="384"/>
      <c r="H152" s="385"/>
      <c r="I152" s="393"/>
      <c r="J152" s="384"/>
      <c r="K152" s="384"/>
      <c r="L152" s="394"/>
      <c r="M152" s="384"/>
      <c r="N152" s="394"/>
      <c r="O152" s="385"/>
      <c r="P152" s="385"/>
      <c r="Q152" s="385"/>
      <c r="R152" s="384"/>
      <c r="S152" s="384"/>
      <c r="T152" s="378"/>
    </row>
    <row r="153" spans="1:20" x14ac:dyDescent="0.45">
      <c r="A153" s="380"/>
      <c r="B153" s="380"/>
      <c r="C153" s="380"/>
      <c r="D153" s="380"/>
      <c r="E153" s="380"/>
      <c r="F153" s="380"/>
      <c r="G153" s="381"/>
      <c r="H153" s="382"/>
      <c r="I153" s="391"/>
      <c r="J153" s="381"/>
      <c r="K153" s="381"/>
      <c r="L153" s="392"/>
      <c r="M153" s="381"/>
      <c r="N153" s="392"/>
      <c r="O153" s="382"/>
      <c r="P153" s="382"/>
      <c r="Q153" s="382"/>
      <c r="R153" s="381"/>
      <c r="S153" s="381"/>
      <c r="T153" s="379"/>
    </row>
    <row r="154" spans="1:20" x14ac:dyDescent="0.45">
      <c r="A154" s="383"/>
      <c r="B154" s="383"/>
      <c r="C154" s="383"/>
      <c r="D154" s="383"/>
      <c r="E154" s="383"/>
      <c r="F154" s="383"/>
      <c r="G154" s="384"/>
      <c r="H154" s="385"/>
      <c r="I154" s="393"/>
      <c r="J154" s="384"/>
      <c r="K154" s="384"/>
      <c r="L154" s="394"/>
      <c r="M154" s="384"/>
      <c r="N154" s="394"/>
      <c r="O154" s="385"/>
      <c r="P154" s="385"/>
      <c r="Q154" s="385"/>
      <c r="R154" s="384"/>
      <c r="S154" s="384"/>
      <c r="T154" s="378"/>
    </row>
    <row r="155" spans="1:20" x14ac:dyDescent="0.45">
      <c r="A155" s="380"/>
      <c r="B155" s="380"/>
      <c r="C155" s="380"/>
      <c r="D155" s="380"/>
      <c r="E155" s="380"/>
      <c r="F155" s="380"/>
      <c r="G155" s="381"/>
      <c r="H155" s="382"/>
      <c r="I155" s="391"/>
      <c r="J155" s="381"/>
      <c r="K155" s="381"/>
      <c r="L155" s="392"/>
      <c r="M155" s="381"/>
      <c r="N155" s="392"/>
      <c r="O155" s="382"/>
      <c r="P155" s="382"/>
      <c r="Q155" s="382"/>
      <c r="R155" s="381"/>
      <c r="S155" s="381"/>
      <c r="T155" s="379"/>
    </row>
    <row r="156" spans="1:20" x14ac:dyDescent="0.45">
      <c r="A156" s="383"/>
      <c r="B156" s="383"/>
      <c r="C156" s="383"/>
      <c r="D156" s="383"/>
      <c r="E156" s="383"/>
      <c r="F156" s="383"/>
      <c r="G156" s="384"/>
      <c r="H156" s="385"/>
      <c r="I156" s="393"/>
      <c r="J156" s="384"/>
      <c r="K156" s="384"/>
      <c r="L156" s="394"/>
      <c r="M156" s="384"/>
      <c r="N156" s="394"/>
      <c r="O156" s="385"/>
      <c r="P156" s="385"/>
      <c r="Q156" s="385"/>
      <c r="R156" s="384"/>
      <c r="S156" s="384"/>
      <c r="T156" s="378"/>
    </row>
    <row r="157" spans="1:20" x14ac:dyDescent="0.45">
      <c r="A157" s="380"/>
      <c r="B157" s="380"/>
      <c r="C157" s="380"/>
      <c r="D157" s="380"/>
      <c r="E157" s="380"/>
      <c r="F157" s="380"/>
      <c r="G157" s="381"/>
      <c r="H157" s="382"/>
      <c r="I157" s="391"/>
      <c r="J157" s="381"/>
      <c r="K157" s="381"/>
      <c r="L157" s="392"/>
      <c r="M157" s="381"/>
      <c r="N157" s="392"/>
      <c r="O157" s="382"/>
      <c r="P157" s="382"/>
      <c r="Q157" s="382"/>
      <c r="R157" s="381"/>
      <c r="S157" s="381"/>
      <c r="T157" s="379"/>
    </row>
    <row r="158" spans="1:20" x14ac:dyDescent="0.45">
      <c r="A158" s="383"/>
      <c r="B158" s="383"/>
      <c r="C158" s="383"/>
      <c r="D158" s="383"/>
      <c r="E158" s="383"/>
      <c r="F158" s="383"/>
      <c r="G158" s="384"/>
      <c r="H158" s="385"/>
      <c r="I158" s="393"/>
      <c r="J158" s="384"/>
      <c r="K158" s="384"/>
      <c r="L158" s="394"/>
      <c r="M158" s="384"/>
      <c r="N158" s="394"/>
      <c r="O158" s="385"/>
      <c r="P158" s="385"/>
      <c r="Q158" s="385"/>
      <c r="R158" s="384"/>
      <c r="S158" s="384"/>
      <c r="T158" s="378"/>
    </row>
    <row r="159" spans="1:20" x14ac:dyDescent="0.45">
      <c r="A159" s="380"/>
      <c r="B159" s="380"/>
      <c r="C159" s="380"/>
      <c r="D159" s="380"/>
      <c r="E159" s="380"/>
      <c r="F159" s="380"/>
      <c r="G159" s="381"/>
      <c r="H159" s="382"/>
      <c r="I159" s="391"/>
      <c r="J159" s="381"/>
      <c r="K159" s="381"/>
      <c r="L159" s="392"/>
      <c r="M159" s="381"/>
      <c r="N159" s="392"/>
      <c r="O159" s="382"/>
      <c r="P159" s="382"/>
      <c r="Q159" s="382"/>
      <c r="R159" s="381"/>
      <c r="S159" s="381"/>
      <c r="T159" s="379"/>
    </row>
    <row r="160" spans="1:20" x14ac:dyDescent="0.45">
      <c r="A160" s="383"/>
      <c r="B160" s="383"/>
      <c r="C160" s="383"/>
      <c r="D160" s="383"/>
      <c r="E160" s="383"/>
      <c r="F160" s="383"/>
      <c r="G160" s="384"/>
      <c r="H160" s="385"/>
      <c r="I160" s="393"/>
      <c r="J160" s="384"/>
      <c r="K160" s="384"/>
      <c r="L160" s="394"/>
      <c r="M160" s="384"/>
      <c r="N160" s="394"/>
      <c r="O160" s="385"/>
      <c r="P160" s="385"/>
      <c r="Q160" s="385"/>
      <c r="R160" s="384"/>
      <c r="S160" s="384"/>
      <c r="T160" s="378"/>
    </row>
    <row r="161" spans="1:20" x14ac:dyDescent="0.45">
      <c r="A161" s="380"/>
      <c r="B161" s="380"/>
      <c r="C161" s="380"/>
      <c r="D161" s="380"/>
      <c r="E161" s="380"/>
      <c r="F161" s="380"/>
      <c r="G161" s="381"/>
      <c r="H161" s="382"/>
      <c r="I161" s="391"/>
      <c r="J161" s="381"/>
      <c r="K161" s="381"/>
      <c r="L161" s="392"/>
      <c r="M161" s="381"/>
      <c r="N161" s="392"/>
      <c r="O161" s="382"/>
      <c r="P161" s="382"/>
      <c r="Q161" s="382"/>
      <c r="R161" s="381"/>
      <c r="S161" s="381"/>
      <c r="T161" s="379"/>
    </row>
    <row r="162" spans="1:20" x14ac:dyDescent="0.45">
      <c r="A162" s="383"/>
      <c r="B162" s="383"/>
      <c r="C162" s="383"/>
      <c r="D162" s="383"/>
      <c r="E162" s="383"/>
      <c r="F162" s="383"/>
      <c r="G162" s="384"/>
      <c r="H162" s="385"/>
      <c r="I162" s="393"/>
      <c r="J162" s="384"/>
      <c r="K162" s="384"/>
      <c r="L162" s="394"/>
      <c r="M162" s="384"/>
      <c r="N162" s="394"/>
      <c r="O162" s="385"/>
      <c r="P162" s="385"/>
      <c r="Q162" s="385"/>
      <c r="R162" s="384"/>
      <c r="S162" s="384"/>
      <c r="T162" s="378"/>
    </row>
    <row r="163" spans="1:20" x14ac:dyDescent="0.45">
      <c r="A163" s="380"/>
      <c r="B163" s="380"/>
      <c r="C163" s="380"/>
      <c r="D163" s="380"/>
      <c r="E163" s="380"/>
      <c r="F163" s="380"/>
      <c r="G163" s="381"/>
      <c r="H163" s="382"/>
      <c r="I163" s="391"/>
      <c r="J163" s="381"/>
      <c r="K163" s="381"/>
      <c r="L163" s="392"/>
      <c r="M163" s="381"/>
      <c r="N163" s="392"/>
      <c r="O163" s="382"/>
      <c r="P163" s="382"/>
      <c r="Q163" s="382"/>
      <c r="R163" s="381"/>
      <c r="S163" s="381"/>
      <c r="T163" s="379"/>
    </row>
    <row r="164" spans="1:20" x14ac:dyDescent="0.45">
      <c r="A164" s="383"/>
      <c r="B164" s="383"/>
      <c r="C164" s="383"/>
      <c r="D164" s="383"/>
      <c r="E164" s="383"/>
      <c r="F164" s="383"/>
      <c r="G164" s="384"/>
      <c r="H164" s="385"/>
      <c r="I164" s="393"/>
      <c r="J164" s="384"/>
      <c r="K164" s="384"/>
      <c r="L164" s="394"/>
      <c r="M164" s="384"/>
      <c r="N164" s="394"/>
      <c r="O164" s="385"/>
      <c r="P164" s="385"/>
      <c r="Q164" s="385"/>
      <c r="R164" s="384"/>
      <c r="S164" s="384"/>
      <c r="T164" s="378"/>
    </row>
    <row r="165" spans="1:20" x14ac:dyDescent="0.45">
      <c r="A165" s="380"/>
      <c r="B165" s="380"/>
      <c r="C165" s="380"/>
      <c r="D165" s="380"/>
      <c r="E165" s="380"/>
      <c r="F165" s="380"/>
      <c r="G165" s="381"/>
      <c r="H165" s="382"/>
      <c r="I165" s="391"/>
      <c r="J165" s="381"/>
      <c r="K165" s="381"/>
      <c r="L165" s="392"/>
      <c r="M165" s="381"/>
      <c r="N165" s="392"/>
      <c r="O165" s="382"/>
      <c r="P165" s="382"/>
      <c r="Q165" s="382"/>
      <c r="R165" s="381"/>
      <c r="S165" s="381"/>
      <c r="T165" s="379"/>
    </row>
    <row r="166" spans="1:20" x14ac:dyDescent="0.45">
      <c r="A166" s="383"/>
      <c r="B166" s="383"/>
      <c r="C166" s="383"/>
      <c r="D166" s="383"/>
      <c r="E166" s="383"/>
      <c r="F166" s="383"/>
      <c r="G166" s="384"/>
      <c r="H166" s="385"/>
      <c r="I166" s="393"/>
      <c r="J166" s="384"/>
      <c r="K166" s="384"/>
      <c r="L166" s="394"/>
      <c r="M166" s="384"/>
      <c r="N166" s="394"/>
      <c r="O166" s="385"/>
      <c r="P166" s="385"/>
      <c r="Q166" s="385"/>
      <c r="R166" s="384"/>
      <c r="S166" s="384"/>
      <c r="T166" s="378"/>
    </row>
    <row r="167" spans="1:20" x14ac:dyDescent="0.45">
      <c r="A167" s="380"/>
      <c r="B167" s="380"/>
      <c r="C167" s="380"/>
      <c r="D167" s="380"/>
      <c r="E167" s="380"/>
      <c r="F167" s="380"/>
      <c r="G167" s="381"/>
      <c r="H167" s="382"/>
      <c r="I167" s="391"/>
      <c r="J167" s="381"/>
      <c r="K167" s="381"/>
      <c r="L167" s="392"/>
      <c r="M167" s="381"/>
      <c r="N167" s="392"/>
      <c r="O167" s="382"/>
      <c r="P167" s="382"/>
      <c r="Q167" s="382"/>
      <c r="R167" s="381"/>
      <c r="S167" s="381"/>
      <c r="T167" s="379"/>
    </row>
    <row r="168" spans="1:20" x14ac:dyDescent="0.45">
      <c r="A168" s="383"/>
      <c r="B168" s="383"/>
      <c r="C168" s="383"/>
      <c r="D168" s="383"/>
      <c r="E168" s="383"/>
      <c r="F168" s="383"/>
      <c r="G168" s="384"/>
      <c r="H168" s="385"/>
      <c r="I168" s="393"/>
      <c r="J168" s="384"/>
      <c r="K168" s="384"/>
      <c r="L168" s="394"/>
      <c r="M168" s="384"/>
      <c r="N168" s="394"/>
      <c r="O168" s="385"/>
      <c r="P168" s="385"/>
      <c r="Q168" s="385"/>
      <c r="R168" s="384"/>
      <c r="S168" s="384"/>
      <c r="T168" s="378"/>
    </row>
    <row r="169" spans="1:20" x14ac:dyDescent="0.45">
      <c r="A169" s="380"/>
      <c r="B169" s="380"/>
      <c r="C169" s="380"/>
      <c r="D169" s="380"/>
      <c r="E169" s="380"/>
      <c r="F169" s="380"/>
      <c r="G169" s="381"/>
      <c r="H169" s="382"/>
      <c r="I169" s="391"/>
      <c r="J169" s="381"/>
      <c r="K169" s="381"/>
      <c r="L169" s="392"/>
      <c r="M169" s="381"/>
      <c r="N169" s="392"/>
      <c r="O169" s="382"/>
      <c r="P169" s="382"/>
      <c r="Q169" s="382"/>
      <c r="R169" s="381"/>
      <c r="S169" s="381"/>
      <c r="T169" s="379"/>
    </row>
    <row r="170" spans="1:20" x14ac:dyDescent="0.45">
      <c r="A170" s="383"/>
      <c r="B170" s="383"/>
      <c r="C170" s="383"/>
      <c r="D170" s="383"/>
      <c r="E170" s="383"/>
      <c r="F170" s="383"/>
      <c r="G170" s="384"/>
      <c r="H170" s="385"/>
      <c r="I170" s="393"/>
      <c r="J170" s="384"/>
      <c r="K170" s="384"/>
      <c r="L170" s="394"/>
      <c r="M170" s="384"/>
      <c r="N170" s="394"/>
      <c r="O170" s="385"/>
      <c r="P170" s="385"/>
      <c r="Q170" s="385"/>
      <c r="R170" s="384"/>
      <c r="S170" s="384"/>
      <c r="T170" s="378"/>
    </row>
    <row r="171" spans="1:20" x14ac:dyDescent="0.45">
      <c r="A171" s="380"/>
      <c r="B171" s="380"/>
      <c r="C171" s="380"/>
      <c r="D171" s="380"/>
      <c r="E171" s="380"/>
      <c r="F171" s="380"/>
      <c r="G171" s="381"/>
      <c r="H171" s="382"/>
      <c r="I171" s="391"/>
      <c r="J171" s="381"/>
      <c r="K171" s="381"/>
      <c r="L171" s="392"/>
      <c r="M171" s="381"/>
      <c r="N171" s="392"/>
      <c r="O171" s="382"/>
      <c r="P171" s="382"/>
      <c r="Q171" s="382"/>
      <c r="R171" s="381"/>
      <c r="S171" s="381"/>
      <c r="T171" s="379"/>
    </row>
    <row r="172" spans="1:20" x14ac:dyDescent="0.45">
      <c r="A172" s="383"/>
      <c r="B172" s="383"/>
      <c r="C172" s="383"/>
      <c r="D172" s="383"/>
      <c r="E172" s="383"/>
      <c r="F172" s="383"/>
      <c r="G172" s="384"/>
      <c r="H172" s="385"/>
      <c r="I172" s="393"/>
      <c r="J172" s="384"/>
      <c r="K172" s="384"/>
      <c r="L172" s="394"/>
      <c r="M172" s="384"/>
      <c r="N172" s="394"/>
      <c r="O172" s="385"/>
      <c r="P172" s="385"/>
      <c r="Q172" s="385"/>
      <c r="R172" s="384"/>
      <c r="S172" s="384"/>
      <c r="T172" s="378"/>
    </row>
    <row r="173" spans="1:20" x14ac:dyDescent="0.45">
      <c r="A173" s="380"/>
      <c r="B173" s="380"/>
      <c r="C173" s="380"/>
      <c r="D173" s="380"/>
      <c r="E173" s="380"/>
      <c r="F173" s="380"/>
      <c r="G173" s="381"/>
      <c r="H173" s="382"/>
      <c r="I173" s="391"/>
      <c r="J173" s="381"/>
      <c r="K173" s="381"/>
      <c r="L173" s="392"/>
      <c r="M173" s="381"/>
      <c r="N173" s="392"/>
      <c r="O173" s="382"/>
      <c r="P173" s="382"/>
      <c r="Q173" s="382"/>
      <c r="R173" s="381"/>
      <c r="S173" s="381"/>
      <c r="T173" s="379"/>
    </row>
    <row r="174" spans="1:20" x14ac:dyDescent="0.45">
      <c r="A174" s="383"/>
      <c r="B174" s="383"/>
      <c r="C174" s="383"/>
      <c r="D174" s="383"/>
      <c r="E174" s="383"/>
      <c r="F174" s="383"/>
      <c r="G174" s="384"/>
      <c r="H174" s="385"/>
      <c r="I174" s="393"/>
      <c r="J174" s="384"/>
      <c r="K174" s="384"/>
      <c r="L174" s="394"/>
      <c r="M174" s="384"/>
      <c r="N174" s="394"/>
      <c r="O174" s="385"/>
      <c r="P174" s="385"/>
      <c r="Q174" s="385"/>
      <c r="R174" s="384"/>
      <c r="S174" s="384"/>
      <c r="T174" s="378"/>
    </row>
    <row r="175" spans="1:20" x14ac:dyDescent="0.45">
      <c r="A175" s="380"/>
      <c r="B175" s="380"/>
      <c r="C175" s="380"/>
      <c r="D175" s="380"/>
      <c r="E175" s="380"/>
      <c r="F175" s="380"/>
      <c r="G175" s="381"/>
      <c r="H175" s="382"/>
      <c r="I175" s="391"/>
      <c r="J175" s="381"/>
      <c r="K175" s="381"/>
      <c r="L175" s="392"/>
      <c r="M175" s="381"/>
      <c r="N175" s="392"/>
      <c r="O175" s="382"/>
      <c r="P175" s="382"/>
      <c r="Q175" s="382"/>
      <c r="R175" s="381"/>
      <c r="S175" s="381"/>
      <c r="T175" s="379"/>
    </row>
    <row r="176" spans="1:20" x14ac:dyDescent="0.45">
      <c r="A176" s="383"/>
      <c r="B176" s="383"/>
      <c r="C176" s="383"/>
      <c r="D176" s="383"/>
      <c r="E176" s="383"/>
      <c r="F176" s="383"/>
      <c r="G176" s="384"/>
      <c r="H176" s="385"/>
      <c r="I176" s="393"/>
      <c r="J176" s="384"/>
      <c r="K176" s="384"/>
      <c r="L176" s="394"/>
      <c r="M176" s="384"/>
      <c r="N176" s="394"/>
      <c r="O176" s="385"/>
      <c r="P176" s="385"/>
      <c r="Q176" s="385"/>
      <c r="R176" s="384"/>
      <c r="S176" s="384"/>
      <c r="T176" s="378"/>
    </row>
    <row r="177" spans="1:20" x14ac:dyDescent="0.45">
      <c r="A177" s="380"/>
      <c r="B177" s="380"/>
      <c r="C177" s="380"/>
      <c r="D177" s="380"/>
      <c r="E177" s="380"/>
      <c r="F177" s="380"/>
      <c r="G177" s="381"/>
      <c r="H177" s="382"/>
      <c r="I177" s="391"/>
      <c r="J177" s="381"/>
      <c r="K177" s="381"/>
      <c r="L177" s="392"/>
      <c r="M177" s="381"/>
      <c r="N177" s="392"/>
      <c r="O177" s="382"/>
      <c r="P177" s="382"/>
      <c r="Q177" s="382"/>
      <c r="R177" s="381"/>
      <c r="S177" s="381"/>
      <c r="T177" s="379"/>
    </row>
    <row r="178" spans="1:20" x14ac:dyDescent="0.45">
      <c r="A178" s="383"/>
      <c r="B178" s="383"/>
      <c r="C178" s="383"/>
      <c r="D178" s="383"/>
      <c r="E178" s="383"/>
      <c r="F178" s="383"/>
      <c r="G178" s="384"/>
      <c r="H178" s="385"/>
      <c r="I178" s="393"/>
      <c r="J178" s="384"/>
      <c r="K178" s="384"/>
      <c r="L178" s="394"/>
      <c r="M178" s="384"/>
      <c r="N178" s="394"/>
      <c r="O178" s="385"/>
      <c r="P178" s="385"/>
      <c r="Q178" s="385"/>
      <c r="R178" s="384"/>
      <c r="S178" s="384"/>
      <c r="T178" s="378"/>
    </row>
    <row r="179" spans="1:20" x14ac:dyDescent="0.45">
      <c r="A179" s="380"/>
      <c r="B179" s="380"/>
      <c r="C179" s="380"/>
      <c r="D179" s="380"/>
      <c r="E179" s="380"/>
      <c r="F179" s="380"/>
      <c r="G179" s="381"/>
      <c r="H179" s="382"/>
      <c r="I179" s="391"/>
      <c r="J179" s="381"/>
      <c r="K179" s="381"/>
      <c r="L179" s="392"/>
      <c r="M179" s="381"/>
      <c r="N179" s="392"/>
      <c r="O179" s="382"/>
      <c r="P179" s="382"/>
      <c r="Q179" s="382"/>
      <c r="R179" s="381"/>
      <c r="S179" s="381"/>
      <c r="T179" s="379"/>
    </row>
    <row r="180" spans="1:20" x14ac:dyDescent="0.45">
      <c r="A180" s="383"/>
      <c r="B180" s="383"/>
      <c r="C180" s="383"/>
      <c r="D180" s="383"/>
      <c r="E180" s="383"/>
      <c r="F180" s="383"/>
      <c r="G180" s="384"/>
      <c r="H180" s="385"/>
      <c r="I180" s="393"/>
      <c r="J180" s="384"/>
      <c r="K180" s="384"/>
      <c r="L180" s="394"/>
      <c r="M180" s="384"/>
      <c r="N180" s="394"/>
      <c r="O180" s="385"/>
      <c r="P180" s="385"/>
      <c r="Q180" s="385"/>
      <c r="R180" s="384"/>
      <c r="S180" s="384"/>
      <c r="T180" s="378"/>
    </row>
    <row r="181" spans="1:20" x14ac:dyDescent="0.45">
      <c r="A181" s="380"/>
      <c r="B181" s="380"/>
      <c r="C181" s="380"/>
      <c r="D181" s="380"/>
      <c r="E181" s="380"/>
      <c r="F181" s="380"/>
      <c r="G181" s="381"/>
      <c r="H181" s="382"/>
      <c r="I181" s="391"/>
      <c r="J181" s="381"/>
      <c r="K181" s="381"/>
      <c r="L181" s="392"/>
      <c r="M181" s="381"/>
      <c r="N181" s="392"/>
      <c r="O181" s="382"/>
      <c r="P181" s="382"/>
      <c r="Q181" s="382"/>
      <c r="R181" s="381"/>
      <c r="S181" s="381"/>
      <c r="T181" s="379"/>
    </row>
    <row r="182" spans="1:20" x14ac:dyDescent="0.45">
      <c r="A182" s="383"/>
      <c r="B182" s="383"/>
      <c r="C182" s="383"/>
      <c r="D182" s="383"/>
      <c r="E182" s="383"/>
      <c r="F182" s="383"/>
      <c r="G182" s="384"/>
      <c r="H182" s="385"/>
      <c r="I182" s="393"/>
      <c r="J182" s="384"/>
      <c r="K182" s="384"/>
      <c r="L182" s="394"/>
      <c r="M182" s="384"/>
      <c r="N182" s="394"/>
      <c r="O182" s="385"/>
      <c r="P182" s="385"/>
      <c r="Q182" s="385"/>
      <c r="R182" s="384"/>
      <c r="S182" s="384"/>
      <c r="T182" s="378"/>
    </row>
    <row r="183" spans="1:20" x14ac:dyDescent="0.45">
      <c r="A183" s="380"/>
      <c r="B183" s="380"/>
      <c r="C183" s="380"/>
      <c r="D183" s="380"/>
      <c r="E183" s="380"/>
      <c r="F183" s="380"/>
      <c r="G183" s="381"/>
      <c r="H183" s="382"/>
      <c r="I183" s="391"/>
      <c r="J183" s="381"/>
      <c r="K183" s="381"/>
      <c r="L183" s="392"/>
      <c r="M183" s="381"/>
      <c r="N183" s="392"/>
      <c r="O183" s="382"/>
      <c r="P183" s="382"/>
      <c r="Q183" s="382"/>
      <c r="R183" s="381"/>
      <c r="S183" s="381"/>
      <c r="T183" s="379"/>
    </row>
    <row r="184" spans="1:20" x14ac:dyDescent="0.45">
      <c r="A184" s="383"/>
      <c r="B184" s="383"/>
      <c r="C184" s="383"/>
      <c r="D184" s="383"/>
      <c r="E184" s="383"/>
      <c r="F184" s="383"/>
      <c r="G184" s="384"/>
      <c r="H184" s="385"/>
      <c r="I184" s="393"/>
      <c r="J184" s="384"/>
      <c r="K184" s="384"/>
      <c r="L184" s="394"/>
      <c r="M184" s="384"/>
      <c r="N184" s="394"/>
      <c r="O184" s="385"/>
      <c r="P184" s="385"/>
      <c r="Q184" s="385"/>
      <c r="R184" s="384"/>
      <c r="S184" s="384"/>
      <c r="T184" s="378"/>
    </row>
    <row r="185" spans="1:20" x14ac:dyDescent="0.45">
      <c r="A185" s="380"/>
      <c r="B185" s="380"/>
      <c r="C185" s="380"/>
      <c r="D185" s="380"/>
      <c r="E185" s="380"/>
      <c r="F185" s="380"/>
      <c r="G185" s="381"/>
      <c r="H185" s="382"/>
      <c r="I185" s="391"/>
      <c r="J185" s="381"/>
      <c r="K185" s="381"/>
      <c r="L185" s="392"/>
      <c r="M185" s="381"/>
      <c r="N185" s="392"/>
      <c r="O185" s="382"/>
      <c r="P185" s="382"/>
      <c r="Q185" s="382"/>
      <c r="R185" s="381"/>
      <c r="S185" s="381"/>
      <c r="T185" s="379"/>
    </row>
    <row r="186" spans="1:20" x14ac:dyDescent="0.45">
      <c r="A186" s="383"/>
      <c r="B186" s="383"/>
      <c r="C186" s="383"/>
      <c r="D186" s="383"/>
      <c r="E186" s="383"/>
      <c r="F186" s="383"/>
      <c r="G186" s="384"/>
      <c r="H186" s="385"/>
      <c r="I186" s="393"/>
      <c r="J186" s="384"/>
      <c r="K186" s="384"/>
      <c r="L186" s="394"/>
      <c r="M186" s="384"/>
      <c r="N186" s="394"/>
      <c r="O186" s="385"/>
      <c r="P186" s="385"/>
      <c r="Q186" s="385"/>
      <c r="R186" s="384"/>
      <c r="S186" s="384"/>
      <c r="T186" s="378"/>
    </row>
    <row r="187" spans="1:20" x14ac:dyDescent="0.45">
      <c r="A187" s="380"/>
      <c r="B187" s="380"/>
      <c r="C187" s="380"/>
      <c r="D187" s="380"/>
      <c r="E187" s="380"/>
      <c r="F187" s="380"/>
      <c r="G187" s="381"/>
      <c r="H187" s="382"/>
      <c r="I187" s="391"/>
      <c r="J187" s="381"/>
      <c r="K187" s="381"/>
      <c r="L187" s="392"/>
      <c r="M187" s="381"/>
      <c r="N187" s="392"/>
      <c r="O187" s="382"/>
      <c r="P187" s="382"/>
      <c r="Q187" s="382"/>
      <c r="R187" s="381"/>
      <c r="S187" s="381"/>
      <c r="T187" s="379"/>
    </row>
    <row r="188" spans="1:20" x14ac:dyDescent="0.45">
      <c r="A188" s="383"/>
      <c r="B188" s="383"/>
      <c r="C188" s="383"/>
      <c r="D188" s="383"/>
      <c r="E188" s="383"/>
      <c r="F188" s="383"/>
      <c r="G188" s="384"/>
      <c r="H188" s="385"/>
      <c r="I188" s="393"/>
      <c r="J188" s="384"/>
      <c r="K188" s="384"/>
      <c r="L188" s="394"/>
      <c r="M188" s="384"/>
      <c r="N188" s="394"/>
      <c r="O188" s="385"/>
      <c r="P188" s="385"/>
      <c r="Q188" s="385"/>
      <c r="R188" s="384"/>
      <c r="S188" s="384"/>
      <c r="T188" s="378"/>
    </row>
    <row r="189" spans="1:20" x14ac:dyDescent="0.45">
      <c r="A189" s="380"/>
      <c r="B189" s="380"/>
      <c r="C189" s="380"/>
      <c r="D189" s="380"/>
      <c r="E189" s="380"/>
      <c r="F189" s="380"/>
      <c r="G189" s="381"/>
      <c r="H189" s="382"/>
      <c r="I189" s="391"/>
      <c r="J189" s="381"/>
      <c r="K189" s="381"/>
      <c r="L189" s="392"/>
      <c r="M189" s="381"/>
      <c r="N189" s="392"/>
      <c r="O189" s="382"/>
      <c r="P189" s="382"/>
      <c r="Q189" s="382"/>
      <c r="R189" s="381"/>
      <c r="S189" s="381"/>
      <c r="T189" s="379"/>
    </row>
    <row r="190" spans="1:20" x14ac:dyDescent="0.45">
      <c r="A190" s="383"/>
      <c r="B190" s="383"/>
      <c r="C190" s="383"/>
      <c r="D190" s="383"/>
      <c r="E190" s="383"/>
      <c r="F190" s="383"/>
      <c r="G190" s="384"/>
      <c r="H190" s="385"/>
      <c r="I190" s="393"/>
      <c r="J190" s="384"/>
      <c r="K190" s="384"/>
      <c r="L190" s="394"/>
      <c r="M190" s="384"/>
      <c r="N190" s="394"/>
      <c r="O190" s="385"/>
      <c r="P190" s="385"/>
      <c r="Q190" s="385"/>
      <c r="R190" s="384"/>
      <c r="S190" s="384"/>
      <c r="T190" s="378"/>
    </row>
    <row r="191" spans="1:20" x14ac:dyDescent="0.45">
      <c r="A191" s="380"/>
      <c r="B191" s="380"/>
      <c r="C191" s="380"/>
      <c r="D191" s="380"/>
      <c r="E191" s="380"/>
      <c r="F191" s="380"/>
      <c r="G191" s="381"/>
      <c r="H191" s="382"/>
      <c r="I191" s="391"/>
      <c r="J191" s="381"/>
      <c r="K191" s="381"/>
      <c r="L191" s="392"/>
      <c r="M191" s="381"/>
      <c r="N191" s="392"/>
      <c r="O191" s="382"/>
      <c r="P191" s="382"/>
      <c r="Q191" s="382"/>
      <c r="R191" s="381"/>
      <c r="S191" s="381"/>
      <c r="T191" s="379"/>
    </row>
    <row r="192" spans="1:20" x14ac:dyDescent="0.45">
      <c r="A192" s="383"/>
      <c r="B192" s="383"/>
      <c r="C192" s="383"/>
      <c r="D192" s="383"/>
      <c r="E192" s="383"/>
      <c r="F192" s="383"/>
      <c r="G192" s="384"/>
      <c r="H192" s="385"/>
      <c r="I192" s="393"/>
      <c r="J192" s="384"/>
      <c r="K192" s="384"/>
      <c r="L192" s="394"/>
      <c r="M192" s="384"/>
      <c r="N192" s="394"/>
      <c r="O192" s="385"/>
      <c r="P192" s="385"/>
      <c r="Q192" s="385"/>
      <c r="R192" s="384"/>
      <c r="S192" s="384"/>
      <c r="T192" s="378"/>
    </row>
    <row r="193" spans="1:20" x14ac:dyDescent="0.45">
      <c r="A193" s="380"/>
      <c r="B193" s="380"/>
      <c r="C193" s="380"/>
      <c r="D193" s="380"/>
      <c r="E193" s="380"/>
      <c r="F193" s="380"/>
      <c r="G193" s="381"/>
      <c r="H193" s="382"/>
      <c r="I193" s="391"/>
      <c r="J193" s="381"/>
      <c r="K193" s="381"/>
      <c r="L193" s="392"/>
      <c r="M193" s="381"/>
      <c r="N193" s="392"/>
      <c r="O193" s="382"/>
      <c r="P193" s="382"/>
      <c r="Q193" s="382"/>
      <c r="R193" s="381"/>
      <c r="S193" s="381"/>
      <c r="T193" s="379"/>
    </row>
    <row r="194" spans="1:20" x14ac:dyDescent="0.45">
      <c r="A194" s="383"/>
      <c r="B194" s="383"/>
      <c r="C194" s="383"/>
      <c r="D194" s="383"/>
      <c r="E194" s="383"/>
      <c r="F194" s="383"/>
      <c r="G194" s="384"/>
      <c r="H194" s="385"/>
      <c r="I194" s="393"/>
      <c r="J194" s="384"/>
      <c r="K194" s="384"/>
      <c r="L194" s="394"/>
      <c r="M194" s="384"/>
      <c r="N194" s="394"/>
      <c r="O194" s="385"/>
      <c r="P194" s="385"/>
      <c r="Q194" s="385"/>
      <c r="R194" s="384"/>
      <c r="S194" s="384"/>
      <c r="T194" s="378"/>
    </row>
    <row r="195" spans="1:20" x14ac:dyDescent="0.45">
      <c r="A195" s="380"/>
      <c r="B195" s="380"/>
      <c r="C195" s="380"/>
      <c r="D195" s="380"/>
      <c r="E195" s="380"/>
      <c r="F195" s="380"/>
      <c r="G195" s="381"/>
      <c r="H195" s="382"/>
      <c r="I195" s="391"/>
      <c r="J195" s="381"/>
      <c r="K195" s="381"/>
      <c r="L195" s="392"/>
      <c r="M195" s="381"/>
      <c r="N195" s="392"/>
      <c r="O195" s="382"/>
      <c r="P195" s="382"/>
      <c r="Q195" s="382"/>
      <c r="R195" s="381"/>
      <c r="S195" s="381"/>
      <c r="T195" s="379"/>
    </row>
    <row r="196" spans="1:20" x14ac:dyDescent="0.45">
      <c r="A196" s="383"/>
      <c r="B196" s="383"/>
      <c r="C196" s="383"/>
      <c r="D196" s="383"/>
      <c r="E196" s="383"/>
      <c r="F196" s="383"/>
      <c r="G196" s="384"/>
      <c r="H196" s="385"/>
      <c r="I196" s="393"/>
      <c r="J196" s="384"/>
      <c r="K196" s="384"/>
      <c r="L196" s="394"/>
      <c r="M196" s="384"/>
      <c r="N196" s="394"/>
      <c r="O196" s="385"/>
      <c r="P196" s="385"/>
      <c r="Q196" s="385"/>
      <c r="R196" s="384"/>
      <c r="S196" s="384"/>
      <c r="T196" s="378"/>
    </row>
    <row r="197" spans="1:20" x14ac:dyDescent="0.45">
      <c r="A197" s="380"/>
      <c r="B197" s="380"/>
      <c r="C197" s="380"/>
      <c r="D197" s="380"/>
      <c r="E197" s="380"/>
      <c r="F197" s="380"/>
      <c r="G197" s="381"/>
      <c r="H197" s="382"/>
      <c r="I197" s="391"/>
      <c r="J197" s="381"/>
      <c r="K197" s="381"/>
      <c r="L197" s="392"/>
      <c r="M197" s="381"/>
      <c r="N197" s="392"/>
      <c r="O197" s="382"/>
      <c r="P197" s="382"/>
      <c r="Q197" s="382"/>
      <c r="R197" s="381"/>
      <c r="S197" s="381"/>
      <c r="T197" s="379"/>
    </row>
    <row r="198" spans="1:20" x14ac:dyDescent="0.45">
      <c r="A198" s="383"/>
      <c r="B198" s="383"/>
      <c r="C198" s="383"/>
      <c r="D198" s="383"/>
      <c r="E198" s="383"/>
      <c r="F198" s="383"/>
      <c r="G198" s="384"/>
      <c r="H198" s="385"/>
      <c r="I198" s="393"/>
      <c r="J198" s="384"/>
      <c r="K198" s="384"/>
      <c r="L198" s="394"/>
      <c r="M198" s="384"/>
      <c r="N198" s="394"/>
      <c r="O198" s="385"/>
      <c r="P198" s="385"/>
      <c r="Q198" s="385"/>
      <c r="R198" s="384"/>
      <c r="S198" s="384"/>
      <c r="T198" s="378"/>
    </row>
    <row r="199" spans="1:20" x14ac:dyDescent="0.45">
      <c r="A199" s="380"/>
      <c r="B199" s="380"/>
      <c r="C199" s="380"/>
      <c r="D199" s="380"/>
      <c r="E199" s="380"/>
      <c r="F199" s="380"/>
      <c r="G199" s="381"/>
      <c r="H199" s="382"/>
      <c r="I199" s="391"/>
      <c r="J199" s="381"/>
      <c r="K199" s="381"/>
      <c r="L199" s="392"/>
      <c r="M199" s="381"/>
      <c r="N199" s="392"/>
      <c r="O199" s="382"/>
      <c r="P199" s="382"/>
      <c r="Q199" s="382"/>
      <c r="R199" s="381"/>
      <c r="S199" s="381"/>
      <c r="T199" s="379"/>
    </row>
    <row r="200" spans="1:20" x14ac:dyDescent="0.45">
      <c r="A200" s="383"/>
      <c r="B200" s="383"/>
      <c r="C200" s="383"/>
      <c r="D200" s="383"/>
      <c r="E200" s="383"/>
      <c r="F200" s="383"/>
      <c r="G200" s="384"/>
      <c r="H200" s="385"/>
      <c r="I200" s="393"/>
      <c r="J200" s="384"/>
      <c r="K200" s="384"/>
      <c r="L200" s="394"/>
      <c r="M200" s="384"/>
      <c r="N200" s="394"/>
      <c r="O200" s="385"/>
      <c r="P200" s="385"/>
      <c r="Q200" s="385"/>
      <c r="R200" s="384"/>
      <c r="S200" s="384"/>
      <c r="T200" s="378"/>
    </row>
    <row r="201" spans="1:20" x14ac:dyDescent="0.45">
      <c r="A201" s="125"/>
      <c r="B201" s="125"/>
      <c r="C201" s="125"/>
      <c r="D201" s="125"/>
      <c r="E201" s="125"/>
      <c r="F201" s="125"/>
      <c r="G201" s="126"/>
      <c r="H201" s="127"/>
      <c r="I201" s="131"/>
      <c r="J201" s="126"/>
      <c r="K201" s="126"/>
      <c r="L201" s="132"/>
      <c r="M201" s="126"/>
      <c r="N201" s="132"/>
      <c r="O201" s="127"/>
      <c r="P201" s="127"/>
      <c r="Q201" s="127"/>
      <c r="R201" s="126"/>
      <c r="S201" s="126"/>
      <c r="T201" s="246"/>
    </row>
    <row r="202" spans="1:20" x14ac:dyDescent="0.45">
      <c r="A202" s="128"/>
      <c r="B202" s="128"/>
      <c r="C202" s="128"/>
      <c r="D202" s="128"/>
      <c r="E202" s="128"/>
      <c r="F202" s="128"/>
      <c r="G202" s="129"/>
      <c r="H202" s="130"/>
      <c r="I202" s="133"/>
      <c r="J202" s="129"/>
      <c r="K202" s="129"/>
      <c r="L202" s="134"/>
      <c r="M202" s="129"/>
      <c r="N202" s="134"/>
      <c r="O202" s="130"/>
      <c r="P202" s="130"/>
      <c r="Q202" s="130"/>
      <c r="R202" s="129"/>
      <c r="S202" s="129"/>
      <c r="T202" s="245"/>
    </row>
    <row r="203" spans="1:20" x14ac:dyDescent="0.45">
      <c r="A203" s="125"/>
      <c r="B203" s="125"/>
      <c r="C203" s="125"/>
      <c r="D203" s="125"/>
      <c r="E203" s="125"/>
      <c r="F203" s="125"/>
      <c r="G203" s="126"/>
      <c r="H203" s="127"/>
      <c r="I203" s="131"/>
      <c r="J203" s="126"/>
      <c r="K203" s="126"/>
      <c r="L203" s="132"/>
      <c r="M203" s="126"/>
      <c r="N203" s="132"/>
      <c r="O203" s="127"/>
      <c r="P203" s="127"/>
      <c r="Q203" s="127"/>
      <c r="R203" s="126"/>
      <c r="S203" s="126"/>
      <c r="T203" s="246"/>
    </row>
    <row r="204" spans="1:20" x14ac:dyDescent="0.45">
      <c r="A204" s="128"/>
      <c r="B204" s="128"/>
      <c r="C204" s="128"/>
      <c r="D204" s="128"/>
      <c r="E204" s="128"/>
      <c r="F204" s="128"/>
      <c r="G204" s="129"/>
      <c r="H204" s="130"/>
      <c r="I204" s="133"/>
      <c r="J204" s="129"/>
      <c r="K204" s="129"/>
      <c r="L204" s="134"/>
      <c r="M204" s="129"/>
      <c r="N204" s="134"/>
      <c r="O204" s="130"/>
      <c r="P204" s="130"/>
      <c r="Q204" s="130"/>
      <c r="R204" s="129"/>
      <c r="S204" s="129"/>
      <c r="T204" s="245"/>
    </row>
    <row r="205" spans="1:20" x14ac:dyDescent="0.45">
      <c r="A205" s="125"/>
      <c r="B205" s="125"/>
      <c r="C205" s="125"/>
      <c r="D205" s="125"/>
      <c r="E205" s="125"/>
      <c r="F205" s="125"/>
      <c r="G205" s="126"/>
      <c r="H205" s="127"/>
      <c r="I205" s="131"/>
      <c r="J205" s="126"/>
      <c r="K205" s="126"/>
      <c r="L205" s="132"/>
      <c r="M205" s="126"/>
      <c r="N205" s="132"/>
      <c r="O205" s="127"/>
      <c r="P205" s="127"/>
      <c r="Q205" s="127"/>
      <c r="R205" s="126"/>
      <c r="S205" s="126"/>
      <c r="T205" s="246"/>
    </row>
    <row r="206" spans="1:20" x14ac:dyDescent="0.45">
      <c r="A206" s="125"/>
      <c r="B206" s="125"/>
      <c r="C206" s="125"/>
      <c r="D206" s="125"/>
      <c r="E206" s="125"/>
      <c r="F206" s="125"/>
      <c r="G206" s="126"/>
      <c r="H206" s="127"/>
      <c r="I206" s="131"/>
      <c r="J206" s="126"/>
      <c r="K206" s="126"/>
      <c r="L206" s="132"/>
      <c r="M206" s="126"/>
      <c r="N206" s="132"/>
      <c r="O206" s="127"/>
      <c r="P206" s="127"/>
      <c r="Q206" s="127"/>
      <c r="R206" s="126"/>
      <c r="S206" s="126"/>
      <c r="T206" s="246"/>
    </row>
    <row r="207" spans="1:20" x14ac:dyDescent="0.45">
      <c r="A207" s="125"/>
      <c r="B207" s="125"/>
      <c r="C207" s="125"/>
      <c r="D207" s="125"/>
      <c r="E207" s="125"/>
      <c r="F207" s="125"/>
      <c r="G207" s="126"/>
      <c r="H207" s="127"/>
      <c r="I207" s="131"/>
      <c r="J207" s="126"/>
      <c r="K207" s="126"/>
      <c r="L207" s="132"/>
      <c r="M207" s="126"/>
      <c r="N207" s="132"/>
      <c r="O207" s="127"/>
      <c r="P207" s="127"/>
      <c r="Q207" s="127"/>
      <c r="R207" s="126"/>
      <c r="S207" s="126"/>
      <c r="T207" s="246"/>
    </row>
    <row r="208" spans="1:20" x14ac:dyDescent="0.45">
      <c r="A208" s="125"/>
      <c r="B208" s="125"/>
      <c r="C208" s="125"/>
      <c r="D208" s="125"/>
      <c r="E208" s="125"/>
      <c r="F208" s="125"/>
      <c r="G208" s="126"/>
      <c r="H208" s="127"/>
      <c r="I208" s="131"/>
      <c r="J208" s="126"/>
      <c r="K208" s="126"/>
      <c r="L208" s="132"/>
      <c r="M208" s="126"/>
      <c r="N208" s="132"/>
      <c r="O208" s="127"/>
      <c r="P208" s="127"/>
      <c r="Q208" s="127"/>
      <c r="R208" s="126"/>
      <c r="S208" s="126"/>
      <c r="T208" s="246"/>
    </row>
    <row r="209" spans="1:20" x14ac:dyDescent="0.45">
      <c r="A209" s="125"/>
      <c r="B209" s="125"/>
      <c r="C209" s="125"/>
      <c r="D209" s="125"/>
      <c r="E209" s="125"/>
      <c r="F209" s="125"/>
      <c r="G209" s="126"/>
      <c r="H209" s="127"/>
      <c r="I209" s="131"/>
      <c r="J209" s="126"/>
      <c r="K209" s="126"/>
      <c r="L209" s="132"/>
      <c r="M209" s="126"/>
      <c r="N209" s="132"/>
      <c r="O209" s="127"/>
      <c r="P209" s="127"/>
      <c r="Q209" s="127"/>
      <c r="R209" s="126"/>
      <c r="S209" s="126"/>
      <c r="T209" s="246"/>
    </row>
    <row r="210" spans="1:20" x14ac:dyDescent="0.45">
      <c r="A210" s="125"/>
      <c r="B210" s="125"/>
      <c r="C210" s="125"/>
      <c r="D210" s="125"/>
      <c r="E210" s="125"/>
      <c r="F210" s="125"/>
      <c r="G210" s="126"/>
      <c r="H210" s="127"/>
      <c r="I210" s="131"/>
      <c r="J210" s="126"/>
      <c r="K210" s="126"/>
      <c r="L210" s="132"/>
      <c r="M210" s="126"/>
      <c r="N210" s="132"/>
      <c r="O210" s="127"/>
      <c r="P210" s="127"/>
      <c r="Q210" s="127"/>
      <c r="R210" s="126"/>
      <c r="S210" s="126"/>
      <c r="T210" s="246"/>
    </row>
    <row r="211" spans="1:20" x14ac:dyDescent="0.45">
      <c r="A211" s="125"/>
      <c r="B211" s="125"/>
      <c r="C211" s="125"/>
      <c r="D211" s="125"/>
      <c r="E211" s="125"/>
      <c r="F211" s="125"/>
      <c r="G211" s="126"/>
      <c r="H211" s="127"/>
      <c r="I211" s="131"/>
      <c r="J211" s="126"/>
      <c r="K211" s="126"/>
      <c r="L211" s="132"/>
      <c r="M211" s="126"/>
      <c r="N211" s="132"/>
      <c r="O211" s="127"/>
      <c r="P211" s="127"/>
      <c r="Q211" s="127"/>
      <c r="R211" s="126"/>
      <c r="S211" s="126"/>
      <c r="T211" s="246"/>
    </row>
    <row r="212" spans="1:20" x14ac:dyDescent="0.45">
      <c r="A212" s="125"/>
      <c r="B212" s="125"/>
      <c r="C212" s="125"/>
      <c r="D212" s="125"/>
      <c r="E212" s="125"/>
      <c r="F212" s="125"/>
      <c r="G212" s="126"/>
      <c r="H212" s="127"/>
      <c r="I212" s="131"/>
      <c r="J212" s="126"/>
      <c r="K212" s="126"/>
      <c r="L212" s="132"/>
      <c r="M212" s="126"/>
      <c r="N212" s="132"/>
      <c r="O212" s="127"/>
      <c r="P212" s="127"/>
      <c r="Q212" s="127"/>
      <c r="R212" s="126"/>
      <c r="S212" s="126"/>
      <c r="T212" s="246"/>
    </row>
    <row r="213" spans="1:20" x14ac:dyDescent="0.45">
      <c r="A213" s="125"/>
      <c r="B213" s="125"/>
      <c r="C213" s="125"/>
      <c r="D213" s="125"/>
      <c r="E213" s="125"/>
      <c r="F213" s="125"/>
      <c r="G213" s="126"/>
      <c r="H213" s="127"/>
      <c r="I213" s="131"/>
      <c r="J213" s="126"/>
      <c r="K213" s="126"/>
      <c r="L213" s="132"/>
      <c r="M213" s="126"/>
      <c r="N213" s="132"/>
      <c r="O213" s="127"/>
      <c r="P213" s="127"/>
      <c r="Q213" s="127"/>
      <c r="R213" s="126"/>
      <c r="S213" s="126"/>
      <c r="T213" s="246"/>
    </row>
    <row r="214" spans="1:20" x14ac:dyDescent="0.45">
      <c r="A214" s="125"/>
      <c r="B214" s="125"/>
      <c r="C214" s="125"/>
      <c r="D214" s="125"/>
      <c r="E214" s="125"/>
      <c r="F214" s="125"/>
      <c r="G214" s="126"/>
      <c r="H214" s="127"/>
      <c r="I214" s="131"/>
      <c r="J214" s="126"/>
      <c r="K214" s="126"/>
      <c r="L214" s="132"/>
      <c r="M214" s="126"/>
      <c r="N214" s="132"/>
      <c r="O214" s="127"/>
      <c r="P214" s="127"/>
      <c r="Q214" s="127"/>
      <c r="R214" s="126"/>
      <c r="S214" s="126"/>
      <c r="T214" s="246"/>
    </row>
    <row r="215" spans="1:20" x14ac:dyDescent="0.45">
      <c r="A215" s="125"/>
      <c r="B215" s="125"/>
      <c r="C215" s="125"/>
      <c r="D215" s="125"/>
      <c r="E215" s="125"/>
      <c r="F215" s="125"/>
      <c r="G215" s="126"/>
      <c r="H215" s="127"/>
      <c r="I215" s="131"/>
      <c r="J215" s="126"/>
      <c r="K215" s="126"/>
      <c r="L215" s="132"/>
      <c r="M215" s="126"/>
      <c r="N215" s="132"/>
      <c r="O215" s="127"/>
      <c r="P215" s="127"/>
      <c r="Q215" s="127"/>
      <c r="R215" s="126"/>
      <c r="S215" s="126"/>
      <c r="T215" s="246"/>
    </row>
    <row r="216" spans="1:20" x14ac:dyDescent="0.45">
      <c r="A216" s="125"/>
      <c r="B216" s="125"/>
      <c r="C216" s="125"/>
      <c r="D216" s="125"/>
      <c r="E216" s="125"/>
      <c r="F216" s="125"/>
      <c r="G216" s="126"/>
      <c r="H216" s="127"/>
      <c r="I216" s="131"/>
      <c r="J216" s="126"/>
      <c r="K216" s="126"/>
      <c r="L216" s="132"/>
      <c r="M216" s="126"/>
      <c r="N216" s="132"/>
      <c r="O216" s="127"/>
      <c r="P216" s="127"/>
      <c r="Q216" s="127"/>
      <c r="R216" s="126"/>
      <c r="S216" s="126"/>
      <c r="T216" s="246"/>
    </row>
    <row r="217" spans="1:20" x14ac:dyDescent="0.45">
      <c r="A217" s="125"/>
      <c r="B217" s="125"/>
      <c r="C217" s="125"/>
      <c r="D217" s="125"/>
      <c r="E217" s="125"/>
      <c r="F217" s="125"/>
      <c r="G217" s="126"/>
      <c r="H217" s="127"/>
      <c r="I217" s="131"/>
      <c r="J217" s="126"/>
      <c r="K217" s="126"/>
      <c r="L217" s="132"/>
      <c r="M217" s="126"/>
      <c r="N217" s="132"/>
      <c r="O217" s="127"/>
      <c r="P217" s="127"/>
      <c r="Q217" s="127"/>
      <c r="R217" s="126"/>
      <c r="S217" s="126"/>
      <c r="T217" s="246"/>
    </row>
    <row r="218" spans="1:20" x14ac:dyDescent="0.45">
      <c r="A218" s="125"/>
      <c r="B218" s="125"/>
      <c r="C218" s="125"/>
      <c r="D218" s="125"/>
      <c r="E218" s="125"/>
      <c r="F218" s="125"/>
      <c r="G218" s="126"/>
      <c r="H218" s="127"/>
      <c r="I218" s="131"/>
      <c r="J218" s="126"/>
      <c r="K218" s="126"/>
      <c r="L218" s="132"/>
      <c r="M218" s="126"/>
      <c r="N218" s="132"/>
      <c r="O218" s="127"/>
      <c r="P218" s="127"/>
      <c r="Q218" s="127"/>
      <c r="R218" s="126"/>
      <c r="S218" s="126"/>
      <c r="T218" s="246"/>
    </row>
    <row r="219" spans="1:20" x14ac:dyDescent="0.45">
      <c r="A219" s="125"/>
      <c r="B219" s="125"/>
      <c r="C219" s="125"/>
      <c r="D219" s="125"/>
      <c r="E219" s="125"/>
      <c r="F219" s="125"/>
      <c r="G219" s="126"/>
      <c r="H219" s="127"/>
      <c r="I219" s="131"/>
      <c r="J219" s="126"/>
      <c r="K219" s="126"/>
      <c r="L219" s="132"/>
      <c r="M219" s="126"/>
      <c r="N219" s="132"/>
      <c r="O219" s="127"/>
      <c r="P219" s="127"/>
      <c r="Q219" s="127"/>
      <c r="R219" s="126"/>
      <c r="S219" s="126"/>
      <c r="T219" s="246"/>
    </row>
    <row r="220" spans="1:20" x14ac:dyDescent="0.45">
      <c r="A220" s="125"/>
      <c r="B220" s="125"/>
      <c r="C220" s="125"/>
      <c r="D220" s="125"/>
      <c r="E220" s="125"/>
      <c r="F220" s="125"/>
      <c r="G220" s="126"/>
      <c r="H220" s="127"/>
      <c r="I220" s="131"/>
      <c r="J220" s="126"/>
      <c r="K220" s="126"/>
      <c r="L220" s="132"/>
      <c r="M220" s="126"/>
      <c r="N220" s="132"/>
      <c r="O220" s="127"/>
      <c r="P220" s="127"/>
      <c r="Q220" s="127"/>
      <c r="R220" s="126"/>
      <c r="S220" s="126"/>
      <c r="T220" s="246"/>
    </row>
    <row r="221" spans="1:20" x14ac:dyDescent="0.45">
      <c r="A221" s="125"/>
      <c r="B221" s="125"/>
      <c r="C221" s="125"/>
      <c r="D221" s="125"/>
      <c r="E221" s="125"/>
      <c r="F221" s="125"/>
      <c r="G221" s="126"/>
      <c r="H221" s="127"/>
      <c r="I221" s="131"/>
      <c r="J221" s="126"/>
      <c r="K221" s="126"/>
      <c r="L221" s="132"/>
      <c r="M221" s="126"/>
      <c r="N221" s="132"/>
      <c r="O221" s="127"/>
      <c r="P221" s="127"/>
      <c r="Q221" s="127"/>
      <c r="R221" s="126"/>
      <c r="S221" s="126"/>
      <c r="T221" s="246"/>
    </row>
    <row r="222" spans="1:20" x14ac:dyDescent="0.45">
      <c r="A222" s="125"/>
      <c r="B222" s="125"/>
      <c r="C222" s="125"/>
      <c r="D222" s="125"/>
      <c r="E222" s="125"/>
      <c r="F222" s="125"/>
      <c r="G222" s="126"/>
      <c r="H222" s="127"/>
      <c r="I222" s="131"/>
      <c r="J222" s="126"/>
      <c r="K222" s="126"/>
      <c r="L222" s="132"/>
      <c r="M222" s="126"/>
      <c r="N222" s="132"/>
      <c r="O222" s="127"/>
      <c r="P222" s="127"/>
      <c r="Q222" s="127"/>
      <c r="R222" s="126"/>
      <c r="S222" s="126"/>
      <c r="T222" s="246"/>
    </row>
    <row r="223" spans="1:20" x14ac:dyDescent="0.45">
      <c r="A223" s="125"/>
      <c r="B223" s="125"/>
      <c r="C223" s="125"/>
      <c r="D223" s="125"/>
      <c r="E223" s="125"/>
      <c r="F223" s="125"/>
      <c r="G223" s="126"/>
      <c r="H223" s="127"/>
      <c r="I223" s="131"/>
      <c r="J223" s="126"/>
      <c r="K223" s="126"/>
      <c r="L223" s="132"/>
      <c r="M223" s="126"/>
      <c r="N223" s="132"/>
      <c r="O223" s="127"/>
      <c r="P223" s="127"/>
      <c r="Q223" s="127"/>
      <c r="R223" s="126"/>
      <c r="S223" s="126"/>
      <c r="T223" s="246"/>
    </row>
    <row r="224" spans="1:20" x14ac:dyDescent="0.45">
      <c r="A224" s="125"/>
      <c r="B224" s="125"/>
      <c r="C224" s="125"/>
      <c r="D224" s="125"/>
      <c r="E224" s="125"/>
      <c r="F224" s="125"/>
      <c r="G224" s="126"/>
      <c r="H224" s="127"/>
      <c r="I224" s="131"/>
      <c r="J224" s="126"/>
      <c r="K224" s="126"/>
      <c r="L224" s="132"/>
      <c r="M224" s="126"/>
      <c r="N224" s="132"/>
      <c r="O224" s="127"/>
      <c r="P224" s="127"/>
      <c r="Q224" s="127"/>
      <c r="R224" s="126"/>
      <c r="S224" s="126"/>
      <c r="T224" s="246"/>
    </row>
    <row r="225" spans="1:20" x14ac:dyDescent="0.45">
      <c r="A225" s="125"/>
      <c r="B225" s="125"/>
      <c r="C225" s="125"/>
      <c r="D225" s="125"/>
      <c r="E225" s="125"/>
      <c r="F225" s="125"/>
      <c r="G225" s="126"/>
      <c r="H225" s="127"/>
      <c r="I225" s="131"/>
      <c r="J225" s="126"/>
      <c r="K225" s="126"/>
      <c r="L225" s="132"/>
      <c r="M225" s="126"/>
      <c r="N225" s="132"/>
      <c r="O225" s="127"/>
      <c r="P225" s="127"/>
      <c r="Q225" s="127"/>
      <c r="R225" s="126"/>
      <c r="S225" s="126"/>
      <c r="T225" s="246"/>
    </row>
    <row r="226" spans="1:20" x14ac:dyDescent="0.45">
      <c r="A226" s="125"/>
      <c r="B226" s="125"/>
      <c r="C226" s="125"/>
      <c r="D226" s="125"/>
      <c r="E226" s="125"/>
      <c r="F226" s="125"/>
      <c r="G226" s="126"/>
      <c r="H226" s="127"/>
      <c r="I226" s="131"/>
      <c r="J226" s="126"/>
      <c r="K226" s="126"/>
      <c r="L226" s="132"/>
      <c r="M226" s="126"/>
      <c r="N226" s="132"/>
      <c r="O226" s="127"/>
      <c r="P226" s="127"/>
      <c r="Q226" s="127"/>
      <c r="R226" s="126"/>
      <c r="S226" s="126"/>
      <c r="T226" s="246"/>
    </row>
    <row r="227" spans="1:20" x14ac:dyDescent="0.45">
      <c r="A227" s="125"/>
      <c r="B227" s="125"/>
      <c r="C227" s="125"/>
      <c r="D227" s="125"/>
      <c r="E227" s="125"/>
      <c r="F227" s="125"/>
      <c r="G227" s="126"/>
      <c r="H227" s="127"/>
      <c r="I227" s="131"/>
      <c r="J227" s="126"/>
      <c r="K227" s="126"/>
      <c r="L227" s="132"/>
      <c r="M227" s="126"/>
      <c r="N227" s="132"/>
      <c r="O227" s="127"/>
      <c r="P227" s="127"/>
      <c r="Q227" s="127"/>
      <c r="R227" s="126"/>
      <c r="S227" s="126"/>
      <c r="T227" s="246"/>
    </row>
    <row r="228" spans="1:20" x14ac:dyDescent="0.45">
      <c r="A228" s="125"/>
      <c r="B228" s="125"/>
      <c r="C228" s="125"/>
      <c r="D228" s="125"/>
      <c r="E228" s="125"/>
      <c r="F228" s="125"/>
      <c r="G228" s="126"/>
      <c r="H228" s="127"/>
      <c r="I228" s="131"/>
      <c r="J228" s="126"/>
      <c r="K228" s="126"/>
      <c r="L228" s="132"/>
      <c r="M228" s="126"/>
      <c r="N228" s="132"/>
      <c r="O228" s="127"/>
      <c r="P228" s="127"/>
      <c r="Q228" s="127"/>
      <c r="R228" s="126"/>
      <c r="S228" s="126"/>
      <c r="T228" s="246"/>
    </row>
    <row r="229" spans="1:20" x14ac:dyDescent="0.45">
      <c r="A229" s="125"/>
      <c r="B229" s="125"/>
      <c r="C229" s="125"/>
      <c r="D229" s="125"/>
      <c r="E229" s="125"/>
      <c r="F229" s="125"/>
      <c r="G229" s="126"/>
      <c r="H229" s="127"/>
      <c r="I229" s="131"/>
      <c r="J229" s="126"/>
      <c r="K229" s="126"/>
      <c r="L229" s="132"/>
      <c r="M229" s="126"/>
      <c r="N229" s="132"/>
      <c r="O229" s="127"/>
      <c r="P229" s="127"/>
      <c r="Q229" s="127"/>
      <c r="R229" s="126"/>
      <c r="S229" s="126"/>
      <c r="T229" s="246"/>
    </row>
    <row r="230" spans="1:20" x14ac:dyDescent="0.45">
      <c r="A230" s="125"/>
      <c r="B230" s="125"/>
      <c r="C230" s="125"/>
      <c r="D230" s="125"/>
      <c r="E230" s="125"/>
      <c r="F230" s="125"/>
      <c r="G230" s="126"/>
      <c r="H230" s="127"/>
      <c r="I230" s="131"/>
      <c r="J230" s="126"/>
      <c r="K230" s="126"/>
      <c r="L230" s="132"/>
      <c r="M230" s="126"/>
      <c r="N230" s="132"/>
      <c r="O230" s="127"/>
      <c r="P230" s="127"/>
      <c r="Q230" s="127"/>
      <c r="R230" s="126"/>
      <c r="S230" s="126"/>
      <c r="T230" s="246"/>
    </row>
    <row r="231" spans="1:20" x14ac:dyDescent="0.45">
      <c r="A231" s="125"/>
      <c r="B231" s="125"/>
      <c r="C231" s="125"/>
      <c r="D231" s="125"/>
      <c r="E231" s="125"/>
      <c r="F231" s="125"/>
      <c r="G231" s="126"/>
      <c r="H231" s="127"/>
      <c r="I231" s="131"/>
      <c r="J231" s="126"/>
      <c r="K231" s="126"/>
      <c r="L231" s="132"/>
      <c r="M231" s="126"/>
      <c r="N231" s="132"/>
      <c r="O231" s="127"/>
      <c r="P231" s="127"/>
      <c r="Q231" s="127"/>
      <c r="R231" s="126"/>
      <c r="S231" s="126"/>
      <c r="T231" s="246"/>
    </row>
    <row r="232" spans="1:20" x14ac:dyDescent="0.45">
      <c r="A232" s="125"/>
      <c r="B232" s="125"/>
      <c r="C232" s="125"/>
      <c r="D232" s="125"/>
      <c r="E232" s="125"/>
      <c r="F232" s="125"/>
      <c r="G232" s="126"/>
      <c r="H232" s="127"/>
      <c r="I232" s="131"/>
      <c r="J232" s="126"/>
      <c r="K232" s="126"/>
      <c r="L232" s="132"/>
      <c r="M232" s="126"/>
      <c r="N232" s="132"/>
      <c r="O232" s="127"/>
      <c r="P232" s="127"/>
      <c r="Q232" s="127"/>
      <c r="R232" s="126"/>
      <c r="S232" s="126"/>
      <c r="T232" s="246"/>
    </row>
    <row r="233" spans="1:20" x14ac:dyDescent="0.45">
      <c r="A233" s="125"/>
      <c r="B233" s="125"/>
      <c r="C233" s="125"/>
      <c r="D233" s="125"/>
      <c r="E233" s="125"/>
      <c r="F233" s="125"/>
      <c r="G233" s="126"/>
      <c r="H233" s="127"/>
      <c r="I233" s="131"/>
      <c r="J233" s="126"/>
      <c r="K233" s="126"/>
      <c r="L233" s="132"/>
      <c r="M233" s="126"/>
      <c r="N233" s="132"/>
      <c r="O233" s="127"/>
      <c r="P233" s="127"/>
      <c r="Q233" s="127"/>
      <c r="R233" s="126"/>
      <c r="S233" s="126"/>
      <c r="T233" s="246"/>
    </row>
    <row r="234" spans="1:20" x14ac:dyDescent="0.45">
      <c r="A234" s="125"/>
      <c r="B234" s="125"/>
      <c r="C234" s="125"/>
      <c r="D234" s="125"/>
      <c r="E234" s="125"/>
      <c r="F234" s="125"/>
      <c r="G234" s="126"/>
      <c r="H234" s="127"/>
      <c r="I234" s="131"/>
      <c r="J234" s="126"/>
      <c r="K234" s="126"/>
      <c r="L234" s="132"/>
      <c r="M234" s="126"/>
      <c r="N234" s="132"/>
      <c r="O234" s="127"/>
      <c r="P234" s="127"/>
      <c r="Q234" s="127"/>
      <c r="R234" s="126"/>
      <c r="S234" s="126"/>
      <c r="T234" s="246"/>
    </row>
    <row r="235" spans="1:20" x14ac:dyDescent="0.45">
      <c r="A235" s="125"/>
      <c r="B235" s="125"/>
      <c r="C235" s="125"/>
      <c r="D235" s="125"/>
      <c r="E235" s="125"/>
      <c r="F235" s="125"/>
      <c r="G235" s="126"/>
      <c r="H235" s="127"/>
      <c r="I235" s="131"/>
      <c r="J235" s="126"/>
      <c r="K235" s="126"/>
      <c r="L235" s="132"/>
      <c r="M235" s="126"/>
      <c r="N235" s="132"/>
      <c r="O235" s="127"/>
      <c r="P235" s="127"/>
      <c r="Q235" s="127"/>
      <c r="R235" s="126"/>
      <c r="S235" s="126"/>
      <c r="T235" s="246"/>
    </row>
    <row r="236" spans="1:20" x14ac:dyDescent="0.45">
      <c r="A236" s="125"/>
      <c r="B236" s="125"/>
      <c r="C236" s="125"/>
      <c r="D236" s="125"/>
      <c r="E236" s="125"/>
      <c r="F236" s="125"/>
      <c r="G236" s="126"/>
      <c r="H236" s="127"/>
      <c r="I236" s="131"/>
      <c r="J236" s="126"/>
      <c r="K236" s="126"/>
      <c r="L236" s="132"/>
      <c r="M236" s="126"/>
      <c r="N236" s="132"/>
      <c r="O236" s="127"/>
      <c r="P236" s="127"/>
      <c r="Q236" s="127"/>
      <c r="R236" s="126"/>
      <c r="S236" s="126"/>
      <c r="T236" s="246"/>
    </row>
    <row r="237" spans="1:20" x14ac:dyDescent="0.45">
      <c r="A237" s="125"/>
      <c r="B237" s="125"/>
      <c r="C237" s="125"/>
      <c r="D237" s="125"/>
      <c r="E237" s="125"/>
      <c r="F237" s="125"/>
      <c r="G237" s="126"/>
      <c r="H237" s="127"/>
      <c r="I237" s="131"/>
      <c r="J237" s="126"/>
      <c r="K237" s="126"/>
      <c r="L237" s="132"/>
      <c r="M237" s="126"/>
      <c r="N237" s="132"/>
      <c r="O237" s="127"/>
      <c r="P237" s="127"/>
      <c r="Q237" s="127"/>
      <c r="R237" s="126"/>
      <c r="S237" s="126"/>
      <c r="T237" s="246"/>
    </row>
    <row r="238" spans="1:20" x14ac:dyDescent="0.45">
      <c r="A238" s="125"/>
      <c r="B238" s="125"/>
      <c r="C238" s="125"/>
      <c r="D238" s="125"/>
      <c r="E238" s="125"/>
      <c r="F238" s="125"/>
      <c r="G238" s="126"/>
      <c r="H238" s="127"/>
      <c r="I238" s="131"/>
      <c r="J238" s="126"/>
      <c r="K238" s="126"/>
      <c r="L238" s="132"/>
      <c r="M238" s="126"/>
      <c r="N238" s="132"/>
      <c r="O238" s="127"/>
      <c r="P238" s="127"/>
      <c r="Q238" s="127"/>
      <c r="R238" s="126"/>
      <c r="S238" s="126"/>
      <c r="T238" s="246"/>
    </row>
    <row r="239" spans="1:20" x14ac:dyDescent="0.45">
      <c r="A239" s="125"/>
      <c r="B239" s="125"/>
      <c r="C239" s="125"/>
      <c r="D239" s="125"/>
      <c r="E239" s="125"/>
      <c r="F239" s="125"/>
      <c r="G239" s="126"/>
      <c r="H239" s="127"/>
      <c r="I239" s="131"/>
      <c r="J239" s="126"/>
      <c r="K239" s="126"/>
      <c r="L239" s="132"/>
      <c r="M239" s="126"/>
      <c r="N239" s="132"/>
      <c r="O239" s="127"/>
      <c r="P239" s="127"/>
      <c r="Q239" s="127"/>
      <c r="R239" s="126"/>
      <c r="S239" s="126"/>
      <c r="T239" s="246"/>
    </row>
    <row r="240" spans="1:20" x14ac:dyDescent="0.45">
      <c r="A240" s="125"/>
      <c r="B240" s="125"/>
      <c r="C240" s="125"/>
      <c r="D240" s="125"/>
      <c r="E240" s="125"/>
      <c r="F240" s="125"/>
      <c r="G240" s="126"/>
      <c r="H240" s="127"/>
      <c r="I240" s="131"/>
      <c r="J240" s="126"/>
      <c r="K240" s="126"/>
      <c r="L240" s="132"/>
      <c r="M240" s="126"/>
      <c r="N240" s="132"/>
      <c r="O240" s="127"/>
      <c r="P240" s="127"/>
      <c r="Q240" s="127"/>
      <c r="R240" s="126"/>
      <c r="S240" s="126"/>
      <c r="T240" s="246"/>
    </row>
    <row r="241" spans="1:20" x14ac:dyDescent="0.45">
      <c r="A241" s="125"/>
      <c r="B241" s="125"/>
      <c r="C241" s="125"/>
      <c r="D241" s="125"/>
      <c r="E241" s="125"/>
      <c r="F241" s="125"/>
      <c r="G241" s="126"/>
      <c r="H241" s="127"/>
      <c r="I241" s="131"/>
      <c r="J241" s="126"/>
      <c r="K241" s="126"/>
      <c r="L241" s="132"/>
      <c r="M241" s="126"/>
      <c r="N241" s="132"/>
      <c r="O241" s="127"/>
      <c r="P241" s="127"/>
      <c r="Q241" s="127"/>
      <c r="R241" s="126"/>
      <c r="S241" s="126"/>
      <c r="T241" s="246"/>
    </row>
    <row r="242" spans="1:20" x14ac:dyDescent="0.45">
      <c r="A242" s="125"/>
      <c r="B242" s="125"/>
      <c r="C242" s="125"/>
      <c r="D242" s="125"/>
      <c r="E242" s="125"/>
      <c r="F242" s="125"/>
      <c r="G242" s="126"/>
      <c r="H242" s="127"/>
      <c r="I242" s="131"/>
      <c r="J242" s="126"/>
      <c r="K242" s="126"/>
      <c r="L242" s="132"/>
      <c r="M242" s="126"/>
      <c r="N242" s="132"/>
      <c r="O242" s="127"/>
      <c r="P242" s="127"/>
      <c r="Q242" s="127"/>
      <c r="R242" s="126"/>
      <c r="S242" s="126"/>
      <c r="T242" s="246"/>
    </row>
    <row r="243" spans="1:20" x14ac:dyDescent="0.45">
      <c r="A243" s="125"/>
      <c r="B243" s="125"/>
      <c r="C243" s="125"/>
      <c r="D243" s="125"/>
      <c r="E243" s="125"/>
      <c r="F243" s="125"/>
      <c r="G243" s="126"/>
      <c r="H243" s="127"/>
      <c r="I243" s="131"/>
      <c r="J243" s="126"/>
      <c r="K243" s="126"/>
      <c r="L243" s="132"/>
      <c r="M243" s="126"/>
      <c r="N243" s="132"/>
      <c r="O243" s="127"/>
      <c r="P243" s="127"/>
      <c r="Q243" s="127"/>
      <c r="R243" s="126"/>
      <c r="S243" s="126"/>
      <c r="T243" s="246"/>
    </row>
    <row r="244" spans="1:20" x14ac:dyDescent="0.45">
      <c r="A244" s="125"/>
      <c r="B244" s="125"/>
      <c r="C244" s="125"/>
      <c r="D244" s="125"/>
      <c r="E244" s="125"/>
      <c r="F244" s="125"/>
      <c r="G244" s="126"/>
      <c r="H244" s="127"/>
      <c r="I244" s="131"/>
      <c r="J244" s="126"/>
      <c r="K244" s="126"/>
      <c r="L244" s="132"/>
      <c r="M244" s="126"/>
      <c r="N244" s="132"/>
      <c r="O244" s="127"/>
      <c r="P244" s="127"/>
      <c r="Q244" s="127"/>
      <c r="R244" s="126"/>
      <c r="S244" s="126"/>
      <c r="T244" s="246"/>
    </row>
    <row r="245" spans="1:20" x14ac:dyDescent="0.45">
      <c r="A245" s="125"/>
      <c r="B245" s="125"/>
      <c r="C245" s="125"/>
      <c r="D245" s="125"/>
      <c r="E245" s="125"/>
      <c r="F245" s="125"/>
      <c r="G245" s="126"/>
      <c r="H245" s="127"/>
      <c r="I245" s="131"/>
      <c r="J245" s="126"/>
      <c r="K245" s="126"/>
      <c r="L245" s="132"/>
      <c r="M245" s="126"/>
      <c r="N245" s="132"/>
      <c r="O245" s="127"/>
      <c r="P245" s="127"/>
      <c r="Q245" s="127"/>
      <c r="R245" s="126"/>
      <c r="S245" s="126"/>
      <c r="T245" s="246"/>
    </row>
    <row r="246" spans="1:20" x14ac:dyDescent="0.45">
      <c r="A246" s="125"/>
      <c r="B246" s="125"/>
      <c r="C246" s="125"/>
      <c r="D246" s="125"/>
      <c r="E246" s="125"/>
      <c r="F246" s="125"/>
      <c r="G246" s="126"/>
      <c r="H246" s="127"/>
      <c r="I246" s="131"/>
      <c r="J246" s="126"/>
      <c r="K246" s="126"/>
      <c r="L246" s="132"/>
      <c r="M246" s="126"/>
      <c r="N246" s="132"/>
      <c r="O246" s="127"/>
      <c r="P246" s="127"/>
      <c r="Q246" s="127"/>
      <c r="R246" s="126"/>
      <c r="S246" s="126"/>
      <c r="T246" s="246"/>
    </row>
    <row r="247" spans="1:20" x14ac:dyDescent="0.45">
      <c r="A247" s="125"/>
      <c r="B247" s="125"/>
      <c r="C247" s="125"/>
      <c r="D247" s="125"/>
      <c r="E247" s="125"/>
      <c r="F247" s="125"/>
      <c r="G247" s="126"/>
      <c r="H247" s="127"/>
      <c r="I247" s="131"/>
      <c r="J247" s="126"/>
      <c r="K247" s="126"/>
      <c r="L247" s="132"/>
      <c r="M247" s="126"/>
      <c r="N247" s="132"/>
      <c r="O247" s="127"/>
      <c r="P247" s="127"/>
      <c r="Q247" s="127"/>
      <c r="R247" s="126"/>
      <c r="S247" s="126"/>
      <c r="T247" s="246"/>
    </row>
    <row r="248" spans="1:20" x14ac:dyDescent="0.45">
      <c r="A248" s="125"/>
      <c r="B248" s="125"/>
      <c r="C248" s="125"/>
      <c r="D248" s="125"/>
      <c r="E248" s="125"/>
      <c r="F248" s="125"/>
      <c r="G248" s="126"/>
      <c r="H248" s="127"/>
      <c r="I248" s="131"/>
      <c r="J248" s="126"/>
      <c r="K248" s="126"/>
      <c r="L248" s="132"/>
      <c r="M248" s="126"/>
      <c r="N248" s="132"/>
      <c r="O248" s="127"/>
      <c r="P248" s="127"/>
      <c r="Q248" s="127"/>
      <c r="R248" s="126"/>
      <c r="S248" s="126"/>
      <c r="T248" s="246"/>
    </row>
    <row r="249" spans="1:20" x14ac:dyDescent="0.45">
      <c r="A249" s="125"/>
      <c r="B249" s="125"/>
      <c r="C249" s="125"/>
      <c r="D249" s="125"/>
      <c r="E249" s="125"/>
      <c r="F249" s="125"/>
      <c r="G249" s="126"/>
      <c r="H249" s="127"/>
      <c r="I249" s="131"/>
      <c r="J249" s="126"/>
      <c r="K249" s="126"/>
      <c r="L249" s="132"/>
      <c r="M249" s="126"/>
      <c r="N249" s="132"/>
      <c r="O249" s="127"/>
      <c r="P249" s="127"/>
      <c r="Q249" s="127"/>
      <c r="R249" s="126"/>
      <c r="S249" s="126"/>
      <c r="T249" s="246"/>
    </row>
    <row r="250" spans="1:20" x14ac:dyDescent="0.45">
      <c r="A250" s="125"/>
      <c r="B250" s="125"/>
      <c r="C250" s="125"/>
      <c r="D250" s="125"/>
      <c r="E250" s="125"/>
      <c r="F250" s="125"/>
      <c r="G250" s="126"/>
      <c r="H250" s="127"/>
      <c r="I250" s="131"/>
      <c r="J250" s="126"/>
      <c r="K250" s="126"/>
      <c r="L250" s="132"/>
      <c r="M250" s="126"/>
      <c r="N250" s="132"/>
      <c r="O250" s="127"/>
      <c r="P250" s="127"/>
      <c r="Q250" s="127"/>
      <c r="R250" s="126"/>
      <c r="S250" s="126"/>
      <c r="T250" s="246"/>
    </row>
    <row r="251" spans="1:20" x14ac:dyDescent="0.45">
      <c r="A251" s="125"/>
      <c r="B251" s="125"/>
      <c r="C251" s="125"/>
      <c r="D251" s="125"/>
      <c r="E251" s="125"/>
      <c r="F251" s="125"/>
      <c r="G251" s="126"/>
      <c r="H251" s="127"/>
      <c r="I251" s="131"/>
      <c r="J251" s="126"/>
      <c r="K251" s="126"/>
      <c r="L251" s="132"/>
      <c r="M251" s="126"/>
      <c r="N251" s="132"/>
      <c r="O251" s="127"/>
      <c r="P251" s="127"/>
      <c r="Q251" s="127"/>
      <c r="R251" s="126"/>
      <c r="S251" s="126"/>
      <c r="T251" s="246"/>
    </row>
    <row r="252" spans="1:20" x14ac:dyDescent="0.45">
      <c r="A252" s="125"/>
      <c r="B252" s="125"/>
      <c r="C252" s="125"/>
      <c r="D252" s="125"/>
      <c r="E252" s="125"/>
      <c r="F252" s="125"/>
      <c r="G252" s="126"/>
      <c r="H252" s="127"/>
      <c r="I252" s="131"/>
      <c r="J252" s="126"/>
      <c r="K252" s="126"/>
      <c r="L252" s="132"/>
      <c r="M252" s="126"/>
      <c r="N252" s="132"/>
      <c r="O252" s="127"/>
      <c r="P252" s="127"/>
      <c r="Q252" s="127"/>
      <c r="R252" s="126"/>
      <c r="S252" s="126"/>
      <c r="T252" s="246"/>
    </row>
    <row r="253" spans="1:20" x14ac:dyDescent="0.45">
      <c r="A253" s="125"/>
      <c r="B253" s="125"/>
      <c r="C253" s="125"/>
      <c r="D253" s="125"/>
      <c r="E253" s="125"/>
      <c r="F253" s="125"/>
      <c r="G253" s="126"/>
      <c r="H253" s="127"/>
      <c r="I253" s="131"/>
      <c r="J253" s="126"/>
      <c r="K253" s="126"/>
      <c r="L253" s="132"/>
      <c r="M253" s="126"/>
      <c r="N253" s="132"/>
      <c r="O253" s="127"/>
      <c r="P253" s="127"/>
      <c r="Q253" s="127"/>
      <c r="R253" s="126"/>
      <c r="S253" s="126"/>
      <c r="T253" s="246"/>
    </row>
    <row r="254" spans="1:20" x14ac:dyDescent="0.45">
      <c r="A254" s="125"/>
      <c r="B254" s="125"/>
      <c r="C254" s="125"/>
      <c r="D254" s="125"/>
      <c r="E254" s="125"/>
      <c r="F254" s="125"/>
      <c r="G254" s="126"/>
      <c r="H254" s="127"/>
      <c r="I254" s="131"/>
      <c r="J254" s="126"/>
      <c r="K254" s="126"/>
      <c r="L254" s="132"/>
      <c r="M254" s="126"/>
      <c r="N254" s="132"/>
      <c r="O254" s="127"/>
      <c r="P254" s="127"/>
      <c r="Q254" s="127"/>
      <c r="R254" s="126"/>
      <c r="S254" s="126"/>
      <c r="T254" s="246"/>
    </row>
    <row r="255" spans="1:20" x14ac:dyDescent="0.45">
      <c r="A255" s="125"/>
      <c r="B255" s="125"/>
      <c r="C255" s="125"/>
      <c r="D255" s="125"/>
      <c r="E255" s="125"/>
      <c r="F255" s="125"/>
      <c r="G255" s="126"/>
      <c r="H255" s="127"/>
      <c r="I255" s="131"/>
      <c r="J255" s="126"/>
      <c r="K255" s="126"/>
      <c r="L255" s="132"/>
      <c r="M255" s="126"/>
      <c r="N255" s="132"/>
      <c r="O255" s="127"/>
      <c r="P255" s="127"/>
      <c r="Q255" s="127"/>
      <c r="R255" s="126"/>
      <c r="S255" s="126"/>
      <c r="T255" s="246"/>
    </row>
    <row r="256" spans="1:20" x14ac:dyDescent="0.45">
      <c r="A256" s="125"/>
      <c r="B256" s="125"/>
      <c r="C256" s="125"/>
      <c r="D256" s="125"/>
      <c r="E256" s="125"/>
      <c r="F256" s="125"/>
      <c r="G256" s="126"/>
      <c r="H256" s="127"/>
      <c r="I256" s="131"/>
      <c r="J256" s="126"/>
      <c r="K256" s="126"/>
      <c r="L256" s="132"/>
      <c r="M256" s="126"/>
      <c r="N256" s="132"/>
      <c r="O256" s="127"/>
      <c r="P256" s="127"/>
      <c r="Q256" s="127"/>
      <c r="R256" s="126"/>
      <c r="S256" s="126"/>
      <c r="T256" s="246"/>
    </row>
    <row r="257" spans="1:20" x14ac:dyDescent="0.45">
      <c r="A257" s="125"/>
      <c r="B257" s="125"/>
      <c r="C257" s="125"/>
      <c r="D257" s="125"/>
      <c r="E257" s="125"/>
      <c r="F257" s="125"/>
      <c r="G257" s="126"/>
      <c r="H257" s="127"/>
      <c r="I257" s="131"/>
      <c r="J257" s="126"/>
      <c r="K257" s="126"/>
      <c r="L257" s="132"/>
      <c r="M257" s="126"/>
      <c r="N257" s="132"/>
      <c r="O257" s="127"/>
      <c r="P257" s="127"/>
      <c r="Q257" s="127"/>
      <c r="R257" s="126"/>
      <c r="S257" s="126"/>
      <c r="T257" s="246"/>
    </row>
    <row r="258" spans="1:20" x14ac:dyDescent="0.45">
      <c r="A258" s="125"/>
      <c r="B258" s="125"/>
      <c r="C258" s="125"/>
      <c r="D258" s="125"/>
      <c r="E258" s="125"/>
      <c r="F258" s="125"/>
      <c r="G258" s="126"/>
      <c r="H258" s="127"/>
      <c r="I258" s="131"/>
      <c r="J258" s="126"/>
      <c r="K258" s="126"/>
      <c r="L258" s="132"/>
      <c r="M258" s="126"/>
      <c r="N258" s="132"/>
      <c r="O258" s="127"/>
      <c r="P258" s="127"/>
      <c r="Q258" s="127"/>
      <c r="R258" s="126"/>
      <c r="S258" s="126"/>
      <c r="T258" s="246"/>
    </row>
    <row r="259" spans="1:20" x14ac:dyDescent="0.45">
      <c r="A259" s="125"/>
      <c r="B259" s="125"/>
      <c r="C259" s="125"/>
      <c r="D259" s="125"/>
      <c r="E259" s="125"/>
      <c r="F259" s="125"/>
      <c r="G259" s="126"/>
      <c r="H259" s="127"/>
      <c r="I259" s="131"/>
      <c r="J259" s="126"/>
      <c r="K259" s="126"/>
      <c r="L259" s="132"/>
      <c r="M259" s="126"/>
      <c r="N259" s="132"/>
      <c r="O259" s="127"/>
      <c r="P259" s="127"/>
      <c r="Q259" s="127"/>
      <c r="R259" s="126"/>
      <c r="S259" s="126"/>
      <c r="T259" s="246"/>
    </row>
    <row r="260" spans="1:20" x14ac:dyDescent="0.45">
      <c r="A260" s="125"/>
      <c r="B260" s="125"/>
      <c r="C260" s="125"/>
      <c r="D260" s="125"/>
      <c r="E260" s="125"/>
      <c r="F260" s="125"/>
      <c r="G260" s="126"/>
      <c r="H260" s="127"/>
      <c r="I260" s="131"/>
      <c r="J260" s="126"/>
      <c r="K260" s="126"/>
      <c r="L260" s="132"/>
      <c r="M260" s="126"/>
      <c r="N260" s="132"/>
      <c r="O260" s="127"/>
      <c r="P260" s="127"/>
      <c r="Q260" s="127"/>
      <c r="R260" s="126"/>
      <c r="S260" s="126"/>
      <c r="T260" s="246"/>
    </row>
    <row r="261" spans="1:20" x14ac:dyDescent="0.45">
      <c r="A261" s="125"/>
      <c r="B261" s="125"/>
      <c r="C261" s="125"/>
      <c r="D261" s="125"/>
      <c r="E261" s="125"/>
      <c r="F261" s="125"/>
      <c r="G261" s="126"/>
      <c r="H261" s="127"/>
      <c r="I261" s="131"/>
      <c r="J261" s="126"/>
      <c r="K261" s="126"/>
      <c r="L261" s="132"/>
      <c r="M261" s="126"/>
      <c r="N261" s="132"/>
      <c r="O261" s="127"/>
      <c r="P261" s="127"/>
      <c r="Q261" s="127"/>
      <c r="R261" s="126"/>
      <c r="S261" s="126"/>
      <c r="T261" s="246"/>
    </row>
    <row r="262" spans="1:20" x14ac:dyDescent="0.45">
      <c r="A262" s="125"/>
      <c r="B262" s="125"/>
      <c r="C262" s="125"/>
      <c r="D262" s="125"/>
      <c r="E262" s="125"/>
      <c r="F262" s="125"/>
      <c r="G262" s="126"/>
      <c r="H262" s="127"/>
      <c r="I262" s="131"/>
      <c r="J262" s="126"/>
      <c r="K262" s="126"/>
      <c r="L262" s="132"/>
      <c r="M262" s="126"/>
      <c r="N262" s="132"/>
      <c r="O262" s="127"/>
      <c r="P262" s="127"/>
      <c r="Q262" s="127"/>
      <c r="R262" s="126"/>
      <c r="S262" s="126"/>
      <c r="T262" s="246"/>
    </row>
    <row r="263" spans="1:20" x14ac:dyDescent="0.45">
      <c r="A263" s="125"/>
      <c r="B263" s="125"/>
      <c r="C263" s="125"/>
      <c r="D263" s="125"/>
      <c r="E263" s="125"/>
      <c r="F263" s="125"/>
      <c r="G263" s="126"/>
      <c r="H263" s="127"/>
      <c r="I263" s="131"/>
      <c r="J263" s="126"/>
      <c r="K263" s="126"/>
      <c r="L263" s="132"/>
      <c r="M263" s="126"/>
      <c r="N263" s="132"/>
      <c r="O263" s="127"/>
      <c r="P263" s="127"/>
      <c r="Q263" s="127"/>
      <c r="R263" s="126"/>
      <c r="S263" s="126"/>
      <c r="T263" s="246"/>
    </row>
    <row r="264" spans="1:20" x14ac:dyDescent="0.45">
      <c r="A264" s="125"/>
      <c r="B264" s="125"/>
      <c r="C264" s="125"/>
      <c r="D264" s="125"/>
      <c r="E264" s="125"/>
      <c r="F264" s="125"/>
      <c r="G264" s="126"/>
      <c r="H264" s="127"/>
      <c r="I264" s="131"/>
      <c r="J264" s="126"/>
      <c r="K264" s="126"/>
      <c r="L264" s="132"/>
      <c r="M264" s="126"/>
      <c r="N264" s="132"/>
      <c r="O264" s="127"/>
      <c r="P264" s="127"/>
      <c r="Q264" s="127"/>
      <c r="R264" s="126"/>
      <c r="S264" s="126"/>
      <c r="T264" s="246"/>
    </row>
    <row r="265" spans="1:20" x14ac:dyDescent="0.45">
      <c r="A265" s="125"/>
      <c r="B265" s="125"/>
      <c r="C265" s="125"/>
      <c r="D265" s="125"/>
      <c r="E265" s="125"/>
      <c r="F265" s="125"/>
      <c r="G265" s="126"/>
      <c r="H265" s="127"/>
      <c r="I265" s="131"/>
      <c r="J265" s="126"/>
      <c r="K265" s="126"/>
      <c r="L265" s="132"/>
      <c r="M265" s="126"/>
      <c r="N265" s="132"/>
      <c r="O265" s="127"/>
      <c r="P265" s="127"/>
      <c r="Q265" s="127"/>
      <c r="R265" s="126"/>
      <c r="S265" s="126"/>
      <c r="T265" s="246"/>
    </row>
    <row r="266" spans="1:20" x14ac:dyDescent="0.45">
      <c r="A266" s="125"/>
      <c r="B266" s="125"/>
      <c r="C266" s="125"/>
      <c r="D266" s="125"/>
      <c r="E266" s="125"/>
      <c r="F266" s="125"/>
      <c r="G266" s="126"/>
      <c r="H266" s="127"/>
      <c r="I266" s="131"/>
      <c r="J266" s="126"/>
      <c r="K266" s="126"/>
      <c r="L266" s="132"/>
      <c r="M266" s="126"/>
      <c r="N266" s="132"/>
      <c r="O266" s="127"/>
      <c r="P266" s="127"/>
      <c r="Q266" s="127"/>
      <c r="R266" s="126"/>
      <c r="S266" s="126"/>
      <c r="T266" s="246"/>
    </row>
    <row r="267" spans="1:20" x14ac:dyDescent="0.45">
      <c r="A267" s="125"/>
      <c r="B267" s="125"/>
      <c r="C267" s="125"/>
      <c r="D267" s="125"/>
      <c r="E267" s="125"/>
      <c r="F267" s="125"/>
      <c r="G267" s="126"/>
      <c r="H267" s="127"/>
      <c r="I267" s="131"/>
      <c r="J267" s="126"/>
      <c r="K267" s="126"/>
      <c r="L267" s="132"/>
      <c r="M267" s="126"/>
      <c r="N267" s="132"/>
      <c r="O267" s="127"/>
      <c r="P267" s="127"/>
      <c r="Q267" s="127"/>
      <c r="R267" s="126"/>
      <c r="S267" s="126"/>
      <c r="T267" s="246"/>
    </row>
    <row r="268" spans="1:20" x14ac:dyDescent="0.45">
      <c r="A268" s="125"/>
      <c r="B268" s="125"/>
      <c r="C268" s="125"/>
      <c r="D268" s="125"/>
      <c r="E268" s="125"/>
      <c r="F268" s="125"/>
      <c r="G268" s="126"/>
      <c r="H268" s="127"/>
      <c r="I268" s="131"/>
      <c r="J268" s="126"/>
      <c r="K268" s="126"/>
      <c r="L268" s="132"/>
      <c r="M268" s="126"/>
      <c r="N268" s="132"/>
      <c r="O268" s="127"/>
      <c r="P268" s="127"/>
      <c r="Q268" s="127"/>
      <c r="R268" s="126"/>
      <c r="S268" s="126"/>
      <c r="T268" s="246"/>
    </row>
    <row r="269" spans="1:20" x14ac:dyDescent="0.45">
      <c r="A269" s="125"/>
      <c r="B269" s="125"/>
      <c r="C269" s="125"/>
      <c r="D269" s="125"/>
      <c r="E269" s="125"/>
      <c r="F269" s="125"/>
      <c r="G269" s="126"/>
      <c r="H269" s="127"/>
      <c r="I269" s="131"/>
      <c r="J269" s="126"/>
      <c r="K269" s="126"/>
      <c r="L269" s="132"/>
      <c r="M269" s="126"/>
      <c r="N269" s="132"/>
      <c r="O269" s="127"/>
      <c r="P269" s="127"/>
      <c r="Q269" s="127"/>
      <c r="R269" s="126"/>
      <c r="S269" s="126"/>
      <c r="T269" s="246"/>
    </row>
    <row r="270" spans="1:20" x14ac:dyDescent="0.45">
      <c r="A270" s="125"/>
      <c r="B270" s="125"/>
      <c r="C270" s="125"/>
      <c r="D270" s="125"/>
      <c r="E270" s="125"/>
      <c r="F270" s="125"/>
      <c r="G270" s="126"/>
      <c r="H270" s="127"/>
      <c r="I270" s="131"/>
      <c r="J270" s="126"/>
      <c r="K270" s="126"/>
      <c r="L270" s="132"/>
      <c r="M270" s="126"/>
      <c r="N270" s="132"/>
      <c r="O270" s="127"/>
      <c r="P270" s="127"/>
      <c r="Q270" s="127"/>
      <c r="R270" s="126"/>
      <c r="S270" s="126"/>
      <c r="T270" s="246"/>
    </row>
    <row r="271" spans="1:20" x14ac:dyDescent="0.45">
      <c r="A271" s="125"/>
      <c r="B271" s="125"/>
      <c r="C271" s="125"/>
      <c r="D271" s="125"/>
      <c r="E271" s="125"/>
      <c r="F271" s="125"/>
      <c r="G271" s="126"/>
      <c r="H271" s="127"/>
      <c r="I271" s="131"/>
      <c r="J271" s="126"/>
      <c r="K271" s="126"/>
      <c r="L271" s="132"/>
      <c r="M271" s="126"/>
      <c r="N271" s="132"/>
      <c r="O271" s="127"/>
      <c r="P271" s="127"/>
      <c r="Q271" s="127"/>
      <c r="R271" s="126"/>
      <c r="S271" s="126"/>
      <c r="T271" s="246"/>
    </row>
    <row r="272" spans="1:20" x14ac:dyDescent="0.45">
      <c r="A272" s="125"/>
      <c r="B272" s="125"/>
      <c r="C272" s="125"/>
      <c r="D272" s="125"/>
      <c r="E272" s="125"/>
      <c r="F272" s="125"/>
      <c r="G272" s="126"/>
      <c r="H272" s="127"/>
      <c r="I272" s="131"/>
      <c r="J272" s="126"/>
      <c r="K272" s="126"/>
      <c r="L272" s="132"/>
      <c r="M272" s="126"/>
      <c r="N272" s="132"/>
      <c r="O272" s="127"/>
      <c r="P272" s="127"/>
      <c r="Q272" s="127"/>
      <c r="R272" s="126"/>
      <c r="S272" s="126"/>
      <c r="T272" s="246"/>
    </row>
    <row r="273" spans="1:20" x14ac:dyDescent="0.45">
      <c r="A273" s="125"/>
      <c r="B273" s="125"/>
      <c r="C273" s="125"/>
      <c r="D273" s="125"/>
      <c r="E273" s="125"/>
      <c r="F273" s="125"/>
      <c r="G273" s="126"/>
      <c r="H273" s="127"/>
      <c r="I273" s="131"/>
      <c r="J273" s="126"/>
      <c r="K273" s="126"/>
      <c r="L273" s="132"/>
      <c r="M273" s="126"/>
      <c r="N273" s="132"/>
      <c r="O273" s="127"/>
      <c r="P273" s="127"/>
      <c r="Q273" s="127"/>
      <c r="R273" s="126"/>
      <c r="S273" s="126"/>
      <c r="T273" s="246"/>
    </row>
    <row r="274" spans="1:20" x14ac:dyDescent="0.45">
      <c r="A274" s="125"/>
      <c r="B274" s="125"/>
      <c r="C274" s="125"/>
      <c r="D274" s="125"/>
      <c r="E274" s="125"/>
      <c r="F274" s="125"/>
      <c r="G274" s="126"/>
      <c r="H274" s="127"/>
      <c r="I274" s="131"/>
      <c r="J274" s="126"/>
      <c r="K274" s="126"/>
      <c r="L274" s="132"/>
      <c r="M274" s="126"/>
      <c r="N274" s="132"/>
      <c r="O274" s="127"/>
      <c r="P274" s="127"/>
      <c r="Q274" s="127"/>
      <c r="R274" s="126"/>
      <c r="S274" s="126"/>
      <c r="T274" s="246"/>
    </row>
    <row r="275" spans="1:20" x14ac:dyDescent="0.45">
      <c r="A275" s="125"/>
      <c r="B275" s="125"/>
      <c r="C275" s="125"/>
      <c r="D275" s="125"/>
      <c r="E275" s="125"/>
      <c r="F275" s="125"/>
      <c r="G275" s="126"/>
      <c r="H275" s="127"/>
      <c r="I275" s="131"/>
      <c r="J275" s="126"/>
      <c r="K275" s="126"/>
      <c r="L275" s="132"/>
      <c r="M275" s="126"/>
      <c r="N275" s="132"/>
      <c r="O275" s="127"/>
      <c r="P275" s="127"/>
      <c r="Q275" s="127"/>
      <c r="R275" s="126"/>
      <c r="S275" s="126"/>
      <c r="T275" s="246"/>
    </row>
    <row r="276" spans="1:20" x14ac:dyDescent="0.45">
      <c r="A276" s="125"/>
      <c r="B276" s="125"/>
      <c r="C276" s="125"/>
      <c r="D276" s="125"/>
      <c r="E276" s="125"/>
      <c r="F276" s="125"/>
      <c r="G276" s="126"/>
      <c r="H276" s="127"/>
      <c r="I276" s="131"/>
      <c r="J276" s="126"/>
      <c r="K276" s="126"/>
      <c r="L276" s="132"/>
      <c r="M276" s="126"/>
      <c r="N276" s="132"/>
      <c r="O276" s="127"/>
      <c r="P276" s="127"/>
      <c r="Q276" s="127"/>
      <c r="R276" s="126"/>
      <c r="S276" s="126"/>
      <c r="T276" s="246"/>
    </row>
    <row r="277" spans="1:20" x14ac:dyDescent="0.45">
      <c r="A277" s="125"/>
      <c r="B277" s="125"/>
      <c r="C277" s="125"/>
      <c r="D277" s="125"/>
      <c r="E277" s="125"/>
      <c r="F277" s="125"/>
      <c r="G277" s="126"/>
      <c r="H277" s="127"/>
      <c r="I277" s="131"/>
      <c r="J277" s="126"/>
      <c r="K277" s="126"/>
      <c r="L277" s="132"/>
      <c r="M277" s="126"/>
      <c r="N277" s="132"/>
      <c r="O277" s="127"/>
      <c r="P277" s="127"/>
      <c r="Q277" s="127"/>
      <c r="R277" s="126"/>
      <c r="S277" s="126"/>
      <c r="T277" s="246"/>
    </row>
    <row r="278" spans="1:20" x14ac:dyDescent="0.45">
      <c r="A278" s="125"/>
      <c r="B278" s="125"/>
      <c r="C278" s="125"/>
      <c r="D278" s="125"/>
      <c r="E278" s="125"/>
      <c r="F278" s="125"/>
      <c r="G278" s="126"/>
      <c r="H278" s="127"/>
      <c r="I278" s="131"/>
      <c r="J278" s="126"/>
      <c r="K278" s="126"/>
      <c r="L278" s="132"/>
      <c r="M278" s="126"/>
      <c r="N278" s="132"/>
      <c r="O278" s="127"/>
      <c r="P278" s="127"/>
      <c r="Q278" s="127"/>
      <c r="R278" s="126"/>
      <c r="S278" s="126"/>
      <c r="T278" s="246"/>
    </row>
    <row r="279" spans="1:20" x14ac:dyDescent="0.45">
      <c r="A279" s="125"/>
      <c r="B279" s="125"/>
      <c r="C279" s="125"/>
      <c r="D279" s="125"/>
      <c r="E279" s="125"/>
      <c r="F279" s="125"/>
      <c r="G279" s="126"/>
      <c r="H279" s="127"/>
      <c r="I279" s="131"/>
      <c r="J279" s="126"/>
      <c r="K279" s="126"/>
      <c r="L279" s="132"/>
      <c r="M279" s="126"/>
      <c r="N279" s="132"/>
      <c r="O279" s="127"/>
      <c r="P279" s="127"/>
      <c r="Q279" s="127"/>
      <c r="R279" s="126"/>
      <c r="S279" s="126"/>
      <c r="T279" s="246"/>
    </row>
    <row r="280" spans="1:20" x14ac:dyDescent="0.45">
      <c r="A280" s="125"/>
      <c r="B280" s="125"/>
      <c r="C280" s="125"/>
      <c r="D280" s="125"/>
      <c r="E280" s="125"/>
      <c r="F280" s="125"/>
      <c r="G280" s="126"/>
      <c r="H280" s="127"/>
      <c r="I280" s="131"/>
      <c r="J280" s="126"/>
      <c r="K280" s="126"/>
      <c r="L280" s="132"/>
      <c r="M280" s="126"/>
      <c r="N280" s="132"/>
      <c r="O280" s="127"/>
      <c r="P280" s="127"/>
      <c r="Q280" s="127"/>
      <c r="R280" s="126"/>
      <c r="S280" s="126"/>
      <c r="T280" s="246"/>
    </row>
    <row r="281" spans="1:20" x14ac:dyDescent="0.45">
      <c r="A281" s="125"/>
      <c r="B281" s="125"/>
      <c r="C281" s="125"/>
      <c r="D281" s="125"/>
      <c r="E281" s="125"/>
      <c r="F281" s="125"/>
      <c r="G281" s="126"/>
      <c r="H281" s="127"/>
      <c r="I281" s="131"/>
      <c r="J281" s="126"/>
      <c r="K281" s="126"/>
      <c r="L281" s="132"/>
      <c r="M281" s="126"/>
      <c r="N281" s="132"/>
      <c r="O281" s="127"/>
      <c r="P281" s="127"/>
      <c r="Q281" s="127"/>
      <c r="R281" s="126"/>
      <c r="S281" s="126"/>
      <c r="T281" s="246"/>
    </row>
    <row r="282" spans="1:20" x14ac:dyDescent="0.45">
      <c r="A282" s="125"/>
      <c r="B282" s="125"/>
      <c r="C282" s="125"/>
      <c r="D282" s="125"/>
      <c r="E282" s="125"/>
      <c r="F282" s="125"/>
      <c r="G282" s="126"/>
      <c r="H282" s="127"/>
      <c r="I282" s="131"/>
      <c r="J282" s="126"/>
      <c r="K282" s="126"/>
      <c r="L282" s="132"/>
      <c r="M282" s="126"/>
      <c r="N282" s="132"/>
      <c r="O282" s="127"/>
      <c r="P282" s="127"/>
      <c r="Q282" s="127"/>
      <c r="R282" s="126"/>
      <c r="S282" s="126"/>
      <c r="T282" s="246"/>
    </row>
    <row r="283" spans="1:20" x14ac:dyDescent="0.45">
      <c r="A283" s="125"/>
      <c r="B283" s="125"/>
      <c r="C283" s="125"/>
      <c r="D283" s="125"/>
      <c r="E283" s="125"/>
      <c r="F283" s="125"/>
      <c r="G283" s="126"/>
      <c r="H283" s="127"/>
      <c r="I283" s="131"/>
      <c r="J283" s="126"/>
      <c r="K283" s="126"/>
      <c r="L283" s="132"/>
      <c r="M283" s="126"/>
      <c r="N283" s="132"/>
      <c r="O283" s="127"/>
      <c r="P283" s="127"/>
      <c r="Q283" s="127"/>
      <c r="R283" s="126"/>
      <c r="S283" s="126"/>
      <c r="T283" s="246"/>
    </row>
    <row r="284" spans="1:20" x14ac:dyDescent="0.45">
      <c r="A284" s="125"/>
      <c r="B284" s="125"/>
      <c r="C284" s="125"/>
      <c r="D284" s="125"/>
      <c r="E284" s="125"/>
      <c r="F284" s="125"/>
      <c r="G284" s="126"/>
      <c r="H284" s="127"/>
      <c r="I284" s="131"/>
      <c r="J284" s="126"/>
      <c r="K284" s="126"/>
      <c r="L284" s="132"/>
      <c r="M284" s="126"/>
      <c r="N284" s="132"/>
      <c r="O284" s="127"/>
      <c r="P284" s="127"/>
      <c r="Q284" s="127"/>
      <c r="R284" s="126"/>
      <c r="S284" s="126"/>
      <c r="T284" s="246"/>
    </row>
    <row r="285" spans="1:20" x14ac:dyDescent="0.45">
      <c r="A285" s="125"/>
      <c r="B285" s="125"/>
      <c r="C285" s="125"/>
      <c r="D285" s="125"/>
      <c r="E285" s="125"/>
      <c r="F285" s="125"/>
      <c r="G285" s="126"/>
      <c r="H285" s="127"/>
      <c r="I285" s="131"/>
      <c r="J285" s="126"/>
      <c r="K285" s="126"/>
      <c r="L285" s="132"/>
      <c r="M285" s="126"/>
      <c r="N285" s="132"/>
      <c r="O285" s="127"/>
      <c r="P285" s="127"/>
      <c r="Q285" s="127"/>
      <c r="R285" s="126"/>
      <c r="S285" s="126"/>
      <c r="T285" s="246"/>
    </row>
    <row r="286" spans="1:20" x14ac:dyDescent="0.45">
      <c r="A286" s="125"/>
      <c r="B286" s="125"/>
      <c r="C286" s="125"/>
      <c r="D286" s="125"/>
      <c r="E286" s="125"/>
      <c r="F286" s="125"/>
      <c r="G286" s="126"/>
      <c r="H286" s="127"/>
      <c r="I286" s="131"/>
      <c r="J286" s="126"/>
      <c r="K286" s="126"/>
      <c r="L286" s="132"/>
      <c r="M286" s="126"/>
      <c r="N286" s="132"/>
      <c r="O286" s="127"/>
      <c r="P286" s="127"/>
      <c r="Q286" s="127"/>
      <c r="R286" s="126"/>
      <c r="S286" s="126"/>
      <c r="T286" s="246"/>
    </row>
    <row r="287" spans="1:20" x14ac:dyDescent="0.45">
      <c r="A287" s="125"/>
      <c r="B287" s="125"/>
      <c r="C287" s="125"/>
      <c r="D287" s="125"/>
      <c r="E287" s="125"/>
      <c r="F287" s="125"/>
      <c r="G287" s="126"/>
      <c r="H287" s="127"/>
      <c r="I287" s="131"/>
      <c r="J287" s="126"/>
      <c r="K287" s="126"/>
      <c r="L287" s="132"/>
      <c r="M287" s="126"/>
      <c r="N287" s="132"/>
      <c r="O287" s="127"/>
      <c r="P287" s="127"/>
      <c r="Q287" s="127"/>
      <c r="R287" s="126"/>
      <c r="S287" s="126"/>
      <c r="T287" s="246"/>
    </row>
    <row r="288" spans="1:20" x14ac:dyDescent="0.45">
      <c r="A288" s="125"/>
      <c r="B288" s="125"/>
      <c r="C288" s="125"/>
      <c r="D288" s="125"/>
      <c r="E288" s="125"/>
      <c r="F288" s="125"/>
      <c r="G288" s="126"/>
      <c r="H288" s="127"/>
      <c r="I288" s="131"/>
      <c r="J288" s="126"/>
      <c r="K288" s="126"/>
      <c r="L288" s="132"/>
      <c r="M288" s="126"/>
      <c r="N288" s="132"/>
      <c r="O288" s="127"/>
      <c r="P288" s="127"/>
      <c r="Q288" s="127"/>
      <c r="R288" s="126"/>
      <c r="S288" s="126"/>
      <c r="T288" s="246"/>
    </row>
    <row r="289" spans="1:20" x14ac:dyDescent="0.45">
      <c r="A289" s="125"/>
      <c r="B289" s="125"/>
      <c r="C289" s="125"/>
      <c r="D289" s="125"/>
      <c r="E289" s="125"/>
      <c r="F289" s="125"/>
      <c r="G289" s="126"/>
      <c r="H289" s="127"/>
      <c r="I289" s="131"/>
      <c r="J289" s="126"/>
      <c r="K289" s="126"/>
      <c r="L289" s="132"/>
      <c r="M289" s="126"/>
      <c r="N289" s="132"/>
      <c r="O289" s="127"/>
      <c r="P289" s="127"/>
      <c r="Q289" s="127"/>
      <c r="R289" s="126"/>
      <c r="S289" s="126"/>
      <c r="T289" s="246"/>
    </row>
    <row r="290" spans="1:20" x14ac:dyDescent="0.45">
      <c r="A290" s="125"/>
      <c r="B290" s="125"/>
      <c r="C290" s="125"/>
      <c r="D290" s="125"/>
      <c r="E290" s="125"/>
      <c r="F290" s="125"/>
      <c r="G290" s="126"/>
      <c r="H290" s="127"/>
      <c r="I290" s="131"/>
      <c r="J290" s="126"/>
      <c r="K290" s="126"/>
      <c r="L290" s="132"/>
      <c r="M290" s="126"/>
      <c r="N290" s="132"/>
      <c r="O290" s="127"/>
      <c r="P290" s="127"/>
      <c r="Q290" s="127"/>
      <c r="R290" s="126"/>
      <c r="S290" s="126"/>
      <c r="T290" s="246"/>
    </row>
    <row r="291" spans="1:20" x14ac:dyDescent="0.45">
      <c r="A291" s="125"/>
      <c r="B291" s="125"/>
      <c r="C291" s="125"/>
      <c r="D291" s="125"/>
      <c r="E291" s="125"/>
      <c r="F291" s="125"/>
      <c r="G291" s="126"/>
      <c r="H291" s="127"/>
      <c r="I291" s="131"/>
      <c r="J291" s="126"/>
      <c r="K291" s="126"/>
      <c r="L291" s="132"/>
      <c r="M291" s="126"/>
      <c r="N291" s="132"/>
      <c r="O291" s="127"/>
      <c r="P291" s="127"/>
      <c r="Q291" s="127"/>
      <c r="R291" s="126"/>
      <c r="S291" s="126"/>
      <c r="T291" s="246"/>
    </row>
    <row r="292" spans="1:20" x14ac:dyDescent="0.45">
      <c r="A292" s="125"/>
      <c r="B292" s="125"/>
      <c r="C292" s="125"/>
      <c r="D292" s="125"/>
      <c r="E292" s="125"/>
      <c r="F292" s="125"/>
      <c r="G292" s="126"/>
      <c r="H292" s="127"/>
      <c r="I292" s="131"/>
      <c r="J292" s="126"/>
      <c r="K292" s="126"/>
      <c r="L292" s="132"/>
      <c r="M292" s="126"/>
      <c r="N292" s="132"/>
      <c r="O292" s="127"/>
      <c r="P292" s="127"/>
      <c r="Q292" s="127"/>
      <c r="R292" s="126"/>
      <c r="S292" s="126"/>
      <c r="T292" s="246"/>
    </row>
    <row r="293" spans="1:20" x14ac:dyDescent="0.45">
      <c r="A293" s="125"/>
      <c r="B293" s="125"/>
      <c r="C293" s="125"/>
      <c r="D293" s="125"/>
      <c r="E293" s="125"/>
      <c r="F293" s="125"/>
      <c r="G293" s="126"/>
      <c r="H293" s="127"/>
      <c r="I293" s="131"/>
      <c r="J293" s="126"/>
      <c r="K293" s="126"/>
      <c r="L293" s="132"/>
      <c r="M293" s="126"/>
      <c r="N293" s="132"/>
      <c r="O293" s="127"/>
      <c r="P293" s="127"/>
      <c r="Q293" s="127"/>
      <c r="R293" s="126"/>
      <c r="S293" s="126"/>
      <c r="T293" s="246"/>
    </row>
    <row r="294" spans="1:20" x14ac:dyDescent="0.45">
      <c r="A294" s="125"/>
      <c r="B294" s="125"/>
      <c r="C294" s="125"/>
      <c r="D294" s="125"/>
      <c r="E294" s="125"/>
      <c r="F294" s="125"/>
      <c r="G294" s="126"/>
      <c r="H294" s="127"/>
      <c r="I294" s="131"/>
      <c r="J294" s="126"/>
      <c r="K294" s="126"/>
      <c r="L294" s="132"/>
      <c r="M294" s="126"/>
      <c r="N294" s="132"/>
      <c r="O294" s="127"/>
      <c r="P294" s="127"/>
      <c r="Q294" s="127"/>
      <c r="R294" s="126"/>
      <c r="S294" s="126"/>
      <c r="T294" s="246"/>
    </row>
    <row r="295" spans="1:20" x14ac:dyDescent="0.45">
      <c r="A295" s="125"/>
      <c r="B295" s="125"/>
      <c r="C295" s="125"/>
      <c r="D295" s="125"/>
      <c r="E295" s="125"/>
      <c r="F295" s="125"/>
      <c r="G295" s="126"/>
      <c r="H295" s="127"/>
      <c r="I295" s="131"/>
      <c r="J295" s="126"/>
      <c r="K295" s="126"/>
      <c r="L295" s="132"/>
      <c r="M295" s="126"/>
      <c r="N295" s="132"/>
      <c r="O295" s="127"/>
      <c r="P295" s="127"/>
      <c r="Q295" s="127"/>
      <c r="R295" s="126"/>
      <c r="S295" s="126"/>
      <c r="T295" s="246"/>
    </row>
    <row r="296" spans="1:20" x14ac:dyDescent="0.45">
      <c r="A296" s="125"/>
      <c r="B296" s="125"/>
      <c r="C296" s="125"/>
      <c r="D296" s="125"/>
      <c r="E296" s="125"/>
      <c r="F296" s="125"/>
      <c r="G296" s="126"/>
      <c r="H296" s="127"/>
      <c r="I296" s="131"/>
      <c r="J296" s="126"/>
      <c r="K296" s="126"/>
      <c r="L296" s="132"/>
      <c r="M296" s="126"/>
      <c r="N296" s="132"/>
      <c r="O296" s="127"/>
      <c r="P296" s="127"/>
      <c r="Q296" s="127"/>
      <c r="R296" s="126"/>
      <c r="S296" s="126"/>
      <c r="T296" s="246"/>
    </row>
    <row r="297" spans="1:20" x14ac:dyDescent="0.45">
      <c r="A297" s="125"/>
      <c r="B297" s="125"/>
      <c r="C297" s="125"/>
      <c r="D297" s="125"/>
      <c r="E297" s="125"/>
      <c r="F297" s="125"/>
      <c r="G297" s="126"/>
      <c r="H297" s="127"/>
      <c r="I297" s="131"/>
      <c r="J297" s="126"/>
      <c r="K297" s="126"/>
      <c r="L297" s="132"/>
      <c r="M297" s="126"/>
      <c r="N297" s="132"/>
      <c r="O297" s="127"/>
      <c r="P297" s="127"/>
      <c r="Q297" s="127"/>
      <c r="R297" s="126"/>
      <c r="S297" s="126"/>
      <c r="T297" s="246"/>
    </row>
    <row r="298" spans="1:20" x14ac:dyDescent="0.45">
      <c r="A298" s="125"/>
      <c r="B298" s="125"/>
      <c r="C298" s="125"/>
      <c r="D298" s="125"/>
      <c r="E298" s="125"/>
      <c r="F298" s="125"/>
      <c r="G298" s="126"/>
      <c r="H298" s="127"/>
      <c r="I298" s="131"/>
      <c r="J298" s="126"/>
      <c r="K298" s="126"/>
      <c r="L298" s="132"/>
      <c r="M298" s="126"/>
      <c r="N298" s="132"/>
      <c r="O298" s="127"/>
      <c r="P298" s="127"/>
      <c r="Q298" s="127"/>
      <c r="R298" s="126"/>
      <c r="S298" s="126"/>
      <c r="T298" s="246"/>
    </row>
    <row r="299" spans="1:20" x14ac:dyDescent="0.45">
      <c r="A299" s="125"/>
      <c r="B299" s="125"/>
      <c r="C299" s="125"/>
      <c r="D299" s="125"/>
      <c r="E299" s="125"/>
      <c r="F299" s="125"/>
      <c r="G299" s="126"/>
      <c r="H299" s="127"/>
      <c r="I299" s="131"/>
      <c r="J299" s="126"/>
      <c r="K299" s="126"/>
      <c r="L299" s="132"/>
      <c r="M299" s="126"/>
      <c r="N299" s="132"/>
      <c r="O299" s="127"/>
      <c r="P299" s="127"/>
      <c r="Q299" s="127"/>
      <c r="R299" s="126"/>
      <c r="S299" s="126"/>
      <c r="T299" s="246"/>
    </row>
    <row r="300" spans="1:20" x14ac:dyDescent="0.45">
      <c r="A300" s="125"/>
      <c r="B300" s="125"/>
      <c r="C300" s="125"/>
      <c r="D300" s="125"/>
      <c r="E300" s="125"/>
      <c r="F300" s="125"/>
      <c r="G300" s="126"/>
      <c r="H300" s="127"/>
      <c r="I300" s="131"/>
      <c r="J300" s="126"/>
      <c r="K300" s="126"/>
      <c r="L300" s="132"/>
      <c r="M300" s="126"/>
      <c r="N300" s="132"/>
      <c r="O300" s="127"/>
      <c r="P300" s="127"/>
      <c r="Q300" s="127"/>
      <c r="R300" s="126"/>
      <c r="S300" s="126"/>
      <c r="T300" s="246"/>
    </row>
    <row r="301" spans="1:20" x14ac:dyDescent="0.45">
      <c r="A301" s="125"/>
      <c r="B301" s="125"/>
      <c r="C301" s="125"/>
      <c r="D301" s="125"/>
      <c r="E301" s="125"/>
      <c r="F301" s="125"/>
      <c r="G301" s="126"/>
      <c r="H301" s="127"/>
      <c r="I301" s="131"/>
      <c r="J301" s="126"/>
      <c r="K301" s="126"/>
      <c r="L301" s="132"/>
      <c r="M301" s="126"/>
      <c r="N301" s="132"/>
      <c r="O301" s="127"/>
      <c r="P301" s="127"/>
      <c r="Q301" s="127"/>
      <c r="R301" s="126"/>
      <c r="S301" s="126"/>
      <c r="T301" s="246"/>
    </row>
    <row r="302" spans="1:20" x14ac:dyDescent="0.45">
      <c r="A302" s="125"/>
      <c r="B302" s="125"/>
      <c r="C302" s="125"/>
      <c r="D302" s="125"/>
      <c r="E302" s="125"/>
      <c r="F302" s="125"/>
      <c r="G302" s="126"/>
      <c r="H302" s="127"/>
      <c r="I302" s="131"/>
      <c r="J302" s="126"/>
      <c r="K302" s="126"/>
      <c r="L302" s="132"/>
      <c r="M302" s="126"/>
      <c r="N302" s="132"/>
      <c r="O302" s="127"/>
      <c r="P302" s="127"/>
      <c r="Q302" s="127"/>
      <c r="R302" s="126"/>
      <c r="S302" s="126"/>
      <c r="T302" s="246"/>
    </row>
    <row r="303" spans="1:20" x14ac:dyDescent="0.45">
      <c r="A303" s="125"/>
      <c r="B303" s="125"/>
      <c r="C303" s="125"/>
      <c r="D303" s="125"/>
      <c r="E303" s="125"/>
      <c r="F303" s="125"/>
      <c r="G303" s="126"/>
      <c r="H303" s="127"/>
      <c r="I303" s="131"/>
      <c r="J303" s="126"/>
      <c r="K303" s="126"/>
      <c r="L303" s="132"/>
      <c r="M303" s="126"/>
      <c r="N303" s="132"/>
      <c r="O303" s="127"/>
      <c r="P303" s="127"/>
      <c r="Q303" s="127"/>
      <c r="R303" s="126"/>
      <c r="S303" s="126"/>
      <c r="T303" s="246"/>
    </row>
    <row r="304" spans="1:20" x14ac:dyDescent="0.45">
      <c r="A304" s="125"/>
      <c r="B304" s="125"/>
      <c r="C304" s="125"/>
      <c r="D304" s="125"/>
      <c r="E304" s="125"/>
      <c r="F304" s="125"/>
      <c r="G304" s="126"/>
      <c r="H304" s="127"/>
      <c r="I304" s="131"/>
      <c r="J304" s="126"/>
      <c r="K304" s="126"/>
      <c r="L304" s="132"/>
      <c r="M304" s="126"/>
      <c r="N304" s="132"/>
      <c r="O304" s="127"/>
      <c r="P304" s="127"/>
      <c r="Q304" s="127"/>
      <c r="R304" s="126"/>
      <c r="S304" s="126"/>
      <c r="T304" s="246"/>
    </row>
    <row r="305" spans="1:20" x14ac:dyDescent="0.45">
      <c r="A305" s="125"/>
      <c r="B305" s="125"/>
      <c r="C305" s="125"/>
      <c r="D305" s="125"/>
      <c r="E305" s="125"/>
      <c r="F305" s="125"/>
      <c r="G305" s="126"/>
      <c r="H305" s="127"/>
      <c r="I305" s="131"/>
      <c r="J305" s="126"/>
      <c r="K305" s="126"/>
      <c r="L305" s="132"/>
      <c r="M305" s="126"/>
      <c r="N305" s="132"/>
      <c r="O305" s="127"/>
      <c r="P305" s="127"/>
      <c r="Q305" s="127"/>
      <c r="R305" s="126"/>
      <c r="S305" s="126"/>
      <c r="T305" s="246"/>
    </row>
    <row r="306" spans="1:20" x14ac:dyDescent="0.45">
      <c r="A306" s="125"/>
      <c r="B306" s="125"/>
      <c r="C306" s="125"/>
      <c r="D306" s="125"/>
      <c r="E306" s="125"/>
      <c r="F306" s="125"/>
      <c r="G306" s="126"/>
      <c r="H306" s="127"/>
      <c r="I306" s="131"/>
      <c r="J306" s="126"/>
      <c r="K306" s="126"/>
      <c r="L306" s="132"/>
      <c r="M306" s="126"/>
      <c r="N306" s="132"/>
      <c r="O306" s="127"/>
      <c r="P306" s="127"/>
      <c r="Q306" s="127"/>
      <c r="R306" s="126"/>
      <c r="S306" s="126"/>
      <c r="T306" s="246"/>
    </row>
    <row r="307" spans="1:20" x14ac:dyDescent="0.45">
      <c r="A307" s="125"/>
      <c r="B307" s="125"/>
      <c r="C307" s="125"/>
      <c r="D307" s="125"/>
      <c r="E307" s="125"/>
      <c r="F307" s="125"/>
      <c r="G307" s="126"/>
      <c r="H307" s="127"/>
      <c r="I307" s="131"/>
      <c r="J307" s="126"/>
      <c r="K307" s="126"/>
      <c r="L307" s="132"/>
      <c r="M307" s="126"/>
      <c r="N307" s="132"/>
      <c r="O307" s="127"/>
      <c r="P307" s="127"/>
      <c r="Q307" s="127"/>
      <c r="R307" s="126"/>
      <c r="S307" s="126"/>
      <c r="T307" s="246"/>
    </row>
    <row r="308" spans="1:20" x14ac:dyDescent="0.45">
      <c r="A308" s="125"/>
      <c r="B308" s="125"/>
      <c r="C308" s="125"/>
      <c r="D308" s="125"/>
      <c r="E308" s="125"/>
      <c r="F308" s="125"/>
      <c r="G308" s="126"/>
      <c r="H308" s="127"/>
      <c r="I308" s="131"/>
      <c r="J308" s="126"/>
      <c r="K308" s="126"/>
      <c r="L308" s="132"/>
      <c r="M308" s="126"/>
      <c r="N308" s="132"/>
      <c r="O308" s="127"/>
      <c r="P308" s="127"/>
      <c r="Q308" s="127"/>
      <c r="R308" s="126"/>
      <c r="S308" s="126"/>
      <c r="T308" s="246"/>
    </row>
    <row r="309" spans="1:20" x14ac:dyDescent="0.45">
      <c r="A309" s="125"/>
      <c r="B309" s="125"/>
      <c r="C309" s="125"/>
      <c r="D309" s="125"/>
      <c r="E309" s="125"/>
      <c r="F309" s="125"/>
      <c r="G309" s="126"/>
      <c r="H309" s="127"/>
      <c r="I309" s="131"/>
      <c r="J309" s="126"/>
      <c r="K309" s="126"/>
      <c r="L309" s="132"/>
      <c r="M309" s="126"/>
      <c r="N309" s="132"/>
      <c r="O309" s="127"/>
      <c r="P309" s="127"/>
      <c r="Q309" s="127"/>
      <c r="R309" s="126"/>
      <c r="S309" s="126"/>
      <c r="T309" s="246"/>
    </row>
    <row r="310" spans="1:20" x14ac:dyDescent="0.45">
      <c r="A310" s="125"/>
      <c r="B310" s="125"/>
      <c r="C310" s="125"/>
      <c r="D310" s="125"/>
      <c r="E310" s="125"/>
      <c r="F310" s="125"/>
      <c r="G310" s="126"/>
      <c r="H310" s="127"/>
      <c r="I310" s="131"/>
      <c r="J310" s="126"/>
      <c r="K310" s="126"/>
      <c r="L310" s="132"/>
      <c r="M310" s="126"/>
      <c r="N310" s="132"/>
      <c r="O310" s="127"/>
      <c r="P310" s="127"/>
      <c r="Q310" s="127"/>
      <c r="R310" s="126"/>
      <c r="S310" s="126"/>
      <c r="T310" s="246"/>
    </row>
    <row r="311" spans="1:20" x14ac:dyDescent="0.45">
      <c r="A311" s="125"/>
      <c r="B311" s="125"/>
      <c r="C311" s="125"/>
      <c r="D311" s="125"/>
      <c r="E311" s="125"/>
      <c r="F311" s="125"/>
      <c r="G311" s="126"/>
      <c r="H311" s="127"/>
      <c r="I311" s="131"/>
      <c r="J311" s="126"/>
      <c r="K311" s="126"/>
      <c r="L311" s="132"/>
      <c r="M311" s="126"/>
      <c r="N311" s="132"/>
      <c r="O311" s="127"/>
      <c r="P311" s="127"/>
      <c r="Q311" s="127"/>
      <c r="R311" s="126"/>
      <c r="S311" s="126"/>
      <c r="T311" s="246"/>
    </row>
    <row r="312" spans="1:20" x14ac:dyDescent="0.45">
      <c r="A312" s="125"/>
      <c r="B312" s="125"/>
      <c r="C312" s="125"/>
      <c r="D312" s="125"/>
      <c r="E312" s="125"/>
      <c r="F312" s="125"/>
      <c r="G312" s="126"/>
      <c r="H312" s="127"/>
      <c r="I312" s="131"/>
      <c r="J312" s="126"/>
      <c r="K312" s="126"/>
      <c r="L312" s="132"/>
      <c r="M312" s="126"/>
      <c r="N312" s="132"/>
      <c r="O312" s="127"/>
      <c r="P312" s="127"/>
      <c r="Q312" s="127"/>
      <c r="R312" s="126"/>
      <c r="S312" s="126"/>
      <c r="T312" s="246"/>
    </row>
    <row r="313" spans="1:20" x14ac:dyDescent="0.45">
      <c r="A313" s="125"/>
      <c r="B313" s="125"/>
      <c r="C313" s="125"/>
      <c r="D313" s="125"/>
      <c r="E313" s="125"/>
      <c r="F313" s="125"/>
      <c r="G313" s="126"/>
      <c r="H313" s="127"/>
      <c r="I313" s="131"/>
      <c r="J313" s="126"/>
      <c r="K313" s="126"/>
      <c r="L313" s="132"/>
      <c r="M313" s="126"/>
      <c r="N313" s="132"/>
      <c r="O313" s="127"/>
      <c r="P313" s="127"/>
      <c r="Q313" s="127"/>
      <c r="R313" s="126"/>
      <c r="S313" s="126"/>
      <c r="T313" s="246"/>
    </row>
    <row r="314" spans="1:20" x14ac:dyDescent="0.45">
      <c r="A314" s="125"/>
      <c r="B314" s="125"/>
      <c r="C314" s="125"/>
      <c r="D314" s="125"/>
      <c r="E314" s="125"/>
      <c r="F314" s="125"/>
      <c r="G314" s="126"/>
      <c r="H314" s="127"/>
      <c r="I314" s="131"/>
      <c r="J314" s="126"/>
      <c r="K314" s="126"/>
      <c r="L314" s="132"/>
      <c r="M314" s="126"/>
      <c r="N314" s="132"/>
      <c r="O314" s="127"/>
      <c r="P314" s="127"/>
      <c r="Q314" s="127"/>
      <c r="R314" s="126"/>
      <c r="S314" s="126"/>
      <c r="T314" s="246"/>
    </row>
    <row r="315" spans="1:20" x14ac:dyDescent="0.45">
      <c r="A315" s="125"/>
      <c r="B315" s="125"/>
      <c r="C315" s="125"/>
      <c r="D315" s="125"/>
      <c r="E315" s="125"/>
      <c r="F315" s="125"/>
      <c r="G315" s="126"/>
      <c r="H315" s="127"/>
      <c r="I315" s="131"/>
      <c r="J315" s="126"/>
      <c r="K315" s="126"/>
      <c r="L315" s="132"/>
      <c r="M315" s="126"/>
      <c r="N315" s="132"/>
      <c r="O315" s="127"/>
      <c r="P315" s="127"/>
      <c r="Q315" s="127"/>
      <c r="R315" s="126"/>
      <c r="S315" s="126"/>
      <c r="T315" s="246"/>
    </row>
    <row r="316" spans="1:20" x14ac:dyDescent="0.45">
      <c r="A316" s="125"/>
      <c r="B316" s="125"/>
      <c r="C316" s="125"/>
      <c r="D316" s="125"/>
      <c r="E316" s="125"/>
      <c r="F316" s="125"/>
      <c r="G316" s="126"/>
      <c r="H316" s="127"/>
      <c r="I316" s="131"/>
      <c r="J316" s="126"/>
      <c r="K316" s="126"/>
      <c r="L316" s="132"/>
      <c r="M316" s="126"/>
      <c r="N316" s="132"/>
      <c r="O316" s="127"/>
      <c r="P316" s="127"/>
      <c r="Q316" s="127"/>
      <c r="R316" s="126"/>
      <c r="S316" s="126"/>
      <c r="T316" s="246"/>
    </row>
    <row r="317" spans="1:20" x14ac:dyDescent="0.45">
      <c r="A317" s="125"/>
      <c r="B317" s="125"/>
      <c r="C317" s="125"/>
      <c r="D317" s="125"/>
      <c r="E317" s="125"/>
      <c r="F317" s="125"/>
      <c r="G317" s="126"/>
      <c r="H317" s="127"/>
      <c r="I317" s="131"/>
      <c r="J317" s="126"/>
      <c r="K317" s="126"/>
      <c r="L317" s="132"/>
      <c r="M317" s="126"/>
      <c r="N317" s="132"/>
      <c r="O317" s="127"/>
      <c r="P317" s="127"/>
      <c r="Q317" s="127"/>
      <c r="R317" s="126"/>
      <c r="S317" s="126"/>
      <c r="T317" s="246"/>
    </row>
    <row r="318" spans="1:20" x14ac:dyDescent="0.45">
      <c r="A318" s="125"/>
      <c r="B318" s="125"/>
      <c r="C318" s="125"/>
      <c r="D318" s="125"/>
      <c r="E318" s="125"/>
      <c r="F318" s="125"/>
      <c r="G318" s="126"/>
      <c r="H318" s="127"/>
      <c r="I318" s="131"/>
      <c r="J318" s="126"/>
      <c r="K318" s="126"/>
      <c r="L318" s="132"/>
      <c r="M318" s="126"/>
      <c r="N318" s="132"/>
      <c r="O318" s="127"/>
      <c r="P318" s="127"/>
      <c r="Q318" s="127"/>
      <c r="R318" s="126"/>
      <c r="S318" s="126"/>
      <c r="T318" s="246"/>
    </row>
    <row r="319" spans="1:20" x14ac:dyDescent="0.45">
      <c r="A319" s="125"/>
      <c r="B319" s="125"/>
      <c r="C319" s="125"/>
      <c r="D319" s="125"/>
      <c r="E319" s="125"/>
      <c r="F319" s="125"/>
      <c r="G319" s="126"/>
      <c r="H319" s="127"/>
      <c r="I319" s="131"/>
      <c r="J319" s="126"/>
      <c r="K319" s="126"/>
      <c r="L319" s="132"/>
      <c r="M319" s="126"/>
      <c r="N319" s="132"/>
      <c r="O319" s="127"/>
      <c r="P319" s="127"/>
      <c r="Q319" s="127"/>
      <c r="R319" s="126"/>
      <c r="S319" s="126"/>
      <c r="T319" s="246"/>
    </row>
    <row r="320" spans="1:20" x14ac:dyDescent="0.45">
      <c r="A320" s="125"/>
      <c r="B320" s="125"/>
      <c r="C320" s="125"/>
      <c r="D320" s="125"/>
      <c r="E320" s="125"/>
      <c r="F320" s="125"/>
      <c r="G320" s="126"/>
      <c r="H320" s="127"/>
      <c r="I320" s="131"/>
      <c r="J320" s="126"/>
      <c r="K320" s="126"/>
      <c r="L320" s="132"/>
      <c r="M320" s="126"/>
      <c r="N320" s="132"/>
      <c r="O320" s="127"/>
      <c r="P320" s="127"/>
      <c r="Q320" s="127"/>
      <c r="R320" s="126"/>
      <c r="S320" s="126"/>
      <c r="T320" s="246"/>
    </row>
    <row r="321" spans="1:20" x14ac:dyDescent="0.45">
      <c r="A321" s="125"/>
      <c r="B321" s="125"/>
      <c r="C321" s="125"/>
      <c r="D321" s="125"/>
      <c r="E321" s="125"/>
      <c r="F321" s="125"/>
      <c r="G321" s="126"/>
      <c r="H321" s="127"/>
      <c r="I321" s="131"/>
      <c r="J321" s="126"/>
      <c r="K321" s="126"/>
      <c r="L321" s="132"/>
      <c r="M321" s="126"/>
      <c r="N321" s="132"/>
      <c r="O321" s="127"/>
      <c r="P321" s="127"/>
      <c r="Q321" s="127"/>
      <c r="R321" s="126"/>
      <c r="S321" s="126"/>
      <c r="T321" s="246"/>
    </row>
    <row r="322" spans="1:20" x14ac:dyDescent="0.45">
      <c r="A322" s="125"/>
      <c r="B322" s="125"/>
      <c r="C322" s="125"/>
      <c r="D322" s="125"/>
      <c r="E322" s="125"/>
      <c r="F322" s="125"/>
      <c r="G322" s="126"/>
      <c r="H322" s="127"/>
      <c r="I322" s="131"/>
      <c r="J322" s="126"/>
      <c r="K322" s="126"/>
      <c r="L322" s="132"/>
      <c r="M322" s="126"/>
      <c r="N322" s="132"/>
      <c r="O322" s="127"/>
      <c r="P322" s="127"/>
      <c r="Q322" s="127"/>
      <c r="R322" s="126"/>
      <c r="S322" s="126"/>
      <c r="T322" s="246"/>
    </row>
    <row r="323" spans="1:20" x14ac:dyDescent="0.45">
      <c r="A323" s="125"/>
      <c r="B323" s="125"/>
      <c r="C323" s="125"/>
      <c r="D323" s="125"/>
      <c r="E323" s="125"/>
      <c r="F323" s="125"/>
      <c r="G323" s="126"/>
      <c r="H323" s="127"/>
      <c r="I323" s="131"/>
      <c r="J323" s="126"/>
      <c r="K323" s="126"/>
      <c r="L323" s="132"/>
      <c r="M323" s="126"/>
      <c r="N323" s="132"/>
      <c r="O323" s="127"/>
      <c r="P323" s="127"/>
      <c r="Q323" s="127"/>
      <c r="R323" s="126"/>
      <c r="S323" s="126"/>
      <c r="T323" s="246"/>
    </row>
    <row r="324" spans="1:20" x14ac:dyDescent="0.45">
      <c r="A324" s="125"/>
      <c r="B324" s="125"/>
      <c r="C324" s="125"/>
      <c r="D324" s="125"/>
      <c r="E324" s="125"/>
      <c r="F324" s="125"/>
      <c r="G324" s="126"/>
      <c r="H324" s="127"/>
      <c r="I324" s="131"/>
      <c r="J324" s="126"/>
      <c r="K324" s="126"/>
      <c r="L324" s="132"/>
      <c r="M324" s="126"/>
      <c r="N324" s="132"/>
      <c r="O324" s="127"/>
      <c r="P324" s="127"/>
      <c r="Q324" s="127"/>
      <c r="R324" s="126"/>
      <c r="S324" s="126"/>
      <c r="T324" s="246"/>
    </row>
    <row r="325" spans="1:20" x14ac:dyDescent="0.45">
      <c r="A325" s="125"/>
      <c r="B325" s="125"/>
      <c r="C325" s="125"/>
      <c r="D325" s="125"/>
      <c r="E325" s="125"/>
      <c r="F325" s="125"/>
      <c r="G325" s="126"/>
      <c r="H325" s="127"/>
      <c r="I325" s="131"/>
      <c r="J325" s="126"/>
      <c r="K325" s="126"/>
      <c r="L325" s="132"/>
      <c r="M325" s="126"/>
      <c r="N325" s="132"/>
      <c r="O325" s="127"/>
      <c r="P325" s="127"/>
      <c r="Q325" s="127"/>
      <c r="R325" s="126"/>
      <c r="S325" s="126"/>
      <c r="T325" s="246"/>
    </row>
    <row r="326" spans="1:20" x14ac:dyDescent="0.45">
      <c r="A326" s="125"/>
      <c r="B326" s="125"/>
      <c r="C326" s="125"/>
      <c r="D326" s="125"/>
      <c r="E326" s="125"/>
      <c r="F326" s="125"/>
      <c r="G326" s="126"/>
      <c r="H326" s="127"/>
      <c r="I326" s="131"/>
      <c r="J326" s="126"/>
      <c r="K326" s="126"/>
      <c r="L326" s="132"/>
      <c r="M326" s="126"/>
      <c r="N326" s="132"/>
      <c r="O326" s="127"/>
      <c r="P326" s="127"/>
      <c r="Q326" s="127"/>
      <c r="R326" s="126"/>
      <c r="S326" s="126"/>
      <c r="T326" s="246"/>
    </row>
    <row r="327" spans="1:20" x14ac:dyDescent="0.45">
      <c r="A327" s="125"/>
      <c r="B327" s="125"/>
      <c r="C327" s="125"/>
      <c r="D327" s="125"/>
      <c r="E327" s="125"/>
      <c r="F327" s="125"/>
      <c r="G327" s="126"/>
      <c r="H327" s="127"/>
      <c r="I327" s="131"/>
      <c r="J327" s="126"/>
      <c r="K327" s="126"/>
      <c r="L327" s="132"/>
      <c r="M327" s="126"/>
      <c r="N327" s="132"/>
      <c r="O327" s="127"/>
      <c r="P327" s="127"/>
      <c r="Q327" s="127"/>
      <c r="R327" s="126"/>
      <c r="S327" s="126"/>
      <c r="T327" s="246"/>
    </row>
    <row r="328" spans="1:20" x14ac:dyDescent="0.45">
      <c r="A328" s="125"/>
      <c r="B328" s="125"/>
      <c r="C328" s="125"/>
      <c r="D328" s="125"/>
      <c r="E328" s="125"/>
      <c r="F328" s="125"/>
      <c r="G328" s="126"/>
      <c r="H328" s="127"/>
      <c r="I328" s="131"/>
      <c r="J328" s="126"/>
      <c r="K328" s="126"/>
      <c r="L328" s="132"/>
      <c r="M328" s="126"/>
      <c r="N328" s="132"/>
      <c r="O328" s="127"/>
      <c r="P328" s="127"/>
      <c r="Q328" s="127"/>
      <c r="R328" s="126"/>
      <c r="S328" s="126"/>
      <c r="T328" s="246"/>
    </row>
    <row r="329" spans="1:20" x14ac:dyDescent="0.45">
      <c r="A329" s="125"/>
      <c r="B329" s="125"/>
      <c r="C329" s="125"/>
      <c r="D329" s="125"/>
      <c r="E329" s="125"/>
      <c r="F329" s="125"/>
      <c r="G329" s="126"/>
      <c r="H329" s="127"/>
      <c r="I329" s="131"/>
      <c r="J329" s="126"/>
      <c r="K329" s="126"/>
      <c r="L329" s="132"/>
      <c r="M329" s="126"/>
      <c r="N329" s="132"/>
      <c r="O329" s="127"/>
      <c r="P329" s="127"/>
      <c r="Q329" s="127"/>
      <c r="R329" s="126"/>
      <c r="S329" s="126"/>
      <c r="T329" s="246"/>
    </row>
    <row r="330" spans="1:20" x14ac:dyDescent="0.45">
      <c r="A330" s="125"/>
      <c r="B330" s="125"/>
      <c r="C330" s="125"/>
      <c r="D330" s="125"/>
      <c r="E330" s="125"/>
      <c r="F330" s="125"/>
      <c r="G330" s="126"/>
      <c r="H330" s="127"/>
      <c r="I330" s="131"/>
      <c r="J330" s="126"/>
      <c r="K330" s="126"/>
      <c r="L330" s="132"/>
      <c r="M330" s="126"/>
      <c r="N330" s="132"/>
      <c r="O330" s="127"/>
      <c r="P330" s="127"/>
      <c r="Q330" s="127"/>
      <c r="R330" s="126"/>
      <c r="S330" s="126"/>
      <c r="T330" s="246"/>
    </row>
    <row r="331" spans="1:20" x14ac:dyDescent="0.45">
      <c r="A331" s="125"/>
      <c r="B331" s="125"/>
      <c r="C331" s="125"/>
      <c r="D331" s="125"/>
      <c r="E331" s="125"/>
      <c r="F331" s="125"/>
      <c r="G331" s="126"/>
      <c r="H331" s="127"/>
      <c r="I331" s="131"/>
      <c r="J331" s="126"/>
      <c r="K331" s="126"/>
      <c r="L331" s="132"/>
      <c r="M331" s="126"/>
      <c r="N331" s="132"/>
      <c r="O331" s="127"/>
      <c r="P331" s="127"/>
      <c r="Q331" s="127"/>
      <c r="R331" s="126"/>
      <c r="S331" s="126"/>
      <c r="T331" s="246"/>
    </row>
    <row r="332" spans="1:20" x14ac:dyDescent="0.45">
      <c r="A332" s="125"/>
      <c r="B332" s="125"/>
      <c r="C332" s="125"/>
      <c r="D332" s="125"/>
      <c r="E332" s="125"/>
      <c r="F332" s="125"/>
      <c r="G332" s="126"/>
      <c r="H332" s="127"/>
      <c r="I332" s="131"/>
      <c r="J332" s="126"/>
      <c r="K332" s="126"/>
      <c r="L332" s="132"/>
      <c r="M332" s="126"/>
      <c r="N332" s="132"/>
      <c r="O332" s="127"/>
      <c r="P332" s="127"/>
      <c r="Q332" s="127"/>
      <c r="R332" s="126"/>
      <c r="S332" s="126"/>
      <c r="T332" s="246"/>
    </row>
    <row r="333" spans="1:20" x14ac:dyDescent="0.45">
      <c r="A333" s="125"/>
      <c r="B333" s="125"/>
      <c r="C333" s="125"/>
      <c r="D333" s="125"/>
      <c r="E333" s="125"/>
      <c r="F333" s="125"/>
      <c r="G333" s="126"/>
      <c r="H333" s="127"/>
      <c r="I333" s="131"/>
      <c r="J333" s="126"/>
      <c r="K333" s="126"/>
      <c r="L333" s="132"/>
      <c r="M333" s="126"/>
      <c r="N333" s="132"/>
      <c r="O333" s="127"/>
      <c r="P333" s="127"/>
      <c r="Q333" s="127"/>
      <c r="R333" s="126"/>
      <c r="S333" s="126"/>
      <c r="T333" s="246"/>
    </row>
    <row r="334" spans="1:20" x14ac:dyDescent="0.45">
      <c r="A334" s="125"/>
      <c r="B334" s="125"/>
      <c r="C334" s="125"/>
      <c r="D334" s="125"/>
      <c r="E334" s="125"/>
      <c r="F334" s="125"/>
      <c r="G334" s="126"/>
      <c r="H334" s="127"/>
      <c r="I334" s="131"/>
      <c r="J334" s="126"/>
      <c r="K334" s="126"/>
      <c r="L334" s="132"/>
      <c r="M334" s="126"/>
      <c r="N334" s="132"/>
      <c r="O334" s="127"/>
      <c r="P334" s="127"/>
      <c r="Q334" s="127"/>
      <c r="R334" s="126"/>
      <c r="S334" s="126"/>
      <c r="T334" s="246"/>
    </row>
    <row r="335" spans="1:20" x14ac:dyDescent="0.45">
      <c r="A335" s="125"/>
      <c r="B335" s="125"/>
      <c r="C335" s="125"/>
      <c r="D335" s="125"/>
      <c r="E335" s="125"/>
      <c r="F335" s="125"/>
      <c r="G335" s="126"/>
      <c r="H335" s="127"/>
      <c r="I335" s="131"/>
      <c r="J335" s="126"/>
      <c r="K335" s="126"/>
      <c r="L335" s="132"/>
      <c r="M335" s="126"/>
      <c r="N335" s="132"/>
      <c r="O335" s="127"/>
      <c r="P335" s="127"/>
      <c r="Q335" s="127"/>
      <c r="R335" s="126"/>
      <c r="S335" s="126"/>
      <c r="T335" s="246"/>
    </row>
    <row r="336" spans="1:20" x14ac:dyDescent="0.45">
      <c r="A336" s="125"/>
      <c r="B336" s="125"/>
      <c r="C336" s="125"/>
      <c r="D336" s="125"/>
      <c r="E336" s="125"/>
      <c r="F336" s="125"/>
      <c r="G336" s="126"/>
      <c r="H336" s="127"/>
      <c r="I336" s="131"/>
      <c r="J336" s="126"/>
      <c r="K336" s="126"/>
      <c r="L336" s="132"/>
      <c r="M336" s="126"/>
      <c r="N336" s="132"/>
      <c r="O336" s="127"/>
      <c r="P336" s="127"/>
      <c r="Q336" s="127"/>
      <c r="R336" s="126"/>
      <c r="S336" s="126"/>
      <c r="T336" s="246"/>
    </row>
    <row r="337" spans="1:20" x14ac:dyDescent="0.45">
      <c r="A337" s="125"/>
      <c r="B337" s="125"/>
      <c r="C337" s="125"/>
      <c r="D337" s="125"/>
      <c r="E337" s="125"/>
      <c r="F337" s="125"/>
      <c r="G337" s="126"/>
      <c r="H337" s="127"/>
      <c r="I337" s="131"/>
      <c r="J337" s="126"/>
      <c r="K337" s="126"/>
      <c r="L337" s="132"/>
      <c r="M337" s="126"/>
      <c r="N337" s="132"/>
      <c r="O337" s="127"/>
      <c r="P337" s="127"/>
      <c r="Q337" s="127"/>
      <c r="R337" s="126"/>
      <c r="S337" s="126"/>
      <c r="T337" s="246"/>
    </row>
    <row r="338" spans="1:20" x14ac:dyDescent="0.45">
      <c r="A338" s="125"/>
      <c r="B338" s="125"/>
      <c r="C338" s="125"/>
      <c r="D338" s="125"/>
      <c r="E338" s="125"/>
      <c r="F338" s="125"/>
      <c r="G338" s="126"/>
      <c r="H338" s="127"/>
      <c r="I338" s="131"/>
      <c r="J338" s="126"/>
      <c r="K338" s="126"/>
      <c r="L338" s="132"/>
      <c r="M338" s="126"/>
      <c r="N338" s="132"/>
      <c r="O338" s="127"/>
      <c r="P338" s="127"/>
      <c r="Q338" s="127"/>
      <c r="R338" s="126"/>
      <c r="S338" s="126"/>
      <c r="T338" s="246"/>
    </row>
    <row r="339" spans="1:20" x14ac:dyDescent="0.45">
      <c r="A339" s="125"/>
      <c r="B339" s="125"/>
      <c r="C339" s="125"/>
      <c r="D339" s="125"/>
      <c r="E339" s="125"/>
      <c r="F339" s="125"/>
      <c r="G339" s="126"/>
      <c r="H339" s="127"/>
      <c r="I339" s="131"/>
      <c r="J339" s="126"/>
      <c r="K339" s="126"/>
      <c r="L339" s="132"/>
      <c r="M339" s="126"/>
      <c r="N339" s="132"/>
      <c r="O339" s="127"/>
      <c r="P339" s="127"/>
      <c r="Q339" s="127"/>
      <c r="R339" s="126"/>
      <c r="S339" s="126"/>
      <c r="T339" s="246"/>
    </row>
    <row r="340" spans="1:20" x14ac:dyDescent="0.45">
      <c r="A340" s="125"/>
      <c r="B340" s="125"/>
      <c r="C340" s="125"/>
      <c r="D340" s="125"/>
      <c r="E340" s="125"/>
      <c r="F340" s="125"/>
      <c r="G340" s="126"/>
      <c r="H340" s="127"/>
      <c r="I340" s="131"/>
      <c r="J340" s="126"/>
      <c r="K340" s="126"/>
      <c r="L340" s="132"/>
      <c r="M340" s="126"/>
      <c r="N340" s="132"/>
      <c r="O340" s="127"/>
      <c r="P340" s="127"/>
      <c r="Q340" s="127"/>
      <c r="R340" s="126"/>
      <c r="S340" s="126"/>
      <c r="T340" s="246"/>
    </row>
    <row r="341" spans="1:20" x14ac:dyDescent="0.45">
      <c r="A341" s="125"/>
      <c r="B341" s="125"/>
      <c r="C341" s="125"/>
      <c r="D341" s="125"/>
      <c r="E341" s="125"/>
      <c r="F341" s="125"/>
      <c r="G341" s="126"/>
      <c r="H341" s="127"/>
      <c r="I341" s="131"/>
      <c r="J341" s="126"/>
      <c r="K341" s="126"/>
      <c r="L341" s="132"/>
      <c r="M341" s="126"/>
      <c r="N341" s="132"/>
      <c r="O341" s="127"/>
      <c r="P341" s="127"/>
      <c r="Q341" s="127"/>
      <c r="R341" s="126"/>
      <c r="S341" s="126"/>
      <c r="T341" s="246"/>
    </row>
    <row r="342" spans="1:20" x14ac:dyDescent="0.45">
      <c r="A342" s="125"/>
      <c r="B342" s="125"/>
      <c r="C342" s="125"/>
      <c r="D342" s="125"/>
      <c r="E342" s="125"/>
      <c r="F342" s="125"/>
      <c r="G342" s="126"/>
      <c r="H342" s="127"/>
      <c r="I342" s="131"/>
      <c r="J342" s="126"/>
      <c r="K342" s="126"/>
      <c r="L342" s="132"/>
      <c r="M342" s="126"/>
      <c r="N342" s="132"/>
      <c r="O342" s="127"/>
      <c r="P342" s="127"/>
      <c r="Q342" s="127"/>
      <c r="R342" s="126"/>
      <c r="S342" s="126"/>
      <c r="T342" s="246"/>
    </row>
    <row r="343" spans="1:20" x14ac:dyDescent="0.45">
      <c r="A343" s="125"/>
      <c r="B343" s="125"/>
      <c r="C343" s="125"/>
      <c r="D343" s="125"/>
      <c r="E343" s="125"/>
      <c r="F343" s="125"/>
      <c r="G343" s="126"/>
      <c r="H343" s="127"/>
      <c r="I343" s="131"/>
      <c r="J343" s="126"/>
      <c r="K343" s="126"/>
      <c r="L343" s="132"/>
      <c r="M343" s="126"/>
      <c r="N343" s="132"/>
      <c r="O343" s="127"/>
      <c r="P343" s="127"/>
      <c r="Q343" s="127"/>
      <c r="R343" s="126"/>
      <c r="S343" s="126"/>
      <c r="T343" s="246"/>
    </row>
    <row r="344" spans="1:20" x14ac:dyDescent="0.45">
      <c r="A344" s="125"/>
      <c r="B344" s="125"/>
      <c r="C344" s="125"/>
      <c r="D344" s="125"/>
      <c r="E344" s="125"/>
      <c r="F344" s="125"/>
      <c r="G344" s="126"/>
      <c r="H344" s="127"/>
      <c r="I344" s="131"/>
      <c r="J344" s="126"/>
      <c r="K344" s="126"/>
      <c r="L344" s="132"/>
      <c r="M344" s="126"/>
      <c r="N344" s="132"/>
      <c r="O344" s="127"/>
      <c r="P344" s="127"/>
      <c r="Q344" s="127"/>
      <c r="R344" s="126"/>
      <c r="S344" s="126"/>
      <c r="T344" s="246"/>
    </row>
    <row r="345" spans="1:20" x14ac:dyDescent="0.45">
      <c r="A345" s="125"/>
      <c r="B345" s="125"/>
      <c r="C345" s="125"/>
      <c r="D345" s="125"/>
      <c r="E345" s="125"/>
      <c r="F345" s="125"/>
      <c r="G345" s="126"/>
      <c r="H345" s="127"/>
      <c r="I345" s="131"/>
      <c r="J345" s="126"/>
      <c r="K345" s="126"/>
      <c r="L345" s="132"/>
      <c r="M345" s="126"/>
      <c r="N345" s="132"/>
      <c r="O345" s="127"/>
      <c r="P345" s="127"/>
      <c r="Q345" s="127"/>
      <c r="R345" s="126"/>
      <c r="S345" s="126"/>
      <c r="T345" s="246"/>
    </row>
    <row r="346" spans="1:20" x14ac:dyDescent="0.45">
      <c r="A346" s="125"/>
      <c r="B346" s="125"/>
      <c r="C346" s="125"/>
      <c r="D346" s="125"/>
      <c r="E346" s="125"/>
      <c r="F346" s="125"/>
      <c r="G346" s="126"/>
      <c r="H346" s="127"/>
      <c r="I346" s="131"/>
      <c r="J346" s="126"/>
      <c r="K346" s="126"/>
      <c r="L346" s="132"/>
      <c r="M346" s="126"/>
      <c r="N346" s="132"/>
      <c r="O346" s="127"/>
      <c r="P346" s="127"/>
      <c r="Q346" s="127"/>
      <c r="R346" s="126"/>
      <c r="S346" s="126"/>
      <c r="T346" s="246"/>
    </row>
    <row r="347" spans="1:20" x14ac:dyDescent="0.45">
      <c r="A347" s="125"/>
      <c r="B347" s="125"/>
      <c r="C347" s="125"/>
      <c r="D347" s="125"/>
      <c r="E347" s="125"/>
      <c r="F347" s="125"/>
      <c r="G347" s="126"/>
      <c r="H347" s="127"/>
      <c r="I347" s="131"/>
      <c r="J347" s="126"/>
      <c r="K347" s="126"/>
      <c r="L347" s="132"/>
      <c r="M347" s="126"/>
      <c r="N347" s="132"/>
      <c r="O347" s="127"/>
      <c r="P347" s="127"/>
      <c r="Q347" s="127"/>
      <c r="R347" s="126"/>
      <c r="S347" s="126"/>
      <c r="T347" s="246"/>
    </row>
    <row r="348" spans="1:20" x14ac:dyDescent="0.45">
      <c r="A348" s="125"/>
      <c r="B348" s="125"/>
      <c r="C348" s="125"/>
      <c r="D348" s="125"/>
      <c r="E348" s="125"/>
      <c r="F348" s="125"/>
      <c r="G348" s="126"/>
      <c r="H348" s="127"/>
      <c r="I348" s="131"/>
      <c r="J348" s="126"/>
      <c r="K348" s="126"/>
      <c r="L348" s="132"/>
      <c r="M348" s="126"/>
      <c r="N348" s="132"/>
      <c r="O348" s="127"/>
      <c r="P348" s="127"/>
      <c r="Q348" s="127"/>
      <c r="R348" s="126"/>
      <c r="S348" s="126"/>
      <c r="T348" s="246"/>
    </row>
    <row r="349" spans="1:20" x14ac:dyDescent="0.45">
      <c r="A349" s="125"/>
      <c r="B349" s="125"/>
      <c r="C349" s="125"/>
      <c r="D349" s="125"/>
      <c r="E349" s="125"/>
      <c r="F349" s="125"/>
      <c r="G349" s="126"/>
      <c r="H349" s="127"/>
      <c r="I349" s="131"/>
      <c r="J349" s="126"/>
      <c r="K349" s="126"/>
      <c r="L349" s="132"/>
      <c r="M349" s="126"/>
      <c r="N349" s="132"/>
      <c r="O349" s="127"/>
      <c r="P349" s="127"/>
      <c r="Q349" s="127"/>
      <c r="R349" s="126"/>
      <c r="S349" s="126"/>
      <c r="T349" s="246"/>
    </row>
    <row r="350" spans="1:20" x14ac:dyDescent="0.45">
      <c r="A350" s="125"/>
      <c r="B350" s="125"/>
      <c r="C350" s="125"/>
      <c r="D350" s="125"/>
      <c r="E350" s="125"/>
      <c r="F350" s="125"/>
      <c r="G350" s="126"/>
      <c r="H350" s="127"/>
      <c r="I350" s="131"/>
      <c r="J350" s="126"/>
      <c r="K350" s="126"/>
      <c r="L350" s="132"/>
      <c r="M350" s="126"/>
      <c r="N350" s="132"/>
      <c r="O350" s="127"/>
      <c r="P350" s="127"/>
      <c r="Q350" s="127"/>
      <c r="R350" s="126"/>
      <c r="S350" s="126"/>
      <c r="T350" s="246"/>
    </row>
    <row r="351" spans="1:20" x14ac:dyDescent="0.45">
      <c r="A351" s="125"/>
      <c r="B351" s="125"/>
      <c r="C351" s="125"/>
      <c r="D351" s="125"/>
      <c r="E351" s="125"/>
      <c r="F351" s="125"/>
      <c r="G351" s="126"/>
      <c r="H351" s="127"/>
      <c r="I351" s="131"/>
      <c r="J351" s="126"/>
      <c r="K351" s="126"/>
      <c r="L351" s="132"/>
      <c r="M351" s="126"/>
      <c r="N351" s="132"/>
      <c r="O351" s="127"/>
      <c r="P351" s="127"/>
      <c r="Q351" s="127"/>
      <c r="R351" s="126"/>
      <c r="S351" s="126"/>
      <c r="T351" s="246"/>
    </row>
    <row r="352" spans="1:20" x14ac:dyDescent="0.45">
      <c r="A352" s="125"/>
      <c r="B352" s="125"/>
      <c r="C352" s="125"/>
      <c r="D352" s="125"/>
      <c r="E352" s="125"/>
      <c r="F352" s="125"/>
      <c r="G352" s="126"/>
      <c r="H352" s="127"/>
      <c r="I352" s="131"/>
      <c r="J352" s="126"/>
      <c r="K352" s="126"/>
      <c r="L352" s="132"/>
      <c r="M352" s="126"/>
      <c r="N352" s="132"/>
      <c r="O352" s="127"/>
      <c r="P352" s="127"/>
      <c r="Q352" s="127"/>
      <c r="R352" s="126"/>
      <c r="S352" s="126"/>
      <c r="T352" s="246"/>
    </row>
    <row r="353" spans="1:20" x14ac:dyDescent="0.45">
      <c r="A353" s="125"/>
      <c r="B353" s="125"/>
      <c r="C353" s="125"/>
      <c r="D353" s="125"/>
      <c r="E353" s="125"/>
      <c r="F353" s="125"/>
      <c r="G353" s="126"/>
      <c r="H353" s="127"/>
      <c r="I353" s="131"/>
      <c r="J353" s="126"/>
      <c r="K353" s="126"/>
      <c r="L353" s="132"/>
      <c r="M353" s="126"/>
      <c r="N353" s="132"/>
      <c r="O353" s="127"/>
      <c r="P353" s="127"/>
      <c r="Q353" s="127"/>
      <c r="R353" s="126"/>
      <c r="S353" s="126"/>
      <c r="T353" s="246"/>
    </row>
    <row r="354" spans="1:20" x14ac:dyDescent="0.45">
      <c r="A354" s="125"/>
      <c r="B354" s="125"/>
      <c r="C354" s="125"/>
      <c r="D354" s="125"/>
      <c r="E354" s="125"/>
      <c r="F354" s="125"/>
      <c r="G354" s="126"/>
      <c r="H354" s="127"/>
      <c r="I354" s="131"/>
      <c r="J354" s="126"/>
      <c r="K354" s="126"/>
      <c r="L354" s="132"/>
      <c r="M354" s="126"/>
      <c r="N354" s="132"/>
      <c r="O354" s="127"/>
      <c r="P354" s="127"/>
      <c r="Q354" s="127"/>
      <c r="R354" s="126"/>
      <c r="S354" s="126"/>
      <c r="T354" s="246"/>
    </row>
    <row r="355" spans="1:20" x14ac:dyDescent="0.45">
      <c r="A355" s="125"/>
      <c r="B355" s="125"/>
      <c r="C355" s="125"/>
      <c r="D355" s="125"/>
      <c r="E355" s="125"/>
      <c r="F355" s="125"/>
      <c r="G355" s="126"/>
      <c r="H355" s="127"/>
      <c r="I355" s="131"/>
      <c r="J355" s="126"/>
      <c r="K355" s="126"/>
      <c r="L355" s="132"/>
      <c r="M355" s="126"/>
      <c r="N355" s="132"/>
      <c r="O355" s="127"/>
      <c r="P355" s="127"/>
      <c r="Q355" s="127"/>
      <c r="R355" s="126"/>
      <c r="S355" s="126"/>
      <c r="T355" s="246"/>
    </row>
    <row r="356" spans="1:20" x14ac:dyDescent="0.45">
      <c r="A356" s="125"/>
      <c r="B356" s="125"/>
      <c r="C356" s="125"/>
      <c r="D356" s="125"/>
      <c r="E356" s="125"/>
      <c r="F356" s="125"/>
      <c r="G356" s="126"/>
      <c r="H356" s="127"/>
      <c r="I356" s="131"/>
      <c r="J356" s="126"/>
      <c r="K356" s="126"/>
      <c r="L356" s="132"/>
      <c r="M356" s="126"/>
      <c r="N356" s="132"/>
      <c r="O356" s="127"/>
      <c r="P356" s="127"/>
      <c r="Q356" s="127"/>
      <c r="R356" s="126"/>
      <c r="S356" s="126"/>
      <c r="T356" s="246"/>
    </row>
    <row r="357" spans="1:20" x14ac:dyDescent="0.45">
      <c r="A357" s="125"/>
      <c r="B357" s="125"/>
      <c r="C357" s="125"/>
      <c r="D357" s="125"/>
      <c r="E357" s="125"/>
      <c r="F357" s="125"/>
      <c r="G357" s="126"/>
      <c r="H357" s="127"/>
      <c r="I357" s="131"/>
      <c r="J357" s="126"/>
      <c r="K357" s="126"/>
      <c r="L357" s="132"/>
      <c r="M357" s="126"/>
      <c r="N357" s="132"/>
      <c r="O357" s="127"/>
      <c r="P357" s="127"/>
      <c r="Q357" s="127"/>
      <c r="R357" s="126"/>
      <c r="S357" s="126"/>
      <c r="T357" s="246"/>
    </row>
    <row r="358" spans="1:20" x14ac:dyDescent="0.45">
      <c r="A358" s="125"/>
      <c r="B358" s="125"/>
      <c r="C358" s="125"/>
      <c r="D358" s="125"/>
      <c r="E358" s="125"/>
      <c r="F358" s="125"/>
      <c r="G358" s="126"/>
      <c r="H358" s="127"/>
      <c r="I358" s="131"/>
      <c r="J358" s="126"/>
      <c r="K358" s="126"/>
      <c r="L358" s="132"/>
      <c r="M358" s="126"/>
      <c r="N358" s="132"/>
      <c r="O358" s="127"/>
      <c r="P358" s="127"/>
      <c r="Q358" s="127"/>
      <c r="R358" s="126"/>
      <c r="S358" s="126"/>
      <c r="T358" s="246"/>
    </row>
    <row r="359" spans="1:20" x14ac:dyDescent="0.45">
      <c r="A359" s="125"/>
      <c r="B359" s="125"/>
      <c r="C359" s="125"/>
      <c r="D359" s="125"/>
      <c r="E359" s="125"/>
      <c r="F359" s="125"/>
      <c r="G359" s="126"/>
      <c r="H359" s="127"/>
      <c r="I359" s="131"/>
      <c r="J359" s="126"/>
      <c r="K359" s="126"/>
      <c r="L359" s="132"/>
      <c r="M359" s="126"/>
      <c r="N359" s="132"/>
      <c r="O359" s="127"/>
      <c r="P359" s="127"/>
      <c r="Q359" s="127"/>
      <c r="R359" s="126"/>
      <c r="S359" s="126"/>
      <c r="T359" s="246"/>
    </row>
    <row r="360" spans="1:20" x14ac:dyDescent="0.45">
      <c r="A360" s="125"/>
      <c r="B360" s="125"/>
      <c r="C360" s="125"/>
      <c r="D360" s="125"/>
      <c r="E360" s="125"/>
      <c r="F360" s="125"/>
      <c r="G360" s="126"/>
      <c r="H360" s="127"/>
      <c r="I360" s="131"/>
      <c r="J360" s="126"/>
      <c r="K360" s="126"/>
      <c r="L360" s="132"/>
      <c r="M360" s="126"/>
      <c r="N360" s="132"/>
      <c r="O360" s="127"/>
      <c r="P360" s="127"/>
      <c r="Q360" s="127"/>
      <c r="R360" s="126"/>
      <c r="S360" s="126"/>
      <c r="T360" s="246"/>
    </row>
    <row r="361" spans="1:20" x14ac:dyDescent="0.45">
      <c r="A361" s="125"/>
      <c r="B361" s="125"/>
      <c r="C361" s="125"/>
      <c r="D361" s="125"/>
      <c r="E361" s="125"/>
      <c r="F361" s="125"/>
      <c r="G361" s="126"/>
      <c r="H361" s="127"/>
      <c r="I361" s="131"/>
      <c r="J361" s="126"/>
      <c r="K361" s="126"/>
      <c r="L361" s="132"/>
      <c r="M361" s="126"/>
      <c r="N361" s="132"/>
      <c r="O361" s="127"/>
      <c r="P361" s="127"/>
      <c r="Q361" s="127"/>
      <c r="R361" s="126"/>
      <c r="S361" s="126"/>
      <c r="T361" s="246"/>
    </row>
    <row r="362" spans="1:20" x14ac:dyDescent="0.45">
      <c r="A362" s="125"/>
      <c r="B362" s="125"/>
      <c r="C362" s="125"/>
      <c r="D362" s="125"/>
      <c r="E362" s="125"/>
      <c r="F362" s="125"/>
      <c r="G362" s="126"/>
      <c r="H362" s="127"/>
      <c r="I362" s="131"/>
      <c r="J362" s="126"/>
      <c r="K362" s="126"/>
      <c r="L362" s="132"/>
      <c r="M362" s="126"/>
      <c r="N362" s="132"/>
      <c r="O362" s="127"/>
      <c r="P362" s="127"/>
      <c r="Q362" s="127"/>
      <c r="R362" s="126"/>
      <c r="S362" s="126"/>
      <c r="T362" s="246"/>
    </row>
    <row r="363" spans="1:20" x14ac:dyDescent="0.45">
      <c r="A363" s="125"/>
      <c r="B363" s="125"/>
      <c r="C363" s="125"/>
      <c r="D363" s="125"/>
      <c r="E363" s="125"/>
      <c r="F363" s="125"/>
      <c r="G363" s="126"/>
      <c r="H363" s="127"/>
      <c r="I363" s="131"/>
      <c r="J363" s="126"/>
      <c r="K363" s="126"/>
      <c r="L363" s="132"/>
      <c r="M363" s="126"/>
      <c r="N363" s="132"/>
      <c r="O363" s="127"/>
      <c r="P363" s="127"/>
      <c r="Q363" s="127"/>
      <c r="R363" s="126"/>
      <c r="S363" s="126"/>
      <c r="T363" s="246"/>
    </row>
    <row r="364" spans="1:20" x14ac:dyDescent="0.45">
      <c r="A364" s="125"/>
      <c r="B364" s="125"/>
      <c r="C364" s="125"/>
      <c r="D364" s="125"/>
      <c r="E364" s="125"/>
      <c r="F364" s="125"/>
      <c r="G364" s="126"/>
      <c r="H364" s="127"/>
      <c r="I364" s="131"/>
      <c r="J364" s="126"/>
      <c r="K364" s="126"/>
      <c r="L364" s="132"/>
      <c r="M364" s="126"/>
      <c r="N364" s="132"/>
      <c r="O364" s="127"/>
      <c r="P364" s="127"/>
      <c r="Q364" s="127"/>
      <c r="R364" s="126"/>
      <c r="S364" s="126"/>
      <c r="T364" s="246"/>
    </row>
    <row r="365" spans="1:20" x14ac:dyDescent="0.45">
      <c r="A365" s="125"/>
      <c r="B365" s="125"/>
      <c r="C365" s="125"/>
      <c r="D365" s="125"/>
      <c r="E365" s="125"/>
      <c r="F365" s="125"/>
      <c r="G365" s="126"/>
      <c r="H365" s="127"/>
      <c r="I365" s="131"/>
      <c r="J365" s="126"/>
      <c r="K365" s="126"/>
      <c r="L365" s="132"/>
      <c r="M365" s="126"/>
      <c r="N365" s="132"/>
      <c r="O365" s="127"/>
      <c r="P365" s="127"/>
      <c r="Q365" s="127"/>
      <c r="R365" s="126"/>
      <c r="S365" s="126"/>
      <c r="T365" s="246"/>
    </row>
    <row r="366" spans="1:20" x14ac:dyDescent="0.45">
      <c r="A366" s="125"/>
      <c r="B366" s="125"/>
      <c r="C366" s="125"/>
      <c r="D366" s="125"/>
      <c r="E366" s="125"/>
      <c r="F366" s="125"/>
      <c r="G366" s="126"/>
      <c r="H366" s="127"/>
      <c r="I366" s="131"/>
      <c r="J366" s="126"/>
      <c r="K366" s="126"/>
      <c r="L366" s="132"/>
      <c r="M366" s="126"/>
      <c r="N366" s="132"/>
      <c r="O366" s="127"/>
      <c r="P366" s="127"/>
      <c r="Q366" s="127"/>
      <c r="R366" s="126"/>
      <c r="S366" s="126"/>
      <c r="T366" s="246"/>
    </row>
    <row r="367" spans="1:20" x14ac:dyDescent="0.45">
      <c r="A367" s="125"/>
      <c r="B367" s="125"/>
      <c r="C367" s="125"/>
      <c r="D367" s="125"/>
      <c r="E367" s="125"/>
      <c r="F367" s="125"/>
      <c r="G367" s="126"/>
      <c r="H367" s="127"/>
      <c r="I367" s="131"/>
      <c r="J367" s="126"/>
      <c r="K367" s="126"/>
      <c r="L367" s="132"/>
      <c r="M367" s="126"/>
      <c r="N367" s="132"/>
      <c r="O367" s="127"/>
      <c r="P367" s="127"/>
      <c r="Q367" s="127"/>
      <c r="R367" s="126"/>
      <c r="S367" s="126"/>
      <c r="T367" s="246"/>
    </row>
    <row r="368" spans="1:20" x14ac:dyDescent="0.45">
      <c r="A368" s="125"/>
      <c r="B368" s="125"/>
      <c r="C368" s="125"/>
      <c r="D368" s="125"/>
      <c r="E368" s="125"/>
      <c r="F368" s="125"/>
      <c r="G368" s="126"/>
      <c r="H368" s="127"/>
      <c r="I368" s="131"/>
      <c r="J368" s="126"/>
      <c r="K368" s="126"/>
      <c r="L368" s="132"/>
      <c r="M368" s="126"/>
      <c r="N368" s="132"/>
      <c r="O368" s="127"/>
      <c r="P368" s="127"/>
      <c r="Q368" s="127"/>
      <c r="R368" s="126"/>
      <c r="S368" s="126"/>
      <c r="T368" s="246"/>
    </row>
    <row r="369" spans="1:20" x14ac:dyDescent="0.45">
      <c r="A369" s="125"/>
      <c r="B369" s="125"/>
      <c r="C369" s="125"/>
      <c r="D369" s="125"/>
      <c r="E369" s="125"/>
      <c r="F369" s="125"/>
      <c r="G369" s="126"/>
      <c r="H369" s="127"/>
      <c r="I369" s="131"/>
      <c r="J369" s="126"/>
      <c r="K369" s="126"/>
      <c r="L369" s="132"/>
      <c r="M369" s="126"/>
      <c r="N369" s="132"/>
      <c r="O369" s="127"/>
      <c r="P369" s="127"/>
      <c r="Q369" s="127"/>
      <c r="R369" s="126"/>
      <c r="S369" s="126"/>
      <c r="T369" s="246"/>
    </row>
    <row r="370" spans="1:20" x14ac:dyDescent="0.45">
      <c r="A370" s="125"/>
      <c r="B370" s="125"/>
      <c r="C370" s="125"/>
      <c r="D370" s="125"/>
      <c r="E370" s="125"/>
      <c r="F370" s="125"/>
      <c r="G370" s="126"/>
      <c r="H370" s="127"/>
      <c r="I370" s="131"/>
      <c r="J370" s="126"/>
      <c r="K370" s="126"/>
      <c r="L370" s="132"/>
      <c r="M370" s="126"/>
      <c r="N370" s="132"/>
      <c r="O370" s="127"/>
      <c r="P370" s="127"/>
      <c r="Q370" s="127"/>
      <c r="R370" s="126"/>
      <c r="S370" s="126"/>
      <c r="T370" s="246"/>
    </row>
    <row r="371" spans="1:20" x14ac:dyDescent="0.45">
      <c r="A371" s="125"/>
      <c r="B371" s="125"/>
      <c r="C371" s="125"/>
      <c r="D371" s="125"/>
      <c r="E371" s="125"/>
      <c r="F371" s="125"/>
      <c r="G371" s="126"/>
      <c r="H371" s="127"/>
      <c r="I371" s="131"/>
      <c r="J371" s="126"/>
      <c r="K371" s="126"/>
      <c r="L371" s="132"/>
      <c r="M371" s="126"/>
      <c r="N371" s="132"/>
      <c r="O371" s="127"/>
      <c r="P371" s="127"/>
      <c r="Q371" s="127"/>
      <c r="R371" s="126"/>
      <c r="S371" s="126"/>
      <c r="T371" s="246"/>
    </row>
    <row r="372" spans="1:20" x14ac:dyDescent="0.45">
      <c r="A372" s="125"/>
      <c r="B372" s="125"/>
      <c r="C372" s="125"/>
      <c r="D372" s="125"/>
      <c r="E372" s="125"/>
      <c r="F372" s="125"/>
      <c r="G372" s="126"/>
      <c r="H372" s="127"/>
      <c r="I372" s="131"/>
      <c r="J372" s="126"/>
      <c r="K372" s="126"/>
      <c r="L372" s="132"/>
      <c r="M372" s="126"/>
      <c r="N372" s="132"/>
      <c r="O372" s="127"/>
      <c r="P372" s="127"/>
      <c r="Q372" s="127"/>
      <c r="R372" s="126"/>
      <c r="S372" s="126"/>
      <c r="T372" s="246"/>
    </row>
    <row r="373" spans="1:20" x14ac:dyDescent="0.45">
      <c r="A373" s="125"/>
      <c r="B373" s="125"/>
      <c r="C373" s="125"/>
      <c r="D373" s="125"/>
      <c r="E373" s="125"/>
      <c r="F373" s="125"/>
      <c r="G373" s="126"/>
      <c r="H373" s="127"/>
      <c r="I373" s="131"/>
      <c r="J373" s="126"/>
      <c r="K373" s="126"/>
      <c r="L373" s="132"/>
      <c r="M373" s="126"/>
      <c r="N373" s="132"/>
      <c r="O373" s="127"/>
      <c r="P373" s="127"/>
      <c r="Q373" s="127"/>
      <c r="R373" s="126"/>
      <c r="S373" s="126"/>
      <c r="T373" s="246"/>
    </row>
    <row r="374" spans="1:20" x14ac:dyDescent="0.45">
      <c r="A374" s="125"/>
      <c r="B374" s="125"/>
      <c r="C374" s="125"/>
      <c r="D374" s="125"/>
      <c r="E374" s="125"/>
      <c r="F374" s="125"/>
      <c r="G374" s="126"/>
      <c r="H374" s="127"/>
      <c r="I374" s="131"/>
      <c r="J374" s="126"/>
      <c r="K374" s="126"/>
      <c r="L374" s="132"/>
      <c r="M374" s="126"/>
      <c r="N374" s="132"/>
      <c r="O374" s="127"/>
      <c r="P374" s="127"/>
      <c r="Q374" s="127"/>
      <c r="R374" s="126"/>
      <c r="S374" s="126"/>
      <c r="T374" s="246"/>
    </row>
    <row r="375" spans="1:20" x14ac:dyDescent="0.45">
      <c r="A375" s="125"/>
      <c r="B375" s="125"/>
      <c r="C375" s="125"/>
      <c r="D375" s="125"/>
      <c r="E375" s="125"/>
      <c r="F375" s="125"/>
      <c r="G375" s="126"/>
      <c r="H375" s="127"/>
      <c r="I375" s="131"/>
      <c r="J375" s="126"/>
      <c r="K375" s="126"/>
      <c r="L375" s="132"/>
      <c r="M375" s="126"/>
      <c r="N375" s="132"/>
      <c r="O375" s="127"/>
      <c r="P375" s="127"/>
      <c r="Q375" s="127"/>
      <c r="R375" s="126"/>
      <c r="S375" s="126"/>
      <c r="T375" s="246"/>
    </row>
    <row r="376" spans="1:20" x14ac:dyDescent="0.45">
      <c r="A376" s="125"/>
      <c r="B376" s="125"/>
      <c r="C376" s="125"/>
      <c r="D376" s="125"/>
      <c r="E376" s="125"/>
      <c r="F376" s="125"/>
      <c r="G376" s="126"/>
      <c r="H376" s="127"/>
      <c r="I376" s="131"/>
      <c r="J376" s="126"/>
      <c r="K376" s="126"/>
      <c r="L376" s="132"/>
      <c r="M376" s="126"/>
      <c r="N376" s="132"/>
      <c r="O376" s="127"/>
      <c r="P376" s="127"/>
      <c r="Q376" s="127"/>
      <c r="R376" s="126"/>
      <c r="S376" s="126"/>
      <c r="T376" s="246"/>
    </row>
    <row r="377" spans="1:20" x14ac:dyDescent="0.45">
      <c r="A377" s="125"/>
      <c r="B377" s="125"/>
      <c r="C377" s="125"/>
      <c r="D377" s="125"/>
      <c r="E377" s="125"/>
      <c r="F377" s="125"/>
      <c r="G377" s="126"/>
      <c r="H377" s="127"/>
      <c r="I377" s="131"/>
      <c r="J377" s="126"/>
      <c r="K377" s="126"/>
      <c r="L377" s="132"/>
      <c r="M377" s="126"/>
      <c r="N377" s="132"/>
      <c r="O377" s="127"/>
      <c r="P377" s="127"/>
      <c r="Q377" s="127"/>
      <c r="R377" s="126"/>
      <c r="S377" s="126"/>
      <c r="T377" s="246"/>
    </row>
    <row r="378" spans="1:20" x14ac:dyDescent="0.45">
      <c r="A378" s="125"/>
      <c r="B378" s="125"/>
      <c r="C378" s="125"/>
      <c r="D378" s="125"/>
      <c r="E378" s="125"/>
      <c r="F378" s="125"/>
      <c r="G378" s="126"/>
      <c r="H378" s="127"/>
      <c r="I378" s="131"/>
      <c r="J378" s="126"/>
      <c r="K378" s="126"/>
      <c r="L378" s="132"/>
      <c r="M378" s="126"/>
      <c r="N378" s="132"/>
      <c r="O378" s="127"/>
      <c r="P378" s="127"/>
      <c r="Q378" s="127"/>
      <c r="R378" s="126"/>
      <c r="S378" s="126"/>
      <c r="T378" s="246"/>
    </row>
    <row r="379" spans="1:20" x14ac:dyDescent="0.45">
      <c r="A379" s="125"/>
      <c r="B379" s="125"/>
      <c r="C379" s="125"/>
      <c r="D379" s="125"/>
      <c r="E379" s="125"/>
      <c r="F379" s="125"/>
      <c r="G379" s="126"/>
      <c r="H379" s="127"/>
      <c r="I379" s="131"/>
      <c r="J379" s="126"/>
      <c r="K379" s="126"/>
      <c r="L379" s="132"/>
      <c r="M379" s="126"/>
      <c r="N379" s="132"/>
      <c r="O379" s="127"/>
      <c r="P379" s="127"/>
      <c r="Q379" s="127"/>
      <c r="R379" s="126"/>
      <c r="S379" s="126"/>
      <c r="T379" s="246"/>
    </row>
    <row r="380" spans="1:20" x14ac:dyDescent="0.45">
      <c r="A380" s="125"/>
      <c r="B380" s="125"/>
      <c r="C380" s="125"/>
      <c r="D380" s="125"/>
      <c r="E380" s="125"/>
      <c r="F380" s="125"/>
      <c r="G380" s="126"/>
      <c r="H380" s="127"/>
      <c r="I380" s="131"/>
      <c r="J380" s="126"/>
      <c r="K380" s="126"/>
      <c r="L380" s="132"/>
      <c r="M380" s="126"/>
      <c r="N380" s="132"/>
      <c r="O380" s="127"/>
      <c r="P380" s="127"/>
      <c r="Q380" s="127"/>
      <c r="R380" s="126"/>
      <c r="S380" s="126"/>
      <c r="T380" s="246"/>
    </row>
    <row r="381" spans="1:20" x14ac:dyDescent="0.45">
      <c r="A381" s="125"/>
      <c r="B381" s="125"/>
      <c r="C381" s="125"/>
      <c r="D381" s="125"/>
      <c r="E381" s="125"/>
      <c r="F381" s="125"/>
      <c r="G381" s="126"/>
      <c r="H381" s="127"/>
      <c r="I381" s="131"/>
      <c r="J381" s="126"/>
      <c r="K381" s="126"/>
      <c r="L381" s="132"/>
      <c r="M381" s="126"/>
      <c r="N381" s="132"/>
      <c r="O381" s="127"/>
      <c r="P381" s="127"/>
      <c r="Q381" s="127"/>
      <c r="R381" s="126"/>
      <c r="S381" s="126"/>
      <c r="T381" s="246"/>
    </row>
    <row r="382" spans="1:20" x14ac:dyDescent="0.45">
      <c r="A382" s="125"/>
      <c r="B382" s="125"/>
      <c r="C382" s="125"/>
      <c r="D382" s="125"/>
      <c r="E382" s="125"/>
      <c r="F382" s="125"/>
      <c r="G382" s="126"/>
      <c r="H382" s="127"/>
      <c r="I382" s="131"/>
      <c r="J382" s="126"/>
      <c r="K382" s="126"/>
      <c r="L382" s="132"/>
      <c r="M382" s="126"/>
      <c r="N382" s="132"/>
      <c r="O382" s="127"/>
      <c r="P382" s="127"/>
      <c r="Q382" s="127"/>
      <c r="R382" s="126"/>
      <c r="S382" s="126"/>
      <c r="T382" s="246"/>
    </row>
    <row r="383" spans="1:20" x14ac:dyDescent="0.45">
      <c r="A383" s="125"/>
      <c r="B383" s="125"/>
      <c r="C383" s="125"/>
      <c r="D383" s="125"/>
      <c r="E383" s="125"/>
      <c r="F383" s="125"/>
      <c r="G383" s="126"/>
      <c r="H383" s="127"/>
      <c r="I383" s="131"/>
      <c r="J383" s="126"/>
      <c r="K383" s="126"/>
      <c r="L383" s="132"/>
      <c r="M383" s="126"/>
      <c r="N383" s="132"/>
      <c r="O383" s="127"/>
      <c r="P383" s="127"/>
      <c r="Q383" s="127"/>
      <c r="R383" s="126"/>
      <c r="S383" s="126"/>
      <c r="T383" s="246"/>
    </row>
    <row r="384" spans="1:20" x14ac:dyDescent="0.45">
      <c r="A384" s="125"/>
      <c r="B384" s="125"/>
      <c r="C384" s="125"/>
      <c r="D384" s="125"/>
      <c r="E384" s="125"/>
      <c r="F384" s="125"/>
      <c r="G384" s="126"/>
      <c r="H384" s="127"/>
      <c r="I384" s="131"/>
      <c r="J384" s="126"/>
      <c r="K384" s="126"/>
      <c r="L384" s="132"/>
      <c r="M384" s="126"/>
      <c r="N384" s="132"/>
      <c r="O384" s="127"/>
      <c r="P384" s="127"/>
      <c r="Q384" s="127"/>
      <c r="R384" s="126"/>
      <c r="S384" s="126"/>
      <c r="T384" s="246"/>
    </row>
    <row r="385" spans="1:20" x14ac:dyDescent="0.45">
      <c r="A385" s="125"/>
      <c r="B385" s="125"/>
      <c r="C385" s="125"/>
      <c r="D385" s="125"/>
      <c r="E385" s="125"/>
      <c r="F385" s="125"/>
      <c r="G385" s="126"/>
      <c r="H385" s="127"/>
      <c r="I385" s="131"/>
      <c r="J385" s="126"/>
      <c r="K385" s="126"/>
      <c r="L385" s="132"/>
      <c r="M385" s="126"/>
      <c r="N385" s="132"/>
      <c r="O385" s="127"/>
      <c r="P385" s="127"/>
      <c r="Q385" s="127"/>
      <c r="R385" s="126"/>
      <c r="S385" s="126"/>
      <c r="T385" s="246"/>
    </row>
    <row r="386" spans="1:20" x14ac:dyDescent="0.45">
      <c r="A386" s="125"/>
      <c r="B386" s="125"/>
      <c r="C386" s="125"/>
      <c r="D386" s="125"/>
      <c r="E386" s="125"/>
      <c r="F386" s="125"/>
      <c r="G386" s="126"/>
      <c r="H386" s="127"/>
      <c r="I386" s="131"/>
      <c r="J386" s="126"/>
      <c r="K386" s="126"/>
      <c r="L386" s="132"/>
      <c r="M386" s="126"/>
      <c r="N386" s="132"/>
      <c r="O386" s="127"/>
      <c r="P386" s="127"/>
      <c r="Q386" s="127"/>
      <c r="R386" s="126"/>
      <c r="S386" s="126"/>
      <c r="T386" s="246"/>
    </row>
    <row r="387" spans="1:20" x14ac:dyDescent="0.45">
      <c r="A387" s="125"/>
      <c r="B387" s="125"/>
      <c r="C387" s="125"/>
      <c r="D387" s="125"/>
      <c r="E387" s="125"/>
      <c r="F387" s="125"/>
      <c r="G387" s="126"/>
      <c r="H387" s="127"/>
      <c r="I387" s="131"/>
      <c r="J387" s="126"/>
      <c r="K387" s="126"/>
      <c r="L387" s="132"/>
      <c r="M387" s="126"/>
      <c r="N387" s="132"/>
      <c r="O387" s="127"/>
      <c r="P387" s="127"/>
      <c r="Q387" s="127"/>
      <c r="R387" s="126"/>
      <c r="S387" s="126"/>
      <c r="T387" s="246"/>
    </row>
    <row r="388" spans="1:20" x14ac:dyDescent="0.45">
      <c r="A388" s="125"/>
      <c r="B388" s="125"/>
      <c r="C388" s="125"/>
      <c r="D388" s="125"/>
      <c r="E388" s="125"/>
      <c r="F388" s="125"/>
      <c r="G388" s="126"/>
      <c r="H388" s="127"/>
      <c r="I388" s="131"/>
      <c r="J388" s="126"/>
      <c r="K388" s="126"/>
      <c r="L388" s="132"/>
      <c r="M388" s="126"/>
      <c r="N388" s="132"/>
      <c r="O388" s="127"/>
      <c r="P388" s="127"/>
      <c r="Q388" s="127"/>
      <c r="R388" s="126"/>
      <c r="S388" s="126"/>
      <c r="T388" s="246"/>
    </row>
    <row r="389" spans="1:20" x14ac:dyDescent="0.45">
      <c r="A389" s="125"/>
      <c r="B389" s="125"/>
      <c r="C389" s="125"/>
      <c r="D389" s="125"/>
      <c r="E389" s="125"/>
      <c r="F389" s="125"/>
      <c r="G389" s="126"/>
      <c r="H389" s="127"/>
      <c r="I389" s="131"/>
      <c r="J389" s="126"/>
      <c r="K389" s="126"/>
      <c r="L389" s="132"/>
      <c r="M389" s="126"/>
      <c r="N389" s="132"/>
      <c r="O389" s="127"/>
      <c r="P389" s="127"/>
      <c r="Q389" s="127"/>
      <c r="R389" s="126"/>
      <c r="S389" s="126"/>
      <c r="T389" s="246"/>
    </row>
    <row r="390" spans="1:20" x14ac:dyDescent="0.45">
      <c r="A390" s="125"/>
      <c r="B390" s="125"/>
      <c r="C390" s="125"/>
      <c r="D390" s="125"/>
      <c r="E390" s="125"/>
      <c r="F390" s="125"/>
      <c r="G390" s="126"/>
      <c r="H390" s="127"/>
      <c r="I390" s="131"/>
      <c r="J390" s="126"/>
      <c r="K390" s="126"/>
      <c r="L390" s="132"/>
      <c r="M390" s="126"/>
      <c r="N390" s="132"/>
      <c r="O390" s="127"/>
      <c r="P390" s="127"/>
      <c r="Q390" s="127"/>
      <c r="R390" s="126"/>
      <c r="S390" s="126"/>
      <c r="T390" s="246"/>
    </row>
    <row r="391" spans="1:20" x14ac:dyDescent="0.45">
      <c r="A391" s="125"/>
      <c r="B391" s="125"/>
      <c r="C391" s="125"/>
      <c r="D391" s="125"/>
      <c r="E391" s="125"/>
      <c r="F391" s="125"/>
      <c r="G391" s="126"/>
      <c r="H391" s="127"/>
      <c r="I391" s="131"/>
      <c r="J391" s="126"/>
      <c r="K391" s="126"/>
      <c r="L391" s="132"/>
      <c r="M391" s="126"/>
      <c r="N391" s="132"/>
      <c r="O391" s="127"/>
      <c r="P391" s="127"/>
      <c r="Q391" s="127"/>
      <c r="R391" s="126"/>
      <c r="S391" s="126"/>
      <c r="T391" s="246"/>
    </row>
    <row r="392" spans="1:20" x14ac:dyDescent="0.45">
      <c r="A392" s="125"/>
      <c r="B392" s="125"/>
      <c r="C392" s="125"/>
      <c r="D392" s="125"/>
      <c r="E392" s="125"/>
      <c r="F392" s="125"/>
      <c r="G392" s="126"/>
      <c r="H392" s="127"/>
      <c r="I392" s="131"/>
      <c r="J392" s="126"/>
      <c r="K392" s="126"/>
      <c r="L392" s="132"/>
      <c r="M392" s="126"/>
      <c r="N392" s="132"/>
      <c r="O392" s="127"/>
      <c r="P392" s="127"/>
      <c r="Q392" s="127"/>
      <c r="R392" s="126"/>
      <c r="S392" s="126"/>
      <c r="T392" s="246"/>
    </row>
    <row r="393" spans="1:20" x14ac:dyDescent="0.45">
      <c r="A393" s="125"/>
      <c r="B393" s="125"/>
      <c r="C393" s="125"/>
      <c r="D393" s="125"/>
      <c r="E393" s="125"/>
      <c r="F393" s="125"/>
      <c r="G393" s="126"/>
      <c r="H393" s="127"/>
      <c r="I393" s="131"/>
      <c r="J393" s="126"/>
      <c r="K393" s="126"/>
      <c r="L393" s="132"/>
      <c r="M393" s="126"/>
      <c r="N393" s="132"/>
      <c r="O393" s="127"/>
      <c r="P393" s="127"/>
      <c r="Q393" s="127"/>
      <c r="R393" s="126"/>
      <c r="S393" s="126"/>
      <c r="T393" s="246"/>
    </row>
    <row r="394" spans="1:20" x14ac:dyDescent="0.45">
      <c r="A394" s="125"/>
      <c r="B394" s="125"/>
      <c r="C394" s="125"/>
      <c r="D394" s="125"/>
      <c r="E394" s="125"/>
      <c r="F394" s="125"/>
      <c r="G394" s="126"/>
      <c r="H394" s="127"/>
      <c r="I394" s="131"/>
      <c r="J394" s="126"/>
      <c r="K394" s="126"/>
      <c r="L394" s="132"/>
      <c r="M394" s="126"/>
      <c r="N394" s="132"/>
      <c r="O394" s="127"/>
      <c r="P394" s="127"/>
      <c r="Q394" s="127"/>
      <c r="R394" s="126"/>
      <c r="S394" s="126"/>
      <c r="T394" s="246"/>
    </row>
    <row r="395" spans="1:20" x14ac:dyDescent="0.45">
      <c r="A395" s="125"/>
      <c r="B395" s="125"/>
      <c r="C395" s="125"/>
      <c r="D395" s="125"/>
      <c r="E395" s="125"/>
      <c r="F395" s="125"/>
      <c r="G395" s="126"/>
      <c r="H395" s="127"/>
      <c r="I395" s="131"/>
      <c r="J395" s="126"/>
      <c r="K395" s="126"/>
      <c r="L395" s="132"/>
      <c r="M395" s="126"/>
      <c r="N395" s="132"/>
      <c r="O395" s="127"/>
      <c r="P395" s="127"/>
      <c r="Q395" s="127"/>
      <c r="R395" s="126"/>
      <c r="S395" s="126"/>
      <c r="T395" s="246"/>
    </row>
    <row r="396" spans="1:20" x14ac:dyDescent="0.45">
      <c r="A396" s="125"/>
      <c r="B396" s="125"/>
      <c r="C396" s="125"/>
      <c r="D396" s="125"/>
      <c r="E396" s="125"/>
      <c r="F396" s="125"/>
      <c r="G396" s="126"/>
      <c r="H396" s="127"/>
      <c r="I396" s="131"/>
      <c r="J396" s="126"/>
      <c r="K396" s="126"/>
      <c r="L396" s="132"/>
      <c r="M396" s="126"/>
      <c r="N396" s="132"/>
      <c r="O396" s="127"/>
      <c r="P396" s="127"/>
      <c r="Q396" s="127"/>
      <c r="R396" s="126"/>
      <c r="S396" s="126"/>
      <c r="T396" s="246"/>
    </row>
    <row r="397" spans="1:20" x14ac:dyDescent="0.45">
      <c r="A397" s="125"/>
      <c r="B397" s="125"/>
      <c r="C397" s="125"/>
      <c r="D397" s="125"/>
      <c r="E397" s="125"/>
      <c r="F397" s="125"/>
      <c r="G397" s="126"/>
      <c r="H397" s="127"/>
      <c r="I397" s="131"/>
      <c r="J397" s="126"/>
      <c r="K397" s="126"/>
      <c r="L397" s="132"/>
      <c r="M397" s="126"/>
      <c r="N397" s="132"/>
      <c r="O397" s="127"/>
      <c r="P397" s="127"/>
      <c r="Q397" s="127"/>
      <c r="R397" s="126"/>
      <c r="S397" s="126"/>
      <c r="T397" s="246"/>
    </row>
    <row r="398" spans="1:20" x14ac:dyDescent="0.45">
      <c r="A398" s="125"/>
      <c r="B398" s="125"/>
      <c r="C398" s="125"/>
      <c r="D398" s="125"/>
      <c r="E398" s="125"/>
      <c r="F398" s="125"/>
      <c r="G398" s="126"/>
      <c r="H398" s="127"/>
      <c r="I398" s="131"/>
      <c r="J398" s="126"/>
      <c r="K398" s="126"/>
      <c r="L398" s="132"/>
      <c r="M398" s="126"/>
      <c r="N398" s="132"/>
      <c r="O398" s="127"/>
      <c r="P398" s="127"/>
      <c r="Q398" s="127"/>
      <c r="R398" s="126"/>
      <c r="S398" s="126"/>
      <c r="T398" s="246"/>
    </row>
    <row r="399" spans="1:20" x14ac:dyDescent="0.45">
      <c r="A399" s="125"/>
      <c r="B399" s="125"/>
      <c r="C399" s="125"/>
      <c r="D399" s="125"/>
      <c r="E399" s="125"/>
      <c r="F399" s="125"/>
      <c r="G399" s="126"/>
      <c r="H399" s="127"/>
      <c r="I399" s="131"/>
      <c r="J399" s="126"/>
      <c r="K399" s="126"/>
      <c r="L399" s="132"/>
      <c r="M399" s="126"/>
      <c r="N399" s="132"/>
      <c r="O399" s="127"/>
      <c r="P399" s="127"/>
      <c r="Q399" s="127"/>
      <c r="R399" s="126"/>
      <c r="S399" s="126"/>
      <c r="T399" s="246"/>
    </row>
    <row r="400" spans="1:20" x14ac:dyDescent="0.45">
      <c r="A400" s="125"/>
      <c r="B400" s="125"/>
      <c r="C400" s="125"/>
      <c r="D400" s="125"/>
      <c r="E400" s="125"/>
      <c r="F400" s="125"/>
      <c r="G400" s="126"/>
      <c r="H400" s="127"/>
      <c r="I400" s="131"/>
      <c r="J400" s="126"/>
      <c r="K400" s="126"/>
      <c r="L400" s="132"/>
      <c r="M400" s="126"/>
      <c r="N400" s="132"/>
      <c r="O400" s="127"/>
      <c r="P400" s="127"/>
      <c r="Q400" s="127"/>
      <c r="R400" s="126"/>
      <c r="S400" s="126"/>
      <c r="T400" s="246"/>
    </row>
    <row r="401" spans="1:20" x14ac:dyDescent="0.45">
      <c r="A401" s="125"/>
      <c r="B401" s="125"/>
      <c r="C401" s="125"/>
      <c r="D401" s="125"/>
      <c r="E401" s="125"/>
      <c r="F401" s="125"/>
      <c r="G401" s="126"/>
      <c r="H401" s="127"/>
      <c r="I401" s="131"/>
      <c r="J401" s="126"/>
      <c r="K401" s="126"/>
      <c r="L401" s="132"/>
      <c r="M401" s="126"/>
      <c r="N401" s="132"/>
      <c r="O401" s="127"/>
      <c r="P401" s="127"/>
      <c r="Q401" s="127"/>
      <c r="R401" s="126"/>
      <c r="S401" s="126"/>
      <c r="T401" s="246"/>
    </row>
    <row r="402" spans="1:20" x14ac:dyDescent="0.45">
      <c r="A402" s="125"/>
      <c r="B402" s="125"/>
      <c r="C402" s="125"/>
      <c r="D402" s="125"/>
      <c r="E402" s="125"/>
      <c r="F402" s="125"/>
      <c r="G402" s="126"/>
      <c r="H402" s="127"/>
      <c r="I402" s="131"/>
      <c r="J402" s="126"/>
      <c r="K402" s="126"/>
      <c r="L402" s="132"/>
      <c r="M402" s="126"/>
      <c r="N402" s="132"/>
      <c r="O402" s="127"/>
      <c r="P402" s="127"/>
      <c r="Q402" s="127"/>
      <c r="R402" s="126"/>
      <c r="S402" s="126"/>
      <c r="T402" s="246"/>
    </row>
    <row r="403" spans="1:20" x14ac:dyDescent="0.45">
      <c r="A403" s="125"/>
      <c r="B403" s="125"/>
      <c r="C403" s="125"/>
      <c r="D403" s="125"/>
      <c r="E403" s="125"/>
      <c r="F403" s="125"/>
      <c r="G403" s="126"/>
      <c r="H403" s="127"/>
      <c r="I403" s="131"/>
      <c r="J403" s="126"/>
      <c r="K403" s="126"/>
      <c r="L403" s="132"/>
      <c r="M403" s="126"/>
      <c r="N403" s="132"/>
      <c r="O403" s="127"/>
      <c r="P403" s="127"/>
      <c r="Q403" s="127"/>
      <c r="R403" s="126"/>
      <c r="S403" s="126"/>
      <c r="T403" s="246"/>
    </row>
    <row r="404" spans="1:20" x14ac:dyDescent="0.45">
      <c r="A404" s="125"/>
      <c r="B404" s="125"/>
      <c r="C404" s="125"/>
      <c r="D404" s="125"/>
      <c r="E404" s="125"/>
      <c r="F404" s="125"/>
      <c r="G404" s="126"/>
      <c r="H404" s="127"/>
      <c r="I404" s="131"/>
      <c r="J404" s="126"/>
      <c r="K404" s="126"/>
      <c r="L404" s="132"/>
      <c r="M404" s="126"/>
      <c r="N404" s="132"/>
      <c r="O404" s="127"/>
      <c r="P404" s="127"/>
      <c r="Q404" s="127"/>
      <c r="R404" s="126"/>
      <c r="S404" s="126"/>
      <c r="T404" s="246"/>
    </row>
    <row r="405" spans="1:20" x14ac:dyDescent="0.45">
      <c r="A405" s="125"/>
      <c r="B405" s="125"/>
      <c r="C405" s="125"/>
      <c r="D405" s="125"/>
      <c r="E405" s="125"/>
      <c r="F405" s="125"/>
      <c r="G405" s="126"/>
      <c r="H405" s="127"/>
      <c r="I405" s="131"/>
      <c r="J405" s="126"/>
      <c r="K405" s="126"/>
      <c r="L405" s="132"/>
      <c r="M405" s="126"/>
      <c r="N405" s="132"/>
      <c r="O405" s="127"/>
      <c r="P405" s="127"/>
      <c r="Q405" s="127"/>
      <c r="R405" s="126"/>
      <c r="S405" s="126"/>
      <c r="T405" s="246"/>
    </row>
    <row r="406" spans="1:20" x14ac:dyDescent="0.45">
      <c r="A406" s="125"/>
      <c r="B406" s="125"/>
      <c r="C406" s="125"/>
      <c r="D406" s="125"/>
      <c r="E406" s="125"/>
      <c r="F406" s="125"/>
      <c r="G406" s="126"/>
      <c r="H406" s="127"/>
      <c r="I406" s="131"/>
      <c r="J406" s="126"/>
      <c r="K406" s="126"/>
      <c r="L406" s="132"/>
      <c r="M406" s="126"/>
      <c r="N406" s="132"/>
      <c r="O406" s="127"/>
      <c r="P406" s="127"/>
      <c r="Q406" s="127"/>
      <c r="R406" s="126"/>
      <c r="S406" s="126"/>
      <c r="T406" s="246"/>
    </row>
    <row r="407" spans="1:20" x14ac:dyDescent="0.45">
      <c r="A407" s="125"/>
      <c r="B407" s="125"/>
      <c r="C407" s="125"/>
      <c r="D407" s="125"/>
      <c r="E407" s="125"/>
      <c r="F407" s="125"/>
      <c r="G407" s="126"/>
      <c r="H407" s="127"/>
      <c r="I407" s="131"/>
      <c r="J407" s="126"/>
      <c r="K407" s="126"/>
      <c r="L407" s="132"/>
      <c r="M407" s="126"/>
      <c r="N407" s="132"/>
      <c r="O407" s="127"/>
      <c r="P407" s="127"/>
      <c r="Q407" s="127"/>
      <c r="R407" s="126"/>
      <c r="S407" s="126"/>
      <c r="T407" s="246"/>
    </row>
    <row r="408" spans="1:20" x14ac:dyDescent="0.45">
      <c r="A408" s="125"/>
      <c r="B408" s="125"/>
      <c r="C408" s="125"/>
      <c r="D408" s="125"/>
      <c r="E408" s="125"/>
      <c r="F408" s="125"/>
      <c r="G408" s="126"/>
      <c r="H408" s="127"/>
      <c r="I408" s="131"/>
      <c r="J408" s="126"/>
      <c r="K408" s="126"/>
      <c r="L408" s="132"/>
      <c r="M408" s="126"/>
      <c r="N408" s="132"/>
      <c r="O408" s="127"/>
      <c r="P408" s="127"/>
      <c r="Q408" s="127"/>
      <c r="R408" s="126"/>
      <c r="S408" s="126"/>
      <c r="T408" s="246"/>
    </row>
    <row r="409" spans="1:20" x14ac:dyDescent="0.45">
      <c r="A409" s="125"/>
      <c r="B409" s="125"/>
      <c r="C409" s="125"/>
      <c r="D409" s="125"/>
      <c r="E409" s="125"/>
      <c r="F409" s="125"/>
      <c r="G409" s="126"/>
      <c r="H409" s="127"/>
      <c r="I409" s="131"/>
      <c r="J409" s="126"/>
      <c r="K409" s="126"/>
      <c r="L409" s="132"/>
      <c r="M409" s="126"/>
      <c r="N409" s="132"/>
      <c r="O409" s="127"/>
      <c r="P409" s="127"/>
      <c r="Q409" s="127"/>
      <c r="R409" s="126"/>
      <c r="S409" s="126"/>
      <c r="T409" s="246"/>
    </row>
    <row r="410" spans="1:20" x14ac:dyDescent="0.45">
      <c r="A410" s="125"/>
      <c r="B410" s="125"/>
      <c r="C410" s="125"/>
      <c r="D410" s="125"/>
      <c r="E410" s="125"/>
      <c r="F410" s="125"/>
      <c r="G410" s="126"/>
      <c r="H410" s="127"/>
      <c r="I410" s="131"/>
      <c r="J410" s="126"/>
      <c r="K410" s="126"/>
      <c r="L410" s="132"/>
      <c r="M410" s="126"/>
      <c r="N410" s="132"/>
      <c r="O410" s="127"/>
      <c r="P410" s="127"/>
      <c r="Q410" s="127"/>
      <c r="R410" s="126"/>
      <c r="S410" s="126"/>
      <c r="T410" s="246"/>
    </row>
    <row r="411" spans="1:20" x14ac:dyDescent="0.45">
      <c r="A411" s="125"/>
      <c r="B411" s="125"/>
      <c r="C411" s="125"/>
      <c r="D411" s="125"/>
      <c r="E411" s="125"/>
      <c r="F411" s="125"/>
      <c r="G411" s="126"/>
      <c r="H411" s="127"/>
      <c r="I411" s="131"/>
      <c r="J411" s="126"/>
      <c r="K411" s="126"/>
      <c r="L411" s="132"/>
      <c r="M411" s="126"/>
      <c r="N411" s="132"/>
      <c r="O411" s="127"/>
      <c r="P411" s="127"/>
      <c r="Q411" s="127"/>
      <c r="R411" s="126"/>
      <c r="S411" s="126"/>
      <c r="T411" s="246"/>
    </row>
    <row r="412" spans="1:20" x14ac:dyDescent="0.45">
      <c r="A412" s="125"/>
      <c r="B412" s="125"/>
      <c r="C412" s="125"/>
      <c r="D412" s="125"/>
      <c r="E412" s="125"/>
      <c r="F412" s="125"/>
      <c r="G412" s="126"/>
      <c r="H412" s="127"/>
      <c r="I412" s="131"/>
      <c r="J412" s="126"/>
      <c r="K412" s="126"/>
      <c r="L412" s="132"/>
      <c r="M412" s="126"/>
      <c r="N412" s="132"/>
      <c r="O412" s="127"/>
      <c r="P412" s="127"/>
      <c r="Q412" s="127"/>
      <c r="R412" s="126"/>
      <c r="S412" s="126"/>
      <c r="T412" s="246"/>
    </row>
    <row r="413" spans="1:20" x14ac:dyDescent="0.45">
      <c r="A413" s="125"/>
      <c r="B413" s="125"/>
      <c r="C413" s="125"/>
      <c r="D413" s="125"/>
      <c r="E413" s="125"/>
      <c r="F413" s="125"/>
      <c r="G413" s="126"/>
      <c r="H413" s="127"/>
      <c r="I413" s="131"/>
      <c r="J413" s="126"/>
      <c r="K413" s="126"/>
      <c r="L413" s="132"/>
      <c r="M413" s="126"/>
      <c r="N413" s="132"/>
      <c r="O413" s="127"/>
      <c r="P413" s="127"/>
      <c r="Q413" s="127"/>
      <c r="R413" s="126"/>
      <c r="S413" s="126"/>
      <c r="T413" s="246"/>
    </row>
    <row r="414" spans="1:20" x14ac:dyDescent="0.45">
      <c r="A414" s="125"/>
      <c r="B414" s="125"/>
      <c r="C414" s="125"/>
      <c r="D414" s="125"/>
      <c r="E414" s="125"/>
      <c r="F414" s="125"/>
      <c r="G414" s="126"/>
      <c r="H414" s="127"/>
      <c r="I414" s="131"/>
      <c r="J414" s="126"/>
      <c r="K414" s="126"/>
      <c r="L414" s="132"/>
      <c r="M414" s="126"/>
      <c r="N414" s="132"/>
      <c r="O414" s="127"/>
      <c r="P414" s="127"/>
      <c r="Q414" s="127"/>
      <c r="R414" s="126"/>
      <c r="S414" s="126"/>
      <c r="T414" s="246"/>
    </row>
    <row r="415" spans="1:20" x14ac:dyDescent="0.45">
      <c r="A415" s="125"/>
      <c r="B415" s="125"/>
      <c r="C415" s="125"/>
      <c r="D415" s="125"/>
      <c r="E415" s="125"/>
      <c r="F415" s="125"/>
      <c r="G415" s="126"/>
      <c r="H415" s="127"/>
      <c r="I415" s="131"/>
      <c r="J415" s="126"/>
      <c r="K415" s="126"/>
      <c r="L415" s="132"/>
      <c r="M415" s="126"/>
      <c r="N415" s="132"/>
      <c r="O415" s="127"/>
      <c r="P415" s="127"/>
      <c r="Q415" s="127"/>
      <c r="R415" s="126"/>
      <c r="S415" s="126"/>
      <c r="T415" s="246"/>
    </row>
    <row r="416" spans="1:20" x14ac:dyDescent="0.45">
      <c r="A416" s="125"/>
      <c r="B416" s="125"/>
      <c r="C416" s="125"/>
      <c r="D416" s="125"/>
      <c r="E416" s="125"/>
      <c r="F416" s="125"/>
      <c r="G416" s="126"/>
      <c r="H416" s="127"/>
      <c r="I416" s="131"/>
      <c r="J416" s="126"/>
      <c r="K416" s="126"/>
      <c r="L416" s="132"/>
      <c r="M416" s="126"/>
      <c r="N416" s="132"/>
      <c r="O416" s="127"/>
      <c r="P416" s="127"/>
      <c r="Q416" s="127"/>
      <c r="R416" s="126"/>
      <c r="S416" s="126"/>
      <c r="T416" s="246"/>
    </row>
    <row r="417" spans="1:20" x14ac:dyDescent="0.45">
      <c r="A417" s="125"/>
      <c r="B417" s="125"/>
      <c r="C417" s="125"/>
      <c r="D417" s="125"/>
      <c r="E417" s="125"/>
      <c r="F417" s="125"/>
      <c r="G417" s="126"/>
      <c r="H417" s="127"/>
      <c r="I417" s="131"/>
      <c r="J417" s="126"/>
      <c r="K417" s="126"/>
      <c r="L417" s="132"/>
      <c r="M417" s="126"/>
      <c r="N417" s="132"/>
      <c r="O417" s="127"/>
      <c r="P417" s="127"/>
      <c r="Q417" s="127"/>
      <c r="R417" s="126"/>
      <c r="S417" s="126"/>
      <c r="T417" s="246"/>
    </row>
    <row r="418" spans="1:20" x14ac:dyDescent="0.45">
      <c r="A418" s="125"/>
      <c r="B418" s="125"/>
      <c r="C418" s="125"/>
      <c r="D418" s="125"/>
      <c r="E418" s="125"/>
      <c r="F418" s="125"/>
      <c r="G418" s="126"/>
      <c r="H418" s="127"/>
      <c r="I418" s="131"/>
      <c r="J418" s="126"/>
      <c r="K418" s="126"/>
      <c r="L418" s="132"/>
      <c r="M418" s="126"/>
      <c r="N418" s="132"/>
      <c r="O418" s="127"/>
      <c r="P418" s="127"/>
      <c r="Q418" s="127"/>
      <c r="R418" s="126"/>
      <c r="S418" s="126"/>
      <c r="T418" s="246"/>
    </row>
    <row r="419" spans="1:20" x14ac:dyDescent="0.45">
      <c r="A419" s="125"/>
      <c r="B419" s="125"/>
      <c r="C419" s="125"/>
      <c r="D419" s="125"/>
      <c r="E419" s="125"/>
      <c r="F419" s="125"/>
      <c r="G419" s="126"/>
      <c r="H419" s="127"/>
      <c r="I419" s="131"/>
      <c r="J419" s="126"/>
      <c r="K419" s="126"/>
      <c r="L419" s="132"/>
      <c r="M419" s="126"/>
      <c r="N419" s="132"/>
      <c r="O419" s="127"/>
      <c r="P419" s="127"/>
      <c r="Q419" s="127"/>
      <c r="R419" s="126"/>
      <c r="S419" s="126"/>
      <c r="T419" s="246"/>
    </row>
    <row r="420" spans="1:20" x14ac:dyDescent="0.45">
      <c r="A420" s="125"/>
      <c r="B420" s="125"/>
      <c r="C420" s="125"/>
      <c r="D420" s="125"/>
      <c r="E420" s="125"/>
      <c r="F420" s="125"/>
      <c r="G420" s="126"/>
      <c r="H420" s="127"/>
      <c r="I420" s="131"/>
      <c r="J420" s="126"/>
      <c r="K420" s="126"/>
      <c r="L420" s="132"/>
      <c r="M420" s="126"/>
      <c r="N420" s="132"/>
      <c r="O420" s="127"/>
      <c r="P420" s="127"/>
      <c r="Q420" s="127"/>
      <c r="R420" s="126"/>
      <c r="S420" s="126"/>
      <c r="T420" s="246"/>
    </row>
    <row r="421" spans="1:20" x14ac:dyDescent="0.45">
      <c r="A421" s="125"/>
      <c r="B421" s="125"/>
      <c r="C421" s="125"/>
      <c r="D421" s="125"/>
      <c r="E421" s="125"/>
      <c r="F421" s="125"/>
      <c r="G421" s="126"/>
      <c r="H421" s="127"/>
      <c r="I421" s="131"/>
      <c r="J421" s="126"/>
      <c r="K421" s="126"/>
      <c r="L421" s="132"/>
      <c r="M421" s="126"/>
      <c r="N421" s="132"/>
      <c r="O421" s="127"/>
      <c r="P421" s="127"/>
      <c r="Q421" s="127"/>
      <c r="R421" s="126"/>
      <c r="S421" s="126"/>
      <c r="T421" s="246"/>
    </row>
    <row r="422" spans="1:20" x14ac:dyDescent="0.45">
      <c r="A422" s="125"/>
      <c r="B422" s="125"/>
      <c r="C422" s="125"/>
      <c r="D422" s="125"/>
      <c r="E422" s="125"/>
      <c r="F422" s="125"/>
      <c r="G422" s="126"/>
      <c r="H422" s="127"/>
      <c r="I422" s="131"/>
      <c r="J422" s="126"/>
      <c r="K422" s="126"/>
      <c r="L422" s="132"/>
      <c r="M422" s="126"/>
      <c r="N422" s="132"/>
      <c r="O422" s="127"/>
      <c r="P422" s="127"/>
      <c r="Q422" s="127"/>
      <c r="R422" s="126"/>
      <c r="S422" s="126"/>
      <c r="T422" s="246"/>
    </row>
    <row r="423" spans="1:20" x14ac:dyDescent="0.45">
      <c r="A423" s="125"/>
      <c r="B423" s="125"/>
      <c r="C423" s="125"/>
      <c r="D423" s="125"/>
      <c r="E423" s="125"/>
      <c r="F423" s="125"/>
      <c r="G423" s="126"/>
      <c r="H423" s="127"/>
      <c r="I423" s="131"/>
      <c r="J423" s="126"/>
      <c r="K423" s="126"/>
      <c r="L423" s="132"/>
      <c r="M423" s="126"/>
      <c r="N423" s="132"/>
      <c r="O423" s="127"/>
      <c r="P423" s="127"/>
      <c r="Q423" s="127"/>
      <c r="R423" s="126"/>
      <c r="S423" s="126"/>
      <c r="T423" s="246"/>
    </row>
    <row r="424" spans="1:20" x14ac:dyDescent="0.45">
      <c r="A424" s="125"/>
      <c r="B424" s="125"/>
      <c r="C424" s="125"/>
      <c r="D424" s="125"/>
      <c r="E424" s="125"/>
      <c r="F424" s="125"/>
      <c r="G424" s="126"/>
      <c r="H424" s="127"/>
      <c r="I424" s="131"/>
      <c r="J424" s="126"/>
      <c r="K424" s="126"/>
      <c r="L424" s="132"/>
      <c r="M424" s="126"/>
      <c r="N424" s="132"/>
      <c r="O424" s="127"/>
      <c r="P424" s="127"/>
      <c r="Q424" s="127"/>
      <c r="R424" s="126"/>
      <c r="S424" s="126"/>
      <c r="T424" s="246"/>
    </row>
    <row r="425" spans="1:20" x14ac:dyDescent="0.45">
      <c r="A425" s="125"/>
      <c r="B425" s="125"/>
      <c r="C425" s="125"/>
      <c r="D425" s="125"/>
      <c r="E425" s="125"/>
      <c r="F425" s="125"/>
      <c r="G425" s="126"/>
      <c r="H425" s="127"/>
      <c r="I425" s="131"/>
      <c r="J425" s="126"/>
      <c r="K425" s="126"/>
      <c r="L425" s="132"/>
      <c r="M425" s="126"/>
      <c r="N425" s="132"/>
      <c r="O425" s="127"/>
      <c r="P425" s="127"/>
      <c r="Q425" s="127"/>
      <c r="R425" s="126"/>
      <c r="S425" s="126"/>
      <c r="T425" s="246"/>
    </row>
    <row r="426" spans="1:20" x14ac:dyDescent="0.45">
      <c r="A426" s="125"/>
      <c r="B426" s="125"/>
      <c r="C426" s="125"/>
      <c r="D426" s="125"/>
      <c r="E426" s="125"/>
      <c r="F426" s="125"/>
      <c r="G426" s="126"/>
      <c r="H426" s="127"/>
      <c r="I426" s="131"/>
      <c r="J426" s="126"/>
      <c r="K426" s="126"/>
      <c r="L426" s="132"/>
      <c r="M426" s="126"/>
      <c r="N426" s="132"/>
      <c r="O426" s="127"/>
      <c r="P426" s="127"/>
      <c r="Q426" s="127"/>
      <c r="R426" s="126"/>
      <c r="S426" s="126"/>
      <c r="T426" s="246"/>
    </row>
    <row r="427" spans="1:20" x14ac:dyDescent="0.45">
      <c r="A427" s="125"/>
      <c r="B427" s="125"/>
      <c r="C427" s="125"/>
      <c r="D427" s="125"/>
      <c r="E427" s="125"/>
      <c r="F427" s="125"/>
      <c r="G427" s="126"/>
      <c r="H427" s="127"/>
      <c r="I427" s="131"/>
      <c r="J427" s="126"/>
      <c r="K427" s="126"/>
      <c r="L427" s="132"/>
      <c r="M427" s="126"/>
      <c r="N427" s="132"/>
      <c r="O427" s="127"/>
      <c r="P427" s="127"/>
      <c r="Q427" s="127"/>
      <c r="R427" s="126"/>
      <c r="S427" s="126"/>
      <c r="T427" s="246"/>
    </row>
    <row r="428" spans="1:20" x14ac:dyDescent="0.45">
      <c r="A428" s="125"/>
      <c r="B428" s="125"/>
      <c r="C428" s="125"/>
      <c r="D428" s="125"/>
      <c r="E428" s="125"/>
      <c r="F428" s="125"/>
      <c r="G428" s="126"/>
      <c r="H428" s="127"/>
      <c r="I428" s="131"/>
      <c r="J428" s="126"/>
      <c r="K428" s="126"/>
      <c r="L428" s="132"/>
      <c r="M428" s="126"/>
      <c r="N428" s="132"/>
      <c r="O428" s="127"/>
      <c r="P428" s="127"/>
      <c r="Q428" s="127"/>
      <c r="R428" s="126"/>
      <c r="S428" s="126"/>
      <c r="T428" s="246"/>
    </row>
    <row r="429" spans="1:20" x14ac:dyDescent="0.45">
      <c r="A429" s="125"/>
      <c r="B429" s="125"/>
      <c r="C429" s="125"/>
      <c r="D429" s="125"/>
      <c r="E429" s="125"/>
      <c r="F429" s="125"/>
      <c r="G429" s="126"/>
      <c r="H429" s="127"/>
      <c r="I429" s="131"/>
      <c r="J429" s="126"/>
      <c r="K429" s="126"/>
      <c r="L429" s="132"/>
      <c r="M429" s="126"/>
      <c r="N429" s="132"/>
      <c r="O429" s="127"/>
      <c r="P429" s="127"/>
      <c r="Q429" s="127"/>
      <c r="R429" s="126"/>
      <c r="S429" s="126"/>
      <c r="T429" s="246"/>
    </row>
    <row r="430" spans="1:20" x14ac:dyDescent="0.45">
      <c r="A430" s="125"/>
      <c r="B430" s="125"/>
      <c r="C430" s="125"/>
      <c r="D430" s="125"/>
      <c r="E430" s="125"/>
      <c r="F430" s="125"/>
      <c r="G430" s="126"/>
      <c r="H430" s="127"/>
      <c r="I430" s="131"/>
      <c r="J430" s="126"/>
      <c r="K430" s="126"/>
      <c r="L430" s="132"/>
      <c r="M430" s="126"/>
      <c r="N430" s="132"/>
      <c r="O430" s="127"/>
      <c r="P430" s="127"/>
      <c r="Q430" s="127"/>
      <c r="R430" s="126"/>
      <c r="S430" s="126"/>
      <c r="T430" s="246"/>
    </row>
    <row r="431" spans="1:20" x14ac:dyDescent="0.45">
      <c r="A431" s="125"/>
      <c r="B431" s="125"/>
      <c r="C431" s="125"/>
      <c r="D431" s="125"/>
      <c r="E431" s="125"/>
      <c r="F431" s="125"/>
      <c r="G431" s="126"/>
      <c r="H431" s="127"/>
      <c r="I431" s="131"/>
      <c r="J431" s="126"/>
      <c r="K431" s="126"/>
      <c r="L431" s="132"/>
      <c r="M431" s="126"/>
      <c r="N431" s="132"/>
      <c r="O431" s="127"/>
      <c r="P431" s="127"/>
      <c r="Q431" s="127"/>
      <c r="R431" s="126"/>
      <c r="S431" s="126"/>
      <c r="T431" s="246"/>
    </row>
    <row r="432" spans="1:20" x14ac:dyDescent="0.45">
      <c r="A432" s="125"/>
      <c r="B432" s="125"/>
      <c r="C432" s="125"/>
      <c r="D432" s="125"/>
      <c r="E432" s="125"/>
      <c r="F432" s="125"/>
      <c r="G432" s="126"/>
      <c r="H432" s="127"/>
      <c r="I432" s="131"/>
      <c r="J432" s="126"/>
      <c r="K432" s="126"/>
      <c r="L432" s="132"/>
      <c r="M432" s="126"/>
      <c r="N432" s="132"/>
      <c r="O432" s="127"/>
      <c r="P432" s="127"/>
      <c r="Q432" s="127"/>
      <c r="R432" s="126"/>
      <c r="S432" s="126"/>
      <c r="T432" s="246"/>
    </row>
    <row r="433" spans="1:20" x14ac:dyDescent="0.45">
      <c r="A433" s="125"/>
      <c r="B433" s="125"/>
      <c r="C433" s="125"/>
      <c r="D433" s="125"/>
      <c r="E433" s="125"/>
      <c r="F433" s="125"/>
      <c r="G433" s="126"/>
      <c r="H433" s="127"/>
      <c r="I433" s="131"/>
      <c r="J433" s="126"/>
      <c r="K433" s="126"/>
      <c r="L433" s="132"/>
      <c r="M433" s="126"/>
      <c r="N433" s="132"/>
      <c r="O433" s="127"/>
      <c r="P433" s="127"/>
      <c r="Q433" s="127"/>
      <c r="R433" s="126"/>
      <c r="S433" s="126"/>
      <c r="T433" s="246"/>
    </row>
    <row r="434" spans="1:20" x14ac:dyDescent="0.45">
      <c r="A434" s="125"/>
      <c r="B434" s="125"/>
      <c r="C434" s="125"/>
      <c r="D434" s="125"/>
      <c r="E434" s="125"/>
      <c r="F434" s="125"/>
      <c r="G434" s="126"/>
      <c r="H434" s="127"/>
      <c r="I434" s="131"/>
      <c r="J434" s="126"/>
      <c r="K434" s="126"/>
      <c r="L434" s="132"/>
      <c r="M434" s="126"/>
      <c r="N434" s="132"/>
      <c r="O434" s="127"/>
      <c r="P434" s="127"/>
      <c r="Q434" s="127"/>
      <c r="R434" s="126"/>
      <c r="S434" s="126"/>
      <c r="T434" s="246"/>
    </row>
    <row r="435" spans="1:20" x14ac:dyDescent="0.45">
      <c r="A435" s="125"/>
      <c r="B435" s="125"/>
      <c r="C435" s="125"/>
      <c r="D435" s="125"/>
      <c r="E435" s="125"/>
      <c r="F435" s="125"/>
      <c r="G435" s="126"/>
      <c r="H435" s="127"/>
      <c r="I435" s="131"/>
      <c r="J435" s="126"/>
      <c r="K435" s="126"/>
      <c r="L435" s="132"/>
      <c r="M435" s="126"/>
      <c r="N435" s="132"/>
      <c r="O435" s="127"/>
      <c r="P435" s="127"/>
      <c r="Q435" s="127"/>
      <c r="R435" s="126"/>
      <c r="S435" s="126"/>
      <c r="T435" s="246"/>
    </row>
    <row r="436" spans="1:20" x14ac:dyDescent="0.45">
      <c r="A436" s="125"/>
      <c r="B436" s="125"/>
      <c r="C436" s="125"/>
      <c r="D436" s="125"/>
      <c r="E436" s="125"/>
      <c r="F436" s="125"/>
      <c r="G436" s="126"/>
      <c r="H436" s="127"/>
      <c r="I436" s="131"/>
      <c r="J436" s="126"/>
      <c r="K436" s="126"/>
      <c r="L436" s="132"/>
      <c r="M436" s="126"/>
      <c r="N436" s="132"/>
      <c r="O436" s="127"/>
      <c r="P436" s="127"/>
      <c r="Q436" s="127"/>
      <c r="R436" s="126"/>
      <c r="S436" s="126"/>
      <c r="T436" s="246"/>
    </row>
    <row r="437" spans="1:20" x14ac:dyDescent="0.45">
      <c r="A437" s="125"/>
      <c r="B437" s="125"/>
      <c r="C437" s="125"/>
      <c r="D437" s="125"/>
      <c r="E437" s="125"/>
      <c r="F437" s="125"/>
      <c r="G437" s="126"/>
      <c r="H437" s="127"/>
      <c r="I437" s="131"/>
      <c r="J437" s="126"/>
      <c r="K437" s="126"/>
      <c r="L437" s="132"/>
      <c r="M437" s="126"/>
      <c r="N437" s="132"/>
      <c r="O437" s="127"/>
      <c r="P437" s="127"/>
      <c r="Q437" s="127"/>
      <c r="R437" s="126"/>
      <c r="S437" s="126"/>
      <c r="T437" s="246"/>
    </row>
    <row r="438" spans="1:20" x14ac:dyDescent="0.45">
      <c r="A438" s="125"/>
      <c r="B438" s="125"/>
      <c r="C438" s="125"/>
      <c r="D438" s="125"/>
      <c r="E438" s="125"/>
      <c r="F438" s="125"/>
      <c r="G438" s="126"/>
      <c r="H438" s="127"/>
      <c r="I438" s="131"/>
      <c r="J438" s="126"/>
      <c r="K438" s="126"/>
      <c r="L438" s="132"/>
      <c r="M438" s="126"/>
      <c r="N438" s="132"/>
      <c r="O438" s="127"/>
      <c r="P438" s="127"/>
      <c r="Q438" s="127"/>
      <c r="R438" s="126"/>
      <c r="S438" s="126"/>
      <c r="T438" s="246"/>
    </row>
    <row r="439" spans="1:20" x14ac:dyDescent="0.45">
      <c r="A439" s="125"/>
      <c r="B439" s="125"/>
      <c r="C439" s="125"/>
      <c r="D439" s="125"/>
      <c r="E439" s="125"/>
      <c r="F439" s="125"/>
      <c r="G439" s="126"/>
      <c r="H439" s="127"/>
      <c r="I439" s="131"/>
      <c r="J439" s="126"/>
      <c r="K439" s="126"/>
      <c r="L439" s="132"/>
      <c r="M439" s="126"/>
      <c r="N439" s="132"/>
      <c r="O439" s="127"/>
      <c r="P439" s="127"/>
      <c r="Q439" s="127"/>
      <c r="R439" s="126"/>
      <c r="S439" s="126"/>
      <c r="T439" s="246"/>
    </row>
    <row r="440" spans="1:20" x14ac:dyDescent="0.45">
      <c r="A440" s="125"/>
      <c r="B440" s="125"/>
      <c r="C440" s="125"/>
      <c r="D440" s="125"/>
      <c r="E440" s="125"/>
      <c r="F440" s="125"/>
      <c r="G440" s="126"/>
      <c r="H440" s="127"/>
      <c r="I440" s="131"/>
      <c r="J440" s="126"/>
      <c r="K440" s="126"/>
      <c r="L440" s="132"/>
      <c r="M440" s="126"/>
      <c r="N440" s="132"/>
      <c r="O440" s="127"/>
      <c r="P440" s="127"/>
      <c r="Q440" s="127"/>
      <c r="R440" s="126"/>
      <c r="S440" s="126"/>
      <c r="T440" s="246"/>
    </row>
    <row r="441" spans="1:20" x14ac:dyDescent="0.45">
      <c r="A441" s="125"/>
      <c r="B441" s="125"/>
      <c r="C441" s="125"/>
      <c r="D441" s="125"/>
      <c r="E441" s="125"/>
      <c r="F441" s="125"/>
      <c r="G441" s="126"/>
      <c r="H441" s="127"/>
      <c r="I441" s="131"/>
      <c r="J441" s="126"/>
      <c r="K441" s="126"/>
      <c r="L441" s="132"/>
      <c r="M441" s="126"/>
      <c r="N441" s="132"/>
      <c r="O441" s="127"/>
      <c r="P441" s="127"/>
      <c r="Q441" s="127"/>
      <c r="R441" s="126"/>
      <c r="S441" s="126"/>
      <c r="T441" s="246"/>
    </row>
    <row r="442" spans="1:20" x14ac:dyDescent="0.45">
      <c r="A442" s="125"/>
      <c r="B442" s="125"/>
      <c r="C442" s="125"/>
      <c r="D442" s="125"/>
      <c r="E442" s="125"/>
      <c r="F442" s="125"/>
      <c r="G442" s="126"/>
      <c r="H442" s="127"/>
      <c r="I442" s="131"/>
      <c r="J442" s="126"/>
      <c r="K442" s="126"/>
      <c r="L442" s="132"/>
      <c r="M442" s="126"/>
      <c r="N442" s="132"/>
      <c r="O442" s="127"/>
      <c r="P442" s="127"/>
      <c r="Q442" s="127"/>
      <c r="R442" s="126"/>
      <c r="S442" s="126"/>
      <c r="T442" s="246"/>
    </row>
    <row r="443" spans="1:20" x14ac:dyDescent="0.45">
      <c r="A443" s="125"/>
      <c r="B443" s="125"/>
      <c r="C443" s="125"/>
      <c r="D443" s="125"/>
      <c r="E443" s="125"/>
      <c r="F443" s="125"/>
      <c r="G443" s="126"/>
      <c r="H443" s="127"/>
      <c r="I443" s="131"/>
      <c r="J443" s="126"/>
      <c r="K443" s="126"/>
      <c r="L443" s="132"/>
      <c r="M443" s="126"/>
      <c r="N443" s="132"/>
      <c r="O443" s="127"/>
      <c r="P443" s="127"/>
      <c r="Q443" s="127"/>
      <c r="R443" s="126"/>
      <c r="S443" s="126"/>
      <c r="T443" s="246"/>
    </row>
    <row r="444" spans="1:20" x14ac:dyDescent="0.45">
      <c r="A444" s="125"/>
      <c r="B444" s="125"/>
      <c r="C444" s="125"/>
      <c r="D444" s="125"/>
      <c r="E444" s="125"/>
      <c r="F444" s="125"/>
      <c r="G444" s="126"/>
      <c r="H444" s="127"/>
      <c r="I444" s="131"/>
      <c r="J444" s="126"/>
      <c r="K444" s="126"/>
      <c r="L444" s="132"/>
      <c r="M444" s="126"/>
      <c r="N444" s="132"/>
      <c r="O444" s="127"/>
      <c r="P444" s="127"/>
      <c r="Q444" s="127"/>
      <c r="R444" s="126"/>
      <c r="S444" s="126"/>
      <c r="T444" s="246"/>
    </row>
    <row r="445" spans="1:20" x14ac:dyDescent="0.45">
      <c r="A445" s="125"/>
      <c r="B445" s="125"/>
      <c r="C445" s="125"/>
      <c r="D445" s="125"/>
      <c r="E445" s="125"/>
      <c r="F445" s="125"/>
      <c r="G445" s="126"/>
      <c r="H445" s="127"/>
      <c r="I445" s="131"/>
      <c r="J445" s="126"/>
      <c r="K445" s="126"/>
      <c r="L445" s="132"/>
      <c r="M445" s="126"/>
      <c r="N445" s="132"/>
      <c r="O445" s="127"/>
      <c r="P445" s="127"/>
      <c r="Q445" s="127"/>
      <c r="R445" s="126"/>
      <c r="S445" s="126"/>
      <c r="T445" s="246"/>
    </row>
    <row r="446" spans="1:20" x14ac:dyDescent="0.45">
      <c r="A446" s="125"/>
      <c r="B446" s="125"/>
      <c r="C446" s="125"/>
      <c r="D446" s="125"/>
      <c r="E446" s="125"/>
      <c r="F446" s="125"/>
      <c r="G446" s="126"/>
      <c r="H446" s="127"/>
      <c r="I446" s="131"/>
      <c r="J446" s="126"/>
      <c r="K446" s="126"/>
      <c r="L446" s="132"/>
      <c r="M446" s="126"/>
      <c r="N446" s="132"/>
      <c r="O446" s="127"/>
      <c r="P446" s="127"/>
      <c r="Q446" s="127"/>
      <c r="R446" s="126"/>
      <c r="S446" s="126"/>
      <c r="T446" s="246"/>
    </row>
    <row r="447" spans="1:20" x14ac:dyDescent="0.45">
      <c r="A447" s="125"/>
      <c r="B447" s="125"/>
      <c r="C447" s="125"/>
      <c r="D447" s="125"/>
      <c r="E447" s="125"/>
      <c r="F447" s="125"/>
      <c r="G447" s="126"/>
      <c r="H447" s="127"/>
      <c r="I447" s="131"/>
      <c r="J447" s="126"/>
      <c r="K447" s="126"/>
      <c r="L447" s="132"/>
      <c r="M447" s="126"/>
      <c r="N447" s="132"/>
      <c r="O447" s="127"/>
      <c r="P447" s="127"/>
      <c r="Q447" s="127"/>
      <c r="R447" s="126"/>
      <c r="S447" s="126"/>
      <c r="T447" s="246"/>
    </row>
    <row r="448" spans="1:20" x14ac:dyDescent="0.45">
      <c r="A448" s="125"/>
      <c r="B448" s="125"/>
      <c r="C448" s="125"/>
      <c r="D448" s="125"/>
      <c r="E448" s="125"/>
      <c r="F448" s="125"/>
      <c r="G448" s="126"/>
      <c r="H448" s="127"/>
      <c r="I448" s="131"/>
      <c r="J448" s="126"/>
      <c r="K448" s="126"/>
      <c r="L448" s="132"/>
      <c r="M448" s="126"/>
      <c r="N448" s="132"/>
      <c r="O448" s="127"/>
      <c r="P448" s="127"/>
      <c r="Q448" s="127"/>
      <c r="R448" s="126"/>
      <c r="S448" s="126"/>
      <c r="T448" s="246"/>
    </row>
    <row r="449" spans="1:20" x14ac:dyDescent="0.45">
      <c r="A449" s="125"/>
      <c r="B449" s="125"/>
      <c r="C449" s="125"/>
      <c r="D449" s="125"/>
      <c r="E449" s="125"/>
      <c r="F449" s="125"/>
      <c r="G449" s="126"/>
      <c r="H449" s="127"/>
      <c r="I449" s="131"/>
      <c r="J449" s="126"/>
      <c r="K449" s="126"/>
      <c r="L449" s="132"/>
      <c r="M449" s="126"/>
      <c r="N449" s="132"/>
      <c r="O449" s="127"/>
      <c r="P449" s="127"/>
      <c r="Q449" s="127"/>
      <c r="R449" s="126"/>
      <c r="S449" s="126"/>
      <c r="T449" s="246"/>
    </row>
    <row r="450" spans="1:20" x14ac:dyDescent="0.45">
      <c r="A450" s="125"/>
      <c r="B450" s="125"/>
      <c r="C450" s="125"/>
      <c r="D450" s="125"/>
      <c r="E450" s="125"/>
      <c r="F450" s="125"/>
      <c r="G450" s="126"/>
      <c r="H450" s="127"/>
      <c r="I450" s="131"/>
      <c r="J450" s="126"/>
      <c r="K450" s="126"/>
      <c r="L450" s="132"/>
      <c r="M450" s="126"/>
      <c r="N450" s="132"/>
      <c r="O450" s="127"/>
      <c r="P450" s="127"/>
      <c r="Q450" s="127"/>
      <c r="R450" s="126"/>
      <c r="S450" s="126"/>
      <c r="T450" s="246"/>
    </row>
    <row r="451" spans="1:20" x14ac:dyDescent="0.45">
      <c r="A451" s="125"/>
      <c r="B451" s="125"/>
      <c r="C451" s="125"/>
      <c r="D451" s="125"/>
      <c r="E451" s="125"/>
      <c r="F451" s="125"/>
      <c r="G451" s="126"/>
      <c r="H451" s="127"/>
      <c r="I451" s="131"/>
      <c r="J451" s="126"/>
      <c r="K451" s="126"/>
      <c r="L451" s="132"/>
      <c r="M451" s="126"/>
      <c r="N451" s="132"/>
      <c r="O451" s="127"/>
      <c r="P451" s="127"/>
      <c r="Q451" s="127"/>
      <c r="R451" s="126"/>
      <c r="S451" s="126"/>
      <c r="T451" s="246"/>
    </row>
    <row r="452" spans="1:20" x14ac:dyDescent="0.45">
      <c r="A452" s="125"/>
      <c r="B452" s="125"/>
      <c r="C452" s="125"/>
      <c r="D452" s="125"/>
      <c r="E452" s="125"/>
      <c r="F452" s="125"/>
      <c r="G452" s="126"/>
      <c r="H452" s="127"/>
      <c r="I452" s="131"/>
      <c r="J452" s="126"/>
      <c r="K452" s="126"/>
      <c r="L452" s="132"/>
      <c r="M452" s="126"/>
      <c r="N452" s="132"/>
      <c r="O452" s="127"/>
      <c r="P452" s="127"/>
      <c r="Q452" s="127"/>
      <c r="R452" s="126"/>
      <c r="S452" s="126"/>
      <c r="T452" s="246"/>
    </row>
    <row r="453" spans="1:20" x14ac:dyDescent="0.45">
      <c r="A453" s="125"/>
      <c r="B453" s="125"/>
      <c r="C453" s="125"/>
      <c r="D453" s="125"/>
      <c r="E453" s="125"/>
      <c r="F453" s="125"/>
      <c r="G453" s="126"/>
      <c r="H453" s="127"/>
      <c r="I453" s="131"/>
      <c r="J453" s="126"/>
      <c r="K453" s="126"/>
      <c r="L453" s="132"/>
      <c r="M453" s="126"/>
      <c r="N453" s="132"/>
      <c r="O453" s="127"/>
      <c r="P453" s="127"/>
      <c r="Q453" s="127"/>
      <c r="R453" s="126"/>
      <c r="S453" s="126"/>
      <c r="T453" s="246"/>
    </row>
    <row r="454" spans="1:20" x14ac:dyDescent="0.45">
      <c r="A454" s="125"/>
      <c r="B454" s="125"/>
      <c r="C454" s="125"/>
      <c r="D454" s="125"/>
      <c r="E454" s="125"/>
      <c r="F454" s="125"/>
      <c r="G454" s="126"/>
      <c r="H454" s="127"/>
      <c r="I454" s="131"/>
      <c r="J454" s="126"/>
      <c r="K454" s="126"/>
      <c r="L454" s="132"/>
      <c r="M454" s="126"/>
      <c r="N454" s="132"/>
      <c r="O454" s="127"/>
      <c r="P454" s="127"/>
      <c r="Q454" s="127"/>
      <c r="R454" s="126"/>
      <c r="S454" s="126"/>
      <c r="T454" s="246"/>
    </row>
    <row r="455" spans="1:20" x14ac:dyDescent="0.45">
      <c r="A455" s="125"/>
      <c r="B455" s="125"/>
      <c r="C455" s="125"/>
      <c r="D455" s="125"/>
      <c r="E455" s="125"/>
      <c r="F455" s="125"/>
      <c r="G455" s="126"/>
      <c r="H455" s="127"/>
      <c r="I455" s="131"/>
      <c r="J455" s="126"/>
      <c r="K455" s="126"/>
      <c r="L455" s="132"/>
      <c r="M455" s="126"/>
      <c r="N455" s="132"/>
      <c r="O455" s="127"/>
      <c r="P455" s="127"/>
      <c r="Q455" s="127"/>
      <c r="R455" s="126"/>
      <c r="S455" s="126"/>
      <c r="T455" s="246"/>
    </row>
    <row r="456" spans="1:20" x14ac:dyDescent="0.45">
      <c r="A456" s="125"/>
      <c r="B456" s="125"/>
      <c r="C456" s="125"/>
      <c r="D456" s="125"/>
      <c r="E456" s="125"/>
      <c r="F456" s="125"/>
      <c r="G456" s="126"/>
      <c r="H456" s="127"/>
      <c r="I456" s="131"/>
      <c r="J456" s="126"/>
      <c r="K456" s="126"/>
      <c r="L456" s="132"/>
      <c r="M456" s="126"/>
      <c r="N456" s="132"/>
      <c r="O456" s="127"/>
      <c r="P456" s="127"/>
      <c r="Q456" s="127"/>
      <c r="R456" s="126"/>
      <c r="S456" s="126"/>
      <c r="T456" s="246"/>
    </row>
    <row r="457" spans="1:20" x14ac:dyDescent="0.45">
      <c r="A457" s="125"/>
      <c r="B457" s="125"/>
      <c r="C457" s="125"/>
      <c r="D457" s="125"/>
      <c r="E457" s="125"/>
      <c r="F457" s="125"/>
      <c r="G457" s="126"/>
      <c r="H457" s="127"/>
      <c r="I457" s="131"/>
      <c r="J457" s="126"/>
      <c r="K457" s="126"/>
      <c r="L457" s="132"/>
      <c r="M457" s="126"/>
      <c r="N457" s="132"/>
      <c r="O457" s="127"/>
      <c r="P457" s="127"/>
      <c r="Q457" s="127"/>
      <c r="R457" s="126"/>
      <c r="S457" s="126"/>
      <c r="T457" s="246"/>
    </row>
    <row r="458" spans="1:20" x14ac:dyDescent="0.45">
      <c r="A458" s="125"/>
      <c r="B458" s="125"/>
      <c r="C458" s="125"/>
      <c r="D458" s="125"/>
      <c r="E458" s="125"/>
      <c r="F458" s="125"/>
      <c r="G458" s="126"/>
      <c r="H458" s="127"/>
      <c r="I458" s="131"/>
      <c r="J458" s="126"/>
      <c r="K458" s="126"/>
      <c r="L458" s="132"/>
      <c r="M458" s="126"/>
      <c r="N458" s="132"/>
      <c r="O458" s="127"/>
      <c r="P458" s="127"/>
      <c r="Q458" s="127"/>
      <c r="R458" s="126"/>
      <c r="S458" s="126"/>
      <c r="T458" s="246"/>
    </row>
    <row r="459" spans="1:20" x14ac:dyDescent="0.45">
      <c r="A459" s="125"/>
      <c r="B459" s="125"/>
      <c r="C459" s="125"/>
      <c r="D459" s="125"/>
      <c r="E459" s="125"/>
      <c r="F459" s="125"/>
      <c r="G459" s="126"/>
      <c r="H459" s="127"/>
      <c r="I459" s="131"/>
      <c r="J459" s="126"/>
      <c r="K459" s="126"/>
      <c r="L459" s="132"/>
      <c r="M459" s="126"/>
      <c r="N459" s="132"/>
      <c r="O459" s="127"/>
      <c r="P459" s="127"/>
      <c r="Q459" s="127"/>
      <c r="R459" s="126"/>
      <c r="S459" s="126"/>
      <c r="T459" s="246"/>
    </row>
    <row r="460" spans="1:20" x14ac:dyDescent="0.45">
      <c r="A460" s="125"/>
      <c r="B460" s="125"/>
      <c r="C460" s="125"/>
      <c r="D460" s="125"/>
      <c r="E460" s="125"/>
      <c r="F460" s="125"/>
      <c r="G460" s="126"/>
      <c r="H460" s="127"/>
      <c r="I460" s="131"/>
      <c r="J460" s="126"/>
      <c r="K460" s="126"/>
      <c r="L460" s="132"/>
      <c r="M460" s="126"/>
      <c r="N460" s="132"/>
      <c r="O460" s="127"/>
      <c r="P460" s="127"/>
      <c r="Q460" s="127"/>
      <c r="R460" s="126"/>
      <c r="S460" s="126"/>
      <c r="T460" s="246"/>
    </row>
    <row r="461" spans="1:20" x14ac:dyDescent="0.45">
      <c r="A461" s="125"/>
      <c r="B461" s="125"/>
      <c r="C461" s="125"/>
      <c r="D461" s="125"/>
      <c r="E461" s="125"/>
      <c r="F461" s="125"/>
      <c r="G461" s="126"/>
      <c r="H461" s="127"/>
      <c r="I461" s="131"/>
      <c r="J461" s="126"/>
      <c r="K461" s="126"/>
      <c r="L461" s="132"/>
      <c r="M461" s="126"/>
      <c r="N461" s="132"/>
      <c r="O461" s="127"/>
      <c r="P461" s="127"/>
      <c r="Q461" s="127"/>
      <c r="R461" s="126"/>
      <c r="S461" s="126"/>
      <c r="T461" s="246"/>
    </row>
    <row r="462" spans="1:20" x14ac:dyDescent="0.45">
      <c r="A462" s="125"/>
      <c r="B462" s="125"/>
      <c r="C462" s="125"/>
      <c r="D462" s="125"/>
      <c r="E462" s="125"/>
      <c r="F462" s="125"/>
      <c r="G462" s="126"/>
      <c r="H462" s="127"/>
      <c r="I462" s="131"/>
      <c r="J462" s="126"/>
      <c r="K462" s="126"/>
      <c r="L462" s="132"/>
      <c r="M462" s="126"/>
      <c r="N462" s="132"/>
      <c r="O462" s="127"/>
      <c r="P462" s="127"/>
      <c r="Q462" s="127"/>
      <c r="R462" s="126"/>
      <c r="S462" s="126"/>
      <c r="T462" s="246"/>
    </row>
    <row r="463" spans="1:20" x14ac:dyDescent="0.45">
      <c r="A463" s="125"/>
      <c r="B463" s="125"/>
      <c r="C463" s="125"/>
      <c r="D463" s="125"/>
      <c r="E463" s="125"/>
      <c r="F463" s="125"/>
      <c r="G463" s="126"/>
      <c r="H463" s="127"/>
      <c r="I463" s="131"/>
      <c r="J463" s="126"/>
      <c r="K463" s="126"/>
      <c r="L463" s="132"/>
      <c r="M463" s="126"/>
      <c r="N463" s="132"/>
      <c r="O463" s="127"/>
      <c r="P463" s="127"/>
      <c r="Q463" s="127"/>
      <c r="R463" s="126"/>
      <c r="S463" s="126"/>
      <c r="T463" s="246"/>
    </row>
    <row r="464" spans="1:20" x14ac:dyDescent="0.45">
      <c r="A464" s="125"/>
      <c r="B464" s="125"/>
      <c r="C464" s="125"/>
      <c r="D464" s="125"/>
      <c r="E464" s="125"/>
      <c r="F464" s="125"/>
      <c r="G464" s="126"/>
      <c r="H464" s="127"/>
      <c r="I464" s="131"/>
      <c r="J464" s="126"/>
      <c r="K464" s="126"/>
      <c r="L464" s="132"/>
      <c r="M464" s="126"/>
      <c r="N464" s="132"/>
      <c r="O464" s="127"/>
      <c r="P464" s="127"/>
      <c r="Q464" s="127"/>
      <c r="R464" s="126"/>
      <c r="S464" s="126"/>
      <c r="T464" s="246"/>
    </row>
    <row r="465" spans="1:20" x14ac:dyDescent="0.45">
      <c r="A465" s="125"/>
      <c r="B465" s="125"/>
      <c r="C465" s="125"/>
      <c r="D465" s="125"/>
      <c r="E465" s="125"/>
      <c r="F465" s="125"/>
      <c r="G465" s="126"/>
      <c r="H465" s="127"/>
      <c r="I465" s="131"/>
      <c r="J465" s="126"/>
      <c r="K465" s="126"/>
      <c r="L465" s="132"/>
      <c r="M465" s="126"/>
      <c r="N465" s="132"/>
      <c r="O465" s="127"/>
      <c r="P465" s="127"/>
      <c r="Q465" s="127"/>
      <c r="R465" s="126"/>
      <c r="S465" s="126"/>
      <c r="T465" s="246"/>
    </row>
    <row r="466" spans="1:20" x14ac:dyDescent="0.45">
      <c r="A466" s="125"/>
      <c r="B466" s="125"/>
      <c r="C466" s="125"/>
      <c r="D466" s="125"/>
      <c r="E466" s="125"/>
      <c r="F466" s="125"/>
      <c r="G466" s="126"/>
      <c r="H466" s="127"/>
      <c r="I466" s="131"/>
      <c r="J466" s="126"/>
      <c r="K466" s="126"/>
      <c r="L466" s="132"/>
      <c r="M466" s="126"/>
      <c r="N466" s="132"/>
      <c r="O466" s="127"/>
      <c r="P466" s="127"/>
      <c r="Q466" s="127"/>
      <c r="R466" s="126"/>
      <c r="S466" s="126"/>
      <c r="T466" s="246"/>
    </row>
    <row r="467" spans="1:20" x14ac:dyDescent="0.45">
      <c r="A467" s="125"/>
      <c r="B467" s="125"/>
      <c r="C467" s="125"/>
      <c r="D467" s="125"/>
      <c r="E467" s="125"/>
      <c r="F467" s="125"/>
      <c r="G467" s="126"/>
      <c r="H467" s="127"/>
      <c r="I467" s="131"/>
      <c r="J467" s="126"/>
      <c r="K467" s="126"/>
      <c r="L467" s="132"/>
      <c r="M467" s="126"/>
      <c r="N467" s="132"/>
      <c r="O467" s="127"/>
      <c r="P467" s="127"/>
      <c r="Q467" s="127"/>
      <c r="R467" s="126"/>
      <c r="S467" s="126"/>
      <c r="T467" s="246"/>
    </row>
    <row r="468" spans="1:20" x14ac:dyDescent="0.45">
      <c r="A468" s="125"/>
      <c r="B468" s="125"/>
      <c r="C468" s="125"/>
      <c r="D468" s="125"/>
      <c r="E468" s="125"/>
      <c r="F468" s="125"/>
      <c r="G468" s="126"/>
      <c r="H468" s="127"/>
      <c r="I468" s="131"/>
      <c r="J468" s="126"/>
      <c r="K468" s="126"/>
      <c r="L468" s="132"/>
      <c r="M468" s="126"/>
      <c r="N468" s="132"/>
      <c r="O468" s="127"/>
      <c r="P468" s="127"/>
      <c r="Q468" s="127"/>
      <c r="R468" s="126"/>
      <c r="S468" s="126"/>
      <c r="T468" s="246"/>
    </row>
    <row r="469" spans="1:20" x14ac:dyDescent="0.45">
      <c r="A469" s="125"/>
      <c r="B469" s="125"/>
      <c r="C469" s="125"/>
      <c r="D469" s="125"/>
      <c r="E469" s="125"/>
      <c r="F469" s="125"/>
      <c r="G469" s="126"/>
      <c r="H469" s="127"/>
      <c r="I469" s="131"/>
      <c r="J469" s="126"/>
      <c r="K469" s="126"/>
      <c r="L469" s="132"/>
      <c r="M469" s="126"/>
      <c r="N469" s="132"/>
      <c r="O469" s="127"/>
      <c r="P469" s="127"/>
      <c r="Q469" s="127"/>
      <c r="R469" s="126"/>
      <c r="S469" s="126"/>
      <c r="T469" s="246"/>
    </row>
    <row r="470" spans="1:20" x14ac:dyDescent="0.45">
      <c r="A470" s="125"/>
      <c r="B470" s="125"/>
      <c r="C470" s="125"/>
      <c r="D470" s="125"/>
      <c r="E470" s="125"/>
      <c r="F470" s="125"/>
      <c r="G470" s="126"/>
      <c r="H470" s="127"/>
      <c r="I470" s="131"/>
      <c r="J470" s="126"/>
      <c r="K470" s="126"/>
      <c r="L470" s="132"/>
      <c r="M470" s="126"/>
      <c r="N470" s="132"/>
      <c r="O470" s="127"/>
      <c r="P470" s="127"/>
      <c r="Q470" s="127"/>
      <c r="R470" s="126"/>
      <c r="S470" s="126"/>
      <c r="T470" s="246"/>
    </row>
    <row r="471" spans="1:20" x14ac:dyDescent="0.45">
      <c r="A471" s="125"/>
      <c r="B471" s="125"/>
      <c r="C471" s="125"/>
      <c r="D471" s="125"/>
      <c r="E471" s="125"/>
      <c r="F471" s="125"/>
      <c r="G471" s="126"/>
      <c r="H471" s="127"/>
      <c r="I471" s="131"/>
      <c r="J471" s="126"/>
      <c r="K471" s="126"/>
      <c r="L471" s="132"/>
      <c r="M471" s="126"/>
      <c r="N471" s="132"/>
      <c r="O471" s="127"/>
      <c r="P471" s="127"/>
      <c r="Q471" s="127"/>
      <c r="R471" s="126"/>
      <c r="S471" s="126"/>
      <c r="T471" s="246"/>
    </row>
    <row r="472" spans="1:20" x14ac:dyDescent="0.45">
      <c r="A472" s="125"/>
      <c r="B472" s="125"/>
      <c r="C472" s="125"/>
      <c r="D472" s="125"/>
      <c r="E472" s="125"/>
      <c r="F472" s="125"/>
      <c r="G472" s="126"/>
      <c r="H472" s="127"/>
      <c r="I472" s="131"/>
      <c r="J472" s="126"/>
      <c r="K472" s="126"/>
      <c r="L472" s="132"/>
      <c r="M472" s="126"/>
      <c r="N472" s="132"/>
      <c r="O472" s="127"/>
      <c r="P472" s="127"/>
      <c r="Q472" s="127"/>
      <c r="R472" s="126"/>
      <c r="S472" s="126"/>
      <c r="T472" s="246"/>
    </row>
    <row r="473" spans="1:20" x14ac:dyDescent="0.45">
      <c r="A473" s="125"/>
      <c r="B473" s="125"/>
      <c r="C473" s="125"/>
      <c r="D473" s="125"/>
      <c r="E473" s="125"/>
      <c r="F473" s="125"/>
      <c r="G473" s="126"/>
      <c r="H473" s="127"/>
      <c r="I473" s="131"/>
      <c r="J473" s="126"/>
      <c r="K473" s="126"/>
      <c r="L473" s="132"/>
      <c r="M473" s="126"/>
      <c r="N473" s="132"/>
      <c r="O473" s="127"/>
      <c r="P473" s="127"/>
      <c r="Q473" s="127"/>
      <c r="R473" s="126"/>
      <c r="S473" s="126"/>
      <c r="T473" s="246"/>
    </row>
    <row r="474" spans="1:20" x14ac:dyDescent="0.45">
      <c r="A474" s="125"/>
      <c r="B474" s="125"/>
      <c r="C474" s="125"/>
      <c r="D474" s="125"/>
      <c r="E474" s="125"/>
      <c r="F474" s="125"/>
      <c r="G474" s="126"/>
      <c r="H474" s="127"/>
      <c r="I474" s="131"/>
      <c r="J474" s="126"/>
      <c r="K474" s="126"/>
      <c r="L474" s="132"/>
      <c r="M474" s="126"/>
      <c r="N474" s="132"/>
      <c r="O474" s="127"/>
      <c r="P474" s="127"/>
      <c r="Q474" s="127"/>
      <c r="R474" s="126"/>
      <c r="S474" s="126"/>
      <c r="T474" s="246"/>
    </row>
    <row r="475" spans="1:20" x14ac:dyDescent="0.45">
      <c r="A475" s="125"/>
      <c r="B475" s="125"/>
      <c r="C475" s="125"/>
      <c r="D475" s="125"/>
      <c r="E475" s="125"/>
      <c r="F475" s="125"/>
      <c r="G475" s="126"/>
      <c r="H475" s="127"/>
      <c r="I475" s="131"/>
      <c r="J475" s="126"/>
      <c r="K475" s="126"/>
      <c r="L475" s="132"/>
      <c r="M475" s="126"/>
      <c r="N475" s="132"/>
      <c r="O475" s="127"/>
      <c r="P475" s="127"/>
      <c r="Q475" s="127"/>
      <c r="R475" s="126"/>
      <c r="S475" s="126"/>
      <c r="T475" s="246"/>
    </row>
    <row r="476" spans="1:20" x14ac:dyDescent="0.45">
      <c r="A476" s="125"/>
      <c r="B476" s="125"/>
      <c r="C476" s="125"/>
      <c r="D476" s="125"/>
      <c r="E476" s="125"/>
      <c r="F476" s="125"/>
      <c r="G476" s="126"/>
      <c r="H476" s="127"/>
      <c r="I476" s="131"/>
      <c r="J476" s="126"/>
      <c r="K476" s="126"/>
      <c r="L476" s="132"/>
      <c r="M476" s="126"/>
      <c r="N476" s="132"/>
      <c r="O476" s="127"/>
      <c r="P476" s="127"/>
      <c r="Q476" s="127"/>
      <c r="R476" s="126"/>
      <c r="S476" s="126"/>
      <c r="T476" s="246"/>
    </row>
    <row r="477" spans="1:20" x14ac:dyDescent="0.45">
      <c r="A477" s="125"/>
      <c r="B477" s="125"/>
      <c r="C477" s="125"/>
      <c r="D477" s="125"/>
      <c r="E477" s="125"/>
      <c r="F477" s="125"/>
      <c r="G477" s="126"/>
      <c r="H477" s="127"/>
      <c r="I477" s="131"/>
      <c r="J477" s="126"/>
      <c r="K477" s="126"/>
      <c r="L477" s="132"/>
      <c r="M477" s="126"/>
      <c r="N477" s="132"/>
      <c r="O477" s="127"/>
      <c r="P477" s="127"/>
      <c r="Q477" s="127"/>
      <c r="R477" s="126"/>
      <c r="S477" s="126"/>
      <c r="T477" s="246"/>
    </row>
    <row r="478" spans="1:20" x14ac:dyDescent="0.45">
      <c r="A478" s="125"/>
      <c r="B478" s="125"/>
      <c r="C478" s="125"/>
      <c r="D478" s="125"/>
      <c r="E478" s="125"/>
      <c r="F478" s="125"/>
      <c r="G478" s="126"/>
      <c r="H478" s="127"/>
      <c r="I478" s="131"/>
      <c r="J478" s="126"/>
      <c r="K478" s="126"/>
      <c r="L478" s="132"/>
      <c r="M478" s="126"/>
      <c r="N478" s="132"/>
      <c r="O478" s="127"/>
      <c r="P478" s="127"/>
      <c r="Q478" s="127"/>
      <c r="R478" s="126"/>
      <c r="S478" s="126"/>
      <c r="T478" s="246"/>
    </row>
    <row r="479" spans="1:20" x14ac:dyDescent="0.45">
      <c r="A479" s="125"/>
      <c r="B479" s="125"/>
      <c r="C479" s="125"/>
      <c r="D479" s="125"/>
      <c r="E479" s="125"/>
      <c r="F479" s="125"/>
      <c r="G479" s="126"/>
      <c r="H479" s="127"/>
      <c r="I479" s="131"/>
      <c r="J479" s="126"/>
      <c r="K479" s="126"/>
      <c r="L479" s="132"/>
      <c r="M479" s="126"/>
      <c r="N479" s="132"/>
      <c r="O479" s="127"/>
      <c r="P479" s="127"/>
      <c r="Q479" s="127"/>
      <c r="R479" s="126"/>
      <c r="S479" s="126"/>
      <c r="T479" s="246"/>
    </row>
    <row r="480" spans="1:20" x14ac:dyDescent="0.45">
      <c r="A480" s="125"/>
      <c r="B480" s="125"/>
      <c r="C480" s="125"/>
      <c r="D480" s="125"/>
      <c r="E480" s="125"/>
      <c r="F480" s="125"/>
      <c r="G480" s="126"/>
      <c r="H480" s="127"/>
      <c r="I480" s="131"/>
      <c r="J480" s="126"/>
      <c r="K480" s="126"/>
      <c r="L480" s="132"/>
      <c r="M480" s="126"/>
      <c r="N480" s="132"/>
      <c r="O480" s="127"/>
      <c r="P480" s="127"/>
      <c r="Q480" s="127"/>
      <c r="R480" s="126"/>
      <c r="S480" s="126"/>
      <c r="T480" s="246"/>
    </row>
    <row r="481" spans="1:20" x14ac:dyDescent="0.45">
      <c r="A481" s="125"/>
      <c r="B481" s="125"/>
      <c r="C481" s="125"/>
      <c r="D481" s="125"/>
      <c r="E481" s="125"/>
      <c r="F481" s="125"/>
      <c r="G481" s="126"/>
      <c r="H481" s="127"/>
      <c r="I481" s="131"/>
      <c r="J481" s="126"/>
      <c r="K481" s="126"/>
      <c r="L481" s="132"/>
      <c r="M481" s="126"/>
      <c r="N481" s="132"/>
      <c r="O481" s="127"/>
      <c r="P481" s="127"/>
      <c r="Q481" s="127"/>
      <c r="R481" s="126"/>
      <c r="S481" s="126"/>
      <c r="T481" s="246"/>
    </row>
    <row r="482" spans="1:20" x14ac:dyDescent="0.45">
      <c r="A482" s="125"/>
      <c r="B482" s="125"/>
      <c r="C482" s="125"/>
      <c r="D482" s="125"/>
      <c r="E482" s="125"/>
      <c r="F482" s="125"/>
      <c r="G482" s="126"/>
      <c r="H482" s="127"/>
      <c r="I482" s="131"/>
      <c r="J482" s="126"/>
      <c r="K482" s="126"/>
      <c r="L482" s="132"/>
      <c r="M482" s="126"/>
      <c r="N482" s="132"/>
      <c r="O482" s="127"/>
      <c r="P482" s="127"/>
      <c r="Q482" s="127"/>
      <c r="R482" s="126"/>
      <c r="S482" s="126"/>
      <c r="T482" s="246"/>
    </row>
    <row r="483" spans="1:20" x14ac:dyDescent="0.45">
      <c r="A483" s="125"/>
      <c r="B483" s="125"/>
      <c r="C483" s="125"/>
      <c r="D483" s="125"/>
      <c r="E483" s="125"/>
      <c r="F483" s="125"/>
      <c r="G483" s="126"/>
      <c r="H483" s="127"/>
      <c r="I483" s="131"/>
      <c r="J483" s="126"/>
      <c r="K483" s="126"/>
      <c r="L483" s="132"/>
      <c r="M483" s="126"/>
      <c r="N483" s="132"/>
      <c r="O483" s="127"/>
      <c r="P483" s="127"/>
      <c r="Q483" s="127"/>
      <c r="R483" s="126"/>
      <c r="S483" s="126"/>
      <c r="T483" s="246"/>
    </row>
    <row r="484" spans="1:20" x14ac:dyDescent="0.45">
      <c r="A484" s="125"/>
      <c r="B484" s="125"/>
      <c r="C484" s="125"/>
      <c r="D484" s="125"/>
      <c r="E484" s="125"/>
      <c r="F484" s="125"/>
      <c r="G484" s="126"/>
      <c r="H484" s="127"/>
      <c r="I484" s="131"/>
      <c r="J484" s="126"/>
      <c r="K484" s="126"/>
      <c r="L484" s="132"/>
      <c r="M484" s="126"/>
      <c r="N484" s="132"/>
      <c r="O484" s="127"/>
      <c r="P484" s="127"/>
      <c r="Q484" s="127"/>
      <c r="R484" s="126"/>
      <c r="S484" s="126"/>
      <c r="T484" s="246"/>
    </row>
    <row r="485" spans="1:20" x14ac:dyDescent="0.45">
      <c r="A485" s="125"/>
      <c r="B485" s="125"/>
      <c r="C485" s="125"/>
      <c r="D485" s="125"/>
      <c r="E485" s="125"/>
      <c r="F485" s="125"/>
      <c r="G485" s="126"/>
      <c r="H485" s="127"/>
      <c r="I485" s="131"/>
      <c r="J485" s="126"/>
      <c r="K485" s="126"/>
      <c r="L485" s="132"/>
      <c r="M485" s="126"/>
      <c r="N485" s="132"/>
      <c r="O485" s="127"/>
      <c r="P485" s="127"/>
      <c r="Q485" s="127"/>
      <c r="R485" s="126"/>
      <c r="S485" s="126"/>
      <c r="T485" s="246"/>
    </row>
    <row r="486" spans="1:20" x14ac:dyDescent="0.45">
      <c r="A486" s="125"/>
      <c r="B486" s="125"/>
      <c r="C486" s="125"/>
      <c r="D486" s="125"/>
      <c r="E486" s="125"/>
      <c r="F486" s="125"/>
      <c r="G486" s="126"/>
      <c r="H486" s="127"/>
      <c r="I486" s="131"/>
      <c r="J486" s="126"/>
      <c r="K486" s="126"/>
      <c r="L486" s="132"/>
      <c r="M486" s="126"/>
      <c r="N486" s="132"/>
      <c r="O486" s="127"/>
      <c r="P486" s="127"/>
      <c r="Q486" s="127"/>
      <c r="R486" s="126"/>
      <c r="S486" s="126"/>
      <c r="T486" s="246"/>
    </row>
    <row r="487" spans="1:20" x14ac:dyDescent="0.45">
      <c r="A487" s="125"/>
      <c r="B487" s="125"/>
      <c r="C487" s="125"/>
      <c r="D487" s="125"/>
      <c r="E487" s="125"/>
      <c r="F487" s="125"/>
      <c r="G487" s="126"/>
      <c r="H487" s="127"/>
      <c r="I487" s="131"/>
      <c r="J487" s="126"/>
      <c r="K487" s="126"/>
      <c r="L487" s="132"/>
      <c r="M487" s="126"/>
      <c r="N487" s="132"/>
      <c r="O487" s="127"/>
      <c r="P487" s="127"/>
      <c r="Q487" s="127"/>
      <c r="R487" s="126"/>
      <c r="S487" s="126"/>
      <c r="T487" s="246"/>
    </row>
    <row r="488" spans="1:20" x14ac:dyDescent="0.45">
      <c r="A488" s="125"/>
      <c r="B488" s="125"/>
      <c r="C488" s="125"/>
      <c r="D488" s="125"/>
      <c r="E488" s="125"/>
      <c r="F488" s="125"/>
      <c r="G488" s="126"/>
      <c r="H488" s="127"/>
      <c r="I488" s="131"/>
      <c r="J488" s="126"/>
      <c r="K488" s="126"/>
      <c r="L488" s="132"/>
      <c r="M488" s="126"/>
      <c r="N488" s="132"/>
      <c r="O488" s="127"/>
      <c r="P488" s="127"/>
      <c r="Q488" s="127"/>
      <c r="R488" s="126"/>
      <c r="S488" s="126"/>
      <c r="T488" s="246"/>
    </row>
    <row r="489" spans="1:20" x14ac:dyDescent="0.45">
      <c r="A489" s="125"/>
      <c r="B489" s="125"/>
      <c r="C489" s="125"/>
      <c r="D489" s="125"/>
      <c r="E489" s="125"/>
      <c r="F489" s="125"/>
      <c r="G489" s="126"/>
      <c r="H489" s="127"/>
      <c r="I489" s="131"/>
      <c r="J489" s="126"/>
      <c r="K489" s="126"/>
      <c r="L489" s="132"/>
      <c r="M489" s="126"/>
      <c r="N489" s="132"/>
      <c r="O489" s="127"/>
      <c r="P489" s="127"/>
      <c r="Q489" s="127"/>
      <c r="R489" s="126"/>
      <c r="S489" s="126"/>
      <c r="T489" s="246"/>
    </row>
    <row r="490" spans="1:20" x14ac:dyDescent="0.45">
      <c r="A490" s="125"/>
      <c r="B490" s="125"/>
      <c r="C490" s="125"/>
      <c r="D490" s="125"/>
      <c r="E490" s="125"/>
      <c r="F490" s="125"/>
      <c r="G490" s="126"/>
      <c r="H490" s="127"/>
      <c r="I490" s="131"/>
      <c r="J490" s="126"/>
      <c r="K490" s="126"/>
      <c r="L490" s="132"/>
      <c r="M490" s="126"/>
      <c r="N490" s="132"/>
      <c r="O490" s="127"/>
      <c r="P490" s="127"/>
      <c r="Q490" s="127"/>
      <c r="R490" s="126"/>
      <c r="S490" s="126"/>
      <c r="T490" s="246"/>
    </row>
    <row r="491" spans="1:20" x14ac:dyDescent="0.45">
      <c r="A491" s="125"/>
      <c r="B491" s="125"/>
      <c r="C491" s="125"/>
      <c r="D491" s="125"/>
      <c r="E491" s="125"/>
      <c r="F491" s="125"/>
      <c r="G491" s="126"/>
      <c r="H491" s="127"/>
      <c r="I491" s="131"/>
      <c r="J491" s="126"/>
      <c r="K491" s="126"/>
      <c r="L491" s="132"/>
      <c r="M491" s="126"/>
      <c r="N491" s="132"/>
      <c r="O491" s="127"/>
      <c r="P491" s="127"/>
      <c r="Q491" s="127"/>
      <c r="R491" s="126"/>
      <c r="S491" s="126"/>
      <c r="T491" s="246"/>
    </row>
    <row r="492" spans="1:20" x14ac:dyDescent="0.45">
      <c r="A492" s="125"/>
      <c r="B492" s="125"/>
      <c r="C492" s="125"/>
      <c r="D492" s="125"/>
      <c r="E492" s="125"/>
      <c r="F492" s="125"/>
      <c r="G492" s="126"/>
      <c r="H492" s="127"/>
      <c r="I492" s="131"/>
      <c r="J492" s="126"/>
      <c r="K492" s="126"/>
      <c r="L492" s="132"/>
      <c r="M492" s="126"/>
      <c r="N492" s="132"/>
      <c r="O492" s="127"/>
      <c r="P492" s="127"/>
      <c r="Q492" s="127"/>
      <c r="R492" s="126"/>
      <c r="S492" s="126"/>
      <c r="T492" s="246"/>
    </row>
    <row r="493" spans="1:20" x14ac:dyDescent="0.45">
      <c r="A493" s="125"/>
      <c r="B493" s="125"/>
      <c r="C493" s="125"/>
      <c r="D493" s="125"/>
      <c r="E493" s="125"/>
      <c r="F493" s="125"/>
      <c r="G493" s="126"/>
      <c r="H493" s="127"/>
      <c r="I493" s="131"/>
      <c r="J493" s="126"/>
      <c r="K493" s="126"/>
      <c r="L493" s="132"/>
      <c r="M493" s="126"/>
      <c r="N493" s="132"/>
      <c r="O493" s="127"/>
      <c r="P493" s="127"/>
      <c r="Q493" s="127"/>
      <c r="R493" s="126"/>
      <c r="S493" s="126"/>
      <c r="T493" s="246"/>
    </row>
    <row r="494" spans="1:20" x14ac:dyDescent="0.45">
      <c r="A494" s="125"/>
      <c r="B494" s="125"/>
      <c r="C494" s="125"/>
      <c r="D494" s="125"/>
      <c r="E494" s="125"/>
      <c r="F494" s="125"/>
      <c r="G494" s="126"/>
      <c r="H494" s="127"/>
      <c r="I494" s="131"/>
      <c r="J494" s="126"/>
      <c r="K494" s="126"/>
      <c r="L494" s="132"/>
      <c r="M494" s="126"/>
      <c r="N494" s="132"/>
      <c r="O494" s="127"/>
      <c r="P494" s="127"/>
      <c r="Q494" s="127"/>
      <c r="R494" s="126"/>
      <c r="S494" s="126"/>
      <c r="T494" s="246"/>
    </row>
    <row r="495" spans="1:20" x14ac:dyDescent="0.45">
      <c r="A495" s="125"/>
      <c r="B495" s="125"/>
      <c r="C495" s="125"/>
      <c r="D495" s="125"/>
      <c r="E495" s="125"/>
      <c r="F495" s="125"/>
      <c r="G495" s="126"/>
      <c r="H495" s="127"/>
      <c r="I495" s="131"/>
      <c r="J495" s="126"/>
      <c r="K495" s="126"/>
      <c r="L495" s="132"/>
      <c r="M495" s="126"/>
      <c r="N495" s="132"/>
      <c r="O495" s="127"/>
      <c r="P495" s="127"/>
      <c r="Q495" s="127"/>
      <c r="R495" s="126"/>
      <c r="S495" s="126"/>
      <c r="T495" s="246"/>
    </row>
    <row r="496" spans="1:20" x14ac:dyDescent="0.45">
      <c r="A496" s="125"/>
      <c r="B496" s="125"/>
      <c r="C496" s="125"/>
      <c r="D496" s="125"/>
      <c r="E496" s="125"/>
      <c r="F496" s="125"/>
      <c r="G496" s="126"/>
      <c r="H496" s="127"/>
      <c r="I496" s="131"/>
      <c r="J496" s="126"/>
      <c r="K496" s="126"/>
      <c r="L496" s="132"/>
      <c r="M496" s="126"/>
      <c r="N496" s="132"/>
      <c r="O496" s="127"/>
      <c r="P496" s="127"/>
      <c r="Q496" s="127"/>
      <c r="R496" s="126"/>
      <c r="S496" s="126"/>
      <c r="T496" s="246"/>
    </row>
    <row r="497" spans="1:20" x14ac:dyDescent="0.45">
      <c r="A497" s="125"/>
      <c r="B497" s="125"/>
      <c r="C497" s="125"/>
      <c r="D497" s="125"/>
      <c r="E497" s="125"/>
      <c r="F497" s="125"/>
      <c r="G497" s="126"/>
      <c r="H497" s="127"/>
      <c r="I497" s="131"/>
      <c r="J497" s="126"/>
      <c r="K497" s="126"/>
      <c r="L497" s="132"/>
      <c r="M497" s="126"/>
      <c r="N497" s="132"/>
      <c r="O497" s="127"/>
      <c r="P497" s="127"/>
      <c r="Q497" s="127"/>
      <c r="R497" s="126"/>
      <c r="S497" s="126"/>
      <c r="T497" s="246"/>
    </row>
    <row r="498" spans="1:20" x14ac:dyDescent="0.45">
      <c r="A498" s="125"/>
      <c r="B498" s="125"/>
      <c r="C498" s="125"/>
      <c r="D498" s="125"/>
      <c r="E498" s="125"/>
      <c r="F498" s="125"/>
      <c r="G498" s="126"/>
      <c r="H498" s="127"/>
      <c r="I498" s="131"/>
      <c r="J498" s="126"/>
      <c r="K498" s="126"/>
      <c r="L498" s="132"/>
      <c r="M498" s="126"/>
      <c r="N498" s="132"/>
      <c r="O498" s="127"/>
      <c r="P498" s="127"/>
      <c r="Q498" s="127"/>
      <c r="R498" s="126"/>
      <c r="S498" s="126"/>
      <c r="T498" s="246"/>
    </row>
    <row r="499" spans="1:20" x14ac:dyDescent="0.45">
      <c r="A499" s="125"/>
      <c r="B499" s="125"/>
      <c r="C499" s="125"/>
      <c r="D499" s="125"/>
      <c r="E499" s="125"/>
      <c r="F499" s="125"/>
      <c r="G499" s="126"/>
      <c r="H499" s="127"/>
      <c r="I499" s="131"/>
      <c r="J499" s="126"/>
      <c r="K499" s="126"/>
      <c r="L499" s="132"/>
      <c r="M499" s="126"/>
      <c r="N499" s="132"/>
      <c r="O499" s="127"/>
      <c r="P499" s="127"/>
      <c r="Q499" s="127"/>
      <c r="R499" s="126"/>
      <c r="S499" s="126"/>
      <c r="T499" s="246"/>
    </row>
    <row r="500" spans="1:20" x14ac:dyDescent="0.45">
      <c r="A500" s="125"/>
      <c r="B500" s="125"/>
      <c r="C500" s="125"/>
      <c r="D500" s="125"/>
      <c r="E500" s="125"/>
      <c r="F500" s="125"/>
      <c r="G500" s="126"/>
      <c r="H500" s="127"/>
      <c r="I500" s="131"/>
      <c r="J500" s="126"/>
      <c r="K500" s="126"/>
      <c r="L500" s="132"/>
      <c r="M500" s="126"/>
      <c r="N500" s="132"/>
      <c r="O500" s="127"/>
      <c r="P500" s="127"/>
      <c r="Q500" s="127"/>
      <c r="R500" s="126"/>
      <c r="S500" s="126"/>
      <c r="T500" s="246"/>
    </row>
    <row r="501" spans="1:20" x14ac:dyDescent="0.45">
      <c r="A501" s="125"/>
      <c r="B501" s="125"/>
      <c r="C501" s="125"/>
      <c r="D501" s="125"/>
      <c r="E501" s="125"/>
      <c r="F501" s="125"/>
      <c r="G501" s="126"/>
      <c r="H501" s="127"/>
      <c r="I501" s="131"/>
      <c r="J501" s="126"/>
      <c r="K501" s="126"/>
      <c r="L501" s="132"/>
      <c r="M501" s="126"/>
      <c r="N501" s="132"/>
      <c r="O501" s="127"/>
      <c r="P501" s="127"/>
      <c r="Q501" s="127"/>
      <c r="R501" s="126"/>
      <c r="S501" s="126"/>
      <c r="T501" s="246"/>
    </row>
    <row r="502" spans="1:20" x14ac:dyDescent="0.45">
      <c r="A502" s="125"/>
      <c r="B502" s="125"/>
      <c r="C502" s="125"/>
      <c r="D502" s="125"/>
      <c r="E502" s="125"/>
      <c r="F502" s="125"/>
      <c r="G502" s="126"/>
      <c r="H502" s="127"/>
      <c r="I502" s="131"/>
      <c r="J502" s="126"/>
      <c r="K502" s="126"/>
      <c r="L502" s="132"/>
      <c r="M502" s="126"/>
      <c r="N502" s="132"/>
      <c r="O502" s="127"/>
      <c r="P502" s="127"/>
      <c r="Q502" s="127"/>
      <c r="R502" s="126"/>
      <c r="S502" s="126"/>
      <c r="T502" s="246"/>
    </row>
    <row r="503" spans="1:20" x14ac:dyDescent="0.45">
      <c r="A503" s="125"/>
      <c r="B503" s="125"/>
      <c r="C503" s="125"/>
      <c r="D503" s="125"/>
      <c r="E503" s="125"/>
      <c r="F503" s="125"/>
      <c r="G503" s="126"/>
      <c r="H503" s="127"/>
      <c r="I503" s="131"/>
      <c r="J503" s="126"/>
      <c r="K503" s="126"/>
      <c r="L503" s="132"/>
      <c r="M503" s="126"/>
      <c r="N503" s="132"/>
      <c r="O503" s="127"/>
      <c r="P503" s="127"/>
      <c r="Q503" s="127"/>
      <c r="R503" s="126"/>
      <c r="S503" s="126"/>
      <c r="T503" s="246"/>
    </row>
    <row r="504" spans="1:20" x14ac:dyDescent="0.45">
      <c r="A504" s="125"/>
      <c r="B504" s="125"/>
      <c r="C504" s="125"/>
      <c r="D504" s="125"/>
      <c r="E504" s="125"/>
      <c r="F504" s="125"/>
      <c r="G504" s="126"/>
      <c r="H504" s="127"/>
      <c r="I504" s="131"/>
      <c r="J504" s="126"/>
      <c r="K504" s="126"/>
      <c r="L504" s="132"/>
      <c r="M504" s="126"/>
      <c r="N504" s="132"/>
      <c r="O504" s="127"/>
      <c r="P504" s="127"/>
      <c r="Q504" s="127"/>
      <c r="R504" s="126"/>
      <c r="S504" s="126"/>
      <c r="T504" s="246"/>
    </row>
    <row r="505" spans="1:20" x14ac:dyDescent="0.45">
      <c r="A505" s="125"/>
      <c r="B505" s="125"/>
      <c r="C505" s="125"/>
      <c r="D505" s="125"/>
      <c r="E505" s="125"/>
      <c r="F505" s="125"/>
      <c r="G505" s="126"/>
      <c r="H505" s="127"/>
      <c r="I505" s="131"/>
      <c r="J505" s="126"/>
      <c r="K505" s="126"/>
      <c r="L505" s="132"/>
      <c r="M505" s="126"/>
      <c r="N505" s="132"/>
      <c r="O505" s="127"/>
      <c r="P505" s="127"/>
      <c r="Q505" s="127"/>
      <c r="R505" s="126"/>
      <c r="S505" s="126"/>
      <c r="T505" s="246"/>
    </row>
    <row r="506" spans="1:20" x14ac:dyDescent="0.45">
      <c r="A506" s="125"/>
      <c r="B506" s="125"/>
      <c r="C506" s="125"/>
      <c r="D506" s="125"/>
      <c r="E506" s="125"/>
      <c r="F506" s="125"/>
      <c r="G506" s="126"/>
      <c r="H506" s="127"/>
      <c r="I506" s="131"/>
      <c r="J506" s="126"/>
      <c r="K506" s="126"/>
      <c r="L506" s="132"/>
      <c r="M506" s="126"/>
      <c r="N506" s="132"/>
      <c r="O506" s="127"/>
      <c r="P506" s="127"/>
      <c r="Q506" s="127"/>
      <c r="R506" s="126"/>
      <c r="S506" s="126"/>
      <c r="T506" s="246"/>
    </row>
    <row r="507" spans="1:20" x14ac:dyDescent="0.45">
      <c r="A507" s="125"/>
      <c r="B507" s="125"/>
      <c r="C507" s="125"/>
      <c r="D507" s="125"/>
      <c r="E507" s="125"/>
      <c r="F507" s="125"/>
      <c r="G507" s="126"/>
      <c r="H507" s="127"/>
      <c r="I507" s="131"/>
      <c r="J507" s="126"/>
      <c r="K507" s="126"/>
      <c r="L507" s="132"/>
      <c r="M507" s="126"/>
      <c r="N507" s="132"/>
      <c r="O507" s="127"/>
      <c r="P507" s="127"/>
      <c r="Q507" s="127"/>
      <c r="R507" s="126"/>
      <c r="S507" s="126"/>
      <c r="T507" s="246"/>
    </row>
    <row r="508" spans="1:20" x14ac:dyDescent="0.45">
      <c r="A508" s="125"/>
      <c r="B508" s="125"/>
      <c r="C508" s="125"/>
      <c r="D508" s="125"/>
      <c r="E508" s="125"/>
      <c r="F508" s="125"/>
      <c r="G508" s="126"/>
      <c r="H508" s="127"/>
      <c r="I508" s="131"/>
      <c r="J508" s="126"/>
      <c r="K508" s="126"/>
      <c r="L508" s="132"/>
      <c r="M508" s="126"/>
      <c r="N508" s="132"/>
      <c r="O508" s="127"/>
      <c r="P508" s="127"/>
      <c r="Q508" s="127"/>
      <c r="R508" s="126"/>
      <c r="S508" s="126"/>
      <c r="T508" s="246"/>
    </row>
    <row r="509" spans="1:20" x14ac:dyDescent="0.45">
      <c r="A509" s="125"/>
      <c r="B509" s="125"/>
      <c r="C509" s="125"/>
      <c r="D509" s="125"/>
      <c r="E509" s="125"/>
      <c r="F509" s="125"/>
      <c r="G509" s="126"/>
      <c r="H509" s="127"/>
      <c r="I509" s="131"/>
      <c r="J509" s="126"/>
      <c r="K509" s="126"/>
      <c r="L509" s="132"/>
      <c r="M509" s="126"/>
      <c r="N509" s="132"/>
      <c r="O509" s="127"/>
      <c r="P509" s="127"/>
      <c r="Q509" s="127"/>
      <c r="R509" s="126"/>
      <c r="S509" s="126"/>
      <c r="T509" s="246"/>
    </row>
    <row r="510" spans="1:20" x14ac:dyDescent="0.45">
      <c r="A510" s="135"/>
      <c r="B510" s="135"/>
      <c r="C510" s="135"/>
      <c r="D510" s="135"/>
      <c r="E510" s="135"/>
      <c r="F510" s="135"/>
      <c r="G510" s="135"/>
      <c r="H510" s="135"/>
      <c r="I510" s="135"/>
      <c r="J510" s="135"/>
      <c r="K510" s="135"/>
      <c r="L510" s="135"/>
      <c r="M510" s="135"/>
      <c r="N510" s="135"/>
      <c r="O510" s="135"/>
      <c r="P510" s="135"/>
      <c r="Q510" s="135"/>
      <c r="R510" s="135"/>
      <c r="S510" s="135"/>
      <c r="T510" s="5"/>
    </row>
    <row r="511" spans="1:20" x14ac:dyDescent="0.45">
      <c r="A511" s="135"/>
      <c r="B511" s="135"/>
      <c r="C511" s="135"/>
      <c r="D511" s="135"/>
      <c r="E511" s="135"/>
      <c r="F511" s="135"/>
      <c r="G511" s="135"/>
      <c r="H511" s="135"/>
      <c r="I511" s="135"/>
      <c r="J511" s="135"/>
      <c r="K511" s="135"/>
      <c r="L511" s="135"/>
      <c r="M511" s="135"/>
      <c r="N511" s="135"/>
      <c r="O511" s="135"/>
      <c r="P511" s="135"/>
      <c r="Q511" s="135"/>
      <c r="R511" s="135"/>
      <c r="S511" s="135"/>
      <c r="T511" s="5"/>
    </row>
    <row r="512" spans="1:20" x14ac:dyDescent="0.45">
      <c r="A512" s="135"/>
      <c r="B512" s="135"/>
      <c r="C512" s="135"/>
      <c r="D512" s="135"/>
      <c r="E512" s="135"/>
      <c r="F512" s="135"/>
      <c r="G512" s="135"/>
      <c r="H512" s="135"/>
      <c r="I512" s="135"/>
      <c r="J512" s="135"/>
      <c r="K512" s="135"/>
      <c r="L512" s="135"/>
      <c r="M512" s="135"/>
      <c r="N512" s="135"/>
      <c r="O512" s="135"/>
      <c r="P512" s="135"/>
      <c r="Q512" s="135"/>
      <c r="R512" s="135"/>
      <c r="S512" s="135"/>
      <c r="T512" s="5"/>
    </row>
    <row r="513" spans="1:20" x14ac:dyDescent="0.45">
      <c r="A513" s="135"/>
      <c r="B513" s="135"/>
      <c r="C513" s="135"/>
      <c r="D513" s="135"/>
      <c r="E513" s="135"/>
      <c r="F513" s="135"/>
      <c r="G513" s="135"/>
      <c r="H513" s="135"/>
      <c r="I513" s="135"/>
      <c r="J513" s="135"/>
      <c r="K513" s="135"/>
      <c r="L513" s="135"/>
      <c r="M513" s="135"/>
      <c r="N513" s="135"/>
      <c r="O513" s="135"/>
      <c r="P513" s="135"/>
      <c r="Q513" s="135"/>
      <c r="R513" s="135"/>
      <c r="S513" s="135"/>
      <c r="T513" s="5"/>
    </row>
    <row r="514" spans="1:20" x14ac:dyDescent="0.45">
      <c r="A514" s="135"/>
      <c r="B514" s="135"/>
      <c r="C514" s="135"/>
      <c r="D514" s="135"/>
      <c r="E514" s="135"/>
      <c r="F514" s="135"/>
      <c r="G514" s="135"/>
      <c r="H514" s="135"/>
      <c r="I514" s="135"/>
      <c r="J514" s="135"/>
      <c r="K514" s="135"/>
      <c r="L514" s="135"/>
      <c r="M514" s="135"/>
      <c r="N514" s="135"/>
      <c r="O514" s="135"/>
      <c r="P514" s="135"/>
      <c r="Q514" s="135"/>
      <c r="R514" s="135"/>
      <c r="S514" s="135"/>
      <c r="T514" s="5"/>
    </row>
    <row r="515" spans="1:20" x14ac:dyDescent="0.45">
      <c r="A515" s="135"/>
      <c r="B515" s="135"/>
      <c r="C515" s="135"/>
      <c r="D515" s="135"/>
      <c r="E515" s="135"/>
      <c r="F515" s="135"/>
      <c r="G515" s="135"/>
      <c r="H515" s="135"/>
      <c r="I515" s="135"/>
      <c r="J515" s="135"/>
      <c r="K515" s="135"/>
      <c r="L515" s="135"/>
      <c r="M515" s="135"/>
      <c r="N515" s="135"/>
      <c r="O515" s="135"/>
      <c r="P515" s="135"/>
      <c r="Q515" s="135"/>
      <c r="R515" s="135"/>
      <c r="S515" s="135"/>
      <c r="T515" s="5"/>
    </row>
    <row r="516" spans="1:20" x14ac:dyDescent="0.45">
      <c r="A516" s="135"/>
      <c r="B516" s="135"/>
      <c r="C516" s="135"/>
      <c r="D516" s="135"/>
      <c r="E516" s="135"/>
      <c r="F516" s="135"/>
      <c r="G516" s="135"/>
      <c r="H516" s="135"/>
      <c r="I516" s="135"/>
      <c r="J516" s="135"/>
      <c r="K516" s="135"/>
      <c r="L516" s="135"/>
      <c r="M516" s="135"/>
      <c r="N516" s="135"/>
      <c r="O516" s="135"/>
      <c r="P516" s="135"/>
      <c r="Q516" s="135"/>
      <c r="R516" s="135"/>
      <c r="S516" s="135"/>
      <c r="T516" s="5"/>
    </row>
    <row r="517" spans="1:20" x14ac:dyDescent="0.45">
      <c r="A517" s="135"/>
      <c r="B517" s="135"/>
      <c r="C517" s="135"/>
      <c r="D517" s="135"/>
      <c r="E517" s="135"/>
      <c r="F517" s="135"/>
      <c r="G517" s="135"/>
      <c r="H517" s="135"/>
      <c r="I517" s="135"/>
      <c r="J517" s="135"/>
      <c r="K517" s="135"/>
      <c r="L517" s="135"/>
      <c r="M517" s="135"/>
      <c r="N517" s="135"/>
      <c r="O517" s="135"/>
      <c r="P517" s="135"/>
      <c r="Q517" s="135"/>
      <c r="R517" s="135"/>
      <c r="S517" s="135"/>
      <c r="T517" s="5"/>
    </row>
    <row r="518" spans="1:20" x14ac:dyDescent="0.45">
      <c r="A518" s="135"/>
      <c r="B518" s="135"/>
      <c r="C518" s="135"/>
      <c r="D518" s="135"/>
      <c r="E518" s="135"/>
      <c r="F518" s="135"/>
      <c r="G518" s="135"/>
      <c r="H518" s="135"/>
      <c r="I518" s="135"/>
      <c r="J518" s="135"/>
      <c r="K518" s="135"/>
      <c r="L518" s="135"/>
      <c r="M518" s="135"/>
      <c r="N518" s="135"/>
      <c r="O518" s="135"/>
      <c r="P518" s="135"/>
      <c r="Q518" s="135"/>
      <c r="R518" s="135"/>
      <c r="S518" s="135"/>
      <c r="T518" s="5"/>
    </row>
    <row r="519" spans="1:20" x14ac:dyDescent="0.45">
      <c r="A519" s="135"/>
      <c r="B519" s="135"/>
      <c r="C519" s="135"/>
      <c r="D519" s="135"/>
      <c r="E519" s="135"/>
      <c r="F519" s="135"/>
      <c r="G519" s="135"/>
      <c r="H519" s="135"/>
      <c r="I519" s="135"/>
      <c r="J519" s="135"/>
      <c r="K519" s="135"/>
      <c r="L519" s="135"/>
      <c r="M519" s="135"/>
      <c r="N519" s="135"/>
      <c r="O519" s="135"/>
      <c r="P519" s="135"/>
      <c r="Q519" s="135"/>
      <c r="R519" s="135"/>
      <c r="S519" s="135"/>
      <c r="T519" s="5"/>
    </row>
    <row r="520" spans="1:20" x14ac:dyDescent="0.45">
      <c r="A520" s="135"/>
      <c r="B520" s="135"/>
      <c r="C520" s="135"/>
      <c r="D520" s="135"/>
      <c r="E520" s="135"/>
      <c r="F520" s="135"/>
      <c r="G520" s="135"/>
      <c r="H520" s="135"/>
      <c r="I520" s="135"/>
      <c r="J520" s="135"/>
      <c r="K520" s="135"/>
      <c r="L520" s="135"/>
      <c r="M520" s="135"/>
      <c r="N520" s="135"/>
      <c r="O520" s="135"/>
      <c r="P520" s="135"/>
      <c r="Q520" s="135"/>
      <c r="R520" s="135"/>
      <c r="S520" s="135"/>
      <c r="T520" s="5"/>
    </row>
    <row r="521" spans="1:20" x14ac:dyDescent="0.45">
      <c r="A521" s="135"/>
      <c r="B521" s="135"/>
      <c r="C521" s="135"/>
      <c r="D521" s="135"/>
      <c r="E521" s="135"/>
      <c r="F521" s="135"/>
      <c r="G521" s="135"/>
      <c r="H521" s="135"/>
      <c r="I521" s="135"/>
      <c r="J521" s="135"/>
      <c r="K521" s="135"/>
      <c r="L521" s="135"/>
      <c r="M521" s="135"/>
      <c r="N521" s="135"/>
      <c r="O521" s="135"/>
      <c r="P521" s="135"/>
      <c r="Q521" s="135"/>
      <c r="R521" s="135"/>
      <c r="S521" s="135"/>
      <c r="T521" s="5"/>
    </row>
    <row r="522" spans="1:20" x14ac:dyDescent="0.45">
      <c r="A522" s="135"/>
      <c r="B522" s="135"/>
      <c r="C522" s="135"/>
      <c r="D522" s="135"/>
      <c r="E522" s="135"/>
      <c r="F522" s="135"/>
      <c r="G522" s="135"/>
      <c r="H522" s="135"/>
      <c r="I522" s="135"/>
      <c r="J522" s="135"/>
      <c r="K522" s="135"/>
      <c r="L522" s="135"/>
      <c r="M522" s="135"/>
      <c r="N522" s="135"/>
      <c r="O522" s="135"/>
      <c r="P522" s="135"/>
      <c r="Q522" s="135"/>
      <c r="R522" s="135"/>
      <c r="S522" s="135"/>
      <c r="T522" s="5"/>
    </row>
    <row r="523" spans="1:20" x14ac:dyDescent="0.45">
      <c r="A523" s="135"/>
      <c r="B523" s="135"/>
      <c r="C523" s="135"/>
      <c r="D523" s="135"/>
      <c r="E523" s="135"/>
      <c r="F523" s="135"/>
      <c r="G523" s="135"/>
      <c r="H523" s="135"/>
      <c r="I523" s="135"/>
      <c r="J523" s="135"/>
      <c r="K523" s="135"/>
      <c r="L523" s="135"/>
      <c r="M523" s="135"/>
      <c r="N523" s="135"/>
      <c r="O523" s="135"/>
      <c r="P523" s="135"/>
      <c r="Q523" s="135"/>
      <c r="R523" s="135"/>
      <c r="S523" s="135"/>
      <c r="T523" s="5"/>
    </row>
    <row r="524" spans="1:20" x14ac:dyDescent="0.45">
      <c r="A524" s="135"/>
      <c r="B524" s="135"/>
      <c r="C524" s="135"/>
      <c r="D524" s="135"/>
      <c r="E524" s="135"/>
      <c r="F524" s="135"/>
      <c r="G524" s="135"/>
      <c r="H524" s="135"/>
      <c r="I524" s="135"/>
      <c r="J524" s="135"/>
      <c r="K524" s="135"/>
      <c r="L524" s="135"/>
      <c r="M524" s="135"/>
      <c r="N524" s="135"/>
      <c r="O524" s="135"/>
      <c r="P524" s="135"/>
      <c r="Q524" s="135"/>
      <c r="R524" s="135"/>
      <c r="S524" s="135"/>
      <c r="T524" s="5"/>
    </row>
    <row r="525" spans="1:20" x14ac:dyDescent="0.45">
      <c r="A525" s="135"/>
      <c r="B525" s="135"/>
      <c r="C525" s="135"/>
      <c r="D525" s="135"/>
      <c r="E525" s="135"/>
      <c r="F525" s="135"/>
      <c r="G525" s="135"/>
      <c r="H525" s="135"/>
      <c r="I525" s="135"/>
      <c r="J525" s="135"/>
      <c r="K525" s="135"/>
      <c r="L525" s="135"/>
      <c r="M525" s="135"/>
      <c r="N525" s="135"/>
      <c r="O525" s="135"/>
      <c r="P525" s="135"/>
      <c r="Q525" s="135"/>
      <c r="R525" s="135"/>
      <c r="S525" s="135"/>
      <c r="T525" s="5"/>
    </row>
    <row r="526" spans="1:20" x14ac:dyDescent="0.45">
      <c r="A526" s="135"/>
      <c r="B526" s="135"/>
      <c r="C526" s="135"/>
      <c r="D526" s="135"/>
      <c r="E526" s="135"/>
      <c r="F526" s="135"/>
      <c r="G526" s="135"/>
      <c r="H526" s="135"/>
      <c r="I526" s="135"/>
      <c r="J526" s="135"/>
      <c r="K526" s="135"/>
      <c r="L526" s="135"/>
      <c r="M526" s="135"/>
      <c r="N526" s="135"/>
      <c r="O526" s="135"/>
      <c r="P526" s="135"/>
      <c r="Q526" s="135"/>
      <c r="R526" s="135"/>
      <c r="S526" s="135"/>
      <c r="T526" s="5"/>
    </row>
    <row r="527" spans="1:20" x14ac:dyDescent="0.45">
      <c r="A527" s="135"/>
      <c r="B527" s="135"/>
      <c r="C527" s="135"/>
      <c r="D527" s="135"/>
      <c r="E527" s="135"/>
      <c r="F527" s="135"/>
      <c r="G527" s="135"/>
      <c r="H527" s="135"/>
      <c r="I527" s="135"/>
      <c r="J527" s="135"/>
      <c r="K527" s="135"/>
      <c r="L527" s="135"/>
      <c r="M527" s="135"/>
      <c r="N527" s="135"/>
      <c r="O527" s="135"/>
      <c r="P527" s="135"/>
      <c r="Q527" s="135"/>
      <c r="R527" s="135"/>
      <c r="S527" s="135"/>
      <c r="T527" s="5"/>
    </row>
    <row r="528" spans="1:20" x14ac:dyDescent="0.45">
      <c r="A528" s="135"/>
      <c r="B528" s="135"/>
      <c r="C528" s="135"/>
      <c r="D528" s="135"/>
      <c r="E528" s="135"/>
      <c r="F528" s="135"/>
      <c r="G528" s="135"/>
      <c r="H528" s="135"/>
      <c r="I528" s="135"/>
      <c r="J528" s="135"/>
      <c r="K528" s="135"/>
      <c r="L528" s="135"/>
      <c r="M528" s="135"/>
      <c r="N528" s="135"/>
      <c r="O528" s="135"/>
      <c r="P528" s="135"/>
      <c r="Q528" s="135"/>
      <c r="R528" s="135"/>
      <c r="S528" s="135"/>
      <c r="T528" s="5"/>
    </row>
    <row r="529" spans="1:20" x14ac:dyDescent="0.45">
      <c r="A529" s="135"/>
      <c r="B529" s="135"/>
      <c r="C529" s="135"/>
      <c r="D529" s="135"/>
      <c r="E529" s="135"/>
      <c r="F529" s="135"/>
      <c r="G529" s="135"/>
      <c r="H529" s="135"/>
      <c r="I529" s="135"/>
      <c r="J529" s="135"/>
      <c r="K529" s="135"/>
      <c r="L529" s="135"/>
      <c r="M529" s="135"/>
      <c r="N529" s="135"/>
      <c r="O529" s="135"/>
      <c r="P529" s="135"/>
      <c r="Q529" s="135"/>
      <c r="R529" s="135"/>
      <c r="S529" s="135"/>
      <c r="T529" s="5"/>
    </row>
    <row r="530" spans="1:20" x14ac:dyDescent="0.45">
      <c r="A530" s="135"/>
      <c r="B530" s="135"/>
      <c r="C530" s="135"/>
      <c r="D530" s="135"/>
      <c r="E530" s="135"/>
      <c r="F530" s="135"/>
      <c r="G530" s="135"/>
      <c r="H530" s="135"/>
      <c r="I530" s="135"/>
      <c r="J530" s="135"/>
      <c r="K530" s="135"/>
      <c r="L530" s="135"/>
      <c r="M530" s="135"/>
      <c r="N530" s="135"/>
      <c r="O530" s="135"/>
      <c r="P530" s="135"/>
      <c r="Q530" s="135"/>
      <c r="R530" s="135"/>
      <c r="S530" s="135"/>
      <c r="T530" s="5"/>
    </row>
    <row r="531" spans="1:20" x14ac:dyDescent="0.45">
      <c r="A531" s="135"/>
      <c r="B531" s="135"/>
      <c r="C531" s="135"/>
      <c r="D531" s="135"/>
      <c r="E531" s="135"/>
      <c r="F531" s="135"/>
      <c r="G531" s="135"/>
      <c r="H531" s="135"/>
      <c r="I531" s="135"/>
      <c r="J531" s="135"/>
      <c r="K531" s="135"/>
      <c r="L531" s="135"/>
      <c r="M531" s="135"/>
      <c r="N531" s="135"/>
      <c r="O531" s="135"/>
      <c r="P531" s="135"/>
      <c r="Q531" s="135"/>
      <c r="R531" s="135"/>
      <c r="S531" s="135"/>
      <c r="T531" s="5"/>
    </row>
    <row r="532" spans="1:20" x14ac:dyDescent="0.45">
      <c r="A532" s="135"/>
      <c r="B532" s="135"/>
      <c r="C532" s="135"/>
      <c r="D532" s="135"/>
      <c r="E532" s="135"/>
      <c r="F532" s="135"/>
      <c r="G532" s="135"/>
      <c r="H532" s="135"/>
      <c r="I532" s="135"/>
      <c r="J532" s="135"/>
      <c r="K532" s="135"/>
      <c r="L532" s="135"/>
      <c r="M532" s="135"/>
      <c r="N532" s="135"/>
      <c r="O532" s="135"/>
      <c r="P532" s="135"/>
      <c r="Q532" s="135"/>
      <c r="R532" s="135"/>
      <c r="S532" s="135"/>
      <c r="T532" s="5"/>
    </row>
    <row r="533" spans="1:20" x14ac:dyDescent="0.45">
      <c r="A533" s="135"/>
      <c r="B533" s="135"/>
      <c r="C533" s="135"/>
      <c r="D533" s="135"/>
      <c r="E533" s="135"/>
      <c r="F533" s="135"/>
      <c r="G533" s="135"/>
      <c r="H533" s="135"/>
      <c r="I533" s="135"/>
      <c r="J533" s="135"/>
      <c r="K533" s="135"/>
      <c r="L533" s="135"/>
      <c r="M533" s="135"/>
      <c r="N533" s="135"/>
      <c r="O533" s="135"/>
      <c r="P533" s="135"/>
      <c r="Q533" s="135"/>
      <c r="R533" s="135"/>
      <c r="S533" s="135"/>
      <c r="T533" s="5"/>
    </row>
    <row r="534" spans="1:20" x14ac:dyDescent="0.45">
      <c r="A534" s="135"/>
      <c r="B534" s="135"/>
      <c r="C534" s="135"/>
      <c r="D534" s="135"/>
      <c r="E534" s="135"/>
      <c r="F534" s="135"/>
      <c r="G534" s="135"/>
      <c r="H534" s="135"/>
      <c r="I534" s="135"/>
      <c r="J534" s="135"/>
      <c r="K534" s="135"/>
      <c r="L534" s="135"/>
      <c r="M534" s="135"/>
      <c r="N534" s="135"/>
      <c r="O534" s="135"/>
      <c r="P534" s="135"/>
      <c r="Q534" s="135"/>
      <c r="R534" s="135"/>
      <c r="S534" s="135"/>
      <c r="T534" s="5"/>
    </row>
    <row r="535" spans="1:20" x14ac:dyDescent="0.45">
      <c r="A535" s="135"/>
      <c r="B535" s="135"/>
      <c r="C535" s="135"/>
      <c r="D535" s="135"/>
      <c r="E535" s="135"/>
      <c r="F535" s="135"/>
      <c r="G535" s="135"/>
      <c r="H535" s="135"/>
      <c r="I535" s="135"/>
      <c r="J535" s="135"/>
      <c r="K535" s="135"/>
      <c r="L535" s="135"/>
      <c r="M535" s="135"/>
      <c r="N535" s="135"/>
      <c r="O535" s="135"/>
      <c r="P535" s="135"/>
      <c r="Q535" s="135"/>
      <c r="R535" s="135"/>
      <c r="S535" s="135"/>
      <c r="T535" s="5"/>
    </row>
    <row r="536" spans="1:20" x14ac:dyDescent="0.45">
      <c r="A536" s="135"/>
      <c r="B536" s="135"/>
      <c r="C536" s="135"/>
      <c r="D536" s="135"/>
      <c r="E536" s="135"/>
      <c r="F536" s="135"/>
      <c r="G536" s="135"/>
      <c r="H536" s="135"/>
      <c r="I536" s="135"/>
      <c r="J536" s="135"/>
      <c r="K536" s="135"/>
      <c r="L536" s="135"/>
      <c r="M536" s="135"/>
      <c r="N536" s="135"/>
      <c r="O536" s="135"/>
      <c r="P536" s="135"/>
      <c r="Q536" s="135"/>
      <c r="R536" s="135"/>
      <c r="S536" s="135"/>
      <c r="T536" s="5"/>
    </row>
    <row r="537" spans="1:20" x14ac:dyDescent="0.45">
      <c r="A537" s="135"/>
      <c r="B537" s="135"/>
      <c r="C537" s="135"/>
      <c r="D537" s="135"/>
      <c r="E537" s="135"/>
      <c r="F537" s="135"/>
      <c r="G537" s="135"/>
      <c r="H537" s="135"/>
      <c r="I537" s="135"/>
      <c r="J537" s="135"/>
      <c r="K537" s="135"/>
      <c r="L537" s="135"/>
      <c r="M537" s="135"/>
      <c r="N537" s="135"/>
      <c r="O537" s="135"/>
      <c r="P537" s="135"/>
      <c r="Q537" s="135"/>
      <c r="R537" s="135"/>
      <c r="S537" s="135"/>
      <c r="T537" s="5"/>
    </row>
    <row r="538" spans="1:20" x14ac:dyDescent="0.45">
      <c r="A538" s="135"/>
      <c r="B538" s="135"/>
      <c r="C538" s="135"/>
      <c r="D538" s="135"/>
      <c r="E538" s="135"/>
      <c r="F538" s="135"/>
      <c r="G538" s="135"/>
      <c r="H538" s="135"/>
      <c r="I538" s="135"/>
      <c r="J538" s="135"/>
      <c r="K538" s="135"/>
      <c r="L538" s="135"/>
      <c r="M538" s="135"/>
      <c r="N538" s="135"/>
      <c r="O538" s="135"/>
      <c r="P538" s="135"/>
      <c r="Q538" s="135"/>
      <c r="R538" s="135"/>
      <c r="S538" s="135"/>
      <c r="T538" s="5"/>
    </row>
    <row r="539" spans="1:20" x14ac:dyDescent="0.45">
      <c r="A539" s="135"/>
      <c r="B539" s="135"/>
      <c r="C539" s="135"/>
      <c r="D539" s="135"/>
      <c r="E539" s="135"/>
      <c r="F539" s="135"/>
      <c r="G539" s="135"/>
      <c r="H539" s="135"/>
      <c r="I539" s="135"/>
      <c r="J539" s="135"/>
      <c r="K539" s="135"/>
      <c r="L539" s="135"/>
      <c r="M539" s="135"/>
      <c r="N539" s="135"/>
      <c r="O539" s="135"/>
      <c r="P539" s="135"/>
      <c r="Q539" s="135"/>
      <c r="R539" s="135"/>
      <c r="S539" s="135"/>
      <c r="T539" s="5"/>
    </row>
    <row r="540" spans="1:20" x14ac:dyDescent="0.45">
      <c r="A540" s="135"/>
      <c r="B540" s="135"/>
      <c r="C540" s="135"/>
      <c r="D540" s="135"/>
      <c r="E540" s="135"/>
      <c r="F540" s="135"/>
      <c r="G540" s="135"/>
      <c r="H540" s="135"/>
      <c r="I540" s="135"/>
      <c r="J540" s="135"/>
      <c r="K540" s="135"/>
      <c r="L540" s="135"/>
      <c r="M540" s="135"/>
      <c r="N540" s="135"/>
      <c r="O540" s="135"/>
      <c r="P540" s="135"/>
      <c r="Q540" s="135"/>
      <c r="R540" s="135"/>
      <c r="S540" s="135"/>
      <c r="T540" s="5"/>
    </row>
    <row r="541" spans="1:20" x14ac:dyDescent="0.45">
      <c r="A541" s="135"/>
      <c r="B541" s="135"/>
      <c r="C541" s="135"/>
      <c r="D541" s="135"/>
      <c r="E541" s="135"/>
      <c r="F541" s="135"/>
      <c r="G541" s="135"/>
      <c r="H541" s="135"/>
      <c r="I541" s="135"/>
      <c r="J541" s="135"/>
      <c r="K541" s="135"/>
      <c r="L541" s="135"/>
      <c r="M541" s="135"/>
      <c r="N541" s="135"/>
      <c r="O541" s="135"/>
      <c r="P541" s="135"/>
      <c r="Q541" s="135"/>
      <c r="R541" s="135"/>
      <c r="S541" s="135"/>
      <c r="T541" s="5"/>
    </row>
    <row r="542" spans="1:20" x14ac:dyDescent="0.45">
      <c r="A542" s="135"/>
      <c r="B542" s="135"/>
      <c r="C542" s="135"/>
      <c r="D542" s="135"/>
      <c r="E542" s="135"/>
      <c r="F542" s="135"/>
      <c r="G542" s="135"/>
      <c r="H542" s="135"/>
      <c r="I542" s="135"/>
      <c r="J542" s="135"/>
      <c r="K542" s="135"/>
      <c r="L542" s="135"/>
      <c r="M542" s="135"/>
      <c r="N542" s="135"/>
      <c r="O542" s="135"/>
      <c r="P542" s="135"/>
      <c r="Q542" s="135"/>
      <c r="R542" s="135"/>
      <c r="S542" s="135"/>
      <c r="T542" s="5"/>
    </row>
    <row r="543" spans="1:20" x14ac:dyDescent="0.45">
      <c r="A543" s="135"/>
      <c r="B543" s="135"/>
      <c r="C543" s="135"/>
      <c r="D543" s="135"/>
      <c r="E543" s="135"/>
      <c r="F543" s="135"/>
      <c r="G543" s="135"/>
      <c r="H543" s="135"/>
      <c r="I543" s="135"/>
      <c r="J543" s="135"/>
      <c r="K543" s="135"/>
      <c r="L543" s="135"/>
      <c r="M543" s="135"/>
      <c r="N543" s="135"/>
      <c r="O543" s="135"/>
      <c r="P543" s="135"/>
      <c r="Q543" s="135"/>
      <c r="R543" s="135"/>
      <c r="S543" s="135"/>
      <c r="T543" s="5"/>
    </row>
    <row r="544" spans="1:20" x14ac:dyDescent="0.45">
      <c r="A544" s="135"/>
      <c r="B544" s="135"/>
      <c r="C544" s="135"/>
      <c r="D544" s="135"/>
      <c r="E544" s="135"/>
      <c r="F544" s="135"/>
      <c r="G544" s="135"/>
      <c r="H544" s="135"/>
      <c r="I544" s="135"/>
      <c r="J544" s="135"/>
      <c r="K544" s="135"/>
      <c r="L544" s="135"/>
      <c r="M544" s="135"/>
      <c r="N544" s="135"/>
      <c r="O544" s="135"/>
      <c r="P544" s="135"/>
      <c r="Q544" s="135"/>
      <c r="R544" s="135"/>
      <c r="S544" s="135"/>
      <c r="T544" s="5"/>
    </row>
    <row r="545" spans="1:20" x14ac:dyDescent="0.45">
      <c r="A545" s="135"/>
      <c r="B545" s="135"/>
      <c r="C545" s="135"/>
      <c r="D545" s="135"/>
      <c r="E545" s="135"/>
      <c r="F545" s="135"/>
      <c r="G545" s="135"/>
      <c r="H545" s="135"/>
      <c r="I545" s="135"/>
      <c r="J545" s="135"/>
      <c r="K545" s="135"/>
      <c r="L545" s="135"/>
      <c r="M545" s="135"/>
      <c r="N545" s="135"/>
      <c r="O545" s="135"/>
      <c r="P545" s="135"/>
      <c r="Q545" s="135"/>
      <c r="R545" s="135"/>
      <c r="S545" s="135"/>
      <c r="T545" s="5"/>
    </row>
    <row r="546" spans="1:20" x14ac:dyDescent="0.45">
      <c r="A546" s="135"/>
      <c r="B546" s="135"/>
      <c r="C546" s="135"/>
      <c r="D546" s="135"/>
      <c r="E546" s="135"/>
      <c r="F546" s="135"/>
      <c r="G546" s="135"/>
      <c r="H546" s="135"/>
      <c r="I546" s="135"/>
      <c r="J546" s="135"/>
      <c r="K546" s="135"/>
      <c r="L546" s="135"/>
      <c r="M546" s="135"/>
      <c r="N546" s="135"/>
      <c r="O546" s="135"/>
      <c r="P546" s="135"/>
      <c r="Q546" s="135"/>
      <c r="R546" s="135"/>
      <c r="S546" s="135"/>
      <c r="T546" s="5"/>
    </row>
    <row r="547" spans="1:20" x14ac:dyDescent="0.45">
      <c r="A547" s="135"/>
      <c r="B547" s="135"/>
      <c r="C547" s="135"/>
      <c r="D547" s="135"/>
      <c r="E547" s="135"/>
      <c r="F547" s="135"/>
      <c r="G547" s="135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5"/>
    </row>
    <row r="548" spans="1:20" x14ac:dyDescent="0.45">
      <c r="A548" s="135"/>
      <c r="B548" s="135"/>
      <c r="C548" s="135"/>
      <c r="D548" s="135"/>
      <c r="E548" s="135"/>
      <c r="F548" s="135"/>
      <c r="G548" s="135"/>
      <c r="H548" s="135"/>
      <c r="I548" s="135"/>
      <c r="J548" s="135"/>
      <c r="K548" s="135"/>
      <c r="L548" s="135"/>
      <c r="M548" s="135"/>
      <c r="N548" s="135"/>
      <c r="O548" s="135"/>
      <c r="P548" s="135"/>
      <c r="Q548" s="135"/>
      <c r="R548" s="135"/>
      <c r="S548" s="135"/>
      <c r="T548" s="5"/>
    </row>
    <row r="549" spans="1:20" x14ac:dyDescent="0.45">
      <c r="A549" s="135"/>
      <c r="B549" s="135"/>
      <c r="C549" s="135"/>
      <c r="D549" s="135"/>
      <c r="E549" s="135"/>
      <c r="F549" s="135"/>
      <c r="G549" s="135"/>
      <c r="H549" s="135"/>
      <c r="I549" s="135"/>
      <c r="J549" s="135"/>
      <c r="K549" s="135"/>
      <c r="L549" s="135"/>
      <c r="M549" s="135"/>
      <c r="N549" s="135"/>
      <c r="O549" s="135"/>
      <c r="P549" s="135"/>
      <c r="Q549" s="135"/>
      <c r="R549" s="135"/>
      <c r="S549" s="135"/>
      <c r="T549" s="5"/>
    </row>
    <row r="550" spans="1:20" x14ac:dyDescent="0.45">
      <c r="A550" s="135"/>
      <c r="B550" s="135"/>
      <c r="C550" s="135"/>
      <c r="D550" s="135"/>
      <c r="E550" s="135"/>
      <c r="F550" s="135"/>
      <c r="G550" s="135"/>
      <c r="H550" s="135"/>
      <c r="I550" s="135"/>
      <c r="J550" s="135"/>
      <c r="K550" s="135"/>
      <c r="L550" s="135"/>
      <c r="M550" s="135"/>
      <c r="N550" s="135"/>
      <c r="O550" s="135"/>
      <c r="P550" s="135"/>
      <c r="Q550" s="135"/>
      <c r="R550" s="135"/>
      <c r="S550" s="135"/>
      <c r="T550" s="5"/>
    </row>
    <row r="551" spans="1:20" x14ac:dyDescent="0.45">
      <c r="A551" s="135"/>
      <c r="B551" s="135"/>
      <c r="C551" s="135"/>
      <c r="D551" s="135"/>
      <c r="E551" s="135"/>
      <c r="F551" s="135"/>
      <c r="G551" s="135"/>
      <c r="H551" s="135"/>
      <c r="I551" s="135"/>
      <c r="J551" s="135"/>
      <c r="K551" s="135"/>
      <c r="L551" s="135"/>
      <c r="M551" s="135"/>
      <c r="N551" s="135"/>
      <c r="O551" s="135"/>
      <c r="P551" s="135"/>
      <c r="Q551" s="135"/>
      <c r="R551" s="135"/>
      <c r="S551" s="135"/>
      <c r="T551" s="5"/>
    </row>
    <row r="552" spans="1:20" x14ac:dyDescent="0.45">
      <c r="A552" s="135"/>
      <c r="B552" s="135"/>
      <c r="C552" s="135"/>
      <c r="D552" s="135"/>
      <c r="E552" s="135"/>
      <c r="F552" s="135"/>
      <c r="G552" s="135"/>
      <c r="H552" s="135"/>
      <c r="I552" s="135"/>
      <c r="J552" s="135"/>
      <c r="K552" s="135"/>
      <c r="L552" s="135"/>
      <c r="M552" s="135"/>
      <c r="N552" s="135"/>
      <c r="O552" s="135"/>
      <c r="P552" s="135"/>
      <c r="Q552" s="135"/>
      <c r="R552" s="135"/>
      <c r="S552" s="135"/>
      <c r="T552" s="5"/>
    </row>
    <row r="553" spans="1:20" x14ac:dyDescent="0.45">
      <c r="A553" s="135"/>
      <c r="B553" s="135"/>
      <c r="C553" s="135"/>
      <c r="D553" s="135"/>
      <c r="E553" s="135"/>
      <c r="F553" s="135"/>
      <c r="G553" s="135"/>
      <c r="H553" s="135"/>
      <c r="I553" s="135"/>
      <c r="J553" s="135"/>
      <c r="K553" s="135"/>
      <c r="L553" s="135"/>
      <c r="M553" s="135"/>
      <c r="N553" s="135"/>
      <c r="O553" s="135"/>
      <c r="P553" s="135"/>
      <c r="Q553" s="135"/>
      <c r="R553" s="135"/>
      <c r="S553" s="135"/>
      <c r="T553" s="5"/>
    </row>
    <row r="554" spans="1:20" x14ac:dyDescent="0.45">
      <c r="A554" s="135"/>
      <c r="B554" s="135"/>
      <c r="C554" s="135"/>
      <c r="D554" s="135"/>
      <c r="E554" s="135"/>
      <c r="F554" s="135"/>
      <c r="G554" s="135"/>
      <c r="H554" s="135"/>
      <c r="I554" s="135"/>
      <c r="J554" s="135"/>
      <c r="K554" s="135"/>
      <c r="L554" s="135"/>
      <c r="M554" s="135"/>
      <c r="N554" s="135"/>
      <c r="O554" s="135"/>
      <c r="P554" s="135"/>
      <c r="Q554" s="135"/>
      <c r="R554" s="135"/>
      <c r="S554" s="135"/>
      <c r="T554" s="5"/>
    </row>
    <row r="555" spans="1:20" x14ac:dyDescent="0.45">
      <c r="A555" s="135"/>
      <c r="B555" s="135"/>
      <c r="C555" s="135"/>
      <c r="D555" s="135"/>
      <c r="E555" s="135"/>
      <c r="F555" s="135"/>
      <c r="G555" s="135"/>
      <c r="H555" s="135"/>
      <c r="I555" s="135"/>
      <c r="J555" s="135"/>
      <c r="K555" s="135"/>
      <c r="L555" s="135"/>
      <c r="M555" s="135"/>
      <c r="N555" s="135"/>
      <c r="O555" s="135"/>
      <c r="P555" s="135"/>
      <c r="Q555" s="135"/>
      <c r="R555" s="135"/>
      <c r="S555" s="135"/>
      <c r="T555" s="5"/>
    </row>
    <row r="556" spans="1:20" x14ac:dyDescent="0.45">
      <c r="A556" s="135"/>
      <c r="B556" s="135"/>
      <c r="C556" s="135"/>
      <c r="D556" s="135"/>
      <c r="E556" s="135"/>
      <c r="F556" s="135"/>
      <c r="G556" s="135"/>
      <c r="H556" s="135"/>
      <c r="I556" s="135"/>
      <c r="J556" s="135"/>
      <c r="K556" s="135"/>
      <c r="L556" s="135"/>
      <c r="M556" s="135"/>
      <c r="N556" s="135"/>
      <c r="O556" s="135"/>
      <c r="P556" s="135"/>
      <c r="Q556" s="135"/>
      <c r="R556" s="135"/>
      <c r="S556" s="135"/>
      <c r="T556" s="5"/>
    </row>
    <row r="557" spans="1:20" x14ac:dyDescent="0.45">
      <c r="A557" s="135"/>
      <c r="B557" s="135"/>
      <c r="C557" s="135"/>
      <c r="D557" s="135"/>
      <c r="E557" s="135"/>
      <c r="F557" s="135"/>
      <c r="G557" s="135"/>
      <c r="H557" s="135"/>
      <c r="I557" s="135"/>
      <c r="J557" s="135"/>
      <c r="K557" s="135"/>
      <c r="L557" s="135"/>
      <c r="M557" s="135"/>
      <c r="N557" s="135"/>
      <c r="O557" s="135"/>
      <c r="P557" s="135"/>
      <c r="Q557" s="135"/>
      <c r="R557" s="135"/>
      <c r="S557" s="135"/>
      <c r="T557" s="5"/>
    </row>
    <row r="558" spans="1:20" x14ac:dyDescent="0.45">
      <c r="A558" s="135"/>
      <c r="B558" s="135"/>
      <c r="C558" s="135"/>
      <c r="D558" s="135"/>
      <c r="E558" s="135"/>
      <c r="F558" s="135"/>
      <c r="G558" s="135"/>
      <c r="H558" s="135"/>
      <c r="I558" s="135"/>
      <c r="J558" s="135"/>
      <c r="K558" s="135"/>
      <c r="L558" s="135"/>
      <c r="M558" s="135"/>
      <c r="N558" s="135"/>
      <c r="O558" s="135"/>
      <c r="P558" s="135"/>
      <c r="Q558" s="135"/>
      <c r="R558" s="135"/>
      <c r="S558" s="135"/>
      <c r="T558" s="5"/>
    </row>
    <row r="559" spans="1:20" x14ac:dyDescent="0.45">
      <c r="A559" s="135"/>
      <c r="B559" s="135"/>
      <c r="C559" s="135"/>
      <c r="D559" s="135"/>
      <c r="E559" s="135"/>
      <c r="F559" s="135"/>
      <c r="G559" s="135"/>
      <c r="H559" s="135"/>
      <c r="I559" s="135"/>
      <c r="J559" s="135"/>
      <c r="K559" s="135"/>
      <c r="L559" s="135"/>
      <c r="M559" s="135"/>
      <c r="N559" s="135"/>
      <c r="O559" s="135"/>
      <c r="P559" s="135"/>
      <c r="Q559" s="135"/>
      <c r="R559" s="135"/>
      <c r="S559" s="135"/>
      <c r="T559" s="5"/>
    </row>
    <row r="560" spans="1:20" x14ac:dyDescent="0.45">
      <c r="A560" s="135"/>
      <c r="B560" s="135"/>
      <c r="C560" s="135"/>
      <c r="D560" s="135"/>
      <c r="E560" s="135"/>
      <c r="F560" s="135"/>
      <c r="G560" s="135"/>
      <c r="H560" s="135"/>
      <c r="I560" s="135"/>
      <c r="J560" s="135"/>
      <c r="K560" s="135"/>
      <c r="L560" s="135"/>
      <c r="M560" s="135"/>
      <c r="N560" s="135"/>
      <c r="O560" s="135"/>
      <c r="P560" s="135"/>
      <c r="Q560" s="135"/>
      <c r="R560" s="135"/>
      <c r="S560" s="135"/>
      <c r="T560" s="5"/>
    </row>
    <row r="561" spans="1:20" x14ac:dyDescent="0.45">
      <c r="A561" s="135"/>
      <c r="B561" s="135"/>
      <c r="C561" s="135"/>
      <c r="D561" s="135"/>
      <c r="E561" s="135"/>
      <c r="F561" s="135"/>
      <c r="G561" s="135"/>
      <c r="H561" s="135"/>
      <c r="I561" s="135"/>
      <c r="J561" s="135"/>
      <c r="K561" s="135"/>
      <c r="L561" s="135"/>
      <c r="M561" s="135"/>
      <c r="N561" s="135"/>
      <c r="O561" s="135"/>
      <c r="P561" s="135"/>
      <c r="Q561" s="135"/>
      <c r="R561" s="135"/>
      <c r="S561" s="135"/>
      <c r="T561" s="5"/>
    </row>
    <row r="562" spans="1:20" x14ac:dyDescent="0.45">
      <c r="A562" s="135"/>
      <c r="B562" s="135"/>
      <c r="C562" s="135"/>
      <c r="D562" s="135"/>
      <c r="E562" s="135"/>
      <c r="F562" s="135"/>
      <c r="G562" s="135"/>
      <c r="H562" s="135"/>
      <c r="I562" s="135"/>
      <c r="J562" s="135"/>
      <c r="K562" s="135"/>
      <c r="L562" s="135"/>
      <c r="M562" s="135"/>
      <c r="N562" s="135"/>
      <c r="O562" s="135"/>
      <c r="P562" s="135"/>
      <c r="Q562" s="135"/>
      <c r="R562" s="135"/>
      <c r="S562" s="135"/>
      <c r="T562" s="5"/>
    </row>
    <row r="563" spans="1:20" x14ac:dyDescent="0.45">
      <c r="A563" s="135"/>
      <c r="B563" s="135"/>
      <c r="C563" s="135"/>
      <c r="D563" s="135"/>
      <c r="E563" s="135"/>
      <c r="F563" s="135"/>
      <c r="G563" s="135"/>
      <c r="H563" s="135"/>
      <c r="I563" s="135"/>
      <c r="J563" s="135"/>
      <c r="K563" s="135"/>
      <c r="L563" s="135"/>
      <c r="M563" s="135"/>
      <c r="N563" s="135"/>
      <c r="O563" s="135"/>
      <c r="P563" s="135"/>
      <c r="Q563" s="135"/>
      <c r="R563" s="135"/>
      <c r="S563" s="135"/>
      <c r="T563" s="5"/>
    </row>
    <row r="564" spans="1:20" x14ac:dyDescent="0.45">
      <c r="A564" s="135"/>
      <c r="B564" s="135"/>
      <c r="C564" s="135"/>
      <c r="D564" s="135"/>
      <c r="E564" s="135"/>
      <c r="F564" s="135"/>
      <c r="G564" s="135"/>
      <c r="H564" s="135"/>
      <c r="I564" s="135"/>
      <c r="J564" s="135"/>
      <c r="K564" s="135"/>
      <c r="L564" s="135"/>
      <c r="M564" s="135"/>
      <c r="N564" s="135"/>
      <c r="O564" s="135"/>
      <c r="P564" s="135"/>
      <c r="Q564" s="135"/>
      <c r="R564" s="135"/>
      <c r="S564" s="135"/>
      <c r="T564" s="5"/>
    </row>
    <row r="565" spans="1:20" x14ac:dyDescent="0.45">
      <c r="A565" s="135"/>
      <c r="B565" s="135"/>
      <c r="C565" s="135"/>
      <c r="D565" s="135"/>
      <c r="E565" s="135"/>
      <c r="F565" s="135"/>
      <c r="G565" s="135"/>
      <c r="H565" s="135"/>
      <c r="I565" s="135"/>
      <c r="J565" s="135"/>
      <c r="K565" s="135"/>
      <c r="L565" s="135"/>
      <c r="M565" s="135"/>
      <c r="N565" s="135"/>
      <c r="O565" s="135"/>
      <c r="P565" s="135"/>
      <c r="Q565" s="135"/>
      <c r="R565" s="135"/>
      <c r="S565" s="135"/>
      <c r="T565" s="5"/>
    </row>
    <row r="566" spans="1:20" x14ac:dyDescent="0.45">
      <c r="A566" s="135"/>
      <c r="B566" s="135"/>
      <c r="C566" s="135"/>
      <c r="D566" s="135"/>
      <c r="E566" s="135"/>
      <c r="F566" s="135"/>
      <c r="G566" s="135"/>
      <c r="H566" s="135"/>
      <c r="I566" s="135"/>
      <c r="J566" s="135"/>
      <c r="K566" s="135"/>
      <c r="L566" s="135"/>
      <c r="M566" s="135"/>
      <c r="N566" s="135"/>
      <c r="O566" s="135"/>
      <c r="P566" s="135"/>
      <c r="Q566" s="135"/>
      <c r="R566" s="135"/>
      <c r="S566" s="135"/>
      <c r="T566" s="5"/>
    </row>
    <row r="567" spans="1:20" x14ac:dyDescent="0.45">
      <c r="A567" s="135"/>
      <c r="B567" s="135"/>
      <c r="C567" s="135"/>
      <c r="D567" s="135"/>
      <c r="E567" s="135"/>
      <c r="F567" s="135"/>
      <c r="G567" s="135"/>
      <c r="H567" s="135"/>
      <c r="I567" s="135"/>
      <c r="J567" s="135"/>
      <c r="K567" s="135"/>
      <c r="L567" s="135"/>
      <c r="M567" s="135"/>
      <c r="N567" s="135"/>
      <c r="O567" s="135"/>
      <c r="P567" s="135"/>
      <c r="Q567" s="135"/>
      <c r="R567" s="135"/>
      <c r="S567" s="135"/>
      <c r="T567" s="5"/>
    </row>
    <row r="568" spans="1:20" x14ac:dyDescent="0.45">
      <c r="A568" s="135"/>
      <c r="B568" s="135"/>
      <c r="C568" s="135"/>
      <c r="D568" s="135"/>
      <c r="E568" s="135"/>
      <c r="F568" s="135"/>
      <c r="G568" s="135"/>
      <c r="H568" s="135"/>
      <c r="I568" s="135"/>
      <c r="J568" s="135"/>
      <c r="K568" s="135"/>
      <c r="L568" s="135"/>
      <c r="M568" s="135"/>
      <c r="N568" s="135"/>
      <c r="O568" s="135"/>
      <c r="P568" s="135"/>
      <c r="Q568" s="135"/>
      <c r="R568" s="135"/>
      <c r="S568" s="135"/>
      <c r="T568" s="5"/>
    </row>
    <row r="569" spans="1:20" x14ac:dyDescent="0.45">
      <c r="A569" s="135"/>
      <c r="B569" s="135"/>
      <c r="C569" s="135"/>
      <c r="D569" s="135"/>
      <c r="E569" s="135"/>
      <c r="F569" s="135"/>
      <c r="G569" s="135"/>
      <c r="H569" s="135"/>
      <c r="I569" s="135"/>
      <c r="J569" s="135"/>
      <c r="K569" s="135"/>
      <c r="L569" s="135"/>
      <c r="M569" s="135"/>
      <c r="N569" s="135"/>
      <c r="O569" s="135"/>
      <c r="P569" s="135"/>
      <c r="Q569" s="135"/>
      <c r="R569" s="135"/>
      <c r="S569" s="135"/>
      <c r="T569" s="5"/>
    </row>
    <row r="570" spans="1:20" x14ac:dyDescent="0.45">
      <c r="A570" s="135"/>
      <c r="B570" s="135"/>
      <c r="C570" s="135"/>
      <c r="D570" s="135"/>
      <c r="E570" s="135"/>
      <c r="F570" s="135"/>
      <c r="G570" s="135"/>
      <c r="H570" s="135"/>
      <c r="I570" s="135"/>
      <c r="J570" s="135"/>
      <c r="K570" s="135"/>
      <c r="L570" s="135"/>
      <c r="M570" s="135"/>
      <c r="N570" s="135"/>
      <c r="O570" s="135"/>
      <c r="P570" s="135"/>
      <c r="Q570" s="135"/>
      <c r="R570" s="135"/>
      <c r="S570" s="135"/>
      <c r="T570" s="5"/>
    </row>
    <row r="571" spans="1:20" x14ac:dyDescent="0.45">
      <c r="A571" s="135"/>
      <c r="B571" s="135"/>
      <c r="C571" s="135"/>
      <c r="D571" s="135"/>
      <c r="E571" s="135"/>
      <c r="F571" s="135"/>
      <c r="G571" s="135"/>
      <c r="H571" s="135"/>
      <c r="I571" s="135"/>
      <c r="J571" s="135"/>
      <c r="K571" s="135"/>
      <c r="L571" s="135"/>
      <c r="M571" s="135"/>
      <c r="N571" s="135"/>
      <c r="O571" s="135"/>
      <c r="P571" s="135"/>
      <c r="Q571" s="135"/>
      <c r="R571" s="135"/>
      <c r="S571" s="135"/>
      <c r="T571" s="5"/>
    </row>
    <row r="572" spans="1:20" x14ac:dyDescent="0.45">
      <c r="A572" s="135"/>
      <c r="B572" s="135"/>
      <c r="C572" s="135"/>
      <c r="D572" s="135"/>
      <c r="E572" s="135"/>
      <c r="F572" s="135"/>
      <c r="G572" s="135"/>
      <c r="H572" s="135"/>
      <c r="I572" s="135"/>
      <c r="J572" s="135"/>
      <c r="K572" s="135"/>
      <c r="L572" s="135"/>
      <c r="M572" s="135"/>
      <c r="N572" s="135"/>
      <c r="O572" s="135"/>
      <c r="P572" s="135"/>
      <c r="Q572" s="135"/>
      <c r="R572" s="135"/>
      <c r="S572" s="135"/>
      <c r="T572" s="5"/>
    </row>
    <row r="573" spans="1:20" x14ac:dyDescent="0.45">
      <c r="A573" s="135"/>
      <c r="B573" s="135"/>
      <c r="C573" s="135"/>
      <c r="D573" s="135"/>
      <c r="E573" s="135"/>
      <c r="F573" s="135"/>
      <c r="G573" s="135"/>
      <c r="H573" s="135"/>
      <c r="I573" s="135"/>
      <c r="J573" s="135"/>
      <c r="K573" s="135"/>
      <c r="L573" s="135"/>
      <c r="M573" s="135"/>
      <c r="N573" s="135"/>
      <c r="O573" s="135"/>
      <c r="P573" s="135"/>
      <c r="Q573" s="135"/>
      <c r="R573" s="135"/>
      <c r="S573" s="135"/>
      <c r="T573" s="5"/>
    </row>
    <row r="574" spans="1:20" x14ac:dyDescent="0.45">
      <c r="A574" s="135"/>
      <c r="B574" s="135"/>
      <c r="C574" s="135"/>
      <c r="D574" s="135"/>
      <c r="E574" s="135"/>
      <c r="F574" s="135"/>
      <c r="G574" s="135"/>
      <c r="H574" s="135"/>
      <c r="I574" s="135"/>
      <c r="J574" s="135"/>
      <c r="K574" s="135"/>
      <c r="L574" s="135"/>
      <c r="M574" s="135"/>
      <c r="N574" s="135"/>
      <c r="O574" s="135"/>
      <c r="P574" s="135"/>
      <c r="Q574" s="135"/>
      <c r="R574" s="135"/>
      <c r="S574" s="135"/>
      <c r="T574" s="5"/>
    </row>
    <row r="575" spans="1:20" x14ac:dyDescent="0.45">
      <c r="A575" s="135"/>
      <c r="B575" s="135"/>
      <c r="C575" s="135"/>
      <c r="D575" s="135"/>
      <c r="E575" s="135"/>
      <c r="F575" s="135"/>
      <c r="G575" s="135"/>
      <c r="H575" s="135"/>
      <c r="I575" s="135"/>
      <c r="J575" s="135"/>
      <c r="K575" s="135"/>
      <c r="L575" s="135"/>
      <c r="M575" s="135"/>
      <c r="N575" s="135"/>
      <c r="O575" s="135"/>
      <c r="P575" s="135"/>
      <c r="Q575" s="135"/>
      <c r="R575" s="135"/>
      <c r="S575" s="135"/>
      <c r="T575" s="5"/>
    </row>
    <row r="576" spans="1:20" x14ac:dyDescent="0.45">
      <c r="A576" s="135"/>
      <c r="B576" s="135"/>
      <c r="C576" s="135"/>
      <c r="D576" s="135"/>
      <c r="E576" s="135"/>
      <c r="F576" s="135"/>
      <c r="G576" s="135"/>
      <c r="H576" s="135"/>
      <c r="I576" s="135"/>
      <c r="J576" s="135"/>
      <c r="K576" s="135"/>
      <c r="L576" s="135"/>
      <c r="M576" s="135"/>
      <c r="N576" s="135"/>
      <c r="O576" s="135"/>
      <c r="P576" s="135"/>
      <c r="Q576" s="135"/>
      <c r="R576" s="135"/>
      <c r="S576" s="135"/>
      <c r="T576" s="5"/>
    </row>
    <row r="577" spans="1:20" x14ac:dyDescent="0.45">
      <c r="A577" s="135"/>
      <c r="B577" s="135"/>
      <c r="C577" s="135"/>
      <c r="D577" s="135"/>
      <c r="E577" s="135"/>
      <c r="F577" s="135"/>
      <c r="G577" s="135"/>
      <c r="H577" s="135"/>
      <c r="I577" s="135"/>
      <c r="J577" s="135"/>
      <c r="K577" s="135"/>
      <c r="L577" s="135"/>
      <c r="M577" s="135"/>
      <c r="N577" s="135"/>
      <c r="O577" s="135"/>
      <c r="P577" s="135"/>
      <c r="Q577" s="135"/>
      <c r="R577" s="135"/>
      <c r="S577" s="135"/>
      <c r="T577" s="5"/>
    </row>
    <row r="578" spans="1:20" x14ac:dyDescent="0.45">
      <c r="A578" s="135"/>
      <c r="B578" s="135"/>
      <c r="C578" s="135"/>
      <c r="D578" s="135"/>
      <c r="E578" s="135"/>
      <c r="F578" s="135"/>
      <c r="G578" s="135"/>
      <c r="H578" s="135"/>
      <c r="I578" s="135"/>
      <c r="J578" s="135"/>
      <c r="K578" s="135"/>
      <c r="L578" s="135"/>
      <c r="M578" s="135"/>
      <c r="N578" s="135"/>
      <c r="O578" s="135"/>
      <c r="P578" s="135"/>
      <c r="Q578" s="135"/>
      <c r="R578" s="135"/>
      <c r="S578" s="135"/>
      <c r="T578" s="5"/>
    </row>
    <row r="579" spans="1:20" x14ac:dyDescent="0.45">
      <c r="A579" s="135"/>
      <c r="B579" s="135"/>
      <c r="C579" s="135"/>
      <c r="D579" s="135"/>
      <c r="E579" s="135"/>
      <c r="F579" s="135"/>
      <c r="G579" s="135"/>
      <c r="H579" s="135"/>
      <c r="I579" s="135"/>
      <c r="J579" s="135"/>
      <c r="K579" s="135"/>
      <c r="L579" s="135"/>
      <c r="M579" s="135"/>
      <c r="N579" s="135"/>
      <c r="O579" s="135"/>
      <c r="P579" s="135"/>
      <c r="Q579" s="135"/>
      <c r="R579" s="135"/>
      <c r="S579" s="135"/>
      <c r="T579" s="5"/>
    </row>
    <row r="580" spans="1:20" x14ac:dyDescent="0.45">
      <c r="A580" s="135"/>
      <c r="B580" s="135"/>
      <c r="C580" s="135"/>
      <c r="D580" s="135"/>
      <c r="E580" s="135"/>
      <c r="F580" s="135"/>
      <c r="G580" s="135"/>
      <c r="H580" s="135"/>
      <c r="I580" s="135"/>
      <c r="J580" s="135"/>
      <c r="K580" s="135"/>
      <c r="L580" s="135"/>
      <c r="M580" s="135"/>
      <c r="N580" s="135"/>
      <c r="O580" s="135"/>
      <c r="P580" s="135"/>
      <c r="Q580" s="135"/>
      <c r="R580" s="135"/>
      <c r="S580" s="135"/>
      <c r="T580" s="5"/>
    </row>
    <row r="581" spans="1:20" x14ac:dyDescent="0.45">
      <c r="A581" s="135"/>
      <c r="B581" s="135"/>
      <c r="C581" s="135"/>
      <c r="D581" s="135"/>
      <c r="E581" s="135"/>
      <c r="F581" s="135"/>
      <c r="G581" s="135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5"/>
    </row>
    <row r="582" spans="1:20" x14ac:dyDescent="0.45">
      <c r="A582" s="135"/>
      <c r="B582" s="135"/>
      <c r="C582" s="135"/>
      <c r="D582" s="135"/>
      <c r="E582" s="135"/>
      <c r="F582" s="135"/>
      <c r="G582" s="135"/>
      <c r="H582" s="135"/>
      <c r="I582" s="135"/>
      <c r="J582" s="135"/>
      <c r="K582" s="135"/>
      <c r="L582" s="135"/>
      <c r="M582" s="135"/>
      <c r="N582" s="135"/>
      <c r="O582" s="135"/>
      <c r="P582" s="135"/>
      <c r="Q582" s="135"/>
      <c r="R582" s="135"/>
      <c r="S582" s="135"/>
      <c r="T582" s="5"/>
    </row>
    <row r="583" spans="1:20" x14ac:dyDescent="0.45">
      <c r="A583" s="135"/>
      <c r="B583" s="135"/>
      <c r="C583" s="135"/>
      <c r="D583" s="135"/>
      <c r="E583" s="135"/>
      <c r="F583" s="135"/>
      <c r="G583" s="135"/>
      <c r="H583" s="135"/>
      <c r="I583" s="135"/>
      <c r="J583" s="135"/>
      <c r="K583" s="135"/>
      <c r="L583" s="135"/>
      <c r="M583" s="135"/>
      <c r="N583" s="135"/>
      <c r="O583" s="135"/>
      <c r="P583" s="135"/>
      <c r="Q583" s="135"/>
      <c r="R583" s="135"/>
      <c r="S583" s="135"/>
      <c r="T583" s="5"/>
    </row>
    <row r="584" spans="1:20" x14ac:dyDescent="0.45">
      <c r="A584" s="135"/>
      <c r="B584" s="135"/>
      <c r="C584" s="135"/>
      <c r="D584" s="135"/>
      <c r="E584" s="135"/>
      <c r="F584" s="135"/>
      <c r="G584" s="135"/>
      <c r="H584" s="135"/>
      <c r="I584" s="135"/>
      <c r="J584" s="135"/>
      <c r="K584" s="135"/>
      <c r="L584" s="135"/>
      <c r="M584" s="135"/>
      <c r="N584" s="135"/>
      <c r="O584" s="135"/>
      <c r="P584" s="135"/>
      <c r="Q584" s="135"/>
      <c r="R584" s="135"/>
      <c r="S584" s="135"/>
      <c r="T584" s="5"/>
    </row>
    <row r="585" spans="1:20" x14ac:dyDescent="0.45">
      <c r="A585" s="135"/>
      <c r="B585" s="135"/>
      <c r="C585" s="135"/>
      <c r="D585" s="135"/>
      <c r="E585" s="135"/>
      <c r="F585" s="135"/>
      <c r="G585" s="135"/>
      <c r="H585" s="135"/>
      <c r="I585" s="135"/>
      <c r="J585" s="135"/>
      <c r="K585" s="135"/>
      <c r="L585" s="135"/>
      <c r="M585" s="135"/>
      <c r="N585" s="135"/>
      <c r="O585" s="135"/>
      <c r="P585" s="135"/>
      <c r="Q585" s="135"/>
      <c r="R585" s="135"/>
      <c r="S585" s="135"/>
      <c r="T585" s="5"/>
    </row>
    <row r="586" spans="1:20" x14ac:dyDescent="0.45">
      <c r="A586" s="135"/>
      <c r="B586" s="135"/>
      <c r="C586" s="135"/>
      <c r="D586" s="135"/>
      <c r="E586" s="135"/>
      <c r="F586" s="135"/>
      <c r="G586" s="135"/>
      <c r="H586" s="135"/>
      <c r="I586" s="135"/>
      <c r="J586" s="135"/>
      <c r="K586" s="135"/>
      <c r="L586" s="135"/>
      <c r="M586" s="135"/>
      <c r="N586" s="135"/>
      <c r="O586" s="135"/>
      <c r="P586" s="135"/>
      <c r="Q586" s="135"/>
      <c r="R586" s="135"/>
      <c r="S586" s="135"/>
      <c r="T586" s="5"/>
    </row>
    <row r="587" spans="1:20" x14ac:dyDescent="0.45">
      <c r="A587" s="135"/>
      <c r="B587" s="135"/>
      <c r="C587" s="135"/>
      <c r="D587" s="135"/>
      <c r="E587" s="135"/>
      <c r="F587" s="135"/>
      <c r="G587" s="135"/>
      <c r="H587" s="135"/>
      <c r="I587" s="135"/>
      <c r="J587" s="135"/>
      <c r="K587" s="135"/>
      <c r="L587" s="135"/>
      <c r="M587" s="135"/>
      <c r="N587" s="135"/>
      <c r="O587" s="135"/>
      <c r="P587" s="135"/>
      <c r="Q587" s="135"/>
      <c r="R587" s="135"/>
      <c r="S587" s="135"/>
      <c r="T587" s="5"/>
    </row>
    <row r="588" spans="1:20" x14ac:dyDescent="0.45">
      <c r="A588" s="135"/>
      <c r="B588" s="135"/>
      <c r="C588" s="135"/>
      <c r="D588" s="135"/>
      <c r="E588" s="135"/>
      <c r="F588" s="135"/>
      <c r="G588" s="135"/>
      <c r="H588" s="135"/>
      <c r="I588" s="135"/>
      <c r="J588" s="135"/>
      <c r="K588" s="135"/>
      <c r="L588" s="135"/>
      <c r="M588" s="135"/>
      <c r="N588" s="135"/>
      <c r="O588" s="135"/>
      <c r="P588" s="135"/>
      <c r="Q588" s="135"/>
      <c r="R588" s="135"/>
      <c r="S588" s="135"/>
      <c r="T588" s="5"/>
    </row>
    <row r="589" spans="1:20" x14ac:dyDescent="0.45">
      <c r="A589" s="135"/>
      <c r="B589" s="135"/>
      <c r="C589" s="135"/>
      <c r="D589" s="135"/>
      <c r="E589" s="135"/>
      <c r="F589" s="135"/>
      <c r="G589" s="135"/>
      <c r="H589" s="135"/>
      <c r="I589" s="135"/>
      <c r="J589" s="135"/>
      <c r="K589" s="135"/>
      <c r="L589" s="135"/>
      <c r="M589" s="135"/>
      <c r="N589" s="135"/>
      <c r="O589" s="135"/>
      <c r="P589" s="135"/>
      <c r="Q589" s="135"/>
      <c r="R589" s="135"/>
      <c r="S589" s="135"/>
      <c r="T589" s="5"/>
    </row>
    <row r="590" spans="1:20" x14ac:dyDescent="0.45">
      <c r="A590" s="135"/>
      <c r="B590" s="135"/>
      <c r="C590" s="135"/>
      <c r="D590" s="135"/>
      <c r="E590" s="135"/>
      <c r="F590" s="135"/>
      <c r="G590" s="135"/>
      <c r="H590" s="135"/>
      <c r="I590" s="135"/>
      <c r="J590" s="135"/>
      <c r="K590" s="135"/>
      <c r="L590" s="135"/>
      <c r="M590" s="135"/>
      <c r="N590" s="135"/>
      <c r="O590" s="135"/>
      <c r="P590" s="135"/>
      <c r="Q590" s="135"/>
      <c r="R590" s="135"/>
      <c r="S590" s="135"/>
      <c r="T590" s="5"/>
    </row>
    <row r="591" spans="1:20" x14ac:dyDescent="0.45">
      <c r="A591" s="135"/>
      <c r="B591" s="135"/>
      <c r="C591" s="135"/>
      <c r="D591" s="135"/>
      <c r="E591" s="135"/>
      <c r="F591" s="135"/>
      <c r="G591" s="135"/>
      <c r="H591" s="135"/>
      <c r="I591" s="135"/>
      <c r="J591" s="135"/>
      <c r="K591" s="135"/>
      <c r="L591" s="135"/>
      <c r="M591" s="135"/>
      <c r="N591" s="135"/>
      <c r="O591" s="135"/>
      <c r="P591" s="135"/>
      <c r="Q591" s="135"/>
      <c r="R591" s="135"/>
      <c r="S591" s="135"/>
      <c r="T591" s="5"/>
    </row>
    <row r="592" spans="1:20" x14ac:dyDescent="0.45">
      <c r="A592" s="135"/>
      <c r="B592" s="135"/>
      <c r="C592" s="135"/>
      <c r="D592" s="135"/>
      <c r="E592" s="135"/>
      <c r="F592" s="135"/>
      <c r="G592" s="135"/>
      <c r="H592" s="135"/>
      <c r="I592" s="135"/>
      <c r="J592" s="135"/>
      <c r="K592" s="135"/>
      <c r="L592" s="135"/>
      <c r="M592" s="135"/>
      <c r="N592" s="135"/>
      <c r="O592" s="135"/>
      <c r="P592" s="135"/>
      <c r="Q592" s="135"/>
      <c r="R592" s="135"/>
      <c r="S592" s="135"/>
      <c r="T592" s="5"/>
    </row>
    <row r="593" spans="1:20" x14ac:dyDescent="0.45">
      <c r="A593" s="135"/>
      <c r="B593" s="135"/>
      <c r="C593" s="135"/>
      <c r="D593" s="135"/>
      <c r="E593" s="135"/>
      <c r="F593" s="135"/>
      <c r="G593" s="135"/>
      <c r="H593" s="135"/>
      <c r="I593" s="135"/>
      <c r="J593" s="135"/>
      <c r="K593" s="135"/>
      <c r="L593" s="135"/>
      <c r="M593" s="135"/>
      <c r="N593" s="135"/>
      <c r="O593" s="135"/>
      <c r="P593" s="135"/>
      <c r="Q593" s="135"/>
      <c r="R593" s="135"/>
      <c r="S593" s="135"/>
      <c r="T593" s="5"/>
    </row>
    <row r="594" spans="1:20" x14ac:dyDescent="0.45">
      <c r="A594" s="135"/>
      <c r="B594" s="135"/>
      <c r="C594" s="135"/>
      <c r="D594" s="135"/>
      <c r="E594" s="135"/>
      <c r="F594" s="135"/>
      <c r="G594" s="135"/>
      <c r="H594" s="135"/>
      <c r="I594" s="135"/>
      <c r="J594" s="135"/>
      <c r="K594" s="135"/>
      <c r="L594" s="135"/>
      <c r="M594" s="135"/>
      <c r="N594" s="135"/>
      <c r="O594" s="135"/>
      <c r="P594" s="135"/>
      <c r="Q594" s="135"/>
      <c r="R594" s="135"/>
      <c r="S594" s="135"/>
      <c r="T594" s="5"/>
    </row>
    <row r="595" spans="1:20" x14ac:dyDescent="0.45">
      <c r="A595" s="135"/>
      <c r="B595" s="135"/>
      <c r="C595" s="135"/>
      <c r="D595" s="135"/>
      <c r="E595" s="135"/>
      <c r="F595" s="135"/>
      <c r="G595" s="135"/>
      <c r="H595" s="135"/>
      <c r="I595" s="135"/>
      <c r="J595" s="135"/>
      <c r="K595" s="135"/>
      <c r="L595" s="135"/>
      <c r="M595" s="135"/>
      <c r="N595" s="135"/>
      <c r="O595" s="135"/>
      <c r="P595" s="135"/>
      <c r="Q595" s="135"/>
      <c r="R595" s="135"/>
      <c r="S595" s="135"/>
      <c r="T595" s="5"/>
    </row>
    <row r="596" spans="1:20" x14ac:dyDescent="0.45">
      <c r="A596" s="135"/>
      <c r="B596" s="135"/>
      <c r="C596" s="135"/>
      <c r="D596" s="135"/>
      <c r="E596" s="135"/>
      <c r="F596" s="135"/>
      <c r="G596" s="135"/>
      <c r="H596" s="135"/>
      <c r="I596" s="135"/>
      <c r="J596" s="135"/>
      <c r="K596" s="135"/>
      <c r="L596" s="135"/>
      <c r="M596" s="135"/>
      <c r="N596" s="135"/>
      <c r="O596" s="135"/>
      <c r="P596" s="135"/>
      <c r="Q596" s="135"/>
      <c r="R596" s="135"/>
      <c r="S596" s="135"/>
      <c r="T596" s="5"/>
    </row>
    <row r="597" spans="1:20" x14ac:dyDescent="0.45">
      <c r="A597" s="135"/>
      <c r="B597" s="135"/>
      <c r="C597" s="135"/>
      <c r="D597" s="135"/>
      <c r="E597" s="135"/>
      <c r="F597" s="135"/>
      <c r="G597" s="135"/>
      <c r="H597" s="135"/>
      <c r="I597" s="135"/>
      <c r="J597" s="135"/>
      <c r="K597" s="135"/>
      <c r="L597" s="135"/>
      <c r="M597" s="135"/>
      <c r="N597" s="135"/>
      <c r="O597" s="135"/>
      <c r="P597" s="135"/>
      <c r="Q597" s="135"/>
      <c r="R597" s="135"/>
      <c r="S597" s="135"/>
      <c r="T597" s="5"/>
    </row>
    <row r="598" spans="1:20" x14ac:dyDescent="0.45">
      <c r="A598" s="135"/>
      <c r="B598" s="135"/>
      <c r="C598" s="135"/>
      <c r="D598" s="135"/>
      <c r="E598" s="135"/>
      <c r="F598" s="135"/>
      <c r="G598" s="135"/>
      <c r="H598" s="135"/>
      <c r="I598" s="135"/>
      <c r="J598" s="135"/>
      <c r="K598" s="135"/>
      <c r="L598" s="135"/>
      <c r="M598" s="135"/>
      <c r="N598" s="135"/>
      <c r="O598" s="135"/>
      <c r="P598" s="135"/>
      <c r="Q598" s="135"/>
      <c r="R598" s="135"/>
      <c r="S598" s="135"/>
      <c r="T598" s="5"/>
    </row>
    <row r="599" spans="1:20" x14ac:dyDescent="0.45">
      <c r="A599" s="135"/>
      <c r="B599" s="135"/>
      <c r="C599" s="135"/>
      <c r="D599" s="135"/>
      <c r="E599" s="135"/>
      <c r="F599" s="135"/>
      <c r="G599" s="135"/>
      <c r="H599" s="135"/>
      <c r="I599" s="135"/>
      <c r="J599" s="135"/>
      <c r="K599" s="135"/>
      <c r="L599" s="135"/>
      <c r="M599" s="135"/>
      <c r="N599" s="135"/>
      <c r="O599" s="135"/>
      <c r="P599" s="135"/>
      <c r="Q599" s="135"/>
      <c r="R599" s="135"/>
      <c r="S599" s="135"/>
      <c r="T599" s="5"/>
    </row>
    <row r="600" spans="1:20" x14ac:dyDescent="0.45">
      <c r="A600" s="135"/>
      <c r="B600" s="135"/>
      <c r="C600" s="135"/>
      <c r="D600" s="135"/>
      <c r="E600" s="135"/>
      <c r="F600" s="135"/>
      <c r="G600" s="135"/>
      <c r="H600" s="135"/>
      <c r="I600" s="135"/>
      <c r="J600" s="135"/>
      <c r="K600" s="135"/>
      <c r="L600" s="135"/>
      <c r="M600" s="135"/>
      <c r="N600" s="135"/>
      <c r="O600" s="135"/>
      <c r="P600" s="135"/>
      <c r="Q600" s="135"/>
      <c r="R600" s="135"/>
      <c r="S600" s="135"/>
      <c r="T600" s="5"/>
    </row>
    <row r="601" spans="1:20" x14ac:dyDescent="0.45">
      <c r="A601" s="135"/>
      <c r="B601" s="135"/>
      <c r="C601" s="135"/>
      <c r="D601" s="135"/>
      <c r="E601" s="135"/>
      <c r="F601" s="135"/>
      <c r="G601" s="135"/>
      <c r="H601" s="135"/>
      <c r="I601" s="135"/>
      <c r="J601" s="135"/>
      <c r="K601" s="135"/>
      <c r="L601" s="135"/>
      <c r="M601" s="135"/>
      <c r="N601" s="135"/>
      <c r="O601" s="135"/>
      <c r="P601" s="135"/>
      <c r="Q601" s="135"/>
      <c r="R601" s="135"/>
      <c r="S601" s="135"/>
      <c r="T601" s="5"/>
    </row>
    <row r="602" spans="1:20" x14ac:dyDescent="0.45">
      <c r="A602" s="135"/>
      <c r="B602" s="135"/>
      <c r="C602" s="135"/>
      <c r="D602" s="135"/>
      <c r="E602" s="135"/>
      <c r="F602" s="135"/>
      <c r="G602" s="135"/>
      <c r="H602" s="135"/>
      <c r="I602" s="135"/>
      <c r="J602" s="135"/>
      <c r="K602" s="135"/>
      <c r="L602" s="135"/>
      <c r="M602" s="135"/>
      <c r="N602" s="135"/>
      <c r="O602" s="135"/>
      <c r="P602" s="135"/>
      <c r="Q602" s="135"/>
      <c r="R602" s="135"/>
      <c r="S602" s="135"/>
      <c r="T602" s="5"/>
    </row>
    <row r="603" spans="1:20" x14ac:dyDescent="0.45">
      <c r="A603" s="135"/>
      <c r="B603" s="135"/>
      <c r="C603" s="135"/>
      <c r="D603" s="135"/>
      <c r="E603" s="135"/>
      <c r="F603" s="135"/>
      <c r="G603" s="135"/>
      <c r="H603" s="135"/>
      <c r="I603" s="135"/>
      <c r="J603" s="135"/>
      <c r="K603" s="135"/>
      <c r="L603" s="135"/>
      <c r="M603" s="135"/>
      <c r="N603" s="135"/>
      <c r="O603" s="135"/>
      <c r="P603" s="135"/>
      <c r="Q603" s="135"/>
      <c r="R603" s="135"/>
      <c r="S603" s="135"/>
      <c r="T603" s="5"/>
    </row>
    <row r="604" spans="1:20" x14ac:dyDescent="0.45">
      <c r="A604" s="135"/>
      <c r="B604" s="135"/>
      <c r="C604" s="135"/>
      <c r="D604" s="135"/>
      <c r="E604" s="135"/>
      <c r="F604" s="135"/>
      <c r="G604" s="135"/>
      <c r="H604" s="135"/>
      <c r="I604" s="135"/>
      <c r="J604" s="135"/>
      <c r="K604" s="135"/>
      <c r="L604" s="135"/>
      <c r="M604" s="135"/>
      <c r="N604" s="135"/>
      <c r="O604" s="135"/>
      <c r="P604" s="135"/>
      <c r="Q604" s="135"/>
      <c r="R604" s="135"/>
      <c r="S604" s="135"/>
      <c r="T604" s="5"/>
    </row>
    <row r="605" spans="1:20" x14ac:dyDescent="0.45">
      <c r="A605" s="135"/>
      <c r="B605" s="135"/>
      <c r="C605" s="135"/>
      <c r="D605" s="135"/>
      <c r="E605" s="135"/>
      <c r="F605" s="135"/>
      <c r="G605" s="135"/>
      <c r="H605" s="135"/>
      <c r="I605" s="135"/>
      <c r="J605" s="135"/>
      <c r="K605" s="135"/>
      <c r="L605" s="135"/>
      <c r="M605" s="135"/>
      <c r="N605" s="135"/>
      <c r="O605" s="135"/>
      <c r="P605" s="135"/>
      <c r="Q605" s="135"/>
      <c r="R605" s="135"/>
      <c r="S605" s="135"/>
      <c r="T605" s="5"/>
    </row>
    <row r="606" spans="1:20" x14ac:dyDescent="0.45">
      <c r="A606" s="135"/>
      <c r="B606" s="135"/>
      <c r="C606" s="135"/>
      <c r="D606" s="135"/>
      <c r="E606" s="135"/>
      <c r="F606" s="135"/>
      <c r="G606" s="135"/>
      <c r="H606" s="135"/>
      <c r="I606" s="135"/>
      <c r="J606" s="135"/>
      <c r="K606" s="135"/>
      <c r="L606" s="135"/>
      <c r="M606" s="135"/>
      <c r="N606" s="135"/>
      <c r="O606" s="135"/>
      <c r="P606" s="135"/>
      <c r="Q606" s="135"/>
      <c r="R606" s="135"/>
      <c r="S606" s="135"/>
      <c r="T606" s="5"/>
    </row>
    <row r="607" spans="1:20" x14ac:dyDescent="0.45">
      <c r="A607" s="135"/>
      <c r="B607" s="135"/>
      <c r="C607" s="135"/>
      <c r="D607" s="135"/>
      <c r="E607" s="135"/>
      <c r="F607" s="135"/>
      <c r="G607" s="135"/>
      <c r="H607" s="135"/>
      <c r="I607" s="135"/>
      <c r="J607" s="135"/>
      <c r="K607" s="135"/>
      <c r="L607" s="135"/>
      <c r="M607" s="135"/>
      <c r="N607" s="135"/>
      <c r="O607" s="135"/>
      <c r="P607" s="135"/>
      <c r="Q607" s="135"/>
      <c r="R607" s="135"/>
      <c r="S607" s="135"/>
      <c r="T607" s="5"/>
    </row>
    <row r="608" spans="1:20" x14ac:dyDescent="0.45">
      <c r="A608" s="135"/>
      <c r="B608" s="135"/>
      <c r="C608" s="135"/>
      <c r="D608" s="135"/>
      <c r="E608" s="135"/>
      <c r="F608" s="135"/>
      <c r="G608" s="135"/>
      <c r="H608" s="135"/>
      <c r="I608" s="135"/>
      <c r="J608" s="135"/>
      <c r="K608" s="135"/>
      <c r="L608" s="135"/>
      <c r="M608" s="135"/>
      <c r="N608" s="135"/>
      <c r="O608" s="135"/>
      <c r="P608" s="135"/>
      <c r="Q608" s="135"/>
      <c r="R608" s="135"/>
      <c r="S608" s="135"/>
      <c r="T608" s="5"/>
    </row>
    <row r="609" spans="1:20" x14ac:dyDescent="0.45">
      <c r="A609" s="135"/>
      <c r="B609" s="135"/>
      <c r="C609" s="135"/>
      <c r="D609" s="135"/>
      <c r="E609" s="135"/>
      <c r="F609" s="135"/>
      <c r="G609" s="135"/>
      <c r="H609" s="135"/>
      <c r="I609" s="135"/>
      <c r="J609" s="135"/>
      <c r="K609" s="135"/>
      <c r="L609" s="135"/>
      <c r="M609" s="135"/>
      <c r="N609" s="135"/>
      <c r="O609" s="135"/>
      <c r="P609" s="135"/>
      <c r="Q609" s="135"/>
      <c r="R609" s="135"/>
      <c r="S609" s="135"/>
      <c r="T609" s="5"/>
    </row>
    <row r="610" spans="1:20" x14ac:dyDescent="0.45">
      <c r="A610" s="135"/>
      <c r="B610" s="135"/>
      <c r="C610" s="135"/>
      <c r="D610" s="135"/>
      <c r="E610" s="135"/>
      <c r="F610" s="135"/>
      <c r="G610" s="135"/>
      <c r="H610" s="135"/>
      <c r="I610" s="135"/>
      <c r="J610" s="135"/>
      <c r="K610" s="135"/>
      <c r="L610" s="135"/>
      <c r="M610" s="135"/>
      <c r="N610" s="135"/>
      <c r="O610" s="135"/>
      <c r="P610" s="135"/>
      <c r="Q610" s="135"/>
      <c r="R610" s="135"/>
      <c r="S610" s="135"/>
      <c r="T610" s="5"/>
    </row>
    <row r="611" spans="1:20" x14ac:dyDescent="0.45">
      <c r="A611" s="135"/>
      <c r="B611" s="135"/>
      <c r="C611" s="135"/>
      <c r="D611" s="135"/>
      <c r="E611" s="135"/>
      <c r="F611" s="135"/>
      <c r="G611" s="135"/>
      <c r="H611" s="135"/>
      <c r="I611" s="135"/>
      <c r="J611" s="135"/>
      <c r="K611" s="135"/>
      <c r="L611" s="135"/>
      <c r="M611" s="135"/>
      <c r="N611" s="135"/>
      <c r="O611" s="135"/>
      <c r="P611" s="135"/>
      <c r="Q611" s="135"/>
      <c r="R611" s="135"/>
      <c r="S611" s="135"/>
      <c r="T611" s="5"/>
    </row>
    <row r="612" spans="1:20" x14ac:dyDescent="0.45">
      <c r="A612" s="135"/>
      <c r="B612" s="135"/>
      <c r="C612" s="135"/>
      <c r="D612" s="135"/>
      <c r="E612" s="135"/>
      <c r="F612" s="135"/>
      <c r="G612" s="135"/>
      <c r="H612" s="135"/>
      <c r="I612" s="135"/>
      <c r="J612" s="135"/>
      <c r="K612" s="135"/>
      <c r="L612" s="135"/>
      <c r="M612" s="135"/>
      <c r="N612" s="135"/>
      <c r="O612" s="135"/>
      <c r="P612" s="135"/>
      <c r="Q612" s="135"/>
      <c r="R612" s="135"/>
      <c r="S612" s="135"/>
      <c r="T612" s="5"/>
    </row>
    <row r="613" spans="1:20" x14ac:dyDescent="0.45">
      <c r="A613" s="135"/>
      <c r="B613" s="135"/>
      <c r="C613" s="135"/>
      <c r="D613" s="135"/>
      <c r="E613" s="135"/>
      <c r="F613" s="135"/>
      <c r="G613" s="135"/>
      <c r="H613" s="135"/>
      <c r="I613" s="135"/>
      <c r="J613" s="135"/>
      <c r="K613" s="135"/>
      <c r="L613" s="135"/>
      <c r="M613" s="135"/>
      <c r="N613" s="135"/>
      <c r="O613" s="135"/>
      <c r="P613" s="135"/>
      <c r="Q613" s="135"/>
      <c r="R613" s="135"/>
      <c r="S613" s="135"/>
      <c r="T613" s="5"/>
    </row>
    <row r="614" spans="1:20" x14ac:dyDescent="0.45">
      <c r="A614" s="135"/>
      <c r="B614" s="135"/>
      <c r="C614" s="135"/>
      <c r="D614" s="135"/>
      <c r="E614" s="135"/>
      <c r="F614" s="135"/>
      <c r="G614" s="135"/>
      <c r="H614" s="135"/>
      <c r="I614" s="135"/>
      <c r="J614" s="135"/>
      <c r="K614" s="135"/>
      <c r="L614" s="135"/>
      <c r="M614" s="135"/>
      <c r="N614" s="135"/>
      <c r="O614" s="135"/>
      <c r="P614" s="135"/>
      <c r="Q614" s="135"/>
      <c r="R614" s="135"/>
      <c r="S614" s="135"/>
      <c r="T614" s="5"/>
    </row>
    <row r="615" spans="1:20" x14ac:dyDescent="0.45">
      <c r="A615" s="135"/>
      <c r="B615" s="135"/>
      <c r="C615" s="135"/>
      <c r="D615" s="135"/>
      <c r="E615" s="135"/>
      <c r="F615" s="135"/>
      <c r="G615" s="135"/>
      <c r="H615" s="135"/>
      <c r="I615" s="135"/>
      <c r="J615" s="135"/>
      <c r="K615" s="135"/>
      <c r="L615" s="135"/>
      <c r="M615" s="135"/>
      <c r="N615" s="135"/>
      <c r="O615" s="135"/>
      <c r="P615" s="135"/>
      <c r="Q615" s="135"/>
      <c r="R615" s="135"/>
      <c r="S615" s="135"/>
      <c r="T615" s="5"/>
    </row>
    <row r="616" spans="1:20" x14ac:dyDescent="0.45">
      <c r="A616" s="135"/>
      <c r="B616" s="135"/>
      <c r="C616" s="135"/>
      <c r="D616" s="135"/>
      <c r="E616" s="135"/>
      <c r="F616" s="135"/>
      <c r="G616" s="135"/>
      <c r="H616" s="135"/>
      <c r="I616" s="135"/>
      <c r="J616" s="135"/>
      <c r="K616" s="135"/>
      <c r="L616" s="135"/>
      <c r="M616" s="135"/>
      <c r="N616" s="135"/>
      <c r="O616" s="135"/>
      <c r="P616" s="135"/>
      <c r="Q616" s="135"/>
      <c r="R616" s="135"/>
      <c r="S616" s="135"/>
      <c r="T616" s="5"/>
    </row>
    <row r="617" spans="1:20" x14ac:dyDescent="0.45">
      <c r="A617" s="135"/>
      <c r="B617" s="135"/>
      <c r="C617" s="135"/>
      <c r="D617" s="135"/>
      <c r="E617" s="135"/>
      <c r="F617" s="135"/>
      <c r="G617" s="135"/>
      <c r="H617" s="135"/>
      <c r="I617" s="135"/>
      <c r="J617" s="135"/>
      <c r="K617" s="135"/>
      <c r="L617" s="135"/>
      <c r="M617" s="135"/>
      <c r="N617" s="135"/>
      <c r="O617" s="135"/>
      <c r="P617" s="135"/>
      <c r="Q617" s="135"/>
      <c r="R617" s="135"/>
      <c r="S617" s="135"/>
      <c r="T617" s="5"/>
    </row>
    <row r="618" spans="1:20" x14ac:dyDescent="0.45">
      <c r="A618" s="135"/>
      <c r="B618" s="135"/>
      <c r="C618" s="135"/>
      <c r="D618" s="135"/>
      <c r="E618" s="135"/>
      <c r="F618" s="135"/>
      <c r="G618" s="135"/>
      <c r="H618" s="135"/>
      <c r="I618" s="135"/>
      <c r="J618" s="135"/>
      <c r="K618" s="135"/>
      <c r="L618" s="135"/>
      <c r="M618" s="135"/>
      <c r="N618" s="135"/>
      <c r="O618" s="135"/>
      <c r="P618" s="135"/>
      <c r="Q618" s="135"/>
      <c r="R618" s="135"/>
      <c r="S618" s="135"/>
      <c r="T618" s="5"/>
    </row>
    <row r="619" spans="1:20" x14ac:dyDescent="0.45">
      <c r="A619" s="135"/>
      <c r="B619" s="135"/>
      <c r="C619" s="135"/>
      <c r="D619" s="135"/>
      <c r="E619" s="135"/>
      <c r="F619" s="135"/>
      <c r="G619" s="135"/>
      <c r="H619" s="135"/>
      <c r="I619" s="135"/>
      <c r="J619" s="135"/>
      <c r="K619" s="135"/>
      <c r="L619" s="135"/>
      <c r="M619" s="135"/>
      <c r="N619" s="135"/>
      <c r="O619" s="135"/>
      <c r="P619" s="135"/>
      <c r="Q619" s="135"/>
      <c r="R619" s="135"/>
      <c r="S619" s="135"/>
      <c r="T619" s="5"/>
    </row>
    <row r="620" spans="1:20" x14ac:dyDescent="0.45">
      <c r="A620" s="135"/>
      <c r="B620" s="135"/>
      <c r="C620" s="135"/>
      <c r="D620" s="135"/>
      <c r="E620" s="135"/>
      <c r="F620" s="135"/>
      <c r="G620" s="135"/>
      <c r="H620" s="135"/>
      <c r="I620" s="135"/>
      <c r="J620" s="135"/>
      <c r="K620" s="135"/>
      <c r="L620" s="135"/>
      <c r="M620" s="135"/>
      <c r="N620" s="135"/>
      <c r="O620" s="135"/>
      <c r="P620" s="135"/>
      <c r="Q620" s="135"/>
      <c r="R620" s="135"/>
      <c r="S620" s="135"/>
      <c r="T620" s="5"/>
    </row>
    <row r="621" spans="1:20" x14ac:dyDescent="0.45">
      <c r="A621" s="135"/>
      <c r="B621" s="135"/>
      <c r="C621" s="135"/>
      <c r="D621" s="135"/>
      <c r="E621" s="135"/>
      <c r="F621" s="135"/>
      <c r="G621" s="135"/>
      <c r="H621" s="135"/>
      <c r="I621" s="135"/>
      <c r="J621" s="135"/>
      <c r="K621" s="135"/>
      <c r="L621" s="135"/>
      <c r="M621" s="135"/>
      <c r="N621" s="135"/>
      <c r="O621" s="135"/>
      <c r="P621" s="135"/>
      <c r="Q621" s="135"/>
      <c r="R621" s="135"/>
      <c r="S621" s="135"/>
      <c r="T621" s="5"/>
    </row>
    <row r="622" spans="1:20" x14ac:dyDescent="0.45">
      <c r="A622" s="135"/>
      <c r="B622" s="135"/>
      <c r="C622" s="135"/>
      <c r="D622" s="135"/>
      <c r="E622" s="135"/>
      <c r="F622" s="135"/>
      <c r="G622" s="135"/>
      <c r="H622" s="135"/>
      <c r="I622" s="135"/>
      <c r="J622" s="135"/>
      <c r="K622" s="135"/>
      <c r="L622" s="135"/>
      <c r="M622" s="135"/>
      <c r="N622" s="135"/>
      <c r="O622" s="135"/>
      <c r="P622" s="135"/>
      <c r="Q622" s="135"/>
      <c r="R622" s="135"/>
      <c r="S622" s="135"/>
      <c r="T622" s="5"/>
    </row>
    <row r="623" spans="1:20" x14ac:dyDescent="0.45">
      <c r="A623" s="135"/>
      <c r="B623" s="135"/>
      <c r="C623" s="135"/>
      <c r="D623" s="135"/>
      <c r="E623" s="135"/>
      <c r="F623" s="135"/>
      <c r="G623" s="135"/>
      <c r="H623" s="135"/>
      <c r="I623" s="135"/>
      <c r="J623" s="135"/>
      <c r="K623" s="135"/>
      <c r="L623" s="135"/>
      <c r="M623" s="135"/>
      <c r="N623" s="135"/>
      <c r="O623" s="135"/>
      <c r="P623" s="135"/>
      <c r="Q623" s="135"/>
      <c r="R623" s="135"/>
      <c r="S623" s="135"/>
      <c r="T623" s="5"/>
    </row>
    <row r="624" spans="1:20" x14ac:dyDescent="0.45">
      <c r="A624" s="135"/>
      <c r="B624" s="135"/>
      <c r="C624" s="135"/>
      <c r="D624" s="135"/>
      <c r="E624" s="135"/>
      <c r="F624" s="135"/>
      <c r="G624" s="135"/>
      <c r="H624" s="135"/>
      <c r="I624" s="135"/>
      <c r="J624" s="135"/>
      <c r="K624" s="135"/>
      <c r="L624" s="135"/>
      <c r="M624" s="135"/>
      <c r="N624" s="135"/>
      <c r="O624" s="135"/>
      <c r="P624" s="135"/>
      <c r="Q624" s="135"/>
      <c r="R624" s="135"/>
      <c r="S624" s="135"/>
      <c r="T624" s="5"/>
    </row>
    <row r="625" spans="1:20" x14ac:dyDescent="0.45">
      <c r="A625" s="135"/>
      <c r="B625" s="135"/>
      <c r="C625" s="135"/>
      <c r="D625" s="135"/>
      <c r="E625" s="135"/>
      <c r="F625" s="135"/>
      <c r="G625" s="135"/>
      <c r="H625" s="135"/>
      <c r="I625" s="135"/>
      <c r="J625" s="135"/>
      <c r="K625" s="135"/>
      <c r="L625" s="135"/>
      <c r="M625" s="135"/>
      <c r="N625" s="135"/>
      <c r="O625" s="135"/>
      <c r="P625" s="135"/>
      <c r="Q625" s="135"/>
      <c r="R625" s="135"/>
      <c r="S625" s="135"/>
      <c r="T625" s="5"/>
    </row>
    <row r="626" spans="1:20" x14ac:dyDescent="0.45">
      <c r="A626" s="135"/>
      <c r="B626" s="135"/>
      <c r="C626" s="135"/>
      <c r="D626" s="135"/>
      <c r="E626" s="135"/>
      <c r="F626" s="135"/>
      <c r="G626" s="135"/>
      <c r="H626" s="135"/>
      <c r="I626" s="135"/>
      <c r="J626" s="135"/>
      <c r="K626" s="135"/>
      <c r="L626" s="135"/>
      <c r="M626" s="135"/>
      <c r="N626" s="135"/>
      <c r="O626" s="135"/>
      <c r="P626" s="135"/>
      <c r="Q626" s="135"/>
      <c r="R626" s="135"/>
      <c r="S626" s="135"/>
      <c r="T626" s="5"/>
    </row>
    <row r="627" spans="1:20" x14ac:dyDescent="0.45">
      <c r="A627" s="135"/>
      <c r="B627" s="135"/>
      <c r="C627" s="135"/>
      <c r="D627" s="135"/>
      <c r="E627" s="135"/>
      <c r="F627" s="135"/>
      <c r="G627" s="135"/>
      <c r="H627" s="135"/>
      <c r="I627" s="135"/>
      <c r="J627" s="135"/>
      <c r="K627" s="135"/>
      <c r="L627" s="135"/>
      <c r="M627" s="135"/>
      <c r="N627" s="135"/>
      <c r="O627" s="135"/>
      <c r="P627" s="135"/>
      <c r="Q627" s="135"/>
      <c r="R627" s="135"/>
      <c r="S627" s="135"/>
      <c r="T627" s="5"/>
    </row>
    <row r="628" spans="1:20" x14ac:dyDescent="0.45">
      <c r="A628" s="135"/>
      <c r="B628" s="135"/>
      <c r="C628" s="135"/>
      <c r="D628" s="135"/>
      <c r="E628" s="135"/>
      <c r="F628" s="135"/>
      <c r="G628" s="135"/>
      <c r="H628" s="135"/>
      <c r="I628" s="135"/>
      <c r="J628" s="135"/>
      <c r="K628" s="135"/>
      <c r="L628" s="135"/>
      <c r="M628" s="135"/>
      <c r="N628" s="135"/>
      <c r="O628" s="135"/>
      <c r="P628" s="135"/>
      <c r="Q628" s="135"/>
      <c r="R628" s="135"/>
      <c r="S628" s="135"/>
      <c r="T628" s="5"/>
    </row>
    <row r="629" spans="1:20" x14ac:dyDescent="0.45">
      <c r="A629" s="135"/>
      <c r="B629" s="135"/>
      <c r="C629" s="135"/>
      <c r="D629" s="135"/>
      <c r="E629" s="135"/>
      <c r="F629" s="135"/>
      <c r="G629" s="135"/>
      <c r="H629" s="135"/>
      <c r="I629" s="135"/>
      <c r="J629" s="135"/>
      <c r="K629" s="135"/>
      <c r="L629" s="135"/>
      <c r="M629" s="135"/>
      <c r="N629" s="135"/>
      <c r="O629" s="135"/>
      <c r="P629" s="135"/>
      <c r="Q629" s="135"/>
      <c r="R629" s="135"/>
      <c r="S629" s="135"/>
      <c r="T629" s="5"/>
    </row>
    <row r="630" spans="1:20" x14ac:dyDescent="0.45">
      <c r="A630" s="135"/>
      <c r="B630" s="135"/>
      <c r="C630" s="135"/>
      <c r="D630" s="135"/>
      <c r="E630" s="135"/>
      <c r="F630" s="135"/>
      <c r="G630" s="135"/>
      <c r="H630" s="135"/>
      <c r="I630" s="135"/>
      <c r="J630" s="135"/>
      <c r="K630" s="135"/>
      <c r="L630" s="135"/>
      <c r="M630" s="135"/>
      <c r="N630" s="135"/>
      <c r="O630" s="135"/>
      <c r="P630" s="135"/>
      <c r="Q630" s="135"/>
      <c r="R630" s="135"/>
      <c r="S630" s="135"/>
      <c r="T630" s="5"/>
    </row>
    <row r="631" spans="1:20" x14ac:dyDescent="0.45">
      <c r="A631" s="135"/>
      <c r="B631" s="135"/>
      <c r="C631" s="135"/>
      <c r="D631" s="135"/>
      <c r="E631" s="135"/>
      <c r="F631" s="135"/>
      <c r="G631" s="135"/>
      <c r="H631" s="135"/>
      <c r="I631" s="135"/>
      <c r="J631" s="135"/>
      <c r="K631" s="135"/>
      <c r="L631" s="135"/>
      <c r="M631" s="135"/>
      <c r="N631" s="135"/>
      <c r="O631" s="135"/>
      <c r="P631" s="135"/>
      <c r="Q631" s="135"/>
      <c r="R631" s="135"/>
      <c r="S631" s="135"/>
      <c r="T631" s="5"/>
    </row>
    <row r="632" spans="1:20" x14ac:dyDescent="0.45">
      <c r="A632" s="135"/>
      <c r="B632" s="135"/>
      <c r="C632" s="135"/>
      <c r="D632" s="135"/>
      <c r="E632" s="135"/>
      <c r="F632" s="135"/>
      <c r="G632" s="135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5"/>
    </row>
    <row r="633" spans="1:20" x14ac:dyDescent="0.45">
      <c r="A633" s="135"/>
      <c r="B633" s="135"/>
      <c r="C633" s="135"/>
      <c r="D633" s="135"/>
      <c r="E633" s="135"/>
      <c r="F633" s="135"/>
      <c r="G633" s="135"/>
      <c r="H633" s="135"/>
      <c r="I633" s="135"/>
      <c r="J633" s="135"/>
      <c r="K633" s="135"/>
      <c r="L633" s="135"/>
      <c r="M633" s="135"/>
      <c r="N633" s="135"/>
      <c r="O633" s="135"/>
      <c r="P633" s="135"/>
      <c r="Q633" s="135"/>
      <c r="R633" s="135"/>
      <c r="S633" s="135"/>
      <c r="T633" s="5"/>
    </row>
    <row r="634" spans="1:20" x14ac:dyDescent="0.45">
      <c r="A634" s="135"/>
      <c r="B634" s="135"/>
      <c r="C634" s="135"/>
      <c r="D634" s="135"/>
      <c r="E634" s="135"/>
      <c r="F634" s="135"/>
      <c r="G634" s="135"/>
      <c r="H634" s="135"/>
      <c r="I634" s="135"/>
      <c r="J634" s="135"/>
      <c r="K634" s="135"/>
      <c r="L634" s="135"/>
      <c r="M634" s="135"/>
      <c r="N634" s="135"/>
      <c r="O634" s="135"/>
      <c r="P634" s="135"/>
      <c r="Q634" s="135"/>
      <c r="R634" s="135"/>
      <c r="S634" s="135"/>
      <c r="T634" s="5"/>
    </row>
    <row r="635" spans="1:20" x14ac:dyDescent="0.45">
      <c r="A635" s="135"/>
      <c r="B635" s="135"/>
      <c r="C635" s="135"/>
      <c r="D635" s="135"/>
      <c r="E635" s="135"/>
      <c r="F635" s="135"/>
      <c r="G635" s="135"/>
      <c r="H635" s="135"/>
      <c r="I635" s="135"/>
      <c r="J635" s="135"/>
      <c r="K635" s="135"/>
      <c r="L635" s="135"/>
      <c r="M635" s="135"/>
      <c r="N635" s="135"/>
      <c r="O635" s="135"/>
      <c r="P635" s="135"/>
      <c r="Q635" s="135"/>
      <c r="R635" s="135"/>
      <c r="S635" s="135"/>
      <c r="T635" s="5"/>
    </row>
    <row r="636" spans="1:20" x14ac:dyDescent="0.45">
      <c r="A636" s="135"/>
      <c r="B636" s="135"/>
      <c r="C636" s="135"/>
      <c r="D636" s="135"/>
      <c r="E636" s="135"/>
      <c r="F636" s="135"/>
      <c r="G636" s="135"/>
      <c r="H636" s="135"/>
      <c r="I636" s="135"/>
      <c r="J636" s="135"/>
      <c r="K636" s="135"/>
      <c r="L636" s="135"/>
      <c r="M636" s="135"/>
      <c r="N636" s="135"/>
      <c r="O636" s="135"/>
      <c r="P636" s="135"/>
      <c r="Q636" s="135"/>
      <c r="R636" s="135"/>
      <c r="S636" s="135"/>
      <c r="T636" s="5"/>
    </row>
    <row r="637" spans="1:20" x14ac:dyDescent="0.45">
      <c r="A637" s="135"/>
      <c r="B637" s="135"/>
      <c r="C637" s="135"/>
      <c r="D637" s="135"/>
      <c r="E637" s="135"/>
      <c r="F637" s="135"/>
      <c r="G637" s="135"/>
      <c r="H637" s="135"/>
      <c r="I637" s="135"/>
      <c r="J637" s="135"/>
      <c r="K637" s="135"/>
      <c r="L637" s="135"/>
      <c r="M637" s="135"/>
      <c r="N637" s="135"/>
      <c r="O637" s="135"/>
      <c r="P637" s="135"/>
      <c r="Q637" s="135"/>
      <c r="R637" s="135"/>
      <c r="S637" s="135"/>
      <c r="T637" s="5"/>
    </row>
    <row r="638" spans="1:20" x14ac:dyDescent="0.45">
      <c r="A638" s="135"/>
      <c r="B638" s="135"/>
      <c r="C638" s="135"/>
      <c r="D638" s="135"/>
      <c r="E638" s="135"/>
      <c r="F638" s="135"/>
      <c r="G638" s="135"/>
      <c r="H638" s="135"/>
      <c r="I638" s="135"/>
      <c r="J638" s="135"/>
      <c r="K638" s="135"/>
      <c r="L638" s="135"/>
      <c r="M638" s="135"/>
      <c r="N638" s="135"/>
      <c r="O638" s="135"/>
      <c r="P638" s="135"/>
      <c r="Q638" s="135"/>
      <c r="R638" s="135"/>
      <c r="S638" s="135"/>
      <c r="T638" s="5"/>
    </row>
    <row r="639" spans="1:20" x14ac:dyDescent="0.45">
      <c r="A639" s="135"/>
      <c r="B639" s="135"/>
      <c r="C639" s="135"/>
      <c r="D639" s="135"/>
      <c r="E639" s="135"/>
      <c r="F639" s="135"/>
      <c r="G639" s="135"/>
      <c r="H639" s="135"/>
      <c r="I639" s="135"/>
      <c r="J639" s="135"/>
      <c r="K639" s="135"/>
      <c r="L639" s="135"/>
      <c r="M639" s="135"/>
      <c r="N639" s="135"/>
      <c r="O639" s="135"/>
      <c r="P639" s="135"/>
      <c r="Q639" s="135"/>
      <c r="R639" s="135"/>
      <c r="S639" s="135"/>
      <c r="T639" s="5"/>
    </row>
    <row r="640" spans="1:20" x14ac:dyDescent="0.45">
      <c r="A640" s="135"/>
      <c r="B640" s="135"/>
      <c r="C640" s="135"/>
      <c r="D640" s="135"/>
      <c r="E640" s="135"/>
      <c r="F640" s="135"/>
      <c r="G640" s="135"/>
      <c r="H640" s="135"/>
      <c r="I640" s="135"/>
      <c r="J640" s="135"/>
      <c r="K640" s="135"/>
      <c r="L640" s="135"/>
      <c r="M640" s="135"/>
      <c r="N640" s="135"/>
      <c r="O640" s="135"/>
      <c r="P640" s="135"/>
      <c r="Q640" s="135"/>
      <c r="R640" s="135"/>
      <c r="S640" s="135"/>
      <c r="T640" s="5"/>
    </row>
    <row r="641" spans="1:20" x14ac:dyDescent="0.45">
      <c r="A641" s="135"/>
      <c r="B641" s="135"/>
      <c r="C641" s="135"/>
      <c r="D641" s="135"/>
      <c r="E641" s="135"/>
      <c r="F641" s="135"/>
      <c r="G641" s="135"/>
      <c r="H641" s="135"/>
      <c r="I641" s="135"/>
      <c r="J641" s="135"/>
      <c r="K641" s="135"/>
      <c r="L641" s="135"/>
      <c r="M641" s="135"/>
      <c r="N641" s="135"/>
      <c r="O641" s="135"/>
      <c r="P641" s="135"/>
      <c r="Q641" s="135"/>
      <c r="R641" s="135"/>
      <c r="S641" s="135"/>
      <c r="T641" s="5"/>
    </row>
    <row r="642" spans="1:20" x14ac:dyDescent="0.45">
      <c r="A642" s="135"/>
      <c r="B642" s="135"/>
      <c r="C642" s="135"/>
      <c r="D642" s="135"/>
      <c r="E642" s="135"/>
      <c r="F642" s="135"/>
      <c r="G642" s="135"/>
      <c r="H642" s="135"/>
      <c r="I642" s="135"/>
      <c r="J642" s="135"/>
      <c r="K642" s="135"/>
      <c r="L642" s="135"/>
      <c r="M642" s="135"/>
      <c r="N642" s="135"/>
      <c r="O642" s="135"/>
      <c r="P642" s="135"/>
      <c r="Q642" s="135"/>
      <c r="R642" s="135"/>
      <c r="S642" s="135"/>
      <c r="T642" s="5"/>
    </row>
    <row r="643" spans="1:20" x14ac:dyDescent="0.45">
      <c r="A643" s="135"/>
      <c r="B643" s="135"/>
      <c r="C643" s="135"/>
      <c r="D643" s="135"/>
      <c r="E643" s="135"/>
      <c r="F643" s="135"/>
      <c r="G643" s="135"/>
      <c r="H643" s="135"/>
      <c r="I643" s="135"/>
      <c r="J643" s="135"/>
      <c r="K643" s="135"/>
      <c r="L643" s="135"/>
      <c r="M643" s="135"/>
      <c r="N643" s="135"/>
      <c r="O643" s="135"/>
      <c r="P643" s="135"/>
      <c r="Q643" s="135"/>
      <c r="R643" s="135"/>
      <c r="S643" s="135"/>
      <c r="T643" s="5"/>
    </row>
    <row r="644" spans="1:20" x14ac:dyDescent="0.45">
      <c r="A644" s="135"/>
      <c r="B644" s="135"/>
      <c r="C644" s="135"/>
      <c r="D644" s="135"/>
      <c r="E644" s="135"/>
      <c r="F644" s="135"/>
      <c r="G644" s="135"/>
      <c r="H644" s="135"/>
      <c r="I644" s="135"/>
      <c r="J644" s="135"/>
      <c r="K644" s="135"/>
      <c r="L644" s="135"/>
      <c r="M644" s="135"/>
      <c r="N644" s="135"/>
      <c r="O644" s="135"/>
      <c r="P644" s="135"/>
      <c r="Q644" s="135"/>
      <c r="R644" s="135"/>
      <c r="S644" s="135"/>
      <c r="T644" s="5"/>
    </row>
    <row r="645" spans="1:20" x14ac:dyDescent="0.45">
      <c r="A645" s="135"/>
      <c r="B645" s="135"/>
      <c r="C645" s="135"/>
      <c r="D645" s="135"/>
      <c r="E645" s="135"/>
      <c r="F645" s="135"/>
      <c r="G645" s="135"/>
      <c r="H645" s="135"/>
      <c r="I645" s="135"/>
      <c r="J645" s="135"/>
      <c r="K645" s="135"/>
      <c r="L645" s="135"/>
      <c r="M645" s="135"/>
      <c r="N645" s="135"/>
      <c r="O645" s="135"/>
      <c r="P645" s="135"/>
      <c r="Q645" s="135"/>
      <c r="R645" s="135"/>
      <c r="S645" s="135"/>
      <c r="T645" s="5"/>
    </row>
    <row r="646" spans="1:20" x14ac:dyDescent="0.45">
      <c r="A646" s="135"/>
      <c r="B646" s="135"/>
      <c r="C646" s="135"/>
      <c r="D646" s="135"/>
      <c r="E646" s="135"/>
      <c r="F646" s="135"/>
      <c r="G646" s="135"/>
      <c r="H646" s="135"/>
      <c r="I646" s="135"/>
      <c r="J646" s="135"/>
      <c r="K646" s="135"/>
      <c r="L646" s="135"/>
      <c r="M646" s="135"/>
      <c r="N646" s="135"/>
      <c r="O646" s="135"/>
      <c r="P646" s="135"/>
      <c r="Q646" s="135"/>
      <c r="R646" s="135"/>
      <c r="S646" s="135"/>
      <c r="T646" s="5"/>
    </row>
    <row r="647" spans="1:20" x14ac:dyDescent="0.45">
      <c r="A647" s="135"/>
      <c r="B647" s="135"/>
      <c r="C647" s="135"/>
      <c r="D647" s="135"/>
      <c r="E647" s="135"/>
      <c r="F647" s="135"/>
      <c r="G647" s="135"/>
      <c r="H647" s="135"/>
      <c r="I647" s="135"/>
      <c r="J647" s="135"/>
      <c r="K647" s="135"/>
      <c r="L647" s="135"/>
      <c r="M647" s="135"/>
      <c r="N647" s="135"/>
      <c r="O647" s="135"/>
      <c r="P647" s="135"/>
      <c r="Q647" s="135"/>
      <c r="R647" s="135"/>
      <c r="S647" s="135"/>
      <c r="T647" s="5"/>
    </row>
    <row r="648" spans="1:20" x14ac:dyDescent="0.45">
      <c r="A648" s="135"/>
      <c r="B648" s="135"/>
      <c r="C648" s="135"/>
      <c r="D648" s="135"/>
      <c r="E648" s="135"/>
      <c r="F648" s="135"/>
      <c r="G648" s="135"/>
      <c r="H648" s="135"/>
      <c r="I648" s="135"/>
      <c r="J648" s="135"/>
      <c r="K648" s="135"/>
      <c r="L648" s="135"/>
      <c r="M648" s="135"/>
      <c r="N648" s="135"/>
      <c r="O648" s="135"/>
      <c r="P648" s="135"/>
      <c r="Q648" s="135"/>
      <c r="R648" s="135"/>
      <c r="S648" s="135"/>
      <c r="T648" s="5"/>
    </row>
    <row r="649" spans="1:20" x14ac:dyDescent="0.45">
      <c r="A649" s="135"/>
      <c r="B649" s="135"/>
      <c r="C649" s="135"/>
      <c r="D649" s="135"/>
      <c r="E649" s="135"/>
      <c r="F649" s="135"/>
      <c r="G649" s="135"/>
      <c r="H649" s="135"/>
      <c r="I649" s="135"/>
      <c r="J649" s="135"/>
      <c r="K649" s="135"/>
      <c r="L649" s="135"/>
      <c r="M649" s="135"/>
      <c r="N649" s="135"/>
      <c r="O649" s="135"/>
      <c r="P649" s="135"/>
      <c r="Q649" s="135"/>
      <c r="R649" s="135"/>
      <c r="S649" s="135"/>
      <c r="T649" s="5"/>
    </row>
    <row r="650" spans="1:20" x14ac:dyDescent="0.45">
      <c r="A650" s="135"/>
      <c r="B650" s="135"/>
      <c r="C650" s="135"/>
      <c r="D650" s="135"/>
      <c r="E650" s="135"/>
      <c r="F650" s="135"/>
      <c r="G650" s="135"/>
      <c r="H650" s="135"/>
      <c r="I650" s="135"/>
      <c r="J650" s="135"/>
      <c r="K650" s="135"/>
      <c r="L650" s="135"/>
      <c r="M650" s="135"/>
      <c r="N650" s="135"/>
      <c r="O650" s="135"/>
      <c r="P650" s="135"/>
      <c r="Q650" s="135"/>
      <c r="R650" s="135"/>
      <c r="S650" s="135"/>
      <c r="T650" s="5"/>
    </row>
    <row r="651" spans="1:20" x14ac:dyDescent="0.45">
      <c r="A651" s="135"/>
      <c r="B651" s="135"/>
      <c r="C651" s="135"/>
      <c r="D651" s="135"/>
      <c r="E651" s="135"/>
      <c r="F651" s="135"/>
      <c r="G651" s="135"/>
      <c r="H651" s="135"/>
      <c r="I651" s="135"/>
      <c r="J651" s="135"/>
      <c r="K651" s="135"/>
      <c r="L651" s="135"/>
      <c r="M651" s="135"/>
      <c r="N651" s="135"/>
      <c r="O651" s="135"/>
      <c r="P651" s="135"/>
      <c r="Q651" s="135"/>
      <c r="R651" s="135"/>
      <c r="S651" s="135"/>
      <c r="T651" s="5"/>
    </row>
    <row r="652" spans="1:20" x14ac:dyDescent="0.45">
      <c r="A652" s="135"/>
      <c r="B652" s="135"/>
      <c r="C652" s="135"/>
      <c r="D652" s="135"/>
      <c r="E652" s="135"/>
      <c r="F652" s="135"/>
      <c r="G652" s="135"/>
      <c r="H652" s="135"/>
      <c r="I652" s="135"/>
      <c r="J652" s="135"/>
      <c r="K652" s="135"/>
      <c r="L652" s="135"/>
      <c r="M652" s="135"/>
      <c r="N652" s="135"/>
      <c r="O652" s="135"/>
      <c r="P652" s="135"/>
      <c r="Q652" s="135"/>
      <c r="R652" s="135"/>
      <c r="S652" s="135"/>
      <c r="T652" s="5"/>
    </row>
    <row r="653" spans="1:20" x14ac:dyDescent="0.45">
      <c r="A653" s="135"/>
      <c r="B653" s="135"/>
      <c r="C653" s="135"/>
      <c r="D653" s="135"/>
      <c r="E653" s="135"/>
      <c r="F653" s="135"/>
      <c r="G653" s="135"/>
      <c r="H653" s="135"/>
      <c r="I653" s="135"/>
      <c r="J653" s="135"/>
      <c r="K653" s="135"/>
      <c r="L653" s="135"/>
      <c r="M653" s="135"/>
      <c r="N653" s="135"/>
      <c r="O653" s="135"/>
      <c r="P653" s="135"/>
      <c r="Q653" s="135"/>
      <c r="R653" s="135"/>
      <c r="S653" s="135"/>
      <c r="T653" s="5"/>
    </row>
    <row r="654" spans="1:20" x14ac:dyDescent="0.45">
      <c r="A654" s="135"/>
      <c r="B654" s="135"/>
      <c r="C654" s="135"/>
      <c r="D654" s="135"/>
      <c r="E654" s="135"/>
      <c r="F654" s="135"/>
      <c r="G654" s="135"/>
      <c r="H654" s="135"/>
      <c r="I654" s="135"/>
      <c r="J654" s="135"/>
      <c r="K654" s="135"/>
      <c r="L654" s="135"/>
      <c r="M654" s="135"/>
      <c r="N654" s="135"/>
      <c r="O654" s="135"/>
      <c r="P654" s="135"/>
      <c r="Q654" s="135"/>
      <c r="R654" s="135"/>
      <c r="S654" s="135"/>
      <c r="T654" s="5"/>
    </row>
    <row r="655" spans="1:20" x14ac:dyDescent="0.45">
      <c r="A655" s="135"/>
      <c r="B655" s="135"/>
      <c r="C655" s="135"/>
      <c r="D655" s="135"/>
      <c r="E655" s="135"/>
      <c r="F655" s="135"/>
      <c r="G655" s="135"/>
      <c r="H655" s="135"/>
      <c r="I655" s="135"/>
      <c r="J655" s="135"/>
      <c r="K655" s="135"/>
      <c r="L655" s="135"/>
      <c r="M655" s="135"/>
      <c r="N655" s="135"/>
      <c r="O655" s="135"/>
      <c r="P655" s="135"/>
      <c r="Q655" s="135"/>
      <c r="R655" s="135"/>
      <c r="S655" s="135"/>
      <c r="T655" s="5"/>
    </row>
    <row r="656" spans="1:20" x14ac:dyDescent="0.45">
      <c r="A656" s="135"/>
      <c r="B656" s="135"/>
      <c r="C656" s="135"/>
      <c r="D656" s="135"/>
      <c r="E656" s="135"/>
      <c r="F656" s="135"/>
      <c r="G656" s="135"/>
      <c r="H656" s="135"/>
      <c r="I656" s="135"/>
      <c r="J656" s="135"/>
      <c r="K656" s="135"/>
      <c r="L656" s="135"/>
      <c r="M656" s="135"/>
      <c r="N656" s="135"/>
      <c r="O656" s="135"/>
      <c r="P656" s="135"/>
      <c r="Q656" s="135"/>
      <c r="R656" s="135"/>
      <c r="S656" s="135"/>
      <c r="T656" s="5"/>
    </row>
    <row r="657" spans="1:20" x14ac:dyDescent="0.45">
      <c r="A657" s="135"/>
      <c r="B657" s="135"/>
      <c r="C657" s="135"/>
      <c r="D657" s="135"/>
      <c r="E657" s="135"/>
      <c r="F657" s="135"/>
      <c r="G657" s="135"/>
      <c r="H657" s="135"/>
      <c r="I657" s="135"/>
      <c r="J657" s="135"/>
      <c r="K657" s="135"/>
      <c r="L657" s="135"/>
      <c r="M657" s="135"/>
      <c r="N657" s="135"/>
      <c r="O657" s="135"/>
      <c r="P657" s="135"/>
      <c r="Q657" s="135"/>
      <c r="R657" s="135"/>
      <c r="S657" s="135"/>
      <c r="T657" s="5"/>
    </row>
    <row r="658" spans="1:20" x14ac:dyDescent="0.45">
      <c r="A658" s="135"/>
      <c r="B658" s="135"/>
      <c r="C658" s="135"/>
      <c r="D658" s="135"/>
      <c r="E658" s="135"/>
      <c r="F658" s="135"/>
      <c r="G658" s="135"/>
      <c r="H658" s="135"/>
      <c r="I658" s="135"/>
      <c r="J658" s="135"/>
      <c r="K658" s="135"/>
      <c r="L658" s="135"/>
      <c r="M658" s="135"/>
      <c r="N658" s="135"/>
      <c r="O658" s="135"/>
      <c r="P658" s="135"/>
      <c r="Q658" s="135"/>
      <c r="R658" s="135"/>
      <c r="S658" s="135"/>
      <c r="T658" s="5"/>
    </row>
    <row r="659" spans="1:20" x14ac:dyDescent="0.45">
      <c r="A659" s="135"/>
      <c r="B659" s="135"/>
      <c r="C659" s="135"/>
      <c r="D659" s="135"/>
      <c r="E659" s="135"/>
      <c r="F659" s="135"/>
      <c r="G659" s="135"/>
      <c r="H659" s="135"/>
      <c r="I659" s="135"/>
      <c r="J659" s="135"/>
      <c r="K659" s="135"/>
      <c r="L659" s="135"/>
      <c r="M659" s="135"/>
      <c r="N659" s="135"/>
      <c r="O659" s="135"/>
      <c r="P659" s="135"/>
      <c r="Q659" s="135"/>
      <c r="R659" s="135"/>
      <c r="S659" s="135"/>
      <c r="T659" s="5"/>
    </row>
    <row r="660" spans="1:20" x14ac:dyDescent="0.45">
      <c r="A660" s="135"/>
      <c r="B660" s="135"/>
      <c r="C660" s="135"/>
      <c r="D660" s="135"/>
      <c r="E660" s="135"/>
      <c r="F660" s="135"/>
      <c r="G660" s="135"/>
      <c r="H660" s="135"/>
      <c r="I660" s="135"/>
      <c r="J660" s="135"/>
      <c r="K660" s="135"/>
      <c r="L660" s="135"/>
      <c r="M660" s="135"/>
      <c r="N660" s="135"/>
      <c r="O660" s="135"/>
      <c r="P660" s="135"/>
      <c r="Q660" s="135"/>
      <c r="R660" s="135"/>
      <c r="S660" s="135"/>
      <c r="T660" s="5"/>
    </row>
    <row r="661" spans="1:20" x14ac:dyDescent="0.45">
      <c r="A661" s="135"/>
      <c r="B661" s="135"/>
      <c r="C661" s="135"/>
      <c r="D661" s="135"/>
      <c r="E661" s="135"/>
      <c r="F661" s="135"/>
      <c r="G661" s="135"/>
      <c r="H661" s="135"/>
      <c r="I661" s="135"/>
      <c r="J661" s="135"/>
      <c r="K661" s="135"/>
      <c r="L661" s="135"/>
      <c r="M661" s="135"/>
      <c r="N661" s="135"/>
      <c r="O661" s="135"/>
      <c r="P661" s="135"/>
      <c r="Q661" s="135"/>
      <c r="R661" s="135"/>
      <c r="S661" s="135"/>
      <c r="T661" s="5"/>
    </row>
    <row r="662" spans="1:20" x14ac:dyDescent="0.45">
      <c r="A662" s="135"/>
      <c r="B662" s="135"/>
      <c r="C662" s="135"/>
      <c r="D662" s="135"/>
      <c r="E662" s="135"/>
      <c r="F662" s="135"/>
      <c r="G662" s="135"/>
      <c r="H662" s="135"/>
      <c r="I662" s="135"/>
      <c r="J662" s="135"/>
      <c r="K662" s="135"/>
      <c r="L662" s="135"/>
      <c r="M662" s="135"/>
      <c r="N662" s="135"/>
      <c r="O662" s="135"/>
      <c r="P662" s="135"/>
      <c r="Q662" s="135"/>
      <c r="R662" s="135"/>
      <c r="S662" s="135"/>
      <c r="T662" s="5"/>
    </row>
    <row r="663" spans="1:20" x14ac:dyDescent="0.45">
      <c r="A663" s="135"/>
      <c r="B663" s="135"/>
      <c r="C663" s="135"/>
      <c r="D663" s="135"/>
      <c r="E663" s="135"/>
      <c r="F663" s="135"/>
      <c r="G663" s="135"/>
      <c r="H663" s="135"/>
      <c r="I663" s="135"/>
      <c r="J663" s="135"/>
      <c r="K663" s="135"/>
      <c r="L663" s="135"/>
      <c r="M663" s="135"/>
      <c r="N663" s="135"/>
      <c r="O663" s="135"/>
      <c r="P663" s="135"/>
      <c r="Q663" s="135"/>
      <c r="R663" s="135"/>
      <c r="S663" s="135"/>
      <c r="T663" s="5"/>
    </row>
    <row r="664" spans="1:20" x14ac:dyDescent="0.45">
      <c r="A664" s="135"/>
      <c r="B664" s="135"/>
      <c r="C664" s="135"/>
      <c r="D664" s="135"/>
      <c r="E664" s="135"/>
      <c r="F664" s="135"/>
      <c r="G664" s="135"/>
      <c r="H664" s="135"/>
      <c r="I664" s="135"/>
      <c r="J664" s="135"/>
      <c r="K664" s="135"/>
      <c r="L664" s="135"/>
      <c r="M664" s="135"/>
      <c r="N664" s="135"/>
      <c r="O664" s="135"/>
      <c r="P664" s="135"/>
      <c r="Q664" s="135"/>
      <c r="R664" s="135"/>
      <c r="S664" s="135"/>
      <c r="T664" s="5"/>
    </row>
    <row r="665" spans="1:20" x14ac:dyDescent="0.45">
      <c r="A665" s="135"/>
      <c r="B665" s="135"/>
      <c r="C665" s="135"/>
      <c r="D665" s="135"/>
      <c r="E665" s="135"/>
      <c r="F665" s="135"/>
      <c r="G665" s="135"/>
      <c r="H665" s="135"/>
      <c r="I665" s="135"/>
      <c r="J665" s="135"/>
      <c r="K665" s="135"/>
      <c r="L665" s="135"/>
      <c r="M665" s="135"/>
      <c r="N665" s="135"/>
      <c r="O665" s="135"/>
      <c r="P665" s="135"/>
      <c r="Q665" s="135"/>
      <c r="R665" s="135"/>
      <c r="S665" s="135"/>
      <c r="T665" s="5"/>
    </row>
    <row r="666" spans="1:20" x14ac:dyDescent="0.45">
      <c r="A666" s="135"/>
      <c r="B666" s="135"/>
      <c r="C666" s="135"/>
      <c r="D666" s="135"/>
      <c r="E666" s="135"/>
      <c r="F666" s="135"/>
      <c r="G666" s="135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5"/>
    </row>
    <row r="667" spans="1:20" x14ac:dyDescent="0.45">
      <c r="A667" s="135"/>
      <c r="B667" s="135"/>
      <c r="C667" s="135"/>
      <c r="D667" s="135"/>
      <c r="E667" s="135"/>
      <c r="F667" s="135"/>
      <c r="G667" s="135"/>
      <c r="H667" s="135"/>
      <c r="I667" s="135"/>
      <c r="J667" s="135"/>
      <c r="K667" s="135"/>
      <c r="L667" s="135"/>
      <c r="M667" s="135"/>
      <c r="N667" s="135"/>
      <c r="O667" s="135"/>
      <c r="P667" s="135"/>
      <c r="Q667" s="135"/>
      <c r="R667" s="135"/>
      <c r="S667" s="135"/>
      <c r="T667" s="5"/>
    </row>
    <row r="668" spans="1:20" x14ac:dyDescent="0.45">
      <c r="A668" s="135"/>
      <c r="B668" s="135"/>
      <c r="C668" s="135"/>
      <c r="D668" s="135"/>
      <c r="E668" s="135"/>
      <c r="F668" s="135"/>
      <c r="G668" s="135"/>
      <c r="H668" s="135"/>
      <c r="I668" s="135"/>
      <c r="J668" s="135"/>
      <c r="K668" s="135"/>
      <c r="L668" s="135"/>
      <c r="M668" s="135"/>
      <c r="N668" s="135"/>
      <c r="O668" s="135"/>
      <c r="P668" s="135"/>
      <c r="Q668" s="135"/>
      <c r="R668" s="135"/>
      <c r="S668" s="135"/>
      <c r="T668" s="5"/>
    </row>
    <row r="669" spans="1:20" x14ac:dyDescent="0.45">
      <c r="A669" s="135"/>
      <c r="B669" s="135"/>
      <c r="C669" s="135"/>
      <c r="D669" s="135"/>
      <c r="E669" s="135"/>
      <c r="F669" s="135"/>
      <c r="G669" s="135"/>
      <c r="H669" s="135"/>
      <c r="I669" s="135"/>
      <c r="J669" s="135"/>
      <c r="K669" s="135"/>
      <c r="L669" s="135"/>
      <c r="M669" s="135"/>
      <c r="N669" s="135"/>
      <c r="O669" s="135"/>
      <c r="P669" s="135"/>
      <c r="Q669" s="135"/>
      <c r="R669" s="135"/>
      <c r="S669" s="135"/>
      <c r="T669" s="5"/>
    </row>
    <row r="670" spans="1:20" x14ac:dyDescent="0.45">
      <c r="A670" s="135"/>
      <c r="B670" s="135"/>
      <c r="C670" s="135"/>
      <c r="D670" s="135"/>
      <c r="E670" s="135"/>
      <c r="F670" s="135"/>
      <c r="G670" s="135"/>
      <c r="H670" s="135"/>
      <c r="I670" s="135"/>
      <c r="J670" s="135"/>
      <c r="K670" s="135"/>
      <c r="L670" s="135"/>
      <c r="M670" s="135"/>
      <c r="N670" s="135"/>
      <c r="O670" s="135"/>
      <c r="P670" s="135"/>
      <c r="Q670" s="135"/>
      <c r="R670" s="135"/>
      <c r="S670" s="135"/>
      <c r="T670" s="5"/>
    </row>
    <row r="671" spans="1:20" x14ac:dyDescent="0.45">
      <c r="A671" s="135"/>
      <c r="B671" s="135"/>
      <c r="C671" s="135"/>
      <c r="D671" s="135"/>
      <c r="E671" s="135"/>
      <c r="F671" s="135"/>
      <c r="G671" s="135"/>
      <c r="H671" s="135"/>
      <c r="I671" s="135"/>
      <c r="J671" s="135"/>
      <c r="K671" s="135"/>
      <c r="L671" s="135"/>
      <c r="M671" s="135"/>
      <c r="N671" s="135"/>
      <c r="O671" s="135"/>
      <c r="P671" s="135"/>
      <c r="Q671" s="135"/>
      <c r="R671" s="135"/>
      <c r="S671" s="135"/>
      <c r="T671" s="5"/>
    </row>
    <row r="672" spans="1:20" x14ac:dyDescent="0.45">
      <c r="A672" s="135"/>
      <c r="B672" s="135"/>
      <c r="C672" s="135"/>
      <c r="D672" s="135"/>
      <c r="E672" s="135"/>
      <c r="F672" s="135"/>
      <c r="G672" s="135"/>
      <c r="H672" s="135"/>
      <c r="I672" s="135"/>
      <c r="J672" s="135"/>
      <c r="K672" s="135"/>
      <c r="L672" s="135"/>
      <c r="M672" s="135"/>
      <c r="N672" s="135"/>
      <c r="O672" s="135"/>
      <c r="P672" s="135"/>
      <c r="Q672" s="135"/>
      <c r="R672" s="135"/>
      <c r="S672" s="135"/>
      <c r="T672" s="5"/>
    </row>
    <row r="673" spans="1:20" x14ac:dyDescent="0.45">
      <c r="A673" s="135"/>
      <c r="B673" s="135"/>
      <c r="C673" s="135"/>
      <c r="D673" s="135"/>
      <c r="E673" s="135"/>
      <c r="F673" s="135"/>
      <c r="G673" s="135"/>
      <c r="H673" s="135"/>
      <c r="I673" s="135"/>
      <c r="J673" s="135"/>
      <c r="K673" s="135"/>
      <c r="L673" s="135"/>
      <c r="M673" s="135"/>
      <c r="N673" s="135"/>
      <c r="O673" s="135"/>
      <c r="P673" s="135"/>
      <c r="Q673" s="135"/>
      <c r="R673" s="135"/>
      <c r="S673" s="135"/>
      <c r="T673" s="5"/>
    </row>
    <row r="674" spans="1:20" x14ac:dyDescent="0.45">
      <c r="A674" s="135"/>
      <c r="B674" s="135"/>
      <c r="C674" s="135"/>
      <c r="D674" s="135"/>
      <c r="E674" s="135"/>
      <c r="F674" s="135"/>
      <c r="G674" s="135"/>
      <c r="H674" s="135"/>
      <c r="I674" s="135"/>
      <c r="J674" s="135"/>
      <c r="K674" s="135"/>
      <c r="L674" s="135"/>
      <c r="M674" s="135"/>
      <c r="N674" s="135"/>
      <c r="O674" s="135"/>
      <c r="P674" s="135"/>
      <c r="Q674" s="135"/>
      <c r="R674" s="135"/>
      <c r="S674" s="135"/>
      <c r="T674" s="5"/>
    </row>
    <row r="675" spans="1:20" x14ac:dyDescent="0.45">
      <c r="A675" s="135"/>
      <c r="B675" s="135"/>
      <c r="C675" s="135"/>
      <c r="D675" s="135"/>
      <c r="E675" s="135"/>
      <c r="F675" s="135"/>
      <c r="G675" s="135"/>
      <c r="H675" s="135"/>
      <c r="I675" s="135"/>
      <c r="J675" s="135"/>
      <c r="K675" s="135"/>
      <c r="L675" s="135"/>
      <c r="M675" s="135"/>
      <c r="N675" s="135"/>
      <c r="O675" s="135"/>
      <c r="P675" s="135"/>
      <c r="Q675" s="135"/>
      <c r="R675" s="135"/>
      <c r="S675" s="135"/>
      <c r="T675" s="5"/>
    </row>
    <row r="676" spans="1:20" x14ac:dyDescent="0.45">
      <c r="A676" s="135"/>
      <c r="B676" s="135"/>
      <c r="C676" s="135"/>
      <c r="D676" s="135"/>
      <c r="E676" s="135"/>
      <c r="F676" s="135"/>
      <c r="G676" s="135"/>
      <c r="H676" s="135"/>
      <c r="I676" s="135"/>
      <c r="J676" s="135"/>
      <c r="K676" s="135"/>
      <c r="L676" s="135"/>
      <c r="M676" s="135"/>
      <c r="N676" s="135"/>
      <c r="O676" s="135"/>
      <c r="P676" s="135"/>
      <c r="Q676" s="135"/>
      <c r="R676" s="135"/>
      <c r="S676" s="135"/>
      <c r="T676" s="5"/>
    </row>
    <row r="677" spans="1:20" x14ac:dyDescent="0.45">
      <c r="A677" s="135"/>
      <c r="B677" s="135"/>
      <c r="C677" s="135"/>
      <c r="D677" s="135"/>
      <c r="E677" s="135"/>
      <c r="F677" s="135"/>
      <c r="G677" s="135"/>
      <c r="H677" s="135"/>
      <c r="I677" s="135"/>
      <c r="J677" s="135"/>
      <c r="K677" s="135"/>
      <c r="L677" s="135"/>
      <c r="M677" s="135"/>
      <c r="N677" s="135"/>
      <c r="O677" s="135"/>
      <c r="P677" s="135"/>
      <c r="Q677" s="135"/>
      <c r="R677" s="135"/>
      <c r="S677" s="135"/>
      <c r="T677" s="5"/>
    </row>
    <row r="678" spans="1:20" x14ac:dyDescent="0.45">
      <c r="A678" s="135"/>
      <c r="B678" s="135"/>
      <c r="C678" s="135"/>
      <c r="D678" s="135"/>
      <c r="E678" s="135"/>
      <c r="F678" s="135"/>
      <c r="G678" s="135"/>
      <c r="H678" s="135"/>
      <c r="I678" s="135"/>
      <c r="J678" s="135"/>
      <c r="K678" s="135"/>
      <c r="L678" s="135"/>
      <c r="M678" s="135"/>
      <c r="N678" s="135"/>
      <c r="O678" s="135"/>
      <c r="P678" s="135"/>
      <c r="Q678" s="135"/>
      <c r="R678" s="135"/>
      <c r="S678" s="135"/>
      <c r="T678" s="5"/>
    </row>
    <row r="679" spans="1:20" x14ac:dyDescent="0.45">
      <c r="A679" s="135"/>
      <c r="B679" s="135"/>
      <c r="C679" s="135"/>
      <c r="D679" s="135"/>
      <c r="E679" s="135"/>
      <c r="F679" s="135"/>
      <c r="G679" s="135"/>
      <c r="H679" s="135"/>
      <c r="I679" s="135"/>
      <c r="J679" s="135"/>
      <c r="K679" s="135"/>
      <c r="L679" s="135"/>
      <c r="M679" s="135"/>
      <c r="N679" s="135"/>
      <c r="O679" s="135"/>
      <c r="P679" s="135"/>
      <c r="Q679" s="135"/>
      <c r="R679" s="135"/>
      <c r="S679" s="135"/>
      <c r="T679" s="5"/>
    </row>
    <row r="680" spans="1:20" x14ac:dyDescent="0.45">
      <c r="A680" s="135"/>
      <c r="B680" s="135"/>
      <c r="C680" s="135"/>
      <c r="D680" s="135"/>
      <c r="E680" s="135"/>
      <c r="F680" s="135"/>
      <c r="G680" s="135"/>
      <c r="H680" s="135"/>
      <c r="I680" s="135"/>
      <c r="J680" s="135"/>
      <c r="K680" s="135"/>
      <c r="L680" s="135"/>
      <c r="M680" s="135"/>
      <c r="N680" s="135"/>
      <c r="O680" s="135"/>
      <c r="P680" s="135"/>
      <c r="Q680" s="135"/>
      <c r="R680" s="135"/>
      <c r="S680" s="135"/>
      <c r="T680" s="5"/>
    </row>
    <row r="681" spans="1:20" x14ac:dyDescent="0.45">
      <c r="A681" s="135"/>
      <c r="B681" s="135"/>
      <c r="C681" s="135"/>
      <c r="D681" s="135"/>
      <c r="E681" s="135"/>
      <c r="F681" s="135"/>
      <c r="G681" s="135"/>
      <c r="H681" s="135"/>
      <c r="I681" s="135"/>
      <c r="J681" s="135"/>
      <c r="K681" s="135"/>
      <c r="L681" s="135"/>
      <c r="M681" s="135"/>
      <c r="N681" s="135"/>
      <c r="O681" s="135"/>
      <c r="P681" s="135"/>
      <c r="Q681" s="135"/>
      <c r="R681" s="135"/>
      <c r="S681" s="135"/>
      <c r="T681" s="5"/>
    </row>
    <row r="682" spans="1:20" x14ac:dyDescent="0.45">
      <c r="A682" s="135"/>
      <c r="B682" s="135"/>
      <c r="C682" s="135"/>
      <c r="D682" s="135"/>
      <c r="E682" s="135"/>
      <c r="F682" s="135"/>
      <c r="G682" s="135"/>
      <c r="H682" s="135"/>
      <c r="I682" s="135"/>
      <c r="J682" s="135"/>
      <c r="K682" s="135"/>
      <c r="L682" s="135"/>
      <c r="M682" s="135"/>
      <c r="N682" s="135"/>
      <c r="O682" s="135"/>
      <c r="P682" s="135"/>
      <c r="Q682" s="135"/>
      <c r="R682" s="135"/>
      <c r="S682" s="135"/>
      <c r="T682" s="5"/>
    </row>
    <row r="683" spans="1:20" x14ac:dyDescent="0.45">
      <c r="A683" s="135"/>
      <c r="B683" s="135"/>
      <c r="C683" s="135"/>
      <c r="D683" s="135"/>
      <c r="E683" s="135"/>
      <c r="F683" s="135"/>
      <c r="G683" s="135"/>
      <c r="H683" s="135"/>
      <c r="I683" s="135"/>
      <c r="J683" s="135"/>
      <c r="K683" s="135"/>
      <c r="L683" s="135"/>
      <c r="M683" s="135"/>
      <c r="N683" s="135"/>
      <c r="O683" s="135"/>
      <c r="P683" s="135"/>
      <c r="Q683" s="135"/>
      <c r="R683" s="135"/>
      <c r="S683" s="135"/>
      <c r="T683" s="5"/>
    </row>
    <row r="684" spans="1:20" x14ac:dyDescent="0.45">
      <c r="A684" s="135"/>
      <c r="B684" s="135"/>
      <c r="C684" s="135"/>
      <c r="D684" s="135"/>
      <c r="E684" s="135"/>
      <c r="F684" s="135"/>
      <c r="G684" s="135"/>
      <c r="H684" s="135"/>
      <c r="I684" s="135"/>
      <c r="J684" s="135"/>
      <c r="K684" s="135"/>
      <c r="L684" s="135"/>
      <c r="M684" s="135"/>
      <c r="N684" s="135"/>
      <c r="O684" s="135"/>
      <c r="P684" s="135"/>
      <c r="Q684" s="135"/>
      <c r="R684" s="135"/>
      <c r="S684" s="135"/>
      <c r="T684" s="5"/>
    </row>
    <row r="685" spans="1:20" x14ac:dyDescent="0.45">
      <c r="A685" s="135"/>
      <c r="B685" s="135"/>
      <c r="C685" s="135"/>
      <c r="D685" s="135"/>
      <c r="E685" s="135"/>
      <c r="F685" s="135"/>
      <c r="G685" s="135"/>
      <c r="H685" s="135"/>
      <c r="I685" s="135"/>
      <c r="J685" s="135"/>
      <c r="K685" s="135"/>
      <c r="L685" s="135"/>
      <c r="M685" s="135"/>
      <c r="N685" s="135"/>
      <c r="O685" s="135"/>
      <c r="P685" s="135"/>
      <c r="Q685" s="135"/>
      <c r="R685" s="135"/>
      <c r="S685" s="135"/>
      <c r="T685" s="5"/>
    </row>
    <row r="686" spans="1:20" x14ac:dyDescent="0.45">
      <c r="A686" s="135"/>
      <c r="B686" s="135"/>
      <c r="C686" s="135"/>
      <c r="D686" s="135"/>
      <c r="E686" s="135"/>
      <c r="F686" s="135"/>
      <c r="G686" s="135"/>
      <c r="H686" s="135"/>
      <c r="I686" s="135"/>
      <c r="J686" s="135"/>
      <c r="K686" s="135"/>
      <c r="L686" s="135"/>
      <c r="M686" s="135"/>
      <c r="N686" s="135"/>
      <c r="O686" s="135"/>
      <c r="P686" s="135"/>
      <c r="Q686" s="135"/>
      <c r="R686" s="135"/>
      <c r="S686" s="135"/>
      <c r="T686" s="5"/>
    </row>
    <row r="687" spans="1:20" x14ac:dyDescent="0.45">
      <c r="A687" s="135"/>
      <c r="B687" s="135"/>
      <c r="C687" s="135"/>
      <c r="D687" s="135"/>
      <c r="E687" s="135"/>
      <c r="F687" s="135"/>
      <c r="G687" s="135"/>
      <c r="H687" s="135"/>
      <c r="I687" s="135"/>
      <c r="J687" s="135"/>
      <c r="K687" s="135"/>
      <c r="L687" s="135"/>
      <c r="M687" s="135"/>
      <c r="N687" s="135"/>
      <c r="O687" s="135"/>
      <c r="P687" s="135"/>
      <c r="Q687" s="135"/>
      <c r="R687" s="135"/>
      <c r="S687" s="135"/>
      <c r="T687" s="5"/>
    </row>
    <row r="688" spans="1:20" x14ac:dyDescent="0.45">
      <c r="A688" s="135"/>
      <c r="B688" s="135"/>
      <c r="C688" s="135"/>
      <c r="D688" s="135"/>
      <c r="E688" s="135"/>
      <c r="F688" s="135"/>
      <c r="G688" s="135"/>
      <c r="H688" s="135"/>
      <c r="I688" s="135"/>
      <c r="J688" s="135"/>
      <c r="K688" s="135"/>
      <c r="L688" s="135"/>
      <c r="M688" s="135"/>
      <c r="N688" s="135"/>
      <c r="O688" s="135"/>
      <c r="P688" s="135"/>
      <c r="Q688" s="135"/>
      <c r="R688" s="135"/>
      <c r="S688" s="135"/>
      <c r="T688" s="5"/>
    </row>
    <row r="689" spans="1:20" x14ac:dyDescent="0.45">
      <c r="A689" s="135"/>
      <c r="B689" s="135"/>
      <c r="C689" s="135"/>
      <c r="D689" s="135"/>
      <c r="E689" s="135"/>
      <c r="F689" s="135"/>
      <c r="G689" s="135"/>
      <c r="H689" s="135"/>
      <c r="I689" s="135"/>
      <c r="J689" s="135"/>
      <c r="K689" s="135"/>
      <c r="L689" s="135"/>
      <c r="M689" s="135"/>
      <c r="N689" s="135"/>
      <c r="O689" s="135"/>
      <c r="P689" s="135"/>
      <c r="Q689" s="135"/>
      <c r="R689" s="135"/>
      <c r="S689" s="135"/>
      <c r="T689" s="5"/>
    </row>
    <row r="690" spans="1:20" x14ac:dyDescent="0.45">
      <c r="A690" s="135"/>
      <c r="B690" s="135"/>
      <c r="C690" s="135"/>
      <c r="D690" s="135"/>
      <c r="E690" s="135"/>
      <c r="F690" s="135"/>
      <c r="G690" s="135"/>
      <c r="H690" s="135"/>
      <c r="I690" s="135"/>
      <c r="J690" s="135"/>
      <c r="K690" s="135"/>
      <c r="L690" s="135"/>
      <c r="M690" s="135"/>
      <c r="N690" s="135"/>
      <c r="O690" s="135"/>
      <c r="P690" s="135"/>
      <c r="Q690" s="135"/>
      <c r="R690" s="135"/>
      <c r="S690" s="135"/>
      <c r="T690" s="5"/>
    </row>
    <row r="691" spans="1:20" x14ac:dyDescent="0.45">
      <c r="A691" s="135"/>
      <c r="B691" s="135"/>
      <c r="C691" s="135"/>
      <c r="D691" s="135"/>
      <c r="E691" s="135"/>
      <c r="F691" s="135"/>
      <c r="G691" s="135"/>
      <c r="H691" s="135"/>
      <c r="I691" s="135"/>
      <c r="J691" s="135"/>
      <c r="K691" s="135"/>
      <c r="L691" s="135"/>
      <c r="M691" s="135"/>
      <c r="N691" s="135"/>
      <c r="O691" s="135"/>
      <c r="P691" s="135"/>
      <c r="Q691" s="135"/>
      <c r="R691" s="135"/>
      <c r="S691" s="135"/>
      <c r="T691" s="5"/>
    </row>
    <row r="692" spans="1:20" x14ac:dyDescent="0.45">
      <c r="A692" s="135"/>
      <c r="B692" s="135"/>
      <c r="C692" s="135"/>
      <c r="D692" s="135"/>
      <c r="E692" s="135"/>
      <c r="F692" s="135"/>
      <c r="G692" s="135"/>
      <c r="H692" s="135"/>
      <c r="I692" s="135"/>
      <c r="J692" s="135"/>
      <c r="K692" s="135"/>
      <c r="L692" s="135"/>
      <c r="M692" s="135"/>
      <c r="N692" s="135"/>
      <c r="O692" s="135"/>
      <c r="P692" s="135"/>
      <c r="Q692" s="135"/>
      <c r="R692" s="135"/>
      <c r="S692" s="135"/>
      <c r="T692" s="5"/>
    </row>
    <row r="693" spans="1:20" x14ac:dyDescent="0.45">
      <c r="A693" s="135"/>
      <c r="B693" s="135"/>
      <c r="C693" s="135"/>
      <c r="D693" s="135"/>
      <c r="E693" s="135"/>
      <c r="F693" s="135"/>
      <c r="G693" s="135"/>
      <c r="H693" s="135"/>
      <c r="I693" s="135"/>
      <c r="J693" s="135"/>
      <c r="K693" s="135"/>
      <c r="L693" s="135"/>
      <c r="M693" s="135"/>
      <c r="N693" s="135"/>
      <c r="O693" s="135"/>
      <c r="P693" s="135"/>
      <c r="Q693" s="135"/>
      <c r="R693" s="135"/>
      <c r="S693" s="135"/>
      <c r="T693" s="5"/>
    </row>
    <row r="694" spans="1:20" x14ac:dyDescent="0.45">
      <c r="A694" s="135"/>
      <c r="B694" s="135"/>
      <c r="C694" s="135"/>
      <c r="D694" s="135"/>
      <c r="E694" s="135"/>
      <c r="F694" s="135"/>
      <c r="G694" s="135"/>
      <c r="H694" s="135"/>
      <c r="I694" s="135"/>
      <c r="J694" s="135"/>
      <c r="K694" s="135"/>
      <c r="L694" s="135"/>
      <c r="M694" s="135"/>
      <c r="N694" s="135"/>
      <c r="O694" s="135"/>
      <c r="P694" s="135"/>
      <c r="Q694" s="135"/>
      <c r="R694" s="135"/>
      <c r="S694" s="135"/>
      <c r="T694" s="5"/>
    </row>
    <row r="695" spans="1:20" x14ac:dyDescent="0.45">
      <c r="A695" s="135"/>
      <c r="B695" s="135"/>
      <c r="C695" s="135"/>
      <c r="D695" s="135"/>
      <c r="E695" s="135"/>
      <c r="F695" s="135"/>
      <c r="G695" s="135"/>
      <c r="H695" s="135"/>
      <c r="I695" s="135"/>
      <c r="J695" s="135"/>
      <c r="K695" s="135"/>
      <c r="L695" s="135"/>
      <c r="M695" s="135"/>
      <c r="N695" s="135"/>
      <c r="O695" s="135"/>
      <c r="P695" s="135"/>
      <c r="Q695" s="135"/>
      <c r="R695" s="135"/>
      <c r="S695" s="135"/>
      <c r="T695" s="5"/>
    </row>
    <row r="696" spans="1:20" x14ac:dyDescent="0.45">
      <c r="A696" s="135"/>
      <c r="B696" s="135"/>
      <c r="C696" s="135"/>
      <c r="D696" s="135"/>
      <c r="E696" s="135"/>
      <c r="F696" s="135"/>
      <c r="G696" s="135"/>
      <c r="H696" s="135"/>
      <c r="I696" s="135"/>
      <c r="J696" s="135"/>
      <c r="K696" s="135"/>
      <c r="L696" s="135"/>
      <c r="M696" s="135"/>
      <c r="N696" s="135"/>
      <c r="O696" s="135"/>
      <c r="P696" s="135"/>
      <c r="Q696" s="135"/>
      <c r="R696" s="135"/>
      <c r="S696" s="135"/>
      <c r="T696" s="5"/>
    </row>
    <row r="697" spans="1:20" x14ac:dyDescent="0.45">
      <c r="A697" s="135"/>
      <c r="B697" s="135"/>
      <c r="C697" s="135"/>
      <c r="D697" s="135"/>
      <c r="E697" s="135"/>
      <c r="F697" s="135"/>
      <c r="G697" s="135"/>
      <c r="H697" s="135"/>
      <c r="I697" s="135"/>
      <c r="J697" s="135"/>
      <c r="K697" s="135"/>
      <c r="L697" s="135"/>
      <c r="M697" s="135"/>
      <c r="N697" s="135"/>
      <c r="O697" s="135"/>
      <c r="P697" s="135"/>
      <c r="Q697" s="135"/>
      <c r="R697" s="135"/>
      <c r="S697" s="135"/>
      <c r="T697" s="5"/>
    </row>
    <row r="698" spans="1:20" x14ac:dyDescent="0.45">
      <c r="A698" s="135"/>
      <c r="B698" s="135"/>
      <c r="C698" s="135"/>
      <c r="D698" s="135"/>
      <c r="E698" s="135"/>
      <c r="F698" s="135"/>
      <c r="G698" s="135"/>
      <c r="H698" s="135"/>
      <c r="I698" s="135"/>
      <c r="J698" s="135"/>
      <c r="K698" s="135"/>
      <c r="L698" s="135"/>
      <c r="M698" s="135"/>
      <c r="N698" s="135"/>
      <c r="O698" s="135"/>
      <c r="P698" s="135"/>
      <c r="Q698" s="135"/>
      <c r="R698" s="135"/>
      <c r="S698" s="135"/>
      <c r="T698" s="5"/>
    </row>
    <row r="699" spans="1:20" x14ac:dyDescent="0.45">
      <c r="A699" s="135"/>
      <c r="B699" s="135"/>
      <c r="C699" s="135"/>
      <c r="D699" s="135"/>
      <c r="E699" s="135"/>
      <c r="F699" s="135"/>
      <c r="G699" s="135"/>
      <c r="H699" s="135"/>
      <c r="I699" s="135"/>
      <c r="J699" s="135"/>
      <c r="K699" s="135"/>
      <c r="L699" s="135"/>
      <c r="M699" s="135"/>
      <c r="N699" s="135"/>
      <c r="O699" s="135"/>
      <c r="P699" s="135"/>
      <c r="Q699" s="135"/>
      <c r="R699" s="135"/>
      <c r="S699" s="135"/>
      <c r="T699" s="5"/>
    </row>
    <row r="700" spans="1:20" x14ac:dyDescent="0.45">
      <c r="A700" s="135"/>
      <c r="B700" s="135"/>
      <c r="C700" s="135"/>
      <c r="D700" s="135"/>
      <c r="E700" s="135"/>
      <c r="F700" s="135"/>
      <c r="G700" s="135"/>
      <c r="H700" s="135"/>
      <c r="I700" s="135"/>
      <c r="J700" s="135"/>
      <c r="K700" s="135"/>
      <c r="L700" s="135"/>
      <c r="M700" s="135"/>
      <c r="N700" s="135"/>
      <c r="O700" s="135"/>
      <c r="P700" s="135"/>
      <c r="Q700" s="135"/>
      <c r="R700" s="135"/>
      <c r="S700" s="135"/>
      <c r="T700" s="5"/>
    </row>
    <row r="701" spans="1:20" x14ac:dyDescent="0.45">
      <c r="A701" s="135"/>
      <c r="B701" s="135"/>
      <c r="C701" s="135"/>
      <c r="D701" s="135"/>
      <c r="E701" s="135"/>
      <c r="F701" s="135"/>
      <c r="G701" s="135"/>
      <c r="H701" s="135"/>
      <c r="I701" s="135"/>
      <c r="J701" s="135"/>
      <c r="K701" s="135"/>
      <c r="L701" s="135"/>
      <c r="M701" s="135"/>
      <c r="N701" s="135"/>
      <c r="O701" s="135"/>
      <c r="P701" s="135"/>
      <c r="Q701" s="135"/>
      <c r="R701" s="135"/>
      <c r="S701" s="135"/>
      <c r="T701" s="5"/>
    </row>
    <row r="702" spans="1:20" x14ac:dyDescent="0.45">
      <c r="A702" s="135"/>
      <c r="B702" s="135"/>
      <c r="C702" s="135"/>
      <c r="D702" s="135"/>
      <c r="E702" s="135"/>
      <c r="F702" s="135"/>
      <c r="G702" s="135"/>
      <c r="H702" s="135"/>
      <c r="I702" s="135"/>
      <c r="J702" s="135"/>
      <c r="K702" s="135"/>
      <c r="L702" s="135"/>
      <c r="M702" s="135"/>
      <c r="N702" s="135"/>
      <c r="O702" s="135"/>
      <c r="P702" s="135"/>
      <c r="Q702" s="135"/>
      <c r="R702" s="135"/>
      <c r="S702" s="135"/>
      <c r="T702" s="5"/>
    </row>
    <row r="703" spans="1:20" x14ac:dyDescent="0.45">
      <c r="A703" s="135"/>
      <c r="B703" s="135"/>
      <c r="C703" s="135"/>
      <c r="D703" s="135"/>
      <c r="E703" s="135"/>
      <c r="F703" s="135"/>
      <c r="G703" s="135"/>
      <c r="H703" s="135"/>
      <c r="I703" s="135"/>
      <c r="J703" s="135"/>
      <c r="K703" s="135"/>
      <c r="L703" s="135"/>
      <c r="M703" s="135"/>
      <c r="N703" s="135"/>
      <c r="O703" s="135"/>
      <c r="P703" s="135"/>
      <c r="Q703" s="135"/>
      <c r="R703" s="135"/>
      <c r="S703" s="135"/>
      <c r="T703" s="5"/>
    </row>
    <row r="704" spans="1:20" x14ac:dyDescent="0.45">
      <c r="A704" s="135"/>
      <c r="B704" s="135"/>
      <c r="C704" s="135"/>
      <c r="D704" s="135"/>
      <c r="E704" s="135"/>
      <c r="F704" s="135"/>
      <c r="G704" s="135"/>
      <c r="H704" s="135"/>
      <c r="I704" s="135"/>
      <c r="J704" s="135"/>
      <c r="K704" s="135"/>
      <c r="L704" s="135"/>
      <c r="M704" s="135"/>
      <c r="N704" s="135"/>
      <c r="O704" s="135"/>
      <c r="P704" s="135"/>
      <c r="Q704" s="135"/>
      <c r="R704" s="135"/>
      <c r="S704" s="135"/>
      <c r="T704" s="5"/>
    </row>
    <row r="705" spans="1:20" x14ac:dyDescent="0.45">
      <c r="A705" s="135"/>
      <c r="B705" s="135"/>
      <c r="C705" s="135"/>
      <c r="D705" s="135"/>
      <c r="E705" s="135"/>
      <c r="F705" s="135"/>
      <c r="G705" s="135"/>
      <c r="H705" s="135"/>
      <c r="I705" s="135"/>
      <c r="J705" s="135"/>
      <c r="K705" s="135"/>
      <c r="L705" s="135"/>
      <c r="M705" s="135"/>
      <c r="N705" s="135"/>
      <c r="O705" s="135"/>
      <c r="P705" s="135"/>
      <c r="Q705" s="135"/>
      <c r="R705" s="135"/>
      <c r="S705" s="135"/>
      <c r="T705" s="5"/>
    </row>
    <row r="706" spans="1:20" x14ac:dyDescent="0.45">
      <c r="A706" s="135"/>
      <c r="B706" s="135"/>
      <c r="C706" s="135"/>
      <c r="D706" s="135"/>
      <c r="E706" s="135"/>
      <c r="F706" s="135"/>
      <c r="G706" s="135"/>
      <c r="H706" s="135"/>
      <c r="I706" s="135"/>
      <c r="J706" s="135"/>
      <c r="K706" s="135"/>
      <c r="L706" s="135"/>
      <c r="M706" s="135"/>
      <c r="N706" s="135"/>
      <c r="O706" s="135"/>
      <c r="P706" s="135"/>
      <c r="Q706" s="135"/>
      <c r="R706" s="135"/>
      <c r="S706" s="135"/>
      <c r="T706" s="5"/>
    </row>
    <row r="707" spans="1:20" x14ac:dyDescent="0.45">
      <c r="A707" s="135"/>
      <c r="B707" s="135"/>
      <c r="C707" s="135"/>
      <c r="D707" s="135"/>
      <c r="E707" s="135"/>
      <c r="F707" s="135"/>
      <c r="G707" s="135"/>
      <c r="H707" s="135"/>
      <c r="I707" s="135"/>
      <c r="J707" s="135"/>
      <c r="K707" s="135"/>
      <c r="L707" s="135"/>
      <c r="M707" s="135"/>
      <c r="N707" s="135"/>
      <c r="O707" s="135"/>
      <c r="P707" s="135"/>
      <c r="Q707" s="135"/>
      <c r="R707" s="135"/>
      <c r="S707" s="135"/>
      <c r="T707" s="5"/>
    </row>
    <row r="708" spans="1:20" x14ac:dyDescent="0.45">
      <c r="A708" s="135"/>
      <c r="B708" s="135"/>
      <c r="C708" s="135"/>
      <c r="D708" s="135"/>
      <c r="E708" s="135"/>
      <c r="F708" s="135"/>
      <c r="G708" s="135"/>
      <c r="H708" s="135"/>
      <c r="I708" s="135"/>
      <c r="J708" s="135"/>
      <c r="K708" s="135"/>
      <c r="L708" s="135"/>
      <c r="M708" s="135"/>
      <c r="N708" s="135"/>
      <c r="O708" s="135"/>
      <c r="P708" s="135"/>
      <c r="Q708" s="135"/>
      <c r="R708" s="135"/>
      <c r="S708" s="135"/>
      <c r="T708" s="5"/>
    </row>
    <row r="709" spans="1:20" x14ac:dyDescent="0.45">
      <c r="A709" s="135"/>
      <c r="B709" s="135"/>
      <c r="C709" s="135"/>
      <c r="D709" s="135"/>
      <c r="E709" s="135"/>
      <c r="F709" s="135"/>
      <c r="G709" s="135"/>
      <c r="H709" s="135"/>
      <c r="I709" s="135"/>
      <c r="J709" s="135"/>
      <c r="K709" s="135"/>
      <c r="L709" s="135"/>
      <c r="M709" s="135"/>
      <c r="N709" s="135"/>
      <c r="O709" s="135"/>
      <c r="P709" s="135"/>
      <c r="Q709" s="135"/>
      <c r="R709" s="135"/>
      <c r="S709" s="135"/>
      <c r="T709" s="5"/>
    </row>
    <row r="710" spans="1:20" x14ac:dyDescent="0.45">
      <c r="A710" s="135"/>
      <c r="B710" s="135"/>
      <c r="C710" s="135"/>
      <c r="D710" s="135"/>
      <c r="E710" s="135"/>
      <c r="F710" s="135"/>
      <c r="G710" s="135"/>
      <c r="H710" s="135"/>
      <c r="I710" s="135"/>
      <c r="J710" s="135"/>
      <c r="K710" s="135"/>
      <c r="L710" s="135"/>
      <c r="M710" s="135"/>
      <c r="N710" s="135"/>
      <c r="O710" s="135"/>
      <c r="P710" s="135"/>
      <c r="Q710" s="135"/>
      <c r="R710" s="135"/>
      <c r="S710" s="135"/>
      <c r="T710" s="5"/>
    </row>
    <row r="711" spans="1:20" x14ac:dyDescent="0.45">
      <c r="A711" s="135"/>
      <c r="B711" s="135"/>
      <c r="C711" s="135"/>
      <c r="D711" s="135"/>
      <c r="E711" s="135"/>
      <c r="F711" s="135"/>
      <c r="G711" s="135"/>
      <c r="H711" s="135"/>
      <c r="I711" s="135"/>
      <c r="J711" s="135"/>
      <c r="K711" s="135"/>
      <c r="L711" s="135"/>
      <c r="M711" s="135"/>
      <c r="N711" s="135"/>
      <c r="O711" s="135"/>
      <c r="P711" s="135"/>
      <c r="Q711" s="135"/>
      <c r="R711" s="135"/>
      <c r="S711" s="135"/>
      <c r="T711" s="5"/>
    </row>
    <row r="712" spans="1:20" x14ac:dyDescent="0.45">
      <c r="A712" s="135"/>
      <c r="B712" s="135"/>
      <c r="C712" s="135"/>
      <c r="D712" s="135"/>
      <c r="E712" s="135"/>
      <c r="F712" s="135"/>
      <c r="G712" s="135"/>
      <c r="H712" s="135"/>
      <c r="I712" s="135"/>
      <c r="J712" s="135"/>
      <c r="K712" s="135"/>
      <c r="L712" s="135"/>
      <c r="M712" s="135"/>
      <c r="N712" s="135"/>
      <c r="O712" s="135"/>
      <c r="P712" s="135"/>
      <c r="Q712" s="135"/>
      <c r="R712" s="135"/>
      <c r="S712" s="135"/>
      <c r="T712" s="5"/>
    </row>
    <row r="713" spans="1:20" x14ac:dyDescent="0.45">
      <c r="A713" s="135"/>
      <c r="B713" s="135"/>
      <c r="C713" s="135"/>
      <c r="D713" s="135"/>
      <c r="E713" s="135"/>
      <c r="F713" s="135"/>
      <c r="G713" s="135"/>
      <c r="H713" s="135"/>
      <c r="I713" s="135"/>
      <c r="J713" s="135"/>
      <c r="K713" s="135"/>
      <c r="L713" s="135"/>
      <c r="M713" s="135"/>
      <c r="N713" s="135"/>
      <c r="O713" s="135"/>
      <c r="P713" s="135"/>
      <c r="Q713" s="135"/>
      <c r="R713" s="135"/>
      <c r="S713" s="135"/>
      <c r="T713" s="5"/>
    </row>
    <row r="714" spans="1:20" x14ac:dyDescent="0.45">
      <c r="A714" s="135"/>
      <c r="B714" s="135"/>
      <c r="C714" s="135"/>
      <c r="D714" s="135"/>
      <c r="E714" s="135"/>
      <c r="F714" s="135"/>
      <c r="G714" s="135"/>
      <c r="H714" s="135"/>
      <c r="I714" s="135"/>
      <c r="J714" s="135"/>
      <c r="K714" s="135"/>
      <c r="L714" s="135"/>
      <c r="M714" s="135"/>
      <c r="N714" s="135"/>
      <c r="O714" s="135"/>
      <c r="P714" s="135"/>
      <c r="Q714" s="135"/>
      <c r="R714" s="135"/>
      <c r="S714" s="135"/>
      <c r="T714" s="5"/>
    </row>
    <row r="715" spans="1:20" x14ac:dyDescent="0.45">
      <c r="A715" s="135"/>
      <c r="B715" s="135"/>
      <c r="C715" s="135"/>
      <c r="D715" s="135"/>
      <c r="E715" s="135"/>
      <c r="F715" s="135"/>
      <c r="G715" s="135"/>
      <c r="H715" s="135"/>
      <c r="I715" s="135"/>
      <c r="J715" s="135"/>
      <c r="K715" s="135"/>
      <c r="L715" s="135"/>
      <c r="M715" s="135"/>
      <c r="N715" s="135"/>
      <c r="O715" s="135"/>
      <c r="P715" s="135"/>
      <c r="Q715" s="135"/>
      <c r="R715" s="135"/>
      <c r="S715" s="135"/>
      <c r="T715" s="5"/>
    </row>
    <row r="716" spans="1:20" x14ac:dyDescent="0.45">
      <c r="A716" s="135"/>
      <c r="B716" s="135"/>
      <c r="C716" s="135"/>
      <c r="D716" s="135"/>
      <c r="E716" s="135"/>
      <c r="F716" s="135"/>
      <c r="G716" s="135"/>
      <c r="H716" s="135"/>
      <c r="I716" s="135"/>
      <c r="J716" s="135"/>
      <c r="K716" s="135"/>
      <c r="L716" s="135"/>
      <c r="M716" s="135"/>
      <c r="N716" s="135"/>
      <c r="O716" s="135"/>
      <c r="P716" s="135"/>
      <c r="Q716" s="135"/>
      <c r="R716" s="135"/>
      <c r="S716" s="135"/>
      <c r="T716" s="5"/>
    </row>
    <row r="717" spans="1:20" x14ac:dyDescent="0.45">
      <c r="A717" s="135"/>
      <c r="B717" s="135"/>
      <c r="C717" s="135"/>
      <c r="D717" s="135"/>
      <c r="E717" s="135"/>
      <c r="F717" s="135"/>
      <c r="G717" s="135"/>
      <c r="H717" s="135"/>
      <c r="I717" s="135"/>
      <c r="J717" s="135"/>
      <c r="K717" s="135"/>
      <c r="L717" s="135"/>
      <c r="M717" s="135"/>
      <c r="N717" s="135"/>
      <c r="O717" s="135"/>
      <c r="P717" s="135"/>
      <c r="Q717" s="135"/>
      <c r="R717" s="135"/>
      <c r="S717" s="135"/>
      <c r="T717" s="5"/>
    </row>
    <row r="718" spans="1:20" x14ac:dyDescent="0.45">
      <c r="A718" s="135"/>
      <c r="B718" s="135"/>
      <c r="C718" s="135"/>
      <c r="D718" s="135"/>
      <c r="E718" s="135"/>
      <c r="F718" s="135"/>
      <c r="G718" s="135"/>
      <c r="H718" s="135"/>
      <c r="I718" s="135"/>
      <c r="J718" s="135"/>
      <c r="K718" s="135"/>
      <c r="L718" s="135"/>
      <c r="M718" s="135"/>
      <c r="N718" s="135"/>
      <c r="O718" s="135"/>
      <c r="P718" s="135"/>
      <c r="Q718" s="135"/>
      <c r="R718" s="135"/>
      <c r="S718" s="135"/>
      <c r="T718" s="5"/>
    </row>
    <row r="719" spans="1:20" x14ac:dyDescent="0.45">
      <c r="A719" s="135"/>
      <c r="B719" s="135"/>
      <c r="C719" s="135"/>
      <c r="D719" s="135"/>
      <c r="E719" s="135"/>
      <c r="F719" s="135"/>
      <c r="G719" s="135"/>
      <c r="H719" s="135"/>
      <c r="I719" s="135"/>
      <c r="J719" s="135"/>
      <c r="K719" s="135"/>
      <c r="L719" s="135"/>
      <c r="M719" s="135"/>
      <c r="N719" s="135"/>
      <c r="O719" s="135"/>
      <c r="P719" s="135"/>
      <c r="Q719" s="135"/>
      <c r="R719" s="135"/>
      <c r="S719" s="135"/>
      <c r="T719" s="5"/>
    </row>
    <row r="720" spans="1:20" x14ac:dyDescent="0.45">
      <c r="A720" s="135"/>
      <c r="B720" s="135"/>
      <c r="C720" s="135"/>
      <c r="D720" s="135"/>
      <c r="E720" s="135"/>
      <c r="F720" s="135"/>
      <c r="G720" s="135"/>
      <c r="H720" s="135"/>
      <c r="I720" s="135"/>
      <c r="J720" s="135"/>
      <c r="K720" s="135"/>
      <c r="L720" s="135"/>
      <c r="M720" s="135"/>
      <c r="N720" s="135"/>
      <c r="O720" s="135"/>
      <c r="P720" s="135"/>
      <c r="Q720" s="135"/>
      <c r="R720" s="135"/>
      <c r="S720" s="135"/>
      <c r="T720" s="5"/>
    </row>
    <row r="721" spans="1:20" x14ac:dyDescent="0.45">
      <c r="A721" s="135"/>
      <c r="B721" s="135"/>
      <c r="C721" s="135"/>
      <c r="D721" s="135"/>
      <c r="E721" s="135"/>
      <c r="F721" s="135"/>
      <c r="G721" s="135"/>
      <c r="H721" s="135"/>
      <c r="I721" s="135"/>
      <c r="J721" s="135"/>
      <c r="K721" s="135"/>
      <c r="L721" s="135"/>
      <c r="M721" s="135"/>
      <c r="N721" s="135"/>
      <c r="O721" s="135"/>
      <c r="P721" s="135"/>
      <c r="Q721" s="135"/>
      <c r="R721" s="135"/>
      <c r="S721" s="135"/>
      <c r="T721" s="5"/>
    </row>
    <row r="722" spans="1:20" x14ac:dyDescent="0.45">
      <c r="A722" s="135"/>
      <c r="B722" s="135"/>
      <c r="C722" s="135"/>
      <c r="D722" s="135"/>
      <c r="E722" s="135"/>
      <c r="F722" s="135"/>
      <c r="G722" s="135"/>
      <c r="H722" s="135"/>
      <c r="I722" s="135"/>
      <c r="J722" s="135"/>
      <c r="K722" s="135"/>
      <c r="L722" s="135"/>
      <c r="M722" s="135"/>
      <c r="N722" s="135"/>
      <c r="O722" s="135"/>
      <c r="P722" s="135"/>
      <c r="Q722" s="135"/>
      <c r="R722" s="135"/>
      <c r="S722" s="135"/>
      <c r="T722" s="5"/>
    </row>
    <row r="723" spans="1:20" x14ac:dyDescent="0.45">
      <c r="A723" s="135"/>
      <c r="B723" s="135"/>
      <c r="C723" s="135"/>
      <c r="D723" s="135"/>
      <c r="E723" s="135"/>
      <c r="F723" s="135"/>
      <c r="G723" s="135"/>
      <c r="H723" s="135"/>
      <c r="I723" s="135"/>
      <c r="J723" s="135"/>
      <c r="K723" s="135"/>
      <c r="L723" s="135"/>
      <c r="M723" s="135"/>
      <c r="N723" s="135"/>
      <c r="O723" s="135"/>
      <c r="P723" s="135"/>
      <c r="Q723" s="135"/>
      <c r="R723" s="135"/>
      <c r="S723" s="135"/>
      <c r="T723" s="5"/>
    </row>
    <row r="724" spans="1:20" x14ac:dyDescent="0.45">
      <c r="A724" s="135"/>
      <c r="B724" s="135"/>
      <c r="C724" s="135"/>
      <c r="D724" s="135"/>
      <c r="E724" s="135"/>
      <c r="F724" s="135"/>
      <c r="G724" s="135"/>
      <c r="H724" s="135"/>
      <c r="I724" s="135"/>
      <c r="J724" s="135"/>
      <c r="K724" s="135"/>
      <c r="L724" s="135"/>
      <c r="M724" s="135"/>
      <c r="N724" s="135"/>
      <c r="O724" s="135"/>
      <c r="P724" s="135"/>
      <c r="Q724" s="135"/>
      <c r="R724" s="135"/>
      <c r="S724" s="135"/>
      <c r="T724" s="5"/>
    </row>
    <row r="725" spans="1:20" x14ac:dyDescent="0.45">
      <c r="A725" s="135"/>
      <c r="B725" s="135"/>
      <c r="C725" s="135"/>
      <c r="D725" s="135"/>
      <c r="E725" s="135"/>
      <c r="F725" s="135"/>
      <c r="G725" s="135"/>
      <c r="H725" s="135"/>
      <c r="I725" s="135"/>
      <c r="J725" s="135"/>
      <c r="K725" s="135"/>
      <c r="L725" s="135"/>
      <c r="M725" s="135"/>
      <c r="N725" s="135"/>
      <c r="O725" s="135"/>
      <c r="P725" s="135"/>
      <c r="Q725" s="135"/>
      <c r="R725" s="135"/>
      <c r="S725" s="135"/>
      <c r="T725" s="5"/>
    </row>
    <row r="726" spans="1:20" x14ac:dyDescent="0.45">
      <c r="A726" s="135"/>
      <c r="B726" s="135"/>
      <c r="C726" s="135"/>
      <c r="D726" s="135"/>
      <c r="E726" s="135"/>
      <c r="F726" s="135"/>
      <c r="G726" s="135"/>
      <c r="H726" s="135"/>
      <c r="I726" s="135"/>
      <c r="J726" s="135"/>
      <c r="K726" s="135"/>
      <c r="L726" s="135"/>
      <c r="M726" s="135"/>
      <c r="N726" s="135"/>
      <c r="O726" s="135"/>
      <c r="P726" s="135"/>
      <c r="Q726" s="135"/>
      <c r="R726" s="135"/>
      <c r="S726" s="135"/>
      <c r="T726" s="5"/>
    </row>
    <row r="727" spans="1:20" x14ac:dyDescent="0.45">
      <c r="A727" s="135"/>
      <c r="B727" s="135"/>
      <c r="C727" s="135"/>
      <c r="D727" s="135"/>
      <c r="E727" s="135"/>
      <c r="F727" s="135"/>
      <c r="G727" s="135"/>
      <c r="H727" s="135"/>
      <c r="I727" s="135"/>
      <c r="J727" s="135"/>
      <c r="K727" s="135"/>
      <c r="L727" s="135"/>
      <c r="M727" s="135"/>
      <c r="N727" s="135"/>
      <c r="O727" s="135"/>
      <c r="P727" s="135"/>
      <c r="Q727" s="135"/>
      <c r="R727" s="135"/>
      <c r="S727" s="135"/>
      <c r="T727" s="5"/>
    </row>
    <row r="728" spans="1:20" x14ac:dyDescent="0.45">
      <c r="A728" s="135"/>
      <c r="B728" s="135"/>
      <c r="C728" s="135"/>
      <c r="D728" s="135"/>
      <c r="E728" s="135"/>
      <c r="F728" s="135"/>
      <c r="G728" s="135"/>
      <c r="H728" s="135"/>
      <c r="I728" s="135"/>
      <c r="J728" s="135"/>
      <c r="K728" s="135"/>
      <c r="L728" s="135"/>
      <c r="M728" s="135"/>
      <c r="N728" s="135"/>
      <c r="O728" s="135"/>
      <c r="P728" s="135"/>
      <c r="Q728" s="135"/>
      <c r="R728" s="135"/>
      <c r="S728" s="135"/>
      <c r="T728" s="5"/>
    </row>
    <row r="729" spans="1:20" x14ac:dyDescent="0.45">
      <c r="A729" s="135"/>
      <c r="B729" s="135"/>
      <c r="C729" s="135"/>
      <c r="D729" s="135"/>
      <c r="E729" s="135"/>
      <c r="F729" s="135"/>
      <c r="G729" s="135"/>
      <c r="H729" s="135"/>
      <c r="I729" s="135"/>
      <c r="J729" s="135"/>
      <c r="K729" s="135"/>
      <c r="L729" s="135"/>
      <c r="M729" s="135"/>
      <c r="N729" s="135"/>
      <c r="O729" s="135"/>
      <c r="P729" s="135"/>
      <c r="Q729" s="135"/>
      <c r="R729" s="135"/>
      <c r="S729" s="135"/>
      <c r="T729" s="5"/>
    </row>
    <row r="730" spans="1:20" x14ac:dyDescent="0.45">
      <c r="A730" s="135"/>
      <c r="B730" s="135"/>
      <c r="C730" s="135"/>
      <c r="D730" s="135"/>
      <c r="E730" s="135"/>
      <c r="F730" s="135"/>
      <c r="G730" s="135"/>
      <c r="H730" s="135"/>
      <c r="I730" s="135"/>
      <c r="J730" s="135"/>
      <c r="K730" s="135"/>
      <c r="L730" s="135"/>
      <c r="M730" s="135"/>
      <c r="N730" s="135"/>
      <c r="O730" s="135"/>
      <c r="P730" s="135"/>
      <c r="Q730" s="135"/>
      <c r="R730" s="135"/>
      <c r="S730" s="135"/>
      <c r="T730" s="5"/>
    </row>
    <row r="731" spans="1:20" x14ac:dyDescent="0.45">
      <c r="A731" s="135"/>
      <c r="B731" s="135"/>
      <c r="C731" s="135"/>
      <c r="D731" s="135"/>
      <c r="E731" s="135"/>
      <c r="F731" s="135"/>
      <c r="G731" s="135"/>
      <c r="H731" s="135"/>
      <c r="I731" s="135"/>
      <c r="J731" s="135"/>
      <c r="K731" s="135"/>
      <c r="L731" s="135"/>
      <c r="M731" s="135"/>
      <c r="N731" s="135"/>
      <c r="O731" s="135"/>
      <c r="P731" s="135"/>
      <c r="Q731" s="135"/>
      <c r="R731" s="135"/>
      <c r="S731" s="135"/>
      <c r="T731" s="5"/>
    </row>
    <row r="732" spans="1:20" x14ac:dyDescent="0.45">
      <c r="A732" s="135"/>
      <c r="B732" s="135"/>
      <c r="C732" s="135"/>
      <c r="D732" s="135"/>
      <c r="E732" s="135"/>
      <c r="F732" s="135"/>
      <c r="G732" s="135"/>
      <c r="H732" s="135"/>
      <c r="I732" s="135"/>
      <c r="J732" s="135"/>
      <c r="K732" s="135"/>
      <c r="L732" s="135"/>
      <c r="M732" s="135"/>
      <c r="N732" s="135"/>
      <c r="O732" s="135"/>
      <c r="P732" s="135"/>
      <c r="Q732" s="135"/>
      <c r="R732" s="135"/>
      <c r="S732" s="135"/>
      <c r="T732" s="5"/>
    </row>
    <row r="733" spans="1:20" x14ac:dyDescent="0.45">
      <c r="A733" s="135"/>
      <c r="B733" s="135"/>
      <c r="C733" s="135"/>
      <c r="D733" s="135"/>
      <c r="E733" s="135"/>
      <c r="F733" s="135"/>
      <c r="G733" s="135"/>
      <c r="H733" s="135"/>
      <c r="I733" s="135"/>
      <c r="J733" s="135"/>
      <c r="K733" s="135"/>
      <c r="L733" s="135"/>
      <c r="M733" s="135"/>
      <c r="N733" s="135"/>
      <c r="O733" s="135"/>
      <c r="P733" s="135"/>
      <c r="Q733" s="135"/>
      <c r="R733" s="135"/>
      <c r="S733" s="135"/>
      <c r="T733" s="5"/>
    </row>
    <row r="734" spans="1:20" x14ac:dyDescent="0.45">
      <c r="A734" s="135"/>
      <c r="B734" s="135"/>
      <c r="C734" s="135"/>
      <c r="D734" s="135"/>
      <c r="E734" s="135"/>
      <c r="F734" s="135"/>
      <c r="G734" s="135"/>
      <c r="H734" s="135"/>
      <c r="I734" s="135"/>
      <c r="J734" s="135"/>
      <c r="K734" s="135"/>
      <c r="L734" s="135"/>
      <c r="M734" s="135"/>
      <c r="N734" s="135"/>
      <c r="O734" s="135"/>
      <c r="P734" s="135"/>
      <c r="Q734" s="135"/>
      <c r="R734" s="135"/>
      <c r="S734" s="135"/>
      <c r="T734" s="5"/>
    </row>
    <row r="735" spans="1:20" x14ac:dyDescent="0.45">
      <c r="A735" s="135"/>
      <c r="B735" s="135"/>
      <c r="C735" s="135"/>
      <c r="D735" s="135"/>
      <c r="E735" s="135"/>
      <c r="F735" s="135"/>
      <c r="G735" s="135"/>
      <c r="H735" s="135"/>
      <c r="I735" s="135"/>
      <c r="J735" s="135"/>
      <c r="K735" s="135"/>
      <c r="L735" s="135"/>
      <c r="M735" s="135"/>
      <c r="N735" s="135"/>
      <c r="O735" s="135"/>
      <c r="P735" s="135"/>
      <c r="Q735" s="135"/>
      <c r="R735" s="135"/>
      <c r="S735" s="135"/>
      <c r="T735" s="5"/>
    </row>
    <row r="736" spans="1:20" x14ac:dyDescent="0.45">
      <c r="A736" s="135"/>
      <c r="B736" s="135"/>
      <c r="C736" s="135"/>
      <c r="D736" s="135"/>
      <c r="E736" s="135"/>
      <c r="F736" s="135"/>
      <c r="G736" s="135"/>
      <c r="H736" s="135"/>
      <c r="I736" s="135"/>
      <c r="J736" s="135"/>
      <c r="K736" s="135"/>
      <c r="L736" s="135"/>
      <c r="M736" s="135"/>
      <c r="N736" s="135"/>
      <c r="O736" s="135"/>
      <c r="P736" s="135"/>
      <c r="Q736" s="135"/>
      <c r="R736" s="135"/>
      <c r="S736" s="135"/>
      <c r="T736" s="5"/>
    </row>
    <row r="737" spans="1:20" x14ac:dyDescent="0.45">
      <c r="A737" s="135"/>
      <c r="B737" s="135"/>
      <c r="C737" s="135"/>
      <c r="D737" s="135"/>
      <c r="E737" s="135"/>
      <c r="F737" s="135"/>
      <c r="G737" s="135"/>
      <c r="H737" s="135"/>
      <c r="I737" s="135"/>
      <c r="J737" s="135"/>
      <c r="K737" s="135"/>
      <c r="L737" s="135"/>
      <c r="M737" s="135"/>
      <c r="N737" s="135"/>
      <c r="O737" s="135"/>
      <c r="P737" s="135"/>
      <c r="Q737" s="135"/>
      <c r="R737" s="135"/>
      <c r="S737" s="135"/>
      <c r="T737" s="5"/>
    </row>
    <row r="738" spans="1:20" x14ac:dyDescent="0.45">
      <c r="A738" s="135"/>
      <c r="B738" s="135"/>
      <c r="C738" s="135"/>
      <c r="D738" s="135"/>
      <c r="E738" s="135"/>
      <c r="F738" s="135"/>
      <c r="G738" s="135"/>
      <c r="H738" s="135"/>
      <c r="I738" s="135"/>
      <c r="J738" s="135"/>
      <c r="K738" s="135"/>
      <c r="L738" s="135"/>
      <c r="M738" s="135"/>
      <c r="N738" s="135"/>
      <c r="O738" s="135"/>
      <c r="P738" s="135"/>
      <c r="Q738" s="135"/>
      <c r="R738" s="135"/>
      <c r="S738" s="135"/>
      <c r="T738" s="5"/>
    </row>
    <row r="739" spans="1:20" x14ac:dyDescent="0.45">
      <c r="A739" s="135"/>
      <c r="B739" s="135"/>
      <c r="C739" s="135"/>
      <c r="D739" s="135"/>
      <c r="E739" s="135"/>
      <c r="F739" s="135"/>
      <c r="G739" s="135"/>
      <c r="H739" s="135"/>
      <c r="I739" s="135"/>
      <c r="J739" s="135"/>
      <c r="K739" s="135"/>
      <c r="L739" s="135"/>
      <c r="M739" s="135"/>
      <c r="N739" s="135"/>
      <c r="O739" s="135"/>
      <c r="P739" s="135"/>
      <c r="Q739" s="135"/>
      <c r="R739" s="135"/>
      <c r="S739" s="135"/>
      <c r="T739" s="5"/>
    </row>
    <row r="740" spans="1:20" x14ac:dyDescent="0.45">
      <c r="A740" s="135"/>
      <c r="B740" s="135"/>
      <c r="C740" s="135"/>
      <c r="D740" s="135"/>
      <c r="E740" s="135"/>
      <c r="F740" s="135"/>
      <c r="G740" s="135"/>
      <c r="H740" s="135"/>
      <c r="I740" s="135"/>
      <c r="J740" s="135"/>
      <c r="K740" s="135"/>
      <c r="L740" s="135"/>
      <c r="M740" s="135"/>
      <c r="N740" s="135"/>
      <c r="O740" s="135"/>
      <c r="P740" s="135"/>
      <c r="Q740" s="135"/>
      <c r="R740" s="135"/>
      <c r="S740" s="135"/>
      <c r="T740" s="5"/>
    </row>
    <row r="741" spans="1:20" x14ac:dyDescent="0.45">
      <c r="A741" s="135"/>
      <c r="B741" s="135"/>
      <c r="C741" s="135"/>
      <c r="D741" s="135"/>
      <c r="E741" s="135"/>
      <c r="F741" s="135"/>
      <c r="G741" s="135"/>
      <c r="H741" s="135"/>
      <c r="I741" s="135"/>
      <c r="J741" s="135"/>
      <c r="K741" s="135"/>
      <c r="L741" s="135"/>
      <c r="M741" s="135"/>
      <c r="N741" s="135"/>
      <c r="O741" s="135"/>
      <c r="P741" s="135"/>
      <c r="Q741" s="135"/>
      <c r="R741" s="135"/>
      <c r="S741" s="135"/>
      <c r="T741" s="5"/>
    </row>
    <row r="742" spans="1:20" x14ac:dyDescent="0.45">
      <c r="A742" s="135"/>
      <c r="B742" s="135"/>
      <c r="C742" s="135"/>
      <c r="D742" s="135"/>
      <c r="E742" s="135"/>
      <c r="F742" s="135"/>
      <c r="G742" s="135"/>
      <c r="H742" s="135"/>
      <c r="I742" s="135"/>
      <c r="J742" s="135"/>
      <c r="K742" s="135"/>
      <c r="L742" s="135"/>
      <c r="M742" s="135"/>
      <c r="N742" s="135"/>
      <c r="O742" s="135"/>
      <c r="P742" s="135"/>
      <c r="Q742" s="135"/>
      <c r="R742" s="135"/>
      <c r="S742" s="135"/>
      <c r="T742" s="5"/>
    </row>
    <row r="743" spans="1:20" x14ac:dyDescent="0.45">
      <c r="A743" s="135"/>
      <c r="B743" s="135"/>
      <c r="C743" s="135"/>
      <c r="D743" s="135"/>
      <c r="E743" s="135"/>
      <c r="F743" s="135"/>
      <c r="G743" s="135"/>
      <c r="H743" s="135"/>
      <c r="I743" s="135"/>
      <c r="J743" s="135"/>
      <c r="K743" s="135"/>
      <c r="L743" s="135"/>
      <c r="M743" s="135"/>
      <c r="N743" s="135"/>
      <c r="O743" s="135"/>
      <c r="P743" s="135"/>
      <c r="Q743" s="135"/>
      <c r="R743" s="135"/>
      <c r="S743" s="135"/>
      <c r="T743" s="5"/>
    </row>
    <row r="744" spans="1:20" x14ac:dyDescent="0.45">
      <c r="A744" s="135"/>
      <c r="B744" s="135"/>
      <c r="C744" s="135"/>
      <c r="D744" s="135"/>
      <c r="E744" s="135"/>
      <c r="F744" s="135"/>
      <c r="G744" s="135"/>
      <c r="H744" s="135"/>
      <c r="I744" s="135"/>
      <c r="J744" s="135"/>
      <c r="K744" s="135"/>
      <c r="L744" s="135"/>
      <c r="M744" s="135"/>
      <c r="N744" s="135"/>
      <c r="O744" s="135"/>
      <c r="P744" s="135"/>
      <c r="Q744" s="135"/>
      <c r="R744" s="135"/>
      <c r="S744" s="135"/>
      <c r="T744" s="5"/>
    </row>
    <row r="745" spans="1:20" x14ac:dyDescent="0.45">
      <c r="A745" s="135"/>
      <c r="B745" s="135"/>
      <c r="C745" s="135"/>
      <c r="D745" s="135"/>
      <c r="E745" s="135"/>
      <c r="F745" s="135"/>
      <c r="G745" s="135"/>
      <c r="H745" s="135"/>
      <c r="I745" s="135"/>
      <c r="J745" s="135"/>
      <c r="K745" s="135"/>
      <c r="L745" s="135"/>
      <c r="M745" s="135"/>
      <c r="N745" s="135"/>
      <c r="O745" s="135"/>
      <c r="P745" s="135"/>
      <c r="Q745" s="135"/>
      <c r="R745" s="135"/>
      <c r="S745" s="135"/>
      <c r="T745" s="5"/>
    </row>
    <row r="746" spans="1:20" x14ac:dyDescent="0.45">
      <c r="A746" s="135"/>
      <c r="B746" s="135"/>
      <c r="C746" s="135"/>
      <c r="D746" s="135"/>
      <c r="E746" s="135"/>
      <c r="F746" s="135"/>
      <c r="G746" s="135"/>
      <c r="H746" s="135"/>
      <c r="I746" s="135"/>
      <c r="J746" s="135"/>
      <c r="K746" s="135"/>
      <c r="L746" s="135"/>
      <c r="M746" s="135"/>
      <c r="N746" s="135"/>
      <c r="O746" s="135"/>
      <c r="P746" s="135"/>
      <c r="Q746" s="135"/>
      <c r="R746" s="135"/>
      <c r="S746" s="135"/>
      <c r="T746" s="5"/>
    </row>
    <row r="747" spans="1:20" x14ac:dyDescent="0.45">
      <c r="A747" s="135"/>
      <c r="B747" s="135"/>
      <c r="C747" s="135"/>
      <c r="D747" s="135"/>
      <c r="E747" s="135"/>
      <c r="F747" s="135"/>
      <c r="G747" s="135"/>
      <c r="H747" s="135"/>
      <c r="I747" s="135"/>
      <c r="J747" s="135"/>
      <c r="K747" s="135"/>
      <c r="L747" s="135"/>
      <c r="M747" s="135"/>
      <c r="N747" s="135"/>
      <c r="O747" s="135"/>
      <c r="P747" s="135"/>
      <c r="Q747" s="135"/>
      <c r="R747" s="135"/>
      <c r="S747" s="135"/>
      <c r="T747" s="5"/>
    </row>
    <row r="748" spans="1:20" x14ac:dyDescent="0.45">
      <c r="A748" s="135"/>
      <c r="B748" s="135"/>
      <c r="C748" s="135"/>
      <c r="D748" s="135"/>
      <c r="E748" s="135"/>
      <c r="F748" s="135"/>
      <c r="G748" s="135"/>
      <c r="H748" s="135"/>
      <c r="I748" s="135"/>
      <c r="J748" s="135"/>
      <c r="K748" s="135"/>
      <c r="L748" s="135"/>
      <c r="M748" s="135"/>
      <c r="N748" s="135"/>
      <c r="O748" s="135"/>
      <c r="P748" s="135"/>
      <c r="Q748" s="135"/>
      <c r="R748" s="135"/>
      <c r="S748" s="135"/>
      <c r="T748" s="5"/>
    </row>
    <row r="749" spans="1:20" x14ac:dyDescent="0.45">
      <c r="A749" s="135"/>
      <c r="B749" s="135"/>
      <c r="C749" s="135"/>
      <c r="D749" s="135"/>
      <c r="E749" s="135"/>
      <c r="F749" s="135"/>
      <c r="G749" s="135"/>
      <c r="H749" s="135"/>
      <c r="I749" s="135"/>
      <c r="J749" s="135"/>
      <c r="K749" s="135"/>
      <c r="L749" s="135"/>
      <c r="M749" s="135"/>
      <c r="N749" s="135"/>
      <c r="O749" s="135"/>
      <c r="P749" s="135"/>
      <c r="Q749" s="135"/>
      <c r="R749" s="135"/>
      <c r="S749" s="135"/>
      <c r="T749" s="5"/>
    </row>
    <row r="750" spans="1:20" x14ac:dyDescent="0.45">
      <c r="A750" s="135"/>
      <c r="B750" s="135"/>
      <c r="C750" s="135"/>
      <c r="D750" s="135"/>
      <c r="E750" s="135"/>
      <c r="F750" s="135"/>
      <c r="G750" s="135"/>
      <c r="H750" s="135"/>
      <c r="I750" s="135"/>
      <c r="J750" s="135"/>
      <c r="K750" s="135"/>
      <c r="L750" s="135"/>
      <c r="M750" s="135"/>
      <c r="N750" s="135"/>
      <c r="O750" s="135"/>
      <c r="P750" s="135"/>
      <c r="Q750" s="135"/>
      <c r="R750" s="135"/>
      <c r="S750" s="135"/>
      <c r="T750" s="5"/>
    </row>
    <row r="751" spans="1:20" x14ac:dyDescent="0.45">
      <c r="A751" s="135"/>
      <c r="B751" s="135"/>
      <c r="C751" s="135"/>
      <c r="D751" s="135"/>
      <c r="E751" s="135"/>
      <c r="F751" s="135"/>
      <c r="G751" s="135"/>
      <c r="H751" s="135"/>
      <c r="I751" s="135"/>
      <c r="J751" s="135"/>
      <c r="K751" s="135"/>
      <c r="L751" s="135"/>
      <c r="M751" s="135"/>
      <c r="N751" s="135"/>
      <c r="O751" s="135"/>
      <c r="P751" s="135"/>
      <c r="Q751" s="135"/>
      <c r="R751" s="135"/>
      <c r="S751" s="135"/>
      <c r="T751" s="5"/>
    </row>
    <row r="752" spans="1:20" x14ac:dyDescent="0.45">
      <c r="A752" s="135"/>
      <c r="B752" s="135"/>
      <c r="C752" s="135"/>
      <c r="D752" s="135"/>
      <c r="E752" s="135"/>
      <c r="F752" s="135"/>
      <c r="G752" s="135"/>
      <c r="H752" s="135"/>
      <c r="I752" s="135"/>
      <c r="J752" s="135"/>
      <c r="K752" s="135"/>
      <c r="L752" s="135"/>
      <c r="M752" s="135"/>
      <c r="N752" s="135"/>
      <c r="O752" s="135"/>
      <c r="P752" s="135"/>
      <c r="Q752" s="135"/>
      <c r="R752" s="135"/>
      <c r="S752" s="135"/>
      <c r="T752" s="5"/>
    </row>
    <row r="753" spans="1:20" x14ac:dyDescent="0.45">
      <c r="A753" s="135"/>
      <c r="B753" s="135"/>
      <c r="C753" s="135"/>
      <c r="D753" s="135"/>
      <c r="E753" s="135"/>
      <c r="F753" s="135"/>
      <c r="G753" s="135"/>
      <c r="H753" s="135"/>
      <c r="I753" s="135"/>
      <c r="J753" s="135"/>
      <c r="K753" s="135"/>
      <c r="L753" s="135"/>
      <c r="M753" s="135"/>
      <c r="N753" s="135"/>
      <c r="O753" s="135"/>
      <c r="P753" s="135"/>
      <c r="Q753" s="135"/>
      <c r="R753" s="135"/>
      <c r="S753" s="135"/>
      <c r="T753" s="5"/>
    </row>
    <row r="754" spans="1:20" x14ac:dyDescent="0.45">
      <c r="A754" s="135"/>
      <c r="B754" s="135"/>
      <c r="C754" s="135"/>
      <c r="D754" s="135"/>
      <c r="E754" s="135"/>
      <c r="F754" s="135"/>
      <c r="G754" s="135"/>
      <c r="H754" s="135"/>
      <c r="I754" s="135"/>
      <c r="J754" s="135"/>
      <c r="K754" s="135"/>
      <c r="L754" s="135"/>
      <c r="M754" s="135"/>
      <c r="N754" s="135"/>
      <c r="O754" s="135"/>
      <c r="P754" s="135"/>
      <c r="Q754" s="135"/>
      <c r="R754" s="135"/>
      <c r="S754" s="135"/>
      <c r="T754" s="5"/>
    </row>
    <row r="755" spans="1:20" x14ac:dyDescent="0.45">
      <c r="A755" s="135"/>
      <c r="B755" s="135"/>
      <c r="C755" s="135"/>
      <c r="D755" s="135"/>
      <c r="E755" s="135"/>
      <c r="F755" s="135"/>
      <c r="G755" s="135"/>
      <c r="H755" s="135"/>
      <c r="I755" s="135"/>
      <c r="J755" s="135"/>
      <c r="K755" s="135"/>
      <c r="L755" s="135"/>
      <c r="M755" s="135"/>
      <c r="N755" s="135"/>
      <c r="O755" s="135"/>
      <c r="P755" s="135"/>
      <c r="Q755" s="135"/>
      <c r="R755" s="135"/>
      <c r="S755" s="135"/>
      <c r="T755" s="5"/>
    </row>
    <row r="756" spans="1:20" x14ac:dyDescent="0.45">
      <c r="A756" s="135"/>
      <c r="B756" s="135"/>
      <c r="C756" s="135"/>
      <c r="D756" s="135"/>
      <c r="E756" s="135"/>
      <c r="F756" s="135"/>
      <c r="G756" s="135"/>
      <c r="H756" s="135"/>
      <c r="I756" s="135"/>
      <c r="J756" s="135"/>
      <c r="K756" s="135"/>
      <c r="L756" s="135"/>
      <c r="M756" s="135"/>
      <c r="N756" s="135"/>
      <c r="O756" s="135"/>
      <c r="P756" s="135"/>
      <c r="Q756" s="135"/>
      <c r="R756" s="135"/>
      <c r="S756" s="135"/>
      <c r="T756" s="5"/>
    </row>
    <row r="757" spans="1:20" x14ac:dyDescent="0.45">
      <c r="A757" s="135"/>
      <c r="B757" s="135"/>
      <c r="C757" s="135"/>
      <c r="D757" s="135"/>
      <c r="E757" s="135"/>
      <c r="F757" s="135"/>
      <c r="G757" s="135"/>
      <c r="H757" s="135"/>
      <c r="I757" s="135"/>
      <c r="J757" s="135"/>
      <c r="K757" s="135"/>
      <c r="L757" s="135"/>
      <c r="M757" s="135"/>
      <c r="N757" s="135"/>
      <c r="O757" s="135"/>
      <c r="P757" s="135"/>
      <c r="Q757" s="135"/>
      <c r="R757" s="135"/>
      <c r="S757" s="135"/>
      <c r="T757" s="5"/>
    </row>
    <row r="758" spans="1:20" x14ac:dyDescent="0.45">
      <c r="A758" s="135"/>
      <c r="B758" s="135"/>
      <c r="C758" s="135"/>
      <c r="D758" s="135"/>
      <c r="E758" s="135"/>
      <c r="F758" s="135"/>
      <c r="G758" s="135"/>
      <c r="H758" s="135"/>
      <c r="I758" s="135"/>
      <c r="J758" s="135"/>
      <c r="K758" s="135"/>
      <c r="L758" s="135"/>
      <c r="M758" s="135"/>
      <c r="N758" s="135"/>
      <c r="O758" s="135"/>
      <c r="P758" s="135"/>
      <c r="Q758" s="135"/>
      <c r="R758" s="135"/>
      <c r="S758" s="135"/>
      <c r="T758" s="5"/>
    </row>
    <row r="759" spans="1:20" x14ac:dyDescent="0.45">
      <c r="A759" s="135"/>
      <c r="B759" s="135"/>
      <c r="C759" s="135"/>
      <c r="D759" s="135"/>
      <c r="E759" s="135"/>
      <c r="F759" s="135"/>
      <c r="G759" s="135"/>
      <c r="H759" s="135"/>
      <c r="I759" s="135"/>
      <c r="J759" s="135"/>
      <c r="K759" s="135"/>
      <c r="L759" s="135"/>
      <c r="M759" s="135"/>
      <c r="N759" s="135"/>
      <c r="O759" s="135"/>
      <c r="P759" s="135"/>
      <c r="Q759" s="135"/>
      <c r="R759" s="135"/>
      <c r="S759" s="135"/>
      <c r="T759" s="5"/>
    </row>
    <row r="760" spans="1:20" x14ac:dyDescent="0.45">
      <c r="A760" s="135"/>
      <c r="B760" s="135"/>
      <c r="C760" s="135"/>
      <c r="D760" s="135"/>
      <c r="E760" s="135"/>
      <c r="F760" s="135"/>
      <c r="G760" s="135"/>
      <c r="H760" s="135"/>
      <c r="I760" s="135"/>
      <c r="J760" s="135"/>
      <c r="K760" s="135"/>
      <c r="L760" s="135"/>
      <c r="M760" s="135"/>
      <c r="N760" s="135"/>
      <c r="O760" s="135"/>
      <c r="P760" s="135"/>
      <c r="Q760" s="135"/>
      <c r="R760" s="135"/>
      <c r="S760" s="135"/>
      <c r="T760" s="5"/>
    </row>
    <row r="761" spans="1:20" x14ac:dyDescent="0.45">
      <c r="A761" s="135"/>
      <c r="B761" s="135"/>
      <c r="C761" s="135"/>
      <c r="D761" s="135"/>
      <c r="E761" s="135"/>
      <c r="F761" s="135"/>
      <c r="G761" s="135"/>
      <c r="H761" s="135"/>
      <c r="I761" s="135"/>
      <c r="J761" s="135"/>
      <c r="K761" s="135"/>
      <c r="L761" s="135"/>
      <c r="M761" s="135"/>
      <c r="N761" s="135"/>
      <c r="O761" s="135"/>
      <c r="P761" s="135"/>
      <c r="Q761" s="135"/>
      <c r="R761" s="135"/>
      <c r="S761" s="135"/>
      <c r="T761" s="5"/>
    </row>
    <row r="762" spans="1:20" x14ac:dyDescent="0.45">
      <c r="A762" s="135"/>
      <c r="B762" s="135"/>
      <c r="C762" s="135"/>
      <c r="D762" s="135"/>
      <c r="E762" s="135"/>
      <c r="F762" s="135"/>
      <c r="G762" s="135"/>
      <c r="H762" s="135"/>
      <c r="I762" s="135"/>
      <c r="J762" s="135"/>
      <c r="K762" s="135"/>
      <c r="L762" s="135"/>
      <c r="M762" s="135"/>
      <c r="N762" s="135"/>
      <c r="O762" s="135"/>
      <c r="P762" s="135"/>
      <c r="Q762" s="135"/>
      <c r="R762" s="135"/>
      <c r="S762" s="135"/>
      <c r="T762" s="5"/>
    </row>
    <row r="763" spans="1:20" x14ac:dyDescent="0.45">
      <c r="A763" s="135"/>
      <c r="B763" s="135"/>
      <c r="C763" s="135"/>
      <c r="D763" s="135"/>
      <c r="E763" s="135"/>
      <c r="F763" s="135"/>
      <c r="G763" s="135"/>
      <c r="H763" s="135"/>
      <c r="I763" s="135"/>
      <c r="J763" s="135"/>
      <c r="K763" s="135"/>
      <c r="L763" s="135"/>
      <c r="M763" s="135"/>
      <c r="N763" s="135"/>
      <c r="O763" s="135"/>
      <c r="P763" s="135"/>
      <c r="Q763" s="135"/>
      <c r="R763" s="135"/>
      <c r="S763" s="135"/>
      <c r="T763" s="5"/>
    </row>
    <row r="764" spans="1:20" x14ac:dyDescent="0.45">
      <c r="A764" s="135"/>
      <c r="B764" s="135"/>
      <c r="C764" s="135"/>
      <c r="D764" s="135"/>
      <c r="E764" s="135"/>
      <c r="F764" s="135"/>
      <c r="G764" s="135"/>
      <c r="H764" s="135"/>
      <c r="I764" s="135"/>
      <c r="J764" s="135"/>
      <c r="K764" s="135"/>
      <c r="L764" s="135"/>
      <c r="M764" s="135"/>
      <c r="N764" s="135"/>
      <c r="O764" s="135"/>
      <c r="P764" s="135"/>
      <c r="Q764" s="135"/>
      <c r="R764" s="135"/>
      <c r="S764" s="135"/>
      <c r="T764" s="5"/>
    </row>
    <row r="765" spans="1:20" x14ac:dyDescent="0.45">
      <c r="A765" s="135"/>
      <c r="B765" s="135"/>
      <c r="C765" s="135"/>
      <c r="D765" s="135"/>
      <c r="E765" s="135"/>
      <c r="F765" s="135"/>
      <c r="G765" s="135"/>
      <c r="H765" s="135"/>
      <c r="I765" s="135"/>
      <c r="J765" s="135"/>
      <c r="K765" s="135"/>
      <c r="L765" s="135"/>
      <c r="M765" s="135"/>
      <c r="N765" s="135"/>
      <c r="O765" s="135"/>
      <c r="P765" s="135"/>
      <c r="Q765" s="135"/>
      <c r="R765" s="135"/>
      <c r="S765" s="135"/>
      <c r="T765" s="5"/>
    </row>
    <row r="766" spans="1:20" x14ac:dyDescent="0.45">
      <c r="A766" s="135"/>
      <c r="B766" s="135"/>
      <c r="C766" s="135"/>
      <c r="D766" s="135"/>
      <c r="E766" s="135"/>
      <c r="F766" s="135"/>
      <c r="G766" s="135"/>
      <c r="H766" s="135"/>
      <c r="I766" s="135"/>
      <c r="J766" s="135"/>
      <c r="K766" s="135"/>
      <c r="L766" s="135"/>
      <c r="M766" s="135"/>
      <c r="N766" s="135"/>
      <c r="O766" s="135"/>
      <c r="P766" s="135"/>
      <c r="Q766" s="135"/>
      <c r="R766" s="135"/>
      <c r="S766" s="135"/>
      <c r="T766" s="5"/>
    </row>
    <row r="767" spans="1:20" x14ac:dyDescent="0.45">
      <c r="A767" s="135"/>
      <c r="B767" s="135"/>
      <c r="C767" s="135"/>
      <c r="D767" s="135"/>
      <c r="E767" s="135"/>
      <c r="F767" s="135"/>
      <c r="G767" s="135"/>
      <c r="H767" s="135"/>
      <c r="I767" s="135"/>
      <c r="J767" s="135"/>
      <c r="K767" s="135"/>
      <c r="L767" s="135"/>
      <c r="M767" s="135"/>
      <c r="N767" s="135"/>
      <c r="O767" s="135"/>
      <c r="P767" s="135"/>
      <c r="Q767" s="135"/>
      <c r="R767" s="135"/>
      <c r="S767" s="135"/>
      <c r="T767" s="5"/>
    </row>
    <row r="768" spans="1:20" x14ac:dyDescent="0.45">
      <c r="A768" s="135"/>
      <c r="B768" s="135"/>
      <c r="C768" s="135"/>
      <c r="D768" s="135"/>
      <c r="E768" s="135"/>
      <c r="F768" s="135"/>
      <c r="G768" s="135"/>
      <c r="H768" s="135"/>
      <c r="I768" s="135"/>
      <c r="J768" s="135"/>
      <c r="K768" s="135"/>
      <c r="L768" s="135"/>
      <c r="M768" s="135"/>
      <c r="N768" s="135"/>
      <c r="O768" s="135"/>
      <c r="P768" s="135"/>
      <c r="Q768" s="135"/>
      <c r="R768" s="135"/>
      <c r="S768" s="135"/>
      <c r="T768" s="5"/>
    </row>
    <row r="769" spans="1:20" x14ac:dyDescent="0.45">
      <c r="A769" s="135"/>
      <c r="B769" s="135"/>
      <c r="C769" s="135"/>
      <c r="D769" s="135"/>
      <c r="E769" s="135"/>
      <c r="F769" s="135"/>
      <c r="G769" s="135"/>
      <c r="H769" s="135"/>
      <c r="I769" s="135"/>
      <c r="J769" s="135"/>
      <c r="K769" s="135"/>
      <c r="L769" s="135"/>
      <c r="M769" s="135"/>
      <c r="N769" s="135"/>
      <c r="O769" s="135"/>
      <c r="P769" s="135"/>
      <c r="Q769" s="135"/>
      <c r="R769" s="135"/>
      <c r="S769" s="135"/>
      <c r="T769" s="5"/>
    </row>
    <row r="770" spans="1:20" x14ac:dyDescent="0.45">
      <c r="A770" s="135"/>
      <c r="B770" s="135"/>
      <c r="C770" s="135"/>
      <c r="D770" s="135"/>
      <c r="E770" s="135"/>
      <c r="F770" s="135"/>
      <c r="G770" s="135"/>
      <c r="H770" s="135"/>
      <c r="I770" s="135"/>
      <c r="J770" s="135"/>
      <c r="K770" s="135"/>
      <c r="L770" s="135"/>
      <c r="M770" s="135"/>
      <c r="N770" s="135"/>
      <c r="O770" s="135"/>
      <c r="P770" s="135"/>
      <c r="Q770" s="135"/>
      <c r="R770" s="135"/>
      <c r="S770" s="135"/>
      <c r="T770" s="5"/>
    </row>
    <row r="771" spans="1:20" x14ac:dyDescent="0.45">
      <c r="A771" s="135"/>
      <c r="B771" s="135"/>
      <c r="C771" s="135"/>
      <c r="D771" s="135"/>
      <c r="E771" s="135"/>
      <c r="F771" s="135"/>
      <c r="G771" s="135"/>
      <c r="H771" s="135"/>
      <c r="I771" s="135"/>
      <c r="J771" s="135"/>
      <c r="K771" s="135"/>
      <c r="L771" s="135"/>
      <c r="M771" s="135"/>
      <c r="N771" s="135"/>
      <c r="O771" s="135"/>
      <c r="P771" s="135"/>
      <c r="Q771" s="135"/>
      <c r="R771" s="135"/>
      <c r="S771" s="135"/>
      <c r="T771" s="5"/>
    </row>
    <row r="772" spans="1:20" x14ac:dyDescent="0.45">
      <c r="A772" s="135"/>
      <c r="B772" s="135"/>
      <c r="C772" s="135"/>
      <c r="D772" s="135"/>
      <c r="E772" s="135"/>
      <c r="F772" s="135"/>
      <c r="G772" s="135"/>
      <c r="H772" s="135"/>
      <c r="I772" s="135"/>
      <c r="J772" s="135"/>
      <c r="K772" s="135"/>
      <c r="L772" s="135"/>
      <c r="M772" s="135"/>
      <c r="N772" s="135"/>
      <c r="O772" s="135"/>
      <c r="P772" s="135"/>
      <c r="Q772" s="135"/>
      <c r="R772" s="135"/>
      <c r="S772" s="135"/>
      <c r="T772" s="5"/>
    </row>
    <row r="773" spans="1:20" x14ac:dyDescent="0.45">
      <c r="A773" s="135"/>
      <c r="B773" s="135"/>
      <c r="C773" s="135"/>
      <c r="D773" s="135"/>
      <c r="E773" s="135"/>
      <c r="F773" s="135"/>
      <c r="G773" s="135"/>
      <c r="H773" s="135"/>
      <c r="I773" s="135"/>
      <c r="J773" s="135"/>
      <c r="K773" s="135"/>
      <c r="L773" s="135"/>
      <c r="M773" s="135"/>
      <c r="N773" s="135"/>
      <c r="O773" s="135"/>
      <c r="P773" s="135"/>
      <c r="Q773" s="135"/>
      <c r="R773" s="135"/>
      <c r="S773" s="135"/>
      <c r="T773" s="5"/>
    </row>
    <row r="774" spans="1:20" x14ac:dyDescent="0.45">
      <c r="A774" s="135"/>
      <c r="B774" s="135"/>
      <c r="C774" s="135"/>
      <c r="D774" s="135"/>
      <c r="E774" s="135"/>
      <c r="F774" s="135"/>
      <c r="G774" s="135"/>
      <c r="H774" s="135"/>
      <c r="I774" s="135"/>
      <c r="J774" s="135"/>
      <c r="K774" s="135"/>
      <c r="L774" s="135"/>
      <c r="M774" s="135"/>
      <c r="N774" s="135"/>
      <c r="O774" s="135"/>
      <c r="P774" s="135"/>
      <c r="Q774" s="135"/>
      <c r="R774" s="135"/>
      <c r="S774" s="135"/>
      <c r="T774" s="5"/>
    </row>
    <row r="775" spans="1:20" x14ac:dyDescent="0.45">
      <c r="A775" s="135"/>
      <c r="B775" s="135"/>
      <c r="C775" s="135"/>
      <c r="D775" s="135"/>
      <c r="E775" s="135"/>
      <c r="F775" s="135"/>
      <c r="G775" s="135"/>
      <c r="H775" s="135"/>
      <c r="I775" s="135"/>
      <c r="J775" s="135"/>
      <c r="K775" s="135"/>
      <c r="L775" s="135"/>
      <c r="M775" s="135"/>
      <c r="N775" s="135"/>
      <c r="O775" s="135"/>
      <c r="P775" s="135"/>
      <c r="Q775" s="135"/>
      <c r="R775" s="135"/>
      <c r="S775" s="135"/>
      <c r="T775" s="5"/>
    </row>
    <row r="776" spans="1:20" x14ac:dyDescent="0.45">
      <c r="A776" s="135"/>
      <c r="B776" s="135"/>
      <c r="C776" s="135"/>
      <c r="D776" s="135"/>
      <c r="E776" s="135"/>
      <c r="F776" s="135"/>
      <c r="G776" s="135"/>
      <c r="H776" s="135"/>
      <c r="I776" s="135"/>
      <c r="J776" s="135"/>
      <c r="K776" s="135"/>
      <c r="L776" s="135"/>
      <c r="M776" s="135"/>
      <c r="N776" s="135"/>
      <c r="O776" s="135"/>
      <c r="P776" s="135"/>
      <c r="Q776" s="135"/>
      <c r="R776" s="135"/>
      <c r="S776" s="135"/>
      <c r="T776" s="5"/>
    </row>
    <row r="777" spans="1:20" x14ac:dyDescent="0.45">
      <c r="A777" s="135"/>
      <c r="B777" s="135"/>
      <c r="C777" s="135"/>
      <c r="D777" s="135"/>
      <c r="E777" s="135"/>
      <c r="F777" s="135"/>
      <c r="G777" s="135"/>
      <c r="H777" s="135"/>
      <c r="I777" s="135"/>
      <c r="J777" s="135"/>
      <c r="K777" s="135"/>
      <c r="L777" s="135"/>
      <c r="M777" s="135"/>
      <c r="N777" s="135"/>
      <c r="O777" s="135"/>
      <c r="P777" s="135"/>
      <c r="Q777" s="135"/>
      <c r="R777" s="135"/>
      <c r="S777" s="135"/>
      <c r="T777" s="5"/>
    </row>
    <row r="778" spans="1:20" x14ac:dyDescent="0.45">
      <c r="A778" s="135"/>
      <c r="B778" s="135"/>
      <c r="C778" s="135"/>
      <c r="D778" s="135"/>
      <c r="E778" s="135"/>
      <c r="F778" s="135"/>
      <c r="G778" s="135"/>
      <c r="H778" s="135"/>
      <c r="I778" s="135"/>
      <c r="J778" s="135"/>
      <c r="K778" s="135"/>
      <c r="L778" s="135"/>
      <c r="M778" s="135"/>
      <c r="N778" s="135"/>
      <c r="O778" s="135"/>
      <c r="P778" s="135"/>
      <c r="Q778" s="135"/>
      <c r="R778" s="135"/>
      <c r="S778" s="135"/>
      <c r="T778" s="5"/>
    </row>
    <row r="779" spans="1:20" x14ac:dyDescent="0.45">
      <c r="A779" s="135"/>
      <c r="B779" s="135"/>
      <c r="C779" s="135"/>
      <c r="D779" s="135"/>
      <c r="E779" s="135"/>
      <c r="F779" s="135"/>
      <c r="G779" s="135"/>
      <c r="H779" s="135"/>
      <c r="I779" s="135"/>
      <c r="J779" s="135"/>
      <c r="K779" s="135"/>
      <c r="L779" s="135"/>
      <c r="M779" s="135"/>
      <c r="N779" s="135"/>
      <c r="O779" s="135"/>
      <c r="P779" s="135"/>
      <c r="Q779" s="135"/>
      <c r="R779" s="135"/>
      <c r="S779" s="135"/>
      <c r="T779" s="5"/>
    </row>
    <row r="780" spans="1:20" x14ac:dyDescent="0.45">
      <c r="A780" s="135"/>
      <c r="B780" s="135"/>
      <c r="C780" s="135"/>
      <c r="D780" s="135"/>
      <c r="E780" s="135"/>
      <c r="F780" s="135"/>
      <c r="G780" s="135"/>
      <c r="H780" s="135"/>
      <c r="I780" s="135"/>
      <c r="J780" s="135"/>
      <c r="K780" s="135"/>
      <c r="L780" s="135"/>
      <c r="M780" s="135"/>
      <c r="N780" s="135"/>
      <c r="O780" s="135"/>
      <c r="P780" s="135"/>
      <c r="Q780" s="135"/>
      <c r="R780" s="135"/>
      <c r="S780" s="135"/>
      <c r="T780" s="5"/>
    </row>
    <row r="781" spans="1:20" x14ac:dyDescent="0.45">
      <c r="A781" s="135"/>
      <c r="B781" s="135"/>
      <c r="C781" s="135"/>
      <c r="D781" s="135"/>
      <c r="E781" s="135"/>
      <c r="F781" s="135"/>
      <c r="G781" s="135"/>
      <c r="H781" s="135"/>
      <c r="I781" s="135"/>
      <c r="J781" s="135"/>
      <c r="K781" s="135"/>
      <c r="L781" s="135"/>
      <c r="M781" s="135"/>
      <c r="N781" s="135"/>
      <c r="O781" s="135"/>
      <c r="P781" s="135"/>
      <c r="Q781" s="135"/>
      <c r="R781" s="135"/>
      <c r="S781" s="135"/>
      <c r="T781" s="5"/>
    </row>
    <row r="782" spans="1:20" x14ac:dyDescent="0.45">
      <c r="A782" s="135"/>
      <c r="B782" s="135"/>
      <c r="C782" s="135"/>
      <c r="D782" s="135"/>
      <c r="E782" s="135"/>
      <c r="F782" s="135"/>
      <c r="G782" s="135"/>
      <c r="H782" s="135"/>
      <c r="I782" s="135"/>
      <c r="J782" s="135"/>
      <c r="K782" s="135"/>
      <c r="L782" s="135"/>
      <c r="M782" s="135"/>
      <c r="N782" s="135"/>
      <c r="O782" s="135"/>
      <c r="P782" s="135"/>
      <c r="Q782" s="135"/>
      <c r="R782" s="135"/>
      <c r="S782" s="135"/>
      <c r="T782" s="5"/>
    </row>
    <row r="783" spans="1:20" x14ac:dyDescent="0.45">
      <c r="A783" s="135"/>
      <c r="B783" s="135"/>
      <c r="C783" s="135"/>
      <c r="D783" s="135"/>
      <c r="E783" s="135"/>
      <c r="F783" s="135"/>
      <c r="G783" s="135"/>
      <c r="H783" s="135"/>
      <c r="I783" s="135"/>
      <c r="J783" s="135"/>
      <c r="K783" s="135"/>
      <c r="L783" s="135"/>
      <c r="M783" s="135"/>
      <c r="N783" s="135"/>
      <c r="O783" s="135"/>
      <c r="P783" s="135"/>
      <c r="Q783" s="135"/>
      <c r="R783" s="135"/>
      <c r="S783" s="135"/>
      <c r="T783" s="5"/>
    </row>
    <row r="784" spans="1:20" x14ac:dyDescent="0.45">
      <c r="A784" s="135"/>
      <c r="B784" s="135"/>
      <c r="C784" s="135"/>
      <c r="D784" s="135"/>
      <c r="E784" s="135"/>
      <c r="F784" s="135"/>
      <c r="G784" s="135"/>
      <c r="H784" s="135"/>
      <c r="I784" s="135"/>
      <c r="J784" s="135"/>
      <c r="K784" s="135"/>
      <c r="L784" s="135"/>
      <c r="M784" s="135"/>
      <c r="N784" s="135"/>
      <c r="O784" s="135"/>
      <c r="P784" s="135"/>
      <c r="Q784" s="135"/>
      <c r="R784" s="135"/>
      <c r="S784" s="135"/>
      <c r="T784" s="5"/>
    </row>
    <row r="785" spans="1:20" x14ac:dyDescent="0.45">
      <c r="A785" s="135"/>
      <c r="B785" s="135"/>
      <c r="C785" s="135"/>
      <c r="D785" s="135"/>
      <c r="E785" s="135"/>
      <c r="F785" s="135"/>
      <c r="G785" s="135"/>
      <c r="H785" s="135"/>
      <c r="I785" s="135"/>
      <c r="J785" s="135"/>
      <c r="K785" s="135"/>
      <c r="L785" s="135"/>
      <c r="M785" s="135"/>
      <c r="N785" s="135"/>
      <c r="O785" s="135"/>
      <c r="P785" s="135"/>
      <c r="Q785" s="135"/>
      <c r="R785" s="135"/>
      <c r="S785" s="135"/>
      <c r="T785" s="5"/>
    </row>
    <row r="786" spans="1:20" x14ac:dyDescent="0.45">
      <c r="A786" s="135"/>
      <c r="B786" s="135"/>
      <c r="C786" s="135"/>
      <c r="D786" s="135"/>
      <c r="E786" s="135"/>
      <c r="F786" s="135"/>
      <c r="G786" s="135"/>
      <c r="H786" s="135"/>
      <c r="I786" s="135"/>
      <c r="J786" s="135"/>
      <c r="K786" s="135"/>
      <c r="L786" s="135"/>
      <c r="M786" s="135"/>
      <c r="N786" s="135"/>
      <c r="O786" s="135"/>
      <c r="P786" s="135"/>
      <c r="Q786" s="135"/>
      <c r="R786" s="135"/>
      <c r="S786" s="135"/>
      <c r="T786" s="5"/>
    </row>
    <row r="787" spans="1:20" x14ac:dyDescent="0.45">
      <c r="A787" s="135"/>
      <c r="B787" s="135"/>
      <c r="C787" s="135"/>
      <c r="D787" s="135"/>
      <c r="E787" s="135"/>
      <c r="F787" s="135"/>
      <c r="G787" s="135"/>
      <c r="H787" s="135"/>
      <c r="I787" s="135"/>
      <c r="J787" s="135"/>
      <c r="K787" s="135"/>
      <c r="L787" s="135"/>
      <c r="M787" s="135"/>
      <c r="N787" s="135"/>
      <c r="O787" s="135"/>
      <c r="P787" s="135"/>
      <c r="Q787" s="135"/>
      <c r="R787" s="135"/>
      <c r="S787" s="135"/>
      <c r="T787" s="5"/>
    </row>
    <row r="788" spans="1:20" x14ac:dyDescent="0.45">
      <c r="A788" s="135"/>
      <c r="B788" s="135"/>
      <c r="C788" s="135"/>
      <c r="D788" s="135"/>
      <c r="E788" s="135"/>
      <c r="F788" s="135"/>
      <c r="G788" s="135"/>
      <c r="H788" s="135"/>
      <c r="I788" s="135"/>
      <c r="J788" s="135"/>
      <c r="K788" s="135"/>
      <c r="L788" s="135"/>
      <c r="M788" s="135"/>
      <c r="N788" s="135"/>
      <c r="O788" s="135"/>
      <c r="P788" s="135"/>
      <c r="Q788" s="135"/>
      <c r="R788" s="135"/>
      <c r="S788" s="135"/>
      <c r="T788" s="5"/>
    </row>
    <row r="789" spans="1:20" x14ac:dyDescent="0.45">
      <c r="A789" s="135"/>
      <c r="B789" s="135"/>
      <c r="C789" s="135"/>
      <c r="D789" s="135"/>
      <c r="E789" s="135"/>
      <c r="F789" s="135"/>
      <c r="G789" s="135"/>
      <c r="H789" s="135"/>
      <c r="I789" s="135"/>
      <c r="J789" s="135"/>
      <c r="K789" s="135"/>
      <c r="L789" s="135"/>
      <c r="M789" s="135"/>
      <c r="N789" s="135"/>
      <c r="O789" s="135"/>
      <c r="P789" s="135"/>
      <c r="Q789" s="135"/>
      <c r="R789" s="135"/>
      <c r="S789" s="135"/>
      <c r="T789" s="5"/>
    </row>
    <row r="790" spans="1:20" x14ac:dyDescent="0.45">
      <c r="A790" s="135"/>
      <c r="B790" s="135"/>
      <c r="C790" s="135"/>
      <c r="D790" s="135"/>
      <c r="E790" s="135"/>
      <c r="F790" s="135"/>
      <c r="G790" s="135"/>
      <c r="H790" s="135"/>
      <c r="I790" s="135"/>
      <c r="J790" s="135"/>
      <c r="K790" s="135"/>
      <c r="L790" s="135"/>
      <c r="M790" s="135"/>
      <c r="N790" s="135"/>
      <c r="O790" s="135"/>
      <c r="P790" s="135"/>
      <c r="Q790" s="135"/>
      <c r="R790" s="135"/>
      <c r="S790" s="135"/>
      <c r="T790" s="5"/>
    </row>
    <row r="791" spans="1:20" x14ac:dyDescent="0.45">
      <c r="A791" s="135"/>
      <c r="B791" s="135"/>
      <c r="C791" s="135"/>
      <c r="D791" s="135"/>
      <c r="E791" s="135"/>
      <c r="F791" s="135"/>
      <c r="G791" s="135"/>
      <c r="H791" s="135"/>
      <c r="I791" s="135"/>
      <c r="J791" s="135"/>
      <c r="K791" s="135"/>
      <c r="L791" s="135"/>
      <c r="M791" s="135"/>
      <c r="N791" s="135"/>
      <c r="O791" s="135"/>
      <c r="P791" s="135"/>
      <c r="Q791" s="135"/>
      <c r="R791" s="135"/>
      <c r="S791" s="135"/>
      <c r="T791" s="5"/>
    </row>
    <row r="792" spans="1:20" x14ac:dyDescent="0.45">
      <c r="A792" s="135"/>
      <c r="B792" s="135"/>
      <c r="C792" s="135"/>
      <c r="D792" s="135"/>
      <c r="E792" s="135"/>
      <c r="F792" s="135"/>
      <c r="G792" s="135"/>
      <c r="H792" s="135"/>
      <c r="I792" s="135"/>
      <c r="J792" s="135"/>
      <c r="K792" s="135"/>
      <c r="L792" s="135"/>
      <c r="M792" s="135"/>
      <c r="N792" s="135"/>
      <c r="O792" s="135"/>
      <c r="P792" s="135"/>
      <c r="Q792" s="135"/>
      <c r="R792" s="135"/>
      <c r="S792" s="135"/>
      <c r="T792" s="5"/>
    </row>
    <row r="793" spans="1:20" x14ac:dyDescent="0.45">
      <c r="A793" s="135"/>
      <c r="B793" s="135"/>
      <c r="C793" s="135"/>
      <c r="D793" s="135"/>
      <c r="E793" s="135"/>
      <c r="F793" s="135"/>
      <c r="G793" s="135"/>
      <c r="H793" s="135"/>
      <c r="I793" s="135"/>
      <c r="J793" s="135"/>
      <c r="K793" s="135"/>
      <c r="L793" s="135"/>
      <c r="M793" s="135"/>
      <c r="N793" s="135"/>
      <c r="O793" s="135"/>
      <c r="P793" s="135"/>
      <c r="Q793" s="135"/>
      <c r="R793" s="135"/>
      <c r="S793" s="135"/>
      <c r="T793" s="5"/>
    </row>
    <row r="794" spans="1:20" x14ac:dyDescent="0.45">
      <c r="A794" s="135"/>
      <c r="B794" s="135"/>
      <c r="C794" s="135"/>
      <c r="D794" s="135"/>
      <c r="E794" s="135"/>
      <c r="F794" s="135"/>
      <c r="G794" s="135"/>
      <c r="H794" s="135"/>
      <c r="I794" s="135"/>
      <c r="J794" s="135"/>
      <c r="K794" s="135"/>
      <c r="L794" s="135"/>
      <c r="M794" s="135"/>
      <c r="N794" s="135"/>
      <c r="O794" s="135"/>
      <c r="P794" s="135"/>
      <c r="Q794" s="135"/>
      <c r="R794" s="135"/>
      <c r="S794" s="135"/>
      <c r="T794" s="5"/>
    </row>
    <row r="795" spans="1:20" x14ac:dyDescent="0.45">
      <c r="A795" s="135"/>
      <c r="B795" s="135"/>
      <c r="C795" s="135"/>
      <c r="D795" s="135"/>
      <c r="E795" s="135"/>
      <c r="F795" s="135"/>
      <c r="G795" s="135"/>
      <c r="H795" s="135"/>
      <c r="I795" s="135"/>
      <c r="J795" s="135"/>
      <c r="K795" s="135"/>
      <c r="L795" s="135"/>
      <c r="M795" s="135"/>
      <c r="N795" s="135"/>
      <c r="O795" s="135"/>
      <c r="P795" s="135"/>
      <c r="Q795" s="135"/>
      <c r="R795" s="135"/>
      <c r="S795" s="135"/>
      <c r="T795" s="5"/>
    </row>
    <row r="796" spans="1:20" x14ac:dyDescent="0.45">
      <c r="A796" s="135"/>
      <c r="B796" s="135"/>
      <c r="C796" s="135"/>
      <c r="D796" s="135"/>
      <c r="E796" s="135"/>
      <c r="F796" s="135"/>
      <c r="G796" s="135"/>
      <c r="H796" s="135"/>
      <c r="I796" s="135"/>
      <c r="J796" s="135"/>
      <c r="K796" s="135"/>
      <c r="L796" s="135"/>
      <c r="M796" s="135"/>
      <c r="N796" s="135"/>
      <c r="O796" s="135"/>
      <c r="P796" s="135"/>
      <c r="Q796" s="135"/>
      <c r="R796" s="135"/>
      <c r="S796" s="135"/>
      <c r="T796" s="5"/>
    </row>
    <row r="797" spans="1:20" x14ac:dyDescent="0.45">
      <c r="A797" s="135"/>
      <c r="B797" s="135"/>
      <c r="C797" s="135"/>
      <c r="D797" s="135"/>
      <c r="E797" s="135"/>
      <c r="F797" s="135"/>
      <c r="G797" s="135"/>
      <c r="H797" s="135"/>
      <c r="I797" s="135"/>
      <c r="J797" s="135"/>
      <c r="K797" s="135"/>
      <c r="L797" s="135"/>
      <c r="M797" s="135"/>
      <c r="N797" s="135"/>
      <c r="O797" s="135"/>
      <c r="P797" s="135"/>
      <c r="Q797" s="135"/>
      <c r="R797" s="135"/>
      <c r="S797" s="135"/>
      <c r="T797" s="5"/>
    </row>
    <row r="798" spans="1:20" x14ac:dyDescent="0.45">
      <c r="A798" s="135"/>
      <c r="B798" s="135"/>
      <c r="C798" s="135"/>
      <c r="D798" s="135"/>
      <c r="E798" s="135"/>
      <c r="F798" s="135"/>
      <c r="G798" s="135"/>
      <c r="H798" s="135"/>
      <c r="I798" s="135"/>
      <c r="J798" s="135"/>
      <c r="K798" s="135"/>
      <c r="L798" s="135"/>
      <c r="M798" s="135"/>
      <c r="N798" s="135"/>
      <c r="O798" s="135"/>
      <c r="P798" s="135"/>
      <c r="Q798" s="135"/>
      <c r="R798" s="135"/>
      <c r="S798" s="135"/>
      <c r="T798" s="5"/>
    </row>
    <row r="799" spans="1:20" x14ac:dyDescent="0.45">
      <c r="A799" s="135"/>
      <c r="B799" s="135"/>
      <c r="C799" s="135"/>
      <c r="D799" s="135"/>
      <c r="E799" s="135"/>
      <c r="F799" s="135"/>
      <c r="G799" s="135"/>
      <c r="H799" s="135"/>
      <c r="I799" s="135"/>
      <c r="J799" s="135"/>
      <c r="K799" s="135"/>
      <c r="L799" s="135"/>
      <c r="M799" s="135"/>
      <c r="N799" s="135"/>
      <c r="O799" s="135"/>
      <c r="P799" s="135"/>
      <c r="Q799" s="135"/>
      <c r="R799" s="135"/>
      <c r="S799" s="135"/>
      <c r="T799" s="5"/>
    </row>
    <row r="800" spans="1:20" x14ac:dyDescent="0.45">
      <c r="A800" s="135"/>
      <c r="B800" s="135"/>
      <c r="C800" s="135"/>
      <c r="D800" s="135"/>
      <c r="E800" s="135"/>
      <c r="F800" s="135"/>
      <c r="G800" s="135"/>
      <c r="H800" s="135"/>
      <c r="I800" s="135"/>
      <c r="J800" s="135"/>
      <c r="K800" s="135"/>
      <c r="L800" s="135"/>
      <c r="M800" s="135"/>
      <c r="N800" s="135"/>
      <c r="O800" s="135"/>
      <c r="P800" s="135"/>
      <c r="Q800" s="135"/>
      <c r="R800" s="135"/>
      <c r="S800" s="135"/>
      <c r="T800" s="5"/>
    </row>
    <row r="801" spans="1:20" x14ac:dyDescent="0.45">
      <c r="A801" s="135"/>
      <c r="B801" s="135"/>
      <c r="C801" s="135"/>
      <c r="D801" s="135"/>
      <c r="E801" s="135"/>
      <c r="F801" s="135"/>
      <c r="G801" s="135"/>
      <c r="H801" s="135"/>
      <c r="I801" s="135"/>
      <c r="J801" s="135"/>
      <c r="K801" s="135"/>
      <c r="L801" s="135"/>
      <c r="M801" s="135"/>
      <c r="N801" s="135"/>
      <c r="O801" s="135"/>
      <c r="P801" s="135"/>
      <c r="Q801" s="135"/>
      <c r="R801" s="135"/>
      <c r="S801" s="135"/>
      <c r="T801" s="5"/>
    </row>
    <row r="802" spans="1:20" x14ac:dyDescent="0.45">
      <c r="A802" s="135"/>
      <c r="B802" s="135"/>
      <c r="C802" s="135"/>
      <c r="D802" s="135"/>
      <c r="E802" s="135"/>
      <c r="F802" s="135"/>
      <c r="G802" s="135"/>
      <c r="H802" s="135"/>
      <c r="I802" s="135"/>
      <c r="J802" s="135"/>
      <c r="K802" s="135"/>
      <c r="L802" s="135"/>
      <c r="M802" s="135"/>
      <c r="N802" s="135"/>
      <c r="O802" s="135"/>
      <c r="P802" s="135"/>
      <c r="Q802" s="135"/>
      <c r="R802" s="135"/>
      <c r="S802" s="135"/>
      <c r="T802" s="5"/>
    </row>
    <row r="803" spans="1:20" x14ac:dyDescent="0.45">
      <c r="A803" s="135"/>
      <c r="B803" s="135"/>
      <c r="C803" s="135"/>
      <c r="D803" s="135"/>
      <c r="E803" s="135"/>
      <c r="F803" s="135"/>
      <c r="G803" s="135"/>
      <c r="H803" s="135"/>
      <c r="I803" s="135"/>
      <c r="J803" s="135"/>
      <c r="K803" s="135"/>
      <c r="L803" s="135"/>
      <c r="M803" s="135"/>
      <c r="N803" s="135"/>
      <c r="O803" s="135"/>
      <c r="P803" s="135"/>
      <c r="Q803" s="135"/>
      <c r="R803" s="135"/>
      <c r="S803" s="135"/>
      <c r="T803" s="5"/>
    </row>
    <row r="804" spans="1:20" x14ac:dyDescent="0.45">
      <c r="A804" s="135"/>
      <c r="B804" s="135"/>
      <c r="C804" s="135"/>
      <c r="D804" s="135"/>
      <c r="E804" s="135"/>
      <c r="F804" s="135"/>
      <c r="G804" s="135"/>
      <c r="H804" s="135"/>
      <c r="I804" s="135"/>
      <c r="J804" s="135"/>
      <c r="K804" s="135"/>
      <c r="L804" s="135"/>
      <c r="M804" s="135"/>
      <c r="N804" s="135"/>
      <c r="O804" s="135"/>
      <c r="P804" s="135"/>
      <c r="Q804" s="135"/>
      <c r="R804" s="135"/>
      <c r="S804" s="135"/>
      <c r="T804" s="5"/>
    </row>
    <row r="805" spans="1:20" x14ac:dyDescent="0.45">
      <c r="A805" s="135"/>
      <c r="B805" s="135"/>
      <c r="C805" s="135"/>
      <c r="D805" s="135"/>
      <c r="E805" s="135"/>
      <c r="F805" s="135"/>
      <c r="G805" s="135"/>
      <c r="H805" s="135"/>
      <c r="I805" s="135"/>
      <c r="J805" s="135"/>
      <c r="K805" s="135"/>
      <c r="L805" s="135"/>
      <c r="M805" s="135"/>
      <c r="N805" s="135"/>
      <c r="O805" s="135"/>
      <c r="P805" s="135"/>
      <c r="Q805" s="135"/>
      <c r="R805" s="135"/>
      <c r="S805" s="135"/>
      <c r="T805" s="5"/>
    </row>
    <row r="806" spans="1:20" x14ac:dyDescent="0.45">
      <c r="A806" s="135"/>
      <c r="B806" s="135"/>
      <c r="C806" s="135"/>
      <c r="D806" s="135"/>
      <c r="E806" s="135"/>
      <c r="F806" s="135"/>
      <c r="G806" s="135"/>
      <c r="H806" s="135"/>
      <c r="I806" s="135"/>
      <c r="J806" s="135"/>
      <c r="K806" s="135"/>
      <c r="L806" s="135"/>
      <c r="M806" s="135"/>
      <c r="N806" s="135"/>
      <c r="O806" s="135"/>
      <c r="P806" s="135"/>
      <c r="Q806" s="135"/>
      <c r="R806" s="135"/>
      <c r="S806" s="135"/>
      <c r="T806" s="5"/>
    </row>
    <row r="807" spans="1:20" x14ac:dyDescent="0.45">
      <c r="A807" s="135"/>
      <c r="B807" s="135"/>
      <c r="C807" s="135"/>
      <c r="D807" s="135"/>
      <c r="E807" s="135"/>
      <c r="F807" s="135"/>
      <c r="G807" s="135"/>
      <c r="H807" s="135"/>
      <c r="I807" s="135"/>
      <c r="J807" s="135"/>
      <c r="K807" s="135"/>
      <c r="L807" s="135"/>
      <c r="M807" s="135"/>
      <c r="N807" s="135"/>
      <c r="O807" s="135"/>
      <c r="P807" s="135"/>
      <c r="Q807" s="135"/>
      <c r="R807" s="135"/>
      <c r="S807" s="135"/>
      <c r="T807" s="5"/>
    </row>
    <row r="808" spans="1:20" x14ac:dyDescent="0.45">
      <c r="A808" s="135"/>
      <c r="B808" s="135"/>
      <c r="C808" s="135"/>
      <c r="D808" s="135"/>
      <c r="E808" s="135"/>
      <c r="F808" s="135"/>
      <c r="G808" s="135"/>
      <c r="H808" s="135"/>
      <c r="I808" s="135"/>
      <c r="J808" s="135"/>
      <c r="K808" s="135"/>
      <c r="L808" s="135"/>
      <c r="M808" s="135"/>
      <c r="N808" s="135"/>
      <c r="O808" s="135"/>
      <c r="P808" s="135"/>
      <c r="Q808" s="135"/>
      <c r="R808" s="135"/>
      <c r="S808" s="135"/>
      <c r="T808" s="5"/>
    </row>
    <row r="809" spans="1:20" x14ac:dyDescent="0.45">
      <c r="A809" s="135"/>
      <c r="B809" s="135"/>
      <c r="C809" s="135"/>
      <c r="D809" s="135"/>
      <c r="E809" s="135"/>
      <c r="F809" s="135"/>
      <c r="G809" s="135"/>
      <c r="H809" s="135"/>
      <c r="I809" s="135"/>
      <c r="J809" s="135"/>
      <c r="K809" s="135"/>
      <c r="L809" s="135"/>
      <c r="M809" s="135"/>
      <c r="N809" s="135"/>
      <c r="O809" s="135"/>
      <c r="P809" s="135"/>
      <c r="Q809" s="135"/>
      <c r="R809" s="135"/>
      <c r="S809" s="135"/>
      <c r="T809" s="5"/>
    </row>
    <row r="810" spans="1:20" x14ac:dyDescent="0.45">
      <c r="A810" s="135"/>
      <c r="B810" s="135"/>
      <c r="C810" s="135"/>
      <c r="D810" s="135"/>
      <c r="E810" s="135"/>
      <c r="F810" s="135"/>
      <c r="G810" s="135"/>
      <c r="H810" s="135"/>
      <c r="I810" s="135"/>
      <c r="J810" s="135"/>
      <c r="K810" s="135"/>
      <c r="L810" s="135"/>
      <c r="M810" s="135"/>
      <c r="N810" s="135"/>
      <c r="O810" s="135"/>
      <c r="P810" s="135"/>
      <c r="Q810" s="135"/>
      <c r="R810" s="135"/>
      <c r="S810" s="135"/>
      <c r="T810" s="5"/>
    </row>
    <row r="811" spans="1:20" x14ac:dyDescent="0.45">
      <c r="A811" s="135"/>
      <c r="B811" s="135"/>
      <c r="C811" s="135"/>
      <c r="D811" s="135"/>
      <c r="E811" s="135"/>
      <c r="F811" s="135"/>
      <c r="G811" s="135"/>
      <c r="H811" s="135"/>
      <c r="I811" s="135"/>
      <c r="J811" s="135"/>
      <c r="K811" s="135"/>
      <c r="L811" s="135"/>
      <c r="M811" s="135"/>
      <c r="N811" s="135"/>
      <c r="O811" s="135"/>
      <c r="P811" s="135"/>
      <c r="Q811" s="135"/>
      <c r="R811" s="135"/>
      <c r="S811" s="135"/>
      <c r="T811" s="5"/>
    </row>
    <row r="812" spans="1:20" x14ac:dyDescent="0.45">
      <c r="A812" s="135"/>
      <c r="B812" s="135"/>
      <c r="C812" s="135"/>
      <c r="D812" s="135"/>
      <c r="E812" s="135"/>
      <c r="F812" s="135"/>
      <c r="G812" s="135"/>
      <c r="H812" s="135"/>
      <c r="I812" s="135"/>
      <c r="J812" s="135"/>
      <c r="K812" s="135"/>
      <c r="L812" s="135"/>
      <c r="M812" s="135"/>
      <c r="N812" s="135"/>
      <c r="O812" s="135"/>
      <c r="P812" s="135"/>
      <c r="Q812" s="135"/>
      <c r="R812" s="135"/>
      <c r="S812" s="135"/>
      <c r="T812" s="5"/>
    </row>
    <row r="813" spans="1:20" x14ac:dyDescent="0.45">
      <c r="A813" s="135"/>
      <c r="B813" s="135"/>
      <c r="C813" s="135"/>
      <c r="D813" s="135"/>
      <c r="E813" s="135"/>
      <c r="F813" s="135"/>
      <c r="G813" s="135"/>
      <c r="H813" s="135"/>
      <c r="I813" s="135"/>
      <c r="J813" s="135"/>
      <c r="K813" s="135"/>
      <c r="L813" s="135"/>
      <c r="M813" s="135"/>
      <c r="N813" s="135"/>
      <c r="O813" s="135"/>
      <c r="P813" s="135"/>
      <c r="Q813" s="135"/>
      <c r="R813" s="135"/>
      <c r="S813" s="135"/>
      <c r="T813" s="5"/>
    </row>
    <row r="814" spans="1:20" x14ac:dyDescent="0.45">
      <c r="A814" s="135"/>
      <c r="B814" s="135"/>
      <c r="C814" s="135"/>
      <c r="D814" s="135"/>
      <c r="E814" s="135"/>
      <c r="F814" s="135"/>
      <c r="G814" s="135"/>
      <c r="H814" s="135"/>
      <c r="I814" s="135"/>
      <c r="J814" s="135"/>
      <c r="K814" s="135"/>
      <c r="L814" s="135"/>
      <c r="M814" s="135"/>
      <c r="N814" s="135"/>
      <c r="O814" s="135"/>
      <c r="P814" s="135"/>
      <c r="Q814" s="135"/>
      <c r="R814" s="135"/>
      <c r="S814" s="135"/>
      <c r="T814" s="5"/>
    </row>
    <row r="815" spans="1:20" x14ac:dyDescent="0.45">
      <c r="A815" s="135"/>
      <c r="B815" s="135"/>
      <c r="C815" s="135"/>
      <c r="D815" s="135"/>
      <c r="E815" s="135"/>
      <c r="F815" s="135"/>
      <c r="G815" s="135"/>
      <c r="H815" s="135"/>
      <c r="I815" s="135"/>
      <c r="J815" s="135"/>
      <c r="K815" s="135"/>
      <c r="L815" s="135"/>
      <c r="M815" s="135"/>
      <c r="N815" s="135"/>
      <c r="O815" s="135"/>
      <c r="P815" s="135"/>
      <c r="Q815" s="135"/>
      <c r="R815" s="135"/>
      <c r="S815" s="135"/>
      <c r="T815" s="5"/>
    </row>
    <row r="816" spans="1:20" x14ac:dyDescent="0.45">
      <c r="A816" s="135"/>
      <c r="B816" s="135"/>
      <c r="C816" s="135"/>
      <c r="D816" s="135"/>
      <c r="E816" s="135"/>
      <c r="F816" s="135"/>
      <c r="G816" s="135"/>
      <c r="H816" s="135"/>
      <c r="I816" s="135"/>
      <c r="J816" s="135"/>
      <c r="K816" s="135"/>
      <c r="L816" s="135"/>
      <c r="M816" s="135"/>
      <c r="N816" s="135"/>
      <c r="O816" s="135"/>
      <c r="P816" s="135"/>
      <c r="Q816" s="135"/>
      <c r="R816" s="135"/>
      <c r="S816" s="135"/>
      <c r="T816" s="5"/>
    </row>
    <row r="817" spans="1:20" x14ac:dyDescent="0.45">
      <c r="A817" s="135"/>
      <c r="B817" s="135"/>
      <c r="C817" s="135"/>
      <c r="D817" s="135"/>
      <c r="E817" s="135"/>
      <c r="F817" s="135"/>
      <c r="G817" s="135"/>
      <c r="H817" s="135"/>
      <c r="I817" s="135"/>
      <c r="J817" s="135"/>
      <c r="K817" s="135"/>
      <c r="L817" s="135"/>
      <c r="M817" s="135"/>
      <c r="N817" s="135"/>
      <c r="O817" s="135"/>
      <c r="P817" s="135"/>
      <c r="Q817" s="135"/>
      <c r="R817" s="135"/>
      <c r="S817" s="135"/>
      <c r="T817" s="5"/>
    </row>
    <row r="818" spans="1:20" x14ac:dyDescent="0.45">
      <c r="A818" s="135"/>
      <c r="B818" s="135"/>
      <c r="C818" s="135"/>
      <c r="D818" s="135"/>
      <c r="E818" s="135"/>
      <c r="F818" s="135"/>
      <c r="G818" s="135"/>
      <c r="H818" s="135"/>
      <c r="I818" s="135"/>
      <c r="J818" s="135"/>
      <c r="K818" s="135"/>
      <c r="L818" s="135"/>
      <c r="M818" s="135"/>
      <c r="N818" s="135"/>
      <c r="O818" s="135"/>
      <c r="P818" s="135"/>
      <c r="Q818" s="135"/>
      <c r="R818" s="135"/>
      <c r="S818" s="135"/>
      <c r="T818" s="5"/>
    </row>
    <row r="819" spans="1:20" x14ac:dyDescent="0.45">
      <c r="A819" s="135"/>
      <c r="B819" s="135"/>
      <c r="C819" s="135"/>
      <c r="D819" s="135"/>
      <c r="E819" s="135"/>
      <c r="F819" s="135"/>
      <c r="G819" s="135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5"/>
    </row>
    <row r="820" spans="1:20" x14ac:dyDescent="0.45">
      <c r="A820" s="135"/>
      <c r="B820" s="135"/>
      <c r="C820" s="135"/>
      <c r="D820" s="135"/>
      <c r="E820" s="135"/>
      <c r="F820" s="135"/>
      <c r="G820" s="135"/>
      <c r="H820" s="135"/>
      <c r="I820" s="135"/>
      <c r="J820" s="135"/>
      <c r="K820" s="135"/>
      <c r="L820" s="135"/>
      <c r="M820" s="135"/>
      <c r="N820" s="135"/>
      <c r="O820" s="135"/>
      <c r="P820" s="135"/>
      <c r="Q820" s="135"/>
      <c r="R820" s="135"/>
      <c r="S820" s="135"/>
      <c r="T820" s="5"/>
    </row>
    <row r="821" spans="1:20" x14ac:dyDescent="0.45">
      <c r="A821" s="135"/>
      <c r="B821" s="135"/>
      <c r="C821" s="135"/>
      <c r="D821" s="135"/>
      <c r="E821" s="135"/>
      <c r="F821" s="135"/>
      <c r="G821" s="135"/>
      <c r="H821" s="135"/>
      <c r="I821" s="135"/>
      <c r="J821" s="135"/>
      <c r="K821" s="135"/>
      <c r="L821" s="135"/>
      <c r="M821" s="135"/>
      <c r="N821" s="135"/>
      <c r="O821" s="135"/>
      <c r="P821" s="135"/>
      <c r="Q821" s="135"/>
      <c r="R821" s="135"/>
      <c r="S821" s="135"/>
      <c r="T821" s="5"/>
    </row>
    <row r="822" spans="1:20" x14ac:dyDescent="0.45">
      <c r="A822" s="135"/>
      <c r="B822" s="135"/>
      <c r="C822" s="135"/>
      <c r="D822" s="135"/>
      <c r="E822" s="135"/>
      <c r="F822" s="135"/>
      <c r="G822" s="135"/>
      <c r="H822" s="135"/>
      <c r="I822" s="135"/>
      <c r="J822" s="135"/>
      <c r="K822" s="135"/>
      <c r="L822" s="135"/>
      <c r="M822" s="135"/>
      <c r="N822" s="135"/>
      <c r="O822" s="135"/>
      <c r="P822" s="135"/>
      <c r="Q822" s="135"/>
      <c r="R822" s="135"/>
      <c r="S822" s="135"/>
      <c r="T822" s="5"/>
    </row>
    <row r="823" spans="1:20" x14ac:dyDescent="0.45">
      <c r="A823" s="135"/>
      <c r="B823" s="135"/>
      <c r="C823" s="135"/>
      <c r="D823" s="135"/>
      <c r="E823" s="135"/>
      <c r="F823" s="135"/>
      <c r="G823" s="135"/>
      <c r="H823" s="135"/>
      <c r="I823" s="135"/>
      <c r="J823" s="135"/>
      <c r="K823" s="135"/>
      <c r="L823" s="135"/>
      <c r="M823" s="135"/>
      <c r="N823" s="135"/>
      <c r="O823" s="135"/>
      <c r="P823" s="135"/>
      <c r="Q823" s="135"/>
      <c r="R823" s="135"/>
      <c r="S823" s="135"/>
      <c r="T823" s="5"/>
    </row>
    <row r="824" spans="1:20" x14ac:dyDescent="0.45">
      <c r="A824" s="135"/>
      <c r="B824" s="135"/>
      <c r="C824" s="135"/>
      <c r="D824" s="135"/>
      <c r="E824" s="135"/>
      <c r="F824" s="135"/>
      <c r="G824" s="135"/>
      <c r="H824" s="135"/>
      <c r="I824" s="135"/>
      <c r="J824" s="135"/>
      <c r="K824" s="135"/>
      <c r="L824" s="135"/>
      <c r="M824" s="135"/>
      <c r="N824" s="135"/>
      <c r="O824" s="135"/>
      <c r="P824" s="135"/>
      <c r="Q824" s="135"/>
      <c r="R824" s="135"/>
      <c r="S824" s="135"/>
      <c r="T824" s="5"/>
    </row>
    <row r="825" spans="1:20" x14ac:dyDescent="0.45">
      <c r="A825" s="135"/>
      <c r="B825" s="135"/>
      <c r="C825" s="135"/>
      <c r="D825" s="135"/>
      <c r="E825" s="135"/>
      <c r="F825" s="135"/>
      <c r="G825" s="135"/>
      <c r="H825" s="135"/>
      <c r="I825" s="135"/>
      <c r="J825" s="135"/>
      <c r="K825" s="135"/>
      <c r="L825" s="135"/>
      <c r="M825" s="135"/>
      <c r="N825" s="135"/>
      <c r="O825" s="135"/>
      <c r="P825" s="135"/>
      <c r="Q825" s="135"/>
      <c r="R825" s="135"/>
      <c r="S825" s="135"/>
      <c r="T825" s="5"/>
    </row>
    <row r="826" spans="1:20" x14ac:dyDescent="0.45">
      <c r="A826" s="135"/>
      <c r="B826" s="135"/>
      <c r="C826" s="135"/>
      <c r="D826" s="135"/>
      <c r="E826" s="135"/>
      <c r="F826" s="135"/>
      <c r="G826" s="135"/>
      <c r="H826" s="135"/>
      <c r="I826" s="135"/>
      <c r="J826" s="135"/>
      <c r="K826" s="135"/>
      <c r="L826" s="135"/>
      <c r="M826" s="135"/>
      <c r="N826" s="135"/>
      <c r="O826" s="135"/>
      <c r="P826" s="135"/>
      <c r="Q826" s="135"/>
      <c r="R826" s="135"/>
      <c r="S826" s="135"/>
      <c r="T826" s="5"/>
    </row>
    <row r="827" spans="1:20" x14ac:dyDescent="0.45">
      <c r="A827" s="135"/>
      <c r="B827" s="135"/>
      <c r="C827" s="135"/>
      <c r="D827" s="135"/>
      <c r="E827" s="135"/>
      <c r="F827" s="135"/>
      <c r="G827" s="135"/>
      <c r="H827" s="135"/>
      <c r="I827" s="135"/>
      <c r="J827" s="135"/>
      <c r="K827" s="135"/>
      <c r="L827" s="135"/>
      <c r="M827" s="135"/>
      <c r="N827" s="135"/>
      <c r="O827" s="135"/>
      <c r="P827" s="135"/>
      <c r="Q827" s="135"/>
      <c r="R827" s="135"/>
      <c r="S827" s="135"/>
      <c r="T827" s="5"/>
    </row>
    <row r="828" spans="1:20" x14ac:dyDescent="0.45">
      <c r="A828" s="135"/>
      <c r="B828" s="135"/>
      <c r="C828" s="135"/>
      <c r="D828" s="135"/>
      <c r="E828" s="135"/>
      <c r="F828" s="135"/>
      <c r="G828" s="135"/>
      <c r="H828" s="135"/>
      <c r="I828" s="135"/>
      <c r="J828" s="135"/>
      <c r="K828" s="135"/>
      <c r="L828" s="135"/>
      <c r="M828" s="135"/>
      <c r="N828" s="135"/>
      <c r="O828" s="135"/>
      <c r="P828" s="135"/>
      <c r="Q828" s="135"/>
      <c r="R828" s="135"/>
      <c r="S828" s="135"/>
      <c r="T828" s="5"/>
    </row>
    <row r="829" spans="1:20" x14ac:dyDescent="0.45">
      <c r="A829" s="135"/>
      <c r="B829" s="135"/>
      <c r="C829" s="135"/>
      <c r="D829" s="135"/>
      <c r="E829" s="135"/>
      <c r="F829" s="135"/>
      <c r="G829" s="135"/>
      <c r="H829" s="135"/>
      <c r="I829" s="135"/>
      <c r="J829" s="135"/>
      <c r="K829" s="135"/>
      <c r="L829" s="135"/>
      <c r="M829" s="135"/>
      <c r="N829" s="135"/>
      <c r="O829" s="135"/>
      <c r="P829" s="135"/>
      <c r="Q829" s="135"/>
      <c r="R829" s="135"/>
      <c r="S829" s="135"/>
      <c r="T829" s="5"/>
    </row>
    <row r="830" spans="1:20" x14ac:dyDescent="0.45">
      <c r="A830" s="135"/>
      <c r="B830" s="135"/>
      <c r="C830" s="135"/>
      <c r="D830" s="135"/>
      <c r="E830" s="135"/>
      <c r="F830" s="135"/>
      <c r="G830" s="135"/>
      <c r="H830" s="135"/>
      <c r="I830" s="135"/>
      <c r="J830" s="135"/>
      <c r="K830" s="135"/>
      <c r="L830" s="135"/>
      <c r="M830" s="135"/>
      <c r="N830" s="135"/>
      <c r="O830" s="135"/>
      <c r="P830" s="135"/>
      <c r="Q830" s="135"/>
      <c r="R830" s="135"/>
      <c r="S830" s="135"/>
      <c r="T830" s="5"/>
    </row>
    <row r="831" spans="1:20" x14ac:dyDescent="0.45">
      <c r="A831" s="135"/>
      <c r="B831" s="135"/>
      <c r="C831" s="135"/>
      <c r="D831" s="135"/>
      <c r="E831" s="135"/>
      <c r="F831" s="135"/>
      <c r="G831" s="135"/>
      <c r="H831" s="135"/>
      <c r="I831" s="135"/>
      <c r="J831" s="135"/>
      <c r="K831" s="135"/>
      <c r="L831" s="135"/>
      <c r="M831" s="135"/>
      <c r="N831" s="135"/>
      <c r="O831" s="135"/>
      <c r="P831" s="135"/>
      <c r="Q831" s="135"/>
      <c r="R831" s="135"/>
      <c r="S831" s="135"/>
      <c r="T831" s="5"/>
    </row>
    <row r="832" spans="1:20" x14ac:dyDescent="0.45">
      <c r="A832" s="135"/>
      <c r="B832" s="135"/>
      <c r="C832" s="135"/>
      <c r="D832" s="135"/>
      <c r="E832" s="135"/>
      <c r="F832" s="135"/>
      <c r="G832" s="135"/>
      <c r="H832" s="135"/>
      <c r="I832" s="135"/>
      <c r="J832" s="135"/>
      <c r="K832" s="135"/>
      <c r="L832" s="135"/>
      <c r="M832" s="135"/>
      <c r="N832" s="135"/>
      <c r="O832" s="135"/>
      <c r="P832" s="135"/>
      <c r="Q832" s="135"/>
      <c r="R832" s="135"/>
      <c r="S832" s="135"/>
      <c r="T832" s="5"/>
    </row>
    <row r="833" spans="1:20" x14ac:dyDescent="0.45">
      <c r="A833" s="135"/>
      <c r="B833" s="135"/>
      <c r="C833" s="135"/>
      <c r="D833" s="135"/>
      <c r="E833" s="135"/>
      <c r="F833" s="135"/>
      <c r="G833" s="135"/>
      <c r="H833" s="135"/>
      <c r="I833" s="135"/>
      <c r="J833" s="135"/>
      <c r="K833" s="135"/>
      <c r="L833" s="135"/>
      <c r="M833" s="135"/>
      <c r="N833" s="135"/>
      <c r="O833" s="135"/>
      <c r="P833" s="135"/>
      <c r="Q833" s="135"/>
      <c r="R833" s="135"/>
      <c r="S833" s="135"/>
      <c r="T833" s="5"/>
    </row>
    <row r="834" spans="1:20" x14ac:dyDescent="0.45">
      <c r="A834" s="135"/>
      <c r="B834" s="135"/>
      <c r="C834" s="135"/>
      <c r="D834" s="135"/>
      <c r="E834" s="135"/>
      <c r="F834" s="135"/>
      <c r="G834" s="135"/>
      <c r="H834" s="135"/>
      <c r="I834" s="135"/>
      <c r="J834" s="135"/>
      <c r="K834" s="135"/>
      <c r="L834" s="135"/>
      <c r="M834" s="135"/>
      <c r="N834" s="135"/>
      <c r="O834" s="135"/>
      <c r="P834" s="135"/>
      <c r="Q834" s="135"/>
      <c r="R834" s="135"/>
      <c r="S834" s="135"/>
      <c r="T834" s="5"/>
    </row>
    <row r="835" spans="1:20" x14ac:dyDescent="0.45">
      <c r="A835" s="135"/>
      <c r="B835" s="135"/>
      <c r="C835" s="135"/>
      <c r="D835" s="135"/>
      <c r="E835" s="135"/>
      <c r="F835" s="135"/>
      <c r="G835" s="135"/>
      <c r="H835" s="135"/>
      <c r="I835" s="135"/>
      <c r="J835" s="135"/>
      <c r="K835" s="135"/>
      <c r="L835" s="135"/>
      <c r="M835" s="135"/>
      <c r="N835" s="135"/>
      <c r="O835" s="135"/>
      <c r="P835" s="135"/>
      <c r="Q835" s="135"/>
      <c r="R835" s="135"/>
      <c r="S835" s="135"/>
      <c r="T835" s="5"/>
    </row>
    <row r="836" spans="1:20" x14ac:dyDescent="0.45">
      <c r="A836" s="135"/>
      <c r="B836" s="135"/>
      <c r="C836" s="135"/>
      <c r="D836" s="135"/>
      <c r="E836" s="135"/>
      <c r="F836" s="135"/>
      <c r="G836" s="135"/>
      <c r="H836" s="135"/>
      <c r="I836" s="135"/>
      <c r="J836" s="135"/>
      <c r="K836" s="135"/>
      <c r="L836" s="135"/>
      <c r="M836" s="135"/>
      <c r="N836" s="135"/>
      <c r="O836" s="135"/>
      <c r="P836" s="135"/>
      <c r="Q836" s="135"/>
      <c r="R836" s="135"/>
      <c r="S836" s="135"/>
      <c r="T836" s="5"/>
    </row>
    <row r="837" spans="1:20" x14ac:dyDescent="0.45">
      <c r="A837" s="135"/>
      <c r="B837" s="135"/>
      <c r="C837" s="135"/>
      <c r="D837" s="135"/>
      <c r="E837" s="135"/>
      <c r="F837" s="135"/>
      <c r="G837" s="135"/>
      <c r="H837" s="135"/>
      <c r="I837" s="135"/>
      <c r="J837" s="135"/>
      <c r="K837" s="135"/>
      <c r="L837" s="135"/>
      <c r="M837" s="135"/>
      <c r="N837" s="135"/>
      <c r="O837" s="135"/>
      <c r="P837" s="135"/>
      <c r="Q837" s="135"/>
      <c r="R837" s="135"/>
      <c r="S837" s="135"/>
      <c r="T837" s="5"/>
    </row>
    <row r="838" spans="1:20" x14ac:dyDescent="0.45">
      <c r="A838" s="135"/>
      <c r="B838" s="135"/>
      <c r="C838" s="135"/>
      <c r="D838" s="135"/>
      <c r="E838" s="135"/>
      <c r="F838" s="135"/>
      <c r="G838" s="135"/>
      <c r="H838" s="135"/>
      <c r="I838" s="135"/>
      <c r="J838" s="135"/>
      <c r="K838" s="135"/>
      <c r="L838" s="135"/>
      <c r="M838" s="135"/>
      <c r="N838" s="135"/>
      <c r="O838" s="135"/>
      <c r="P838" s="135"/>
      <c r="Q838" s="135"/>
      <c r="R838" s="135"/>
      <c r="S838" s="135"/>
      <c r="T838" s="5"/>
    </row>
    <row r="839" spans="1:20" x14ac:dyDescent="0.45">
      <c r="A839" s="135"/>
      <c r="B839" s="135"/>
      <c r="C839" s="135"/>
      <c r="D839" s="135"/>
      <c r="E839" s="135"/>
      <c r="F839" s="135"/>
      <c r="G839" s="135"/>
      <c r="H839" s="135"/>
      <c r="I839" s="135"/>
      <c r="J839" s="135"/>
      <c r="K839" s="135"/>
      <c r="L839" s="135"/>
      <c r="M839" s="135"/>
      <c r="N839" s="135"/>
      <c r="O839" s="135"/>
      <c r="P839" s="135"/>
      <c r="Q839" s="135"/>
      <c r="R839" s="135"/>
      <c r="S839" s="135"/>
      <c r="T839" s="5"/>
    </row>
    <row r="840" spans="1:20" x14ac:dyDescent="0.45">
      <c r="A840" s="135"/>
      <c r="B840" s="135"/>
      <c r="C840" s="135"/>
      <c r="D840" s="135"/>
      <c r="E840" s="135"/>
      <c r="F840" s="135"/>
      <c r="G840" s="135"/>
      <c r="H840" s="135"/>
      <c r="I840" s="135"/>
      <c r="J840" s="135"/>
      <c r="K840" s="135"/>
      <c r="L840" s="135"/>
      <c r="M840" s="135"/>
      <c r="N840" s="135"/>
      <c r="O840" s="135"/>
      <c r="P840" s="135"/>
      <c r="Q840" s="135"/>
      <c r="R840" s="135"/>
      <c r="S840" s="135"/>
      <c r="T840" s="5"/>
    </row>
    <row r="841" spans="1:20" x14ac:dyDescent="0.45">
      <c r="A841" s="135"/>
      <c r="B841" s="135"/>
      <c r="C841" s="135"/>
      <c r="D841" s="135"/>
      <c r="E841" s="135"/>
      <c r="F841" s="135"/>
      <c r="G841" s="135"/>
      <c r="H841" s="135"/>
      <c r="I841" s="135"/>
      <c r="J841" s="135"/>
      <c r="K841" s="135"/>
      <c r="L841" s="135"/>
      <c r="M841" s="135"/>
      <c r="N841" s="135"/>
      <c r="O841" s="135"/>
      <c r="P841" s="135"/>
      <c r="Q841" s="135"/>
      <c r="R841" s="135"/>
      <c r="S841" s="135"/>
      <c r="T841" s="5"/>
    </row>
    <row r="842" spans="1:20" x14ac:dyDescent="0.45">
      <c r="A842" s="135"/>
      <c r="B842" s="135"/>
      <c r="C842" s="135"/>
      <c r="D842" s="135"/>
      <c r="E842" s="135"/>
      <c r="F842" s="135"/>
      <c r="G842" s="135"/>
      <c r="H842" s="135"/>
      <c r="I842" s="135"/>
      <c r="J842" s="135"/>
      <c r="K842" s="135"/>
      <c r="L842" s="135"/>
      <c r="M842" s="135"/>
      <c r="N842" s="135"/>
      <c r="O842" s="135"/>
      <c r="P842" s="135"/>
      <c r="Q842" s="135"/>
      <c r="R842" s="135"/>
      <c r="S842" s="135"/>
      <c r="T842" s="5"/>
    </row>
    <row r="843" spans="1:20" x14ac:dyDescent="0.45">
      <c r="A843" s="135"/>
      <c r="B843" s="135"/>
      <c r="C843" s="135"/>
      <c r="D843" s="135"/>
      <c r="E843" s="135"/>
      <c r="F843" s="135"/>
      <c r="G843" s="135"/>
      <c r="H843" s="135"/>
      <c r="I843" s="135"/>
      <c r="J843" s="135"/>
      <c r="K843" s="135"/>
      <c r="L843" s="135"/>
      <c r="M843" s="135"/>
      <c r="N843" s="135"/>
      <c r="O843" s="135"/>
      <c r="P843" s="135"/>
      <c r="Q843" s="135"/>
      <c r="R843" s="135"/>
      <c r="S843" s="135"/>
      <c r="T843" s="5"/>
    </row>
    <row r="844" spans="1:20" x14ac:dyDescent="0.45">
      <c r="A844" s="135"/>
      <c r="B844" s="135"/>
      <c r="C844" s="135"/>
      <c r="D844" s="135"/>
      <c r="E844" s="135"/>
      <c r="F844" s="135"/>
      <c r="G844" s="135"/>
      <c r="H844" s="135"/>
      <c r="I844" s="135"/>
      <c r="J844" s="135"/>
      <c r="K844" s="135"/>
      <c r="L844" s="135"/>
      <c r="M844" s="135"/>
      <c r="N844" s="135"/>
      <c r="O844" s="135"/>
      <c r="P844" s="135"/>
      <c r="Q844" s="135"/>
      <c r="R844" s="135"/>
      <c r="S844" s="135"/>
      <c r="T844" s="5"/>
    </row>
    <row r="845" spans="1:20" x14ac:dyDescent="0.45">
      <c r="A845" s="135"/>
      <c r="B845" s="135"/>
      <c r="C845" s="135"/>
      <c r="D845" s="135"/>
      <c r="E845" s="135"/>
      <c r="F845" s="135"/>
      <c r="G845" s="135"/>
      <c r="H845" s="135"/>
      <c r="I845" s="135"/>
      <c r="J845" s="135"/>
      <c r="K845" s="135"/>
      <c r="L845" s="135"/>
      <c r="M845" s="135"/>
      <c r="N845" s="135"/>
      <c r="O845" s="135"/>
      <c r="P845" s="135"/>
      <c r="Q845" s="135"/>
      <c r="R845" s="135"/>
      <c r="S845" s="135"/>
      <c r="T845" s="5"/>
    </row>
    <row r="846" spans="1:20" x14ac:dyDescent="0.45">
      <c r="A846" s="135"/>
      <c r="B846" s="135"/>
      <c r="C846" s="135"/>
      <c r="D846" s="135"/>
      <c r="E846" s="135"/>
      <c r="F846" s="135"/>
      <c r="G846" s="135"/>
      <c r="H846" s="135"/>
      <c r="I846" s="135"/>
      <c r="J846" s="135"/>
      <c r="K846" s="135"/>
      <c r="L846" s="135"/>
      <c r="M846" s="135"/>
      <c r="N846" s="135"/>
      <c r="O846" s="135"/>
      <c r="P846" s="135"/>
      <c r="Q846" s="135"/>
      <c r="R846" s="135"/>
      <c r="S846" s="135"/>
      <c r="T846" s="5"/>
    </row>
    <row r="847" spans="1:20" x14ac:dyDescent="0.45">
      <c r="A847" s="135"/>
      <c r="B847" s="135"/>
      <c r="C847" s="135"/>
      <c r="D847" s="135"/>
      <c r="E847" s="135"/>
      <c r="F847" s="135"/>
      <c r="G847" s="135"/>
      <c r="H847" s="135"/>
      <c r="I847" s="135"/>
      <c r="J847" s="135"/>
      <c r="K847" s="135"/>
      <c r="L847" s="135"/>
      <c r="M847" s="135"/>
      <c r="N847" s="135"/>
      <c r="O847" s="135"/>
      <c r="P847" s="135"/>
      <c r="Q847" s="135"/>
      <c r="R847" s="135"/>
      <c r="S847" s="135"/>
      <c r="T847" s="5"/>
    </row>
    <row r="848" spans="1:20" x14ac:dyDescent="0.45">
      <c r="A848" s="135"/>
      <c r="B848" s="135"/>
      <c r="C848" s="135"/>
      <c r="D848" s="135"/>
      <c r="E848" s="135"/>
      <c r="F848" s="135"/>
      <c r="G848" s="135"/>
      <c r="H848" s="135"/>
      <c r="I848" s="135"/>
      <c r="J848" s="135"/>
      <c r="K848" s="135"/>
      <c r="L848" s="135"/>
      <c r="M848" s="135"/>
      <c r="N848" s="135"/>
      <c r="O848" s="135"/>
      <c r="P848" s="135"/>
      <c r="Q848" s="135"/>
      <c r="R848" s="135"/>
      <c r="S848" s="135"/>
      <c r="T848" s="5"/>
    </row>
    <row r="849" spans="1:20" x14ac:dyDescent="0.45">
      <c r="A849" s="135"/>
      <c r="B849" s="135"/>
      <c r="C849" s="135"/>
      <c r="D849" s="135"/>
      <c r="E849" s="135"/>
      <c r="F849" s="135"/>
      <c r="G849" s="135"/>
      <c r="H849" s="135"/>
      <c r="I849" s="135"/>
      <c r="J849" s="135"/>
      <c r="K849" s="135"/>
      <c r="L849" s="135"/>
      <c r="M849" s="135"/>
      <c r="N849" s="135"/>
      <c r="O849" s="135"/>
      <c r="P849" s="135"/>
      <c r="Q849" s="135"/>
      <c r="R849" s="135"/>
      <c r="S849" s="135"/>
      <c r="T849" s="5"/>
    </row>
    <row r="850" spans="1:20" x14ac:dyDescent="0.45">
      <c r="A850" s="135"/>
      <c r="B850" s="135"/>
      <c r="C850" s="135"/>
      <c r="D850" s="135"/>
      <c r="E850" s="135"/>
      <c r="F850" s="135"/>
      <c r="G850" s="135"/>
      <c r="H850" s="135"/>
      <c r="I850" s="135"/>
      <c r="J850" s="135"/>
      <c r="K850" s="135"/>
      <c r="L850" s="135"/>
      <c r="M850" s="135"/>
      <c r="N850" s="135"/>
      <c r="O850" s="135"/>
      <c r="P850" s="135"/>
      <c r="Q850" s="135"/>
      <c r="R850" s="135"/>
      <c r="S850" s="135"/>
      <c r="T850" s="5"/>
    </row>
    <row r="851" spans="1:20" x14ac:dyDescent="0.45">
      <c r="A851" s="135"/>
      <c r="B851" s="135"/>
      <c r="C851" s="135"/>
      <c r="D851" s="135"/>
      <c r="E851" s="135"/>
      <c r="F851" s="135"/>
      <c r="G851" s="135"/>
      <c r="H851" s="135"/>
      <c r="I851" s="135"/>
      <c r="J851" s="135"/>
      <c r="K851" s="135"/>
      <c r="L851" s="135"/>
      <c r="M851" s="135"/>
      <c r="N851" s="135"/>
      <c r="O851" s="135"/>
      <c r="P851" s="135"/>
      <c r="Q851" s="135"/>
      <c r="R851" s="135"/>
      <c r="S851" s="135"/>
      <c r="T851" s="5"/>
    </row>
    <row r="852" spans="1:20" x14ac:dyDescent="0.45">
      <c r="A852" s="135"/>
      <c r="B852" s="135"/>
      <c r="C852" s="135"/>
      <c r="D852" s="135"/>
      <c r="E852" s="135"/>
      <c r="F852" s="135"/>
      <c r="G852" s="135"/>
      <c r="H852" s="135"/>
      <c r="I852" s="135"/>
      <c r="J852" s="135"/>
      <c r="K852" s="135"/>
      <c r="L852" s="135"/>
      <c r="M852" s="135"/>
      <c r="N852" s="135"/>
      <c r="O852" s="135"/>
      <c r="P852" s="135"/>
      <c r="Q852" s="135"/>
      <c r="R852" s="135"/>
      <c r="S852" s="135"/>
      <c r="T852" s="5"/>
    </row>
    <row r="853" spans="1:20" x14ac:dyDescent="0.45">
      <c r="A853" s="135"/>
      <c r="B853" s="135"/>
      <c r="C853" s="135"/>
      <c r="D853" s="135"/>
      <c r="E853" s="135"/>
      <c r="F853" s="135"/>
      <c r="G853" s="135"/>
      <c r="H853" s="135"/>
      <c r="I853" s="135"/>
      <c r="J853" s="135"/>
      <c r="K853" s="135"/>
      <c r="L853" s="135"/>
      <c r="M853" s="135"/>
      <c r="N853" s="135"/>
      <c r="O853" s="135"/>
      <c r="P853" s="135"/>
      <c r="Q853" s="135"/>
      <c r="R853" s="135"/>
      <c r="S853" s="135"/>
      <c r="T853" s="5"/>
    </row>
    <row r="854" spans="1:20" x14ac:dyDescent="0.45">
      <c r="A854" s="135"/>
      <c r="B854" s="135"/>
      <c r="C854" s="135"/>
      <c r="D854" s="135"/>
      <c r="E854" s="135"/>
      <c r="F854" s="135"/>
      <c r="G854" s="135"/>
      <c r="H854" s="135"/>
      <c r="I854" s="135"/>
      <c r="J854" s="135"/>
      <c r="K854" s="135"/>
      <c r="L854" s="135"/>
      <c r="M854" s="135"/>
      <c r="N854" s="135"/>
      <c r="O854" s="135"/>
      <c r="P854" s="135"/>
      <c r="Q854" s="135"/>
      <c r="R854" s="135"/>
      <c r="S854" s="135"/>
      <c r="T854" s="5"/>
    </row>
    <row r="855" spans="1:20" x14ac:dyDescent="0.45">
      <c r="A855" s="135"/>
      <c r="B855" s="135"/>
      <c r="C855" s="135"/>
      <c r="D855" s="135"/>
      <c r="E855" s="135"/>
      <c r="F855" s="135"/>
      <c r="G855" s="135"/>
      <c r="H855" s="135"/>
      <c r="I855" s="135"/>
      <c r="J855" s="135"/>
      <c r="K855" s="135"/>
      <c r="L855" s="135"/>
      <c r="M855" s="135"/>
      <c r="N855" s="135"/>
      <c r="O855" s="135"/>
      <c r="P855" s="135"/>
      <c r="Q855" s="135"/>
      <c r="R855" s="135"/>
      <c r="S855" s="135"/>
      <c r="T855" s="5"/>
    </row>
    <row r="856" spans="1:20" x14ac:dyDescent="0.45">
      <c r="A856" s="135"/>
      <c r="B856" s="135"/>
      <c r="C856" s="135"/>
      <c r="D856" s="135"/>
      <c r="E856" s="135"/>
      <c r="F856" s="135"/>
      <c r="G856" s="135"/>
      <c r="H856" s="135"/>
      <c r="I856" s="135"/>
      <c r="J856" s="135"/>
      <c r="K856" s="135"/>
      <c r="L856" s="135"/>
      <c r="M856" s="135"/>
      <c r="N856" s="135"/>
      <c r="O856" s="135"/>
      <c r="P856" s="135"/>
      <c r="Q856" s="135"/>
      <c r="R856" s="135"/>
      <c r="S856" s="135"/>
      <c r="T856" s="5"/>
    </row>
    <row r="857" spans="1:20" x14ac:dyDescent="0.45">
      <c r="A857" s="135"/>
      <c r="B857" s="135"/>
      <c r="C857" s="135"/>
      <c r="D857" s="135"/>
      <c r="E857" s="135"/>
      <c r="F857" s="135"/>
      <c r="G857" s="135"/>
      <c r="H857" s="135"/>
      <c r="I857" s="135"/>
      <c r="J857" s="135"/>
      <c r="K857" s="135"/>
      <c r="L857" s="135"/>
      <c r="M857" s="135"/>
      <c r="N857" s="135"/>
      <c r="O857" s="135"/>
      <c r="P857" s="135"/>
      <c r="Q857" s="135"/>
      <c r="R857" s="135"/>
      <c r="S857" s="135"/>
      <c r="T857" s="5"/>
    </row>
    <row r="858" spans="1:20" x14ac:dyDescent="0.45">
      <c r="A858" s="135"/>
      <c r="B858" s="135"/>
      <c r="C858" s="135"/>
      <c r="D858" s="135"/>
      <c r="E858" s="135"/>
      <c r="F858" s="135"/>
      <c r="G858" s="135"/>
      <c r="H858" s="135"/>
      <c r="I858" s="135"/>
      <c r="J858" s="135"/>
      <c r="K858" s="135"/>
      <c r="L858" s="135"/>
      <c r="M858" s="135"/>
      <c r="N858" s="135"/>
      <c r="O858" s="135"/>
      <c r="P858" s="135"/>
      <c r="Q858" s="135"/>
      <c r="R858" s="135"/>
      <c r="S858" s="135"/>
      <c r="T858" s="5"/>
    </row>
    <row r="859" spans="1:20" x14ac:dyDescent="0.45">
      <c r="A859" s="135"/>
      <c r="B859" s="135"/>
      <c r="C859" s="135"/>
      <c r="D859" s="135"/>
      <c r="E859" s="135"/>
      <c r="F859" s="135"/>
      <c r="G859" s="135"/>
      <c r="H859" s="135"/>
      <c r="I859" s="135"/>
      <c r="J859" s="135"/>
      <c r="K859" s="135"/>
      <c r="L859" s="135"/>
      <c r="M859" s="135"/>
      <c r="N859" s="135"/>
      <c r="O859" s="135"/>
      <c r="P859" s="135"/>
      <c r="Q859" s="135"/>
      <c r="R859" s="135"/>
      <c r="S859" s="135"/>
      <c r="T859" s="5"/>
    </row>
    <row r="860" spans="1:20" x14ac:dyDescent="0.45">
      <c r="A860" s="135"/>
      <c r="B860" s="135"/>
      <c r="C860" s="135"/>
      <c r="D860" s="135"/>
      <c r="E860" s="135"/>
      <c r="F860" s="135"/>
      <c r="G860" s="135"/>
      <c r="H860" s="135"/>
      <c r="I860" s="135"/>
      <c r="J860" s="135"/>
      <c r="K860" s="135"/>
      <c r="L860" s="135"/>
      <c r="M860" s="135"/>
      <c r="N860" s="135"/>
      <c r="O860" s="135"/>
      <c r="P860" s="135"/>
      <c r="Q860" s="135"/>
      <c r="R860" s="135"/>
      <c r="S860" s="135"/>
      <c r="T860" s="5"/>
    </row>
    <row r="861" spans="1:20" x14ac:dyDescent="0.45">
      <c r="A861" s="135"/>
      <c r="B861" s="135"/>
      <c r="C861" s="135"/>
      <c r="D861" s="135"/>
      <c r="E861" s="135"/>
      <c r="F861" s="135"/>
      <c r="G861" s="135"/>
      <c r="H861" s="135"/>
      <c r="I861" s="135"/>
      <c r="J861" s="135"/>
      <c r="K861" s="135"/>
      <c r="L861" s="135"/>
      <c r="M861" s="135"/>
      <c r="N861" s="135"/>
      <c r="O861" s="135"/>
      <c r="P861" s="135"/>
      <c r="Q861" s="135"/>
      <c r="R861" s="135"/>
      <c r="S861" s="135"/>
      <c r="T861" s="5"/>
    </row>
    <row r="862" spans="1:20" x14ac:dyDescent="0.45">
      <c r="A862" s="135"/>
      <c r="B862" s="135"/>
      <c r="C862" s="135"/>
      <c r="D862" s="135"/>
      <c r="E862" s="135"/>
      <c r="F862" s="135"/>
      <c r="G862" s="135"/>
      <c r="H862" s="135"/>
      <c r="I862" s="135"/>
      <c r="J862" s="135"/>
      <c r="K862" s="135"/>
      <c r="L862" s="135"/>
      <c r="M862" s="135"/>
      <c r="N862" s="135"/>
      <c r="O862" s="135"/>
      <c r="P862" s="135"/>
      <c r="Q862" s="135"/>
      <c r="R862" s="135"/>
      <c r="S862" s="135"/>
      <c r="T862" s="5"/>
    </row>
    <row r="863" spans="1:20" x14ac:dyDescent="0.45">
      <c r="A863" s="135"/>
      <c r="B863" s="135"/>
      <c r="C863" s="135"/>
      <c r="D863" s="135"/>
      <c r="E863" s="135"/>
      <c r="F863" s="135"/>
      <c r="G863" s="135"/>
      <c r="H863" s="135"/>
      <c r="I863" s="135"/>
      <c r="J863" s="135"/>
      <c r="K863" s="135"/>
      <c r="L863" s="135"/>
      <c r="M863" s="135"/>
      <c r="N863" s="135"/>
      <c r="O863" s="135"/>
      <c r="P863" s="135"/>
      <c r="Q863" s="135"/>
      <c r="R863" s="135"/>
      <c r="S863" s="135"/>
      <c r="T863" s="5"/>
    </row>
    <row r="864" spans="1:20" x14ac:dyDescent="0.45">
      <c r="A864" s="135"/>
      <c r="B864" s="135"/>
      <c r="C864" s="135"/>
      <c r="D864" s="135"/>
      <c r="E864" s="135"/>
      <c r="F864" s="135"/>
      <c r="G864" s="135"/>
      <c r="H864" s="135"/>
      <c r="I864" s="135"/>
      <c r="J864" s="135"/>
      <c r="K864" s="135"/>
      <c r="L864" s="135"/>
      <c r="M864" s="135"/>
      <c r="N864" s="135"/>
      <c r="O864" s="135"/>
      <c r="P864" s="135"/>
      <c r="Q864" s="135"/>
      <c r="R864" s="135"/>
      <c r="S864" s="135"/>
      <c r="T864" s="5"/>
    </row>
    <row r="865" spans="1:20" x14ac:dyDescent="0.45">
      <c r="A865" s="135"/>
      <c r="B865" s="135"/>
      <c r="C865" s="135"/>
      <c r="D865" s="135"/>
      <c r="E865" s="135"/>
      <c r="F865" s="135"/>
      <c r="G865" s="135"/>
      <c r="H865" s="135"/>
      <c r="I865" s="135"/>
      <c r="J865" s="135"/>
      <c r="K865" s="135"/>
      <c r="L865" s="135"/>
      <c r="M865" s="135"/>
      <c r="N865" s="135"/>
      <c r="O865" s="135"/>
      <c r="P865" s="135"/>
      <c r="Q865" s="135"/>
      <c r="R865" s="135"/>
      <c r="S865" s="135"/>
      <c r="T865" s="5"/>
    </row>
    <row r="866" spans="1:20" x14ac:dyDescent="0.45">
      <c r="A866" s="135"/>
      <c r="B866" s="135"/>
      <c r="C866" s="135"/>
      <c r="D866" s="135"/>
      <c r="E866" s="135"/>
      <c r="F866" s="135"/>
      <c r="G866" s="135"/>
      <c r="H866" s="135"/>
      <c r="I866" s="135"/>
      <c r="J866" s="135"/>
      <c r="K866" s="135"/>
      <c r="L866" s="135"/>
      <c r="M866" s="135"/>
      <c r="N866" s="135"/>
      <c r="O866" s="135"/>
      <c r="P866" s="135"/>
      <c r="Q866" s="135"/>
      <c r="R866" s="135"/>
      <c r="S866" s="135"/>
      <c r="T866" s="5"/>
    </row>
    <row r="867" spans="1:20" x14ac:dyDescent="0.45">
      <c r="A867" s="135"/>
      <c r="B867" s="135"/>
      <c r="C867" s="135"/>
      <c r="D867" s="135"/>
      <c r="E867" s="135"/>
      <c r="F867" s="135"/>
      <c r="G867" s="135"/>
      <c r="H867" s="135"/>
      <c r="I867" s="135"/>
      <c r="J867" s="135"/>
      <c r="K867" s="135"/>
      <c r="L867" s="135"/>
      <c r="M867" s="135"/>
      <c r="N867" s="135"/>
      <c r="O867" s="135"/>
      <c r="P867" s="135"/>
      <c r="Q867" s="135"/>
      <c r="R867" s="135"/>
      <c r="S867" s="135"/>
      <c r="T867" s="5"/>
    </row>
    <row r="868" spans="1:20" x14ac:dyDescent="0.45">
      <c r="A868" s="135"/>
      <c r="B868" s="135"/>
      <c r="C868" s="135"/>
      <c r="D868" s="135"/>
      <c r="E868" s="135"/>
      <c r="F868" s="135"/>
      <c r="G868" s="135"/>
      <c r="H868" s="135"/>
      <c r="I868" s="135"/>
      <c r="J868" s="135"/>
      <c r="K868" s="135"/>
      <c r="L868" s="135"/>
      <c r="M868" s="135"/>
      <c r="N868" s="135"/>
      <c r="O868" s="135"/>
      <c r="P868" s="135"/>
      <c r="Q868" s="135"/>
      <c r="R868" s="135"/>
      <c r="S868" s="135"/>
      <c r="T868" s="5"/>
    </row>
    <row r="869" spans="1:20" x14ac:dyDescent="0.45">
      <c r="A869" s="135"/>
      <c r="B869" s="135"/>
      <c r="C869" s="135"/>
      <c r="D869" s="135"/>
      <c r="E869" s="135"/>
      <c r="F869" s="135"/>
      <c r="G869" s="135"/>
      <c r="H869" s="135"/>
      <c r="I869" s="135"/>
      <c r="J869" s="135"/>
      <c r="K869" s="135"/>
      <c r="L869" s="135"/>
      <c r="M869" s="135"/>
      <c r="N869" s="135"/>
      <c r="O869" s="135"/>
      <c r="P869" s="135"/>
      <c r="Q869" s="135"/>
      <c r="R869" s="135"/>
      <c r="S869" s="135"/>
      <c r="T869" s="5"/>
    </row>
    <row r="870" spans="1:20" x14ac:dyDescent="0.45">
      <c r="A870" s="135"/>
      <c r="B870" s="135"/>
      <c r="C870" s="135"/>
      <c r="D870" s="135"/>
      <c r="E870" s="135"/>
      <c r="F870" s="135"/>
      <c r="G870" s="135"/>
      <c r="H870" s="135"/>
      <c r="I870" s="135"/>
      <c r="J870" s="135"/>
      <c r="K870" s="135"/>
      <c r="L870" s="135"/>
      <c r="M870" s="135"/>
      <c r="N870" s="135"/>
      <c r="O870" s="135"/>
      <c r="P870" s="135"/>
      <c r="Q870" s="135"/>
      <c r="R870" s="135"/>
      <c r="S870" s="135"/>
      <c r="T870" s="5"/>
    </row>
    <row r="871" spans="1:20" x14ac:dyDescent="0.45">
      <c r="A871" s="135"/>
      <c r="B871" s="135"/>
      <c r="C871" s="135"/>
      <c r="D871" s="135"/>
      <c r="E871" s="135"/>
      <c r="F871" s="135"/>
      <c r="G871" s="135"/>
      <c r="H871" s="135"/>
      <c r="I871" s="135"/>
      <c r="J871" s="135"/>
      <c r="K871" s="135"/>
      <c r="L871" s="135"/>
      <c r="M871" s="135"/>
      <c r="N871" s="135"/>
      <c r="O871" s="135"/>
      <c r="P871" s="135"/>
      <c r="Q871" s="135"/>
      <c r="R871" s="135"/>
      <c r="S871" s="135"/>
      <c r="T871" s="5"/>
    </row>
    <row r="872" spans="1:20" x14ac:dyDescent="0.45">
      <c r="A872" s="135"/>
      <c r="B872" s="135"/>
      <c r="C872" s="135"/>
      <c r="D872" s="135"/>
      <c r="E872" s="135"/>
      <c r="F872" s="135"/>
      <c r="G872" s="135"/>
      <c r="H872" s="135"/>
      <c r="I872" s="135"/>
      <c r="J872" s="135"/>
      <c r="K872" s="135"/>
      <c r="L872" s="135"/>
      <c r="M872" s="135"/>
      <c r="N872" s="135"/>
      <c r="O872" s="135"/>
      <c r="P872" s="135"/>
      <c r="Q872" s="135"/>
      <c r="R872" s="135"/>
      <c r="S872" s="135"/>
      <c r="T872" s="5"/>
    </row>
    <row r="873" spans="1:20" x14ac:dyDescent="0.45">
      <c r="A873" s="135"/>
      <c r="B873" s="135"/>
      <c r="C873" s="135"/>
      <c r="D873" s="135"/>
      <c r="E873" s="135"/>
      <c r="F873" s="135"/>
      <c r="G873" s="135"/>
      <c r="H873" s="135"/>
      <c r="I873" s="135"/>
      <c r="J873" s="135"/>
      <c r="K873" s="135"/>
      <c r="L873" s="135"/>
      <c r="M873" s="135"/>
      <c r="N873" s="135"/>
      <c r="O873" s="135"/>
      <c r="P873" s="135"/>
      <c r="Q873" s="135"/>
      <c r="R873" s="135"/>
      <c r="S873" s="135"/>
      <c r="T873" s="5"/>
    </row>
    <row r="874" spans="1:20" x14ac:dyDescent="0.45">
      <c r="A874" s="135"/>
      <c r="B874" s="135"/>
      <c r="C874" s="135"/>
      <c r="D874" s="135"/>
      <c r="E874" s="135"/>
      <c r="F874" s="135"/>
      <c r="G874" s="135"/>
      <c r="H874" s="135"/>
      <c r="I874" s="135"/>
      <c r="J874" s="135"/>
      <c r="K874" s="135"/>
      <c r="L874" s="135"/>
      <c r="M874" s="135"/>
      <c r="N874" s="135"/>
      <c r="O874" s="135"/>
      <c r="P874" s="135"/>
      <c r="Q874" s="135"/>
      <c r="R874" s="135"/>
      <c r="S874" s="135"/>
      <c r="T874" s="5"/>
    </row>
    <row r="875" spans="1:20" x14ac:dyDescent="0.45">
      <c r="A875" s="135"/>
      <c r="B875" s="135"/>
      <c r="C875" s="135"/>
      <c r="D875" s="135"/>
      <c r="E875" s="135"/>
      <c r="F875" s="135"/>
      <c r="G875" s="135"/>
      <c r="H875" s="135"/>
      <c r="I875" s="135"/>
      <c r="J875" s="135"/>
      <c r="K875" s="135"/>
      <c r="L875" s="135"/>
      <c r="M875" s="135"/>
      <c r="N875" s="135"/>
      <c r="O875" s="135"/>
      <c r="P875" s="135"/>
      <c r="Q875" s="135"/>
      <c r="R875" s="135"/>
      <c r="S875" s="135"/>
      <c r="T875" s="5"/>
    </row>
    <row r="876" spans="1:20" x14ac:dyDescent="0.45">
      <c r="A876" s="135"/>
      <c r="B876" s="135"/>
      <c r="C876" s="135"/>
      <c r="D876" s="135"/>
      <c r="E876" s="135"/>
      <c r="F876" s="135"/>
      <c r="G876" s="135"/>
      <c r="H876" s="135"/>
      <c r="I876" s="135"/>
      <c r="J876" s="135"/>
      <c r="K876" s="135"/>
      <c r="L876" s="135"/>
      <c r="M876" s="135"/>
      <c r="N876" s="135"/>
      <c r="O876" s="135"/>
      <c r="P876" s="135"/>
      <c r="Q876" s="135"/>
      <c r="R876" s="135"/>
      <c r="S876" s="135"/>
      <c r="T876" s="5"/>
    </row>
    <row r="877" spans="1:20" x14ac:dyDescent="0.45">
      <c r="A877" s="135"/>
      <c r="B877" s="135"/>
      <c r="C877" s="135"/>
      <c r="D877" s="135"/>
      <c r="E877" s="135"/>
      <c r="F877" s="135"/>
      <c r="G877" s="135"/>
      <c r="H877" s="135"/>
      <c r="I877" s="135"/>
      <c r="J877" s="135"/>
      <c r="K877" s="135"/>
      <c r="L877" s="135"/>
      <c r="M877" s="135"/>
      <c r="N877" s="135"/>
      <c r="O877" s="135"/>
      <c r="P877" s="135"/>
      <c r="Q877" s="135"/>
      <c r="R877" s="135"/>
      <c r="S877" s="135"/>
      <c r="T877" s="5"/>
    </row>
    <row r="878" spans="1:20" x14ac:dyDescent="0.45">
      <c r="A878" s="135"/>
      <c r="B878" s="135"/>
      <c r="C878" s="135"/>
      <c r="D878" s="135"/>
      <c r="E878" s="135"/>
      <c r="F878" s="135"/>
      <c r="G878" s="135"/>
      <c r="H878" s="135"/>
      <c r="I878" s="135"/>
      <c r="J878" s="135"/>
      <c r="K878" s="135"/>
      <c r="L878" s="135"/>
      <c r="M878" s="135"/>
      <c r="N878" s="135"/>
      <c r="O878" s="135"/>
      <c r="P878" s="135"/>
      <c r="Q878" s="135"/>
      <c r="R878" s="135"/>
      <c r="S878" s="135"/>
      <c r="T878" s="5"/>
    </row>
    <row r="879" spans="1:20" x14ac:dyDescent="0.45">
      <c r="A879" s="135"/>
      <c r="B879" s="135"/>
      <c r="C879" s="135"/>
      <c r="D879" s="135"/>
      <c r="E879" s="135"/>
      <c r="F879" s="135"/>
      <c r="G879" s="135"/>
      <c r="H879" s="135"/>
      <c r="I879" s="135"/>
      <c r="J879" s="135"/>
      <c r="K879" s="135"/>
      <c r="L879" s="135"/>
      <c r="M879" s="135"/>
      <c r="N879" s="135"/>
      <c r="O879" s="135"/>
      <c r="P879" s="135"/>
      <c r="Q879" s="135"/>
      <c r="R879" s="135"/>
      <c r="S879" s="135"/>
      <c r="T879" s="5"/>
    </row>
    <row r="880" spans="1:20" x14ac:dyDescent="0.45">
      <c r="A880" s="135"/>
      <c r="B880" s="135"/>
      <c r="C880" s="135"/>
      <c r="D880" s="135"/>
      <c r="E880" s="135"/>
      <c r="F880" s="135"/>
      <c r="G880" s="135"/>
      <c r="H880" s="135"/>
      <c r="I880" s="135"/>
      <c r="J880" s="135"/>
      <c r="K880" s="135"/>
      <c r="L880" s="135"/>
      <c r="M880" s="135"/>
      <c r="N880" s="135"/>
      <c r="O880" s="135"/>
      <c r="P880" s="135"/>
      <c r="Q880" s="135"/>
      <c r="R880" s="135"/>
      <c r="S880" s="135"/>
      <c r="T880" s="5"/>
    </row>
    <row r="881" spans="1:20" x14ac:dyDescent="0.45">
      <c r="A881" s="135"/>
      <c r="B881" s="135"/>
      <c r="C881" s="135"/>
      <c r="D881" s="135"/>
      <c r="E881" s="135"/>
      <c r="F881" s="135"/>
      <c r="G881" s="135"/>
      <c r="H881" s="135"/>
      <c r="I881" s="135"/>
      <c r="J881" s="135"/>
      <c r="K881" s="135"/>
      <c r="L881" s="135"/>
      <c r="M881" s="135"/>
      <c r="N881" s="135"/>
      <c r="O881" s="135"/>
      <c r="P881" s="135"/>
      <c r="Q881" s="135"/>
      <c r="R881" s="135"/>
      <c r="S881" s="135"/>
      <c r="T881" s="5"/>
    </row>
    <row r="882" spans="1:20" x14ac:dyDescent="0.45">
      <c r="A882" s="135"/>
      <c r="B882" s="135"/>
      <c r="C882" s="135"/>
      <c r="D882" s="135"/>
      <c r="E882" s="135"/>
      <c r="F882" s="135"/>
      <c r="G882" s="135"/>
      <c r="H882" s="135"/>
      <c r="I882" s="135"/>
      <c r="J882" s="135"/>
      <c r="K882" s="135"/>
      <c r="L882" s="135"/>
      <c r="M882" s="135"/>
      <c r="N882" s="135"/>
      <c r="O882" s="135"/>
      <c r="P882" s="135"/>
      <c r="Q882" s="135"/>
      <c r="R882" s="135"/>
      <c r="S882" s="135"/>
      <c r="T882" s="5"/>
    </row>
    <row r="883" spans="1:20" x14ac:dyDescent="0.45">
      <c r="A883" s="135"/>
      <c r="B883" s="135"/>
      <c r="C883" s="135"/>
      <c r="D883" s="135"/>
      <c r="E883" s="135"/>
      <c r="F883" s="135"/>
      <c r="G883" s="135"/>
      <c r="H883" s="135"/>
      <c r="I883" s="135"/>
      <c r="J883" s="135"/>
      <c r="K883" s="135"/>
      <c r="L883" s="135"/>
      <c r="M883" s="135"/>
      <c r="N883" s="135"/>
      <c r="O883" s="135"/>
      <c r="P883" s="135"/>
      <c r="Q883" s="135"/>
      <c r="R883" s="135"/>
      <c r="S883" s="135"/>
      <c r="T883" s="5"/>
    </row>
    <row r="884" spans="1:20" x14ac:dyDescent="0.45">
      <c r="A884" s="135"/>
      <c r="B884" s="135"/>
      <c r="C884" s="135"/>
      <c r="D884" s="135"/>
      <c r="E884" s="135"/>
      <c r="F884" s="135"/>
      <c r="G884" s="135"/>
      <c r="H884" s="135"/>
      <c r="I884" s="135"/>
      <c r="J884" s="135"/>
      <c r="K884" s="135"/>
      <c r="L884" s="135"/>
      <c r="M884" s="135"/>
      <c r="N884" s="135"/>
      <c r="O884" s="135"/>
      <c r="P884" s="135"/>
      <c r="Q884" s="135"/>
      <c r="R884" s="135"/>
      <c r="S884" s="135"/>
      <c r="T884" s="5"/>
    </row>
    <row r="885" spans="1:20" x14ac:dyDescent="0.45">
      <c r="A885" s="135"/>
      <c r="B885" s="135"/>
      <c r="C885" s="135"/>
      <c r="D885" s="135"/>
      <c r="E885" s="135"/>
      <c r="F885" s="135"/>
      <c r="G885" s="135"/>
      <c r="H885" s="135"/>
      <c r="I885" s="135"/>
      <c r="J885" s="135"/>
      <c r="K885" s="135"/>
      <c r="L885" s="135"/>
      <c r="M885" s="135"/>
      <c r="N885" s="135"/>
      <c r="O885" s="135"/>
      <c r="P885" s="135"/>
      <c r="Q885" s="135"/>
      <c r="R885" s="135"/>
      <c r="S885" s="135"/>
      <c r="T885" s="5"/>
    </row>
    <row r="886" spans="1:20" x14ac:dyDescent="0.45">
      <c r="A886" s="135"/>
      <c r="B886" s="135"/>
      <c r="C886" s="135"/>
      <c r="D886" s="135"/>
      <c r="E886" s="135"/>
      <c r="F886" s="135"/>
      <c r="G886" s="135"/>
      <c r="H886" s="135"/>
      <c r="I886" s="135"/>
      <c r="J886" s="135"/>
      <c r="K886" s="135"/>
      <c r="L886" s="135"/>
      <c r="M886" s="135"/>
      <c r="N886" s="135"/>
      <c r="O886" s="135"/>
      <c r="P886" s="135"/>
      <c r="Q886" s="135"/>
      <c r="R886" s="135"/>
      <c r="S886" s="135"/>
      <c r="T886" s="5"/>
    </row>
    <row r="887" spans="1:20" x14ac:dyDescent="0.45">
      <c r="A887" s="135"/>
      <c r="B887" s="135"/>
      <c r="C887" s="135"/>
      <c r="D887" s="135"/>
      <c r="E887" s="135"/>
      <c r="F887" s="135"/>
      <c r="G887" s="135"/>
      <c r="H887" s="135"/>
      <c r="I887" s="135"/>
      <c r="J887" s="135"/>
      <c r="K887" s="135"/>
      <c r="L887" s="135"/>
      <c r="M887" s="135"/>
      <c r="N887" s="135"/>
      <c r="O887" s="135"/>
      <c r="P887" s="135"/>
      <c r="Q887" s="135"/>
      <c r="R887" s="135"/>
      <c r="S887" s="135"/>
      <c r="T887" s="5"/>
    </row>
    <row r="888" spans="1:20" x14ac:dyDescent="0.45">
      <c r="A888" s="135"/>
      <c r="B888" s="135"/>
      <c r="C888" s="135"/>
      <c r="D888" s="135"/>
      <c r="E888" s="135"/>
      <c r="F888" s="135"/>
      <c r="G888" s="135"/>
      <c r="H888" s="135"/>
      <c r="I888" s="135"/>
      <c r="J888" s="135"/>
      <c r="K888" s="135"/>
      <c r="L888" s="135"/>
      <c r="M888" s="135"/>
      <c r="N888" s="135"/>
      <c r="O888" s="135"/>
      <c r="P888" s="135"/>
      <c r="Q888" s="135"/>
      <c r="R888" s="135"/>
      <c r="S888" s="135"/>
      <c r="T888" s="5"/>
    </row>
    <row r="889" spans="1:20" x14ac:dyDescent="0.45">
      <c r="A889" s="135"/>
      <c r="B889" s="135"/>
      <c r="C889" s="135"/>
      <c r="D889" s="135"/>
      <c r="E889" s="135"/>
      <c r="F889" s="135"/>
      <c r="G889" s="135"/>
      <c r="H889" s="135"/>
      <c r="I889" s="135"/>
      <c r="J889" s="135"/>
      <c r="K889" s="135"/>
      <c r="L889" s="135"/>
      <c r="M889" s="135"/>
      <c r="N889" s="135"/>
      <c r="O889" s="135"/>
      <c r="P889" s="135"/>
      <c r="Q889" s="135"/>
      <c r="R889" s="135"/>
      <c r="S889" s="135"/>
      <c r="T889" s="5"/>
    </row>
    <row r="890" spans="1:20" x14ac:dyDescent="0.45">
      <c r="A890" s="135"/>
      <c r="B890" s="135"/>
      <c r="C890" s="135"/>
      <c r="D890" s="135"/>
      <c r="E890" s="135"/>
      <c r="F890" s="135"/>
      <c r="G890" s="135"/>
      <c r="H890" s="135"/>
      <c r="I890" s="135"/>
      <c r="J890" s="135"/>
      <c r="K890" s="135"/>
      <c r="L890" s="135"/>
      <c r="M890" s="135"/>
      <c r="N890" s="135"/>
      <c r="O890" s="135"/>
      <c r="P890" s="135"/>
      <c r="Q890" s="135"/>
      <c r="R890" s="135"/>
      <c r="S890" s="135"/>
      <c r="T890" s="5"/>
    </row>
    <row r="891" spans="1:20" x14ac:dyDescent="0.45">
      <c r="A891" s="135"/>
      <c r="B891" s="135"/>
      <c r="C891" s="135"/>
      <c r="D891" s="135"/>
      <c r="E891" s="135"/>
      <c r="F891" s="135"/>
      <c r="G891" s="135"/>
      <c r="H891" s="135"/>
      <c r="I891" s="135"/>
      <c r="J891" s="135"/>
      <c r="K891" s="135"/>
      <c r="L891" s="135"/>
      <c r="M891" s="135"/>
      <c r="N891" s="135"/>
      <c r="O891" s="135"/>
      <c r="P891" s="135"/>
      <c r="Q891" s="135"/>
      <c r="R891" s="135"/>
      <c r="S891" s="135"/>
      <c r="T891" s="5"/>
    </row>
    <row r="892" spans="1:20" x14ac:dyDescent="0.45">
      <c r="A892" s="135"/>
      <c r="B892" s="135"/>
      <c r="C892" s="135"/>
      <c r="D892" s="135"/>
      <c r="E892" s="135"/>
      <c r="F892" s="135"/>
      <c r="G892" s="135"/>
      <c r="H892" s="135"/>
      <c r="I892" s="135"/>
      <c r="J892" s="135"/>
      <c r="K892" s="135"/>
      <c r="L892" s="135"/>
      <c r="M892" s="135"/>
      <c r="N892" s="135"/>
      <c r="O892" s="135"/>
      <c r="P892" s="135"/>
      <c r="Q892" s="135"/>
      <c r="R892" s="135"/>
      <c r="S892" s="135"/>
      <c r="T892" s="5"/>
    </row>
    <row r="893" spans="1:20" x14ac:dyDescent="0.45">
      <c r="A893" s="135"/>
      <c r="B893" s="135"/>
      <c r="C893" s="135"/>
      <c r="D893" s="135"/>
      <c r="E893" s="135"/>
      <c r="F893" s="135"/>
      <c r="G893" s="135"/>
      <c r="H893" s="135"/>
      <c r="I893" s="135"/>
      <c r="J893" s="135"/>
      <c r="K893" s="135"/>
      <c r="L893" s="135"/>
      <c r="M893" s="135"/>
      <c r="N893" s="135"/>
      <c r="O893" s="135"/>
      <c r="P893" s="135"/>
      <c r="Q893" s="135"/>
      <c r="R893" s="135"/>
      <c r="S893" s="135"/>
      <c r="T893" s="5"/>
    </row>
    <row r="894" spans="1:20" x14ac:dyDescent="0.45">
      <c r="A894" s="135"/>
      <c r="B894" s="135"/>
      <c r="C894" s="135"/>
      <c r="D894" s="135"/>
      <c r="E894" s="135"/>
      <c r="F894" s="135"/>
      <c r="G894" s="135"/>
      <c r="H894" s="135"/>
      <c r="I894" s="135"/>
      <c r="J894" s="135"/>
      <c r="K894" s="135"/>
      <c r="L894" s="135"/>
      <c r="M894" s="135"/>
      <c r="N894" s="135"/>
      <c r="O894" s="135"/>
      <c r="P894" s="135"/>
      <c r="Q894" s="135"/>
      <c r="R894" s="135"/>
      <c r="S894" s="135"/>
      <c r="T894" s="5"/>
    </row>
    <row r="895" spans="1:20" x14ac:dyDescent="0.45">
      <c r="A895" s="135"/>
      <c r="B895" s="135"/>
      <c r="C895" s="135"/>
      <c r="D895" s="135"/>
      <c r="E895" s="135"/>
      <c r="F895" s="135"/>
      <c r="G895" s="135"/>
      <c r="H895" s="135"/>
      <c r="I895" s="135"/>
      <c r="J895" s="135"/>
      <c r="K895" s="135"/>
      <c r="L895" s="135"/>
      <c r="M895" s="135"/>
      <c r="N895" s="135"/>
      <c r="O895" s="135"/>
      <c r="P895" s="135"/>
      <c r="Q895" s="135"/>
      <c r="R895" s="135"/>
      <c r="S895" s="135"/>
      <c r="T895" s="5"/>
    </row>
    <row r="896" spans="1:20" x14ac:dyDescent="0.45">
      <c r="A896" s="135"/>
      <c r="B896" s="135"/>
      <c r="C896" s="135"/>
      <c r="D896" s="135"/>
      <c r="E896" s="135"/>
      <c r="F896" s="135"/>
      <c r="G896" s="135"/>
      <c r="H896" s="135"/>
      <c r="I896" s="135"/>
      <c r="J896" s="135"/>
      <c r="K896" s="135"/>
      <c r="L896" s="135"/>
      <c r="M896" s="135"/>
      <c r="N896" s="135"/>
      <c r="O896" s="135"/>
      <c r="P896" s="135"/>
      <c r="Q896" s="135"/>
      <c r="R896" s="135"/>
      <c r="S896" s="135"/>
      <c r="T896" s="5"/>
    </row>
    <row r="897" spans="1:20" x14ac:dyDescent="0.45">
      <c r="A897" s="135"/>
      <c r="B897" s="135"/>
      <c r="C897" s="135"/>
      <c r="D897" s="135"/>
      <c r="E897" s="135"/>
      <c r="F897" s="135"/>
      <c r="G897" s="135"/>
      <c r="H897" s="135"/>
      <c r="I897" s="135"/>
      <c r="J897" s="135"/>
      <c r="K897" s="135"/>
      <c r="L897" s="135"/>
      <c r="M897" s="135"/>
      <c r="N897" s="135"/>
      <c r="O897" s="135"/>
      <c r="P897" s="135"/>
      <c r="Q897" s="135"/>
      <c r="R897" s="135"/>
      <c r="S897" s="135"/>
      <c r="T897" s="5"/>
    </row>
    <row r="898" spans="1:20" x14ac:dyDescent="0.45">
      <c r="A898" s="135"/>
      <c r="B898" s="135"/>
      <c r="C898" s="135"/>
      <c r="D898" s="135"/>
      <c r="E898" s="135"/>
      <c r="F898" s="135"/>
      <c r="G898" s="135"/>
      <c r="H898" s="135"/>
      <c r="I898" s="135"/>
      <c r="J898" s="135"/>
      <c r="K898" s="135"/>
      <c r="L898" s="135"/>
      <c r="M898" s="135"/>
      <c r="N898" s="135"/>
      <c r="O898" s="135"/>
      <c r="P898" s="135"/>
      <c r="Q898" s="135"/>
      <c r="R898" s="135"/>
      <c r="S898" s="135"/>
      <c r="T898" s="5"/>
    </row>
    <row r="899" spans="1:20" x14ac:dyDescent="0.45">
      <c r="A899" s="135"/>
      <c r="B899" s="135"/>
      <c r="C899" s="135"/>
      <c r="D899" s="135"/>
      <c r="E899" s="135"/>
      <c r="F899" s="135"/>
      <c r="G899" s="135"/>
      <c r="H899" s="135"/>
      <c r="I899" s="135"/>
      <c r="J899" s="135"/>
      <c r="K899" s="135"/>
      <c r="L899" s="135"/>
      <c r="M899" s="135"/>
      <c r="N899" s="135"/>
      <c r="O899" s="135"/>
      <c r="P899" s="135"/>
      <c r="Q899" s="135"/>
      <c r="R899" s="135"/>
      <c r="S899" s="135"/>
      <c r="T899" s="5"/>
    </row>
    <row r="900" spans="1:20" x14ac:dyDescent="0.45">
      <c r="A900" s="135"/>
      <c r="B900" s="135"/>
      <c r="C900" s="135"/>
      <c r="D900" s="135"/>
      <c r="E900" s="135"/>
      <c r="F900" s="135"/>
      <c r="G900" s="135"/>
      <c r="H900" s="135"/>
      <c r="I900" s="135"/>
      <c r="J900" s="135"/>
      <c r="K900" s="135"/>
      <c r="L900" s="135"/>
      <c r="M900" s="135"/>
      <c r="N900" s="135"/>
      <c r="O900" s="135"/>
      <c r="P900" s="135"/>
      <c r="Q900" s="135"/>
      <c r="R900" s="135"/>
      <c r="S900" s="135"/>
      <c r="T900" s="5"/>
    </row>
    <row r="901" spans="1:20" x14ac:dyDescent="0.45">
      <c r="A901" s="135"/>
      <c r="B901" s="135"/>
      <c r="C901" s="135"/>
      <c r="D901" s="135"/>
      <c r="E901" s="135"/>
      <c r="F901" s="135"/>
      <c r="G901" s="135"/>
      <c r="H901" s="135"/>
      <c r="I901" s="135"/>
      <c r="J901" s="135"/>
      <c r="K901" s="135"/>
      <c r="L901" s="135"/>
      <c r="M901" s="135"/>
      <c r="N901" s="135"/>
      <c r="O901" s="135"/>
      <c r="P901" s="135"/>
      <c r="Q901" s="135"/>
      <c r="R901" s="135"/>
      <c r="S901" s="135"/>
      <c r="T901" s="5"/>
    </row>
    <row r="902" spans="1:20" x14ac:dyDescent="0.45">
      <c r="A902" s="135"/>
      <c r="B902" s="135"/>
      <c r="C902" s="135"/>
      <c r="D902" s="135"/>
      <c r="E902" s="135"/>
      <c r="F902" s="135"/>
      <c r="G902" s="135"/>
      <c r="H902" s="135"/>
      <c r="I902" s="135"/>
      <c r="J902" s="135"/>
      <c r="K902" s="135"/>
      <c r="L902" s="135"/>
      <c r="M902" s="135"/>
      <c r="N902" s="135"/>
      <c r="O902" s="135"/>
      <c r="P902" s="135"/>
      <c r="Q902" s="135"/>
      <c r="R902" s="135"/>
      <c r="S902" s="135"/>
      <c r="T902" s="5"/>
    </row>
    <row r="903" spans="1:20" x14ac:dyDescent="0.45">
      <c r="A903" s="135"/>
      <c r="B903" s="135"/>
      <c r="C903" s="135"/>
      <c r="D903" s="135"/>
      <c r="E903" s="135"/>
      <c r="F903" s="135"/>
      <c r="G903" s="135"/>
      <c r="H903" s="135"/>
      <c r="I903" s="135"/>
      <c r="J903" s="135"/>
      <c r="K903" s="135"/>
      <c r="L903" s="135"/>
      <c r="M903" s="135"/>
      <c r="N903" s="135"/>
      <c r="O903" s="135"/>
      <c r="P903" s="135"/>
      <c r="Q903" s="135"/>
      <c r="R903" s="135"/>
      <c r="S903" s="135"/>
      <c r="T903" s="5"/>
    </row>
    <row r="904" spans="1:20" x14ac:dyDescent="0.45">
      <c r="A904" s="135"/>
      <c r="B904" s="135"/>
      <c r="C904" s="135"/>
      <c r="D904" s="135"/>
      <c r="E904" s="135"/>
      <c r="F904" s="135"/>
      <c r="G904" s="135"/>
      <c r="H904" s="135"/>
      <c r="I904" s="135"/>
      <c r="J904" s="135"/>
      <c r="K904" s="135"/>
      <c r="L904" s="135"/>
      <c r="M904" s="135"/>
      <c r="N904" s="135"/>
      <c r="O904" s="135"/>
      <c r="P904" s="135"/>
      <c r="Q904" s="135"/>
      <c r="R904" s="135"/>
      <c r="S904" s="135"/>
      <c r="T904" s="5"/>
    </row>
    <row r="905" spans="1:20" x14ac:dyDescent="0.45">
      <c r="A905" s="135"/>
      <c r="B905" s="135"/>
      <c r="C905" s="135"/>
      <c r="D905" s="135"/>
      <c r="E905" s="135"/>
      <c r="F905" s="135"/>
      <c r="G905" s="135"/>
      <c r="H905" s="135"/>
      <c r="I905" s="135"/>
      <c r="J905" s="135"/>
      <c r="K905" s="135"/>
      <c r="L905" s="135"/>
      <c r="M905" s="135"/>
      <c r="N905" s="135"/>
      <c r="O905" s="135"/>
      <c r="P905" s="135"/>
      <c r="Q905" s="135"/>
      <c r="R905" s="135"/>
      <c r="S905" s="135"/>
      <c r="T905" s="5"/>
    </row>
    <row r="906" spans="1:20" x14ac:dyDescent="0.45">
      <c r="A906" s="135"/>
      <c r="B906" s="135"/>
      <c r="C906" s="135"/>
      <c r="D906" s="135"/>
      <c r="E906" s="135"/>
      <c r="F906" s="135"/>
      <c r="G906" s="135"/>
      <c r="H906" s="135"/>
      <c r="I906" s="135"/>
      <c r="J906" s="135"/>
      <c r="K906" s="135"/>
      <c r="L906" s="135"/>
      <c r="M906" s="135"/>
      <c r="N906" s="135"/>
      <c r="O906" s="135"/>
      <c r="P906" s="135"/>
      <c r="Q906" s="135"/>
      <c r="R906" s="135"/>
      <c r="S906" s="135"/>
      <c r="T906" s="5"/>
    </row>
    <row r="907" spans="1:20" x14ac:dyDescent="0.45">
      <c r="A907" s="135"/>
      <c r="B907" s="135"/>
      <c r="C907" s="135"/>
      <c r="D907" s="135"/>
      <c r="E907" s="135"/>
      <c r="F907" s="135"/>
      <c r="G907" s="135"/>
      <c r="H907" s="135"/>
      <c r="I907" s="135"/>
      <c r="J907" s="135"/>
      <c r="K907" s="135"/>
      <c r="L907" s="135"/>
      <c r="M907" s="135"/>
      <c r="N907" s="135"/>
      <c r="O907" s="135"/>
      <c r="P907" s="135"/>
      <c r="Q907" s="135"/>
      <c r="R907" s="135"/>
      <c r="S907" s="135"/>
      <c r="T907" s="5"/>
    </row>
    <row r="908" spans="1:20" x14ac:dyDescent="0.45">
      <c r="A908" s="135"/>
      <c r="B908" s="135"/>
      <c r="C908" s="135"/>
      <c r="D908" s="135"/>
      <c r="E908" s="135"/>
      <c r="F908" s="135"/>
      <c r="G908" s="135"/>
      <c r="H908" s="135"/>
      <c r="I908" s="135"/>
      <c r="J908" s="135"/>
      <c r="K908" s="135"/>
      <c r="L908" s="135"/>
      <c r="M908" s="135"/>
      <c r="N908" s="135"/>
      <c r="O908" s="135"/>
      <c r="P908" s="135"/>
      <c r="Q908" s="135"/>
      <c r="R908" s="135"/>
      <c r="S908" s="135"/>
      <c r="T908" s="5"/>
    </row>
    <row r="909" spans="1:20" x14ac:dyDescent="0.45">
      <c r="A909" s="135"/>
      <c r="B909" s="135"/>
      <c r="C909" s="135"/>
      <c r="D909" s="135"/>
      <c r="E909" s="135"/>
      <c r="F909" s="135"/>
      <c r="G909" s="135"/>
      <c r="H909" s="135"/>
      <c r="I909" s="135"/>
      <c r="J909" s="135"/>
      <c r="K909" s="135"/>
      <c r="L909" s="135"/>
      <c r="M909" s="135"/>
      <c r="N909" s="135"/>
      <c r="O909" s="135"/>
      <c r="P909" s="135"/>
      <c r="Q909" s="135"/>
      <c r="R909" s="135"/>
      <c r="S909" s="135"/>
      <c r="T909" s="5"/>
    </row>
    <row r="910" spans="1:20" x14ac:dyDescent="0.45">
      <c r="A910" s="135"/>
      <c r="B910" s="135"/>
      <c r="C910" s="135"/>
      <c r="D910" s="135"/>
      <c r="E910" s="135"/>
      <c r="F910" s="135"/>
      <c r="G910" s="135"/>
      <c r="H910" s="135"/>
      <c r="I910" s="135"/>
      <c r="J910" s="135"/>
      <c r="K910" s="135"/>
      <c r="L910" s="135"/>
      <c r="M910" s="135"/>
      <c r="N910" s="135"/>
      <c r="O910" s="135"/>
      <c r="P910" s="135"/>
      <c r="Q910" s="135"/>
      <c r="R910" s="135"/>
      <c r="S910" s="135"/>
      <c r="T910" s="5"/>
    </row>
    <row r="911" spans="1:20" x14ac:dyDescent="0.45">
      <c r="A911" s="135"/>
      <c r="B911" s="135"/>
      <c r="C911" s="135"/>
      <c r="D911" s="135"/>
      <c r="E911" s="135"/>
      <c r="F911" s="135"/>
      <c r="G911" s="135"/>
      <c r="H911" s="135"/>
      <c r="I911" s="135"/>
      <c r="J911" s="135"/>
      <c r="K911" s="135"/>
      <c r="L911" s="135"/>
      <c r="M911" s="135"/>
      <c r="N911" s="135"/>
      <c r="O911" s="135"/>
      <c r="P911" s="135"/>
      <c r="Q911" s="135"/>
      <c r="R911" s="135"/>
      <c r="S911" s="135"/>
      <c r="T911" s="5"/>
    </row>
    <row r="912" spans="1:20" x14ac:dyDescent="0.45">
      <c r="A912" s="135"/>
      <c r="B912" s="135"/>
      <c r="C912" s="135"/>
      <c r="D912" s="135"/>
      <c r="E912" s="135"/>
      <c r="F912" s="135"/>
      <c r="G912" s="135"/>
      <c r="H912" s="135"/>
      <c r="I912" s="135"/>
      <c r="J912" s="135"/>
      <c r="K912" s="135"/>
      <c r="L912" s="135"/>
      <c r="M912" s="135"/>
      <c r="N912" s="135"/>
      <c r="O912" s="135"/>
      <c r="P912" s="135"/>
      <c r="Q912" s="135"/>
      <c r="R912" s="135"/>
      <c r="S912" s="135"/>
      <c r="T912" s="5"/>
    </row>
    <row r="913" spans="1:20" x14ac:dyDescent="0.45">
      <c r="A913" s="135"/>
      <c r="B913" s="135"/>
      <c r="C913" s="135"/>
      <c r="D913" s="135"/>
      <c r="E913" s="135"/>
      <c r="F913" s="135"/>
      <c r="G913" s="135"/>
      <c r="H913" s="135"/>
      <c r="I913" s="135"/>
      <c r="J913" s="135"/>
      <c r="K913" s="135"/>
      <c r="L913" s="135"/>
      <c r="M913" s="135"/>
      <c r="N913" s="135"/>
      <c r="O913" s="135"/>
      <c r="P913" s="135"/>
      <c r="Q913" s="135"/>
      <c r="R913" s="135"/>
      <c r="S913" s="135"/>
      <c r="T913" s="5"/>
    </row>
    <row r="914" spans="1:20" x14ac:dyDescent="0.45">
      <c r="A914" s="135"/>
      <c r="B914" s="135"/>
      <c r="C914" s="135"/>
      <c r="D914" s="135"/>
      <c r="E914" s="135"/>
      <c r="F914" s="135"/>
      <c r="G914" s="135"/>
      <c r="H914" s="135"/>
      <c r="I914" s="135"/>
      <c r="J914" s="135"/>
      <c r="K914" s="135"/>
      <c r="L914" s="135"/>
      <c r="M914" s="135"/>
      <c r="N914" s="135"/>
      <c r="O914" s="135"/>
      <c r="P914" s="135"/>
      <c r="Q914" s="135"/>
      <c r="R914" s="135"/>
      <c r="S914" s="135"/>
      <c r="T914" s="5"/>
    </row>
    <row r="915" spans="1:20" x14ac:dyDescent="0.45">
      <c r="A915" s="135"/>
      <c r="B915" s="135"/>
      <c r="C915" s="135"/>
      <c r="D915" s="135"/>
      <c r="E915" s="135"/>
      <c r="F915" s="135"/>
      <c r="G915" s="135"/>
      <c r="H915" s="135"/>
      <c r="I915" s="135"/>
      <c r="J915" s="135"/>
      <c r="K915" s="135"/>
      <c r="L915" s="135"/>
      <c r="M915" s="135"/>
      <c r="N915" s="135"/>
      <c r="O915" s="135"/>
      <c r="P915" s="135"/>
      <c r="Q915" s="135"/>
      <c r="R915" s="135"/>
      <c r="S915" s="135"/>
      <c r="T915" s="5"/>
    </row>
    <row r="916" spans="1:20" x14ac:dyDescent="0.45">
      <c r="A916" s="135"/>
      <c r="B916" s="135"/>
      <c r="C916" s="135"/>
      <c r="D916" s="135"/>
      <c r="E916" s="135"/>
      <c r="F916" s="135"/>
      <c r="G916" s="135"/>
      <c r="H916" s="135"/>
      <c r="I916" s="135"/>
      <c r="J916" s="135"/>
      <c r="K916" s="135"/>
      <c r="L916" s="135"/>
      <c r="M916" s="135"/>
      <c r="N916" s="135"/>
      <c r="O916" s="135"/>
      <c r="P916" s="135"/>
      <c r="Q916" s="135"/>
      <c r="R916" s="135"/>
      <c r="S916" s="135"/>
      <c r="T916" s="5"/>
    </row>
    <row r="917" spans="1:20" x14ac:dyDescent="0.45">
      <c r="A917" s="135"/>
      <c r="B917" s="135"/>
      <c r="C917" s="135"/>
      <c r="D917" s="135"/>
      <c r="E917" s="135"/>
      <c r="F917" s="135"/>
      <c r="G917" s="135"/>
      <c r="H917" s="135"/>
      <c r="I917" s="135"/>
      <c r="J917" s="135"/>
      <c r="K917" s="135"/>
      <c r="L917" s="135"/>
      <c r="M917" s="135"/>
      <c r="N917" s="135"/>
      <c r="O917" s="135"/>
      <c r="P917" s="135"/>
      <c r="Q917" s="135"/>
      <c r="R917" s="135"/>
      <c r="S917" s="135"/>
      <c r="T917" s="5"/>
    </row>
    <row r="918" spans="1:20" x14ac:dyDescent="0.45">
      <c r="A918" s="135"/>
      <c r="B918" s="135"/>
      <c r="C918" s="135"/>
      <c r="D918" s="135"/>
      <c r="E918" s="135"/>
      <c r="F918" s="135"/>
      <c r="G918" s="135"/>
      <c r="H918" s="135"/>
      <c r="I918" s="135"/>
      <c r="J918" s="135"/>
      <c r="K918" s="135"/>
      <c r="L918" s="135"/>
      <c r="M918" s="135"/>
      <c r="N918" s="135"/>
      <c r="O918" s="135"/>
      <c r="P918" s="135"/>
      <c r="Q918" s="135"/>
      <c r="R918" s="135"/>
      <c r="S918" s="135"/>
      <c r="T918" s="5"/>
    </row>
    <row r="919" spans="1:20" x14ac:dyDescent="0.45">
      <c r="A919" s="135"/>
      <c r="B919" s="135"/>
      <c r="C919" s="135"/>
      <c r="D919" s="135"/>
      <c r="E919" s="135"/>
      <c r="F919" s="135"/>
      <c r="G919" s="135"/>
      <c r="H919" s="135"/>
      <c r="I919" s="135"/>
      <c r="J919" s="135"/>
      <c r="K919" s="135"/>
      <c r="L919" s="135"/>
      <c r="M919" s="135"/>
      <c r="N919" s="135"/>
      <c r="O919" s="135"/>
      <c r="P919" s="135"/>
      <c r="Q919" s="135"/>
      <c r="R919" s="135"/>
      <c r="S919" s="135"/>
      <c r="T919" s="5"/>
    </row>
    <row r="920" spans="1:20" x14ac:dyDescent="0.45">
      <c r="A920" s="135"/>
      <c r="B920" s="135"/>
      <c r="C920" s="135"/>
      <c r="D920" s="135"/>
      <c r="E920" s="135"/>
      <c r="F920" s="135"/>
      <c r="G920" s="135"/>
      <c r="H920" s="135"/>
      <c r="I920" s="135"/>
      <c r="J920" s="135"/>
      <c r="K920" s="135"/>
      <c r="L920" s="135"/>
      <c r="M920" s="135"/>
      <c r="N920" s="135"/>
      <c r="O920" s="135"/>
      <c r="P920" s="135"/>
      <c r="Q920" s="135"/>
      <c r="R920" s="135"/>
      <c r="S920" s="135"/>
      <c r="T920" s="5"/>
    </row>
    <row r="921" spans="1:20" x14ac:dyDescent="0.45">
      <c r="A921" s="135"/>
      <c r="B921" s="135"/>
      <c r="C921" s="135"/>
      <c r="D921" s="135"/>
      <c r="E921" s="135"/>
      <c r="F921" s="135"/>
      <c r="G921" s="135"/>
      <c r="H921" s="135"/>
      <c r="I921" s="135"/>
      <c r="J921" s="135"/>
      <c r="K921" s="135"/>
      <c r="L921" s="135"/>
      <c r="M921" s="135"/>
      <c r="N921" s="135"/>
      <c r="O921" s="135"/>
      <c r="P921" s="135"/>
      <c r="Q921" s="135"/>
      <c r="R921" s="135"/>
      <c r="S921" s="135"/>
      <c r="T921" s="5"/>
    </row>
    <row r="922" spans="1:20" x14ac:dyDescent="0.45">
      <c r="A922" s="135"/>
      <c r="B922" s="135"/>
      <c r="C922" s="135"/>
      <c r="D922" s="135"/>
      <c r="E922" s="135"/>
      <c r="F922" s="135"/>
      <c r="G922" s="135"/>
      <c r="H922" s="135"/>
      <c r="I922" s="135"/>
      <c r="J922" s="135"/>
      <c r="K922" s="135"/>
      <c r="L922" s="135"/>
      <c r="M922" s="135"/>
      <c r="N922" s="135"/>
      <c r="O922" s="135"/>
      <c r="P922" s="135"/>
      <c r="Q922" s="135"/>
      <c r="R922" s="135"/>
      <c r="S922" s="135"/>
      <c r="T922" s="5"/>
    </row>
    <row r="923" spans="1:20" x14ac:dyDescent="0.45">
      <c r="A923" s="135"/>
      <c r="B923" s="135"/>
      <c r="C923" s="135"/>
      <c r="D923" s="135"/>
      <c r="E923" s="135"/>
      <c r="F923" s="135"/>
      <c r="G923" s="135"/>
      <c r="H923" s="135"/>
      <c r="I923" s="135"/>
      <c r="J923" s="135"/>
      <c r="K923" s="135"/>
      <c r="L923" s="135"/>
      <c r="M923" s="135"/>
      <c r="N923" s="135"/>
      <c r="O923" s="135"/>
      <c r="P923" s="135"/>
      <c r="Q923" s="135"/>
      <c r="R923" s="135"/>
      <c r="S923" s="135"/>
      <c r="T923" s="5"/>
    </row>
    <row r="924" spans="1:20" x14ac:dyDescent="0.45">
      <c r="A924" s="135"/>
      <c r="B924" s="135"/>
      <c r="C924" s="135"/>
      <c r="D924" s="135"/>
      <c r="E924" s="135"/>
      <c r="F924" s="135"/>
      <c r="G924" s="135"/>
      <c r="H924" s="135"/>
      <c r="I924" s="135"/>
      <c r="J924" s="135"/>
      <c r="K924" s="135"/>
      <c r="L924" s="135"/>
      <c r="M924" s="135"/>
      <c r="N924" s="135"/>
      <c r="O924" s="135"/>
      <c r="P924" s="135"/>
      <c r="Q924" s="135"/>
      <c r="R924" s="135"/>
      <c r="S924" s="135"/>
      <c r="T924" s="5"/>
    </row>
    <row r="925" spans="1:20" x14ac:dyDescent="0.45">
      <c r="A925" s="135"/>
      <c r="B925" s="135"/>
      <c r="C925" s="135"/>
      <c r="D925" s="135"/>
      <c r="E925" s="135"/>
      <c r="F925" s="135"/>
      <c r="G925" s="135"/>
      <c r="H925" s="135"/>
      <c r="I925" s="135"/>
      <c r="J925" s="135"/>
      <c r="K925" s="135"/>
      <c r="L925" s="135"/>
      <c r="M925" s="135"/>
      <c r="N925" s="135"/>
      <c r="O925" s="135"/>
      <c r="P925" s="135"/>
      <c r="Q925" s="135"/>
      <c r="R925" s="135"/>
      <c r="S925" s="135"/>
      <c r="T925" s="5"/>
    </row>
    <row r="926" spans="1:20" x14ac:dyDescent="0.45">
      <c r="A926" s="135"/>
      <c r="B926" s="135"/>
      <c r="C926" s="135"/>
      <c r="D926" s="135"/>
      <c r="E926" s="135"/>
      <c r="F926" s="135"/>
      <c r="G926" s="135"/>
      <c r="H926" s="135"/>
      <c r="I926" s="135"/>
      <c r="J926" s="135"/>
      <c r="K926" s="135"/>
      <c r="L926" s="135"/>
      <c r="M926" s="135"/>
      <c r="N926" s="135"/>
      <c r="O926" s="135"/>
      <c r="P926" s="135"/>
      <c r="Q926" s="135"/>
      <c r="R926" s="135"/>
      <c r="S926" s="135"/>
      <c r="T926" s="5"/>
    </row>
    <row r="927" spans="1:20" x14ac:dyDescent="0.45">
      <c r="A927" s="135"/>
      <c r="B927" s="135"/>
      <c r="C927" s="135"/>
      <c r="D927" s="135"/>
      <c r="E927" s="135"/>
      <c r="F927" s="135"/>
      <c r="G927" s="135"/>
      <c r="H927" s="135"/>
      <c r="I927" s="135"/>
      <c r="J927" s="135"/>
      <c r="K927" s="135"/>
      <c r="L927" s="135"/>
      <c r="M927" s="135"/>
      <c r="N927" s="135"/>
      <c r="O927" s="135"/>
      <c r="P927" s="135"/>
      <c r="Q927" s="135"/>
      <c r="R927" s="135"/>
      <c r="S927" s="135"/>
      <c r="T927" s="5"/>
    </row>
    <row r="928" spans="1:20" x14ac:dyDescent="0.45">
      <c r="A928" s="135"/>
      <c r="B928" s="135"/>
      <c r="C928" s="135"/>
      <c r="D928" s="135"/>
      <c r="E928" s="135"/>
      <c r="F928" s="135"/>
      <c r="G928" s="135"/>
      <c r="H928" s="135"/>
      <c r="I928" s="135"/>
      <c r="J928" s="135"/>
      <c r="K928" s="135"/>
      <c r="L928" s="135"/>
      <c r="M928" s="135"/>
      <c r="N928" s="135"/>
      <c r="O928" s="135"/>
      <c r="P928" s="135"/>
      <c r="Q928" s="135"/>
      <c r="R928" s="135"/>
      <c r="S928" s="135"/>
      <c r="T928" s="5"/>
    </row>
    <row r="929" spans="1:20" x14ac:dyDescent="0.45">
      <c r="A929" s="135"/>
      <c r="B929" s="135"/>
      <c r="C929" s="135"/>
      <c r="D929" s="135"/>
      <c r="E929" s="135"/>
      <c r="F929" s="135"/>
      <c r="G929" s="135"/>
      <c r="H929" s="135"/>
      <c r="I929" s="135"/>
      <c r="J929" s="135"/>
      <c r="K929" s="135"/>
      <c r="L929" s="135"/>
      <c r="M929" s="135"/>
      <c r="N929" s="135"/>
      <c r="O929" s="135"/>
      <c r="P929" s="135"/>
      <c r="Q929" s="135"/>
      <c r="R929" s="135"/>
      <c r="S929" s="135"/>
      <c r="T929" s="5"/>
    </row>
    <row r="930" spans="1:20" x14ac:dyDescent="0.45">
      <c r="A930" s="135"/>
      <c r="B930" s="135"/>
      <c r="C930" s="135"/>
      <c r="D930" s="135"/>
      <c r="E930" s="135"/>
      <c r="F930" s="135"/>
      <c r="G930" s="135"/>
      <c r="H930" s="135"/>
      <c r="I930" s="135"/>
      <c r="J930" s="135"/>
      <c r="K930" s="135"/>
      <c r="L930" s="135"/>
      <c r="M930" s="135"/>
      <c r="N930" s="135"/>
      <c r="O930" s="135"/>
      <c r="P930" s="135"/>
      <c r="Q930" s="135"/>
      <c r="R930" s="135"/>
      <c r="S930" s="135"/>
      <c r="T930" s="5"/>
    </row>
    <row r="931" spans="1:20" x14ac:dyDescent="0.45">
      <c r="A931" s="135"/>
      <c r="B931" s="135"/>
      <c r="C931" s="135"/>
      <c r="D931" s="135"/>
      <c r="E931" s="135"/>
      <c r="F931" s="135"/>
      <c r="G931" s="135"/>
      <c r="H931" s="135"/>
      <c r="I931" s="135"/>
      <c r="J931" s="135"/>
      <c r="K931" s="135"/>
      <c r="L931" s="135"/>
      <c r="M931" s="135"/>
      <c r="N931" s="135"/>
      <c r="O931" s="135"/>
      <c r="P931" s="135"/>
      <c r="Q931" s="135"/>
      <c r="R931" s="135"/>
      <c r="S931" s="135"/>
      <c r="T931" s="5"/>
    </row>
    <row r="932" spans="1:20" x14ac:dyDescent="0.45">
      <c r="A932" s="135"/>
      <c r="B932" s="135"/>
      <c r="C932" s="135"/>
      <c r="D932" s="135"/>
      <c r="E932" s="135"/>
      <c r="F932" s="135"/>
      <c r="G932" s="135"/>
      <c r="H932" s="135"/>
      <c r="I932" s="135"/>
      <c r="J932" s="135"/>
      <c r="K932" s="135"/>
      <c r="L932" s="135"/>
      <c r="M932" s="135"/>
      <c r="N932" s="135"/>
      <c r="O932" s="135"/>
      <c r="P932" s="135"/>
      <c r="Q932" s="135"/>
      <c r="R932" s="135"/>
      <c r="S932" s="135"/>
      <c r="T932" s="5"/>
    </row>
    <row r="933" spans="1:20" x14ac:dyDescent="0.45">
      <c r="A933" s="135"/>
      <c r="B933" s="135"/>
      <c r="C933" s="135"/>
      <c r="D933" s="135"/>
      <c r="E933" s="135"/>
      <c r="F933" s="135"/>
      <c r="G933" s="135"/>
      <c r="H933" s="135"/>
      <c r="I933" s="135"/>
      <c r="J933" s="135"/>
      <c r="K933" s="135"/>
      <c r="L933" s="135"/>
      <c r="M933" s="135"/>
      <c r="N933" s="135"/>
      <c r="O933" s="135"/>
      <c r="P933" s="135"/>
      <c r="Q933" s="135"/>
      <c r="R933" s="135"/>
      <c r="S933" s="135"/>
      <c r="T933" s="5"/>
    </row>
    <row r="934" spans="1:20" x14ac:dyDescent="0.45">
      <c r="A934" s="135"/>
      <c r="B934" s="135"/>
      <c r="C934" s="135"/>
      <c r="D934" s="135"/>
      <c r="E934" s="135"/>
      <c r="F934" s="135"/>
      <c r="G934" s="135"/>
      <c r="H934" s="135"/>
      <c r="I934" s="135"/>
      <c r="J934" s="135"/>
      <c r="K934" s="135"/>
      <c r="L934" s="135"/>
      <c r="M934" s="135"/>
      <c r="N934" s="135"/>
      <c r="O934" s="135"/>
      <c r="P934" s="135"/>
      <c r="Q934" s="135"/>
      <c r="R934" s="135"/>
      <c r="S934" s="135"/>
      <c r="T934" s="5"/>
    </row>
    <row r="935" spans="1:20" x14ac:dyDescent="0.45">
      <c r="A935" s="135"/>
      <c r="B935" s="135"/>
      <c r="C935" s="135"/>
      <c r="D935" s="135"/>
      <c r="E935" s="135"/>
      <c r="F935" s="135"/>
      <c r="G935" s="135"/>
      <c r="H935" s="135"/>
      <c r="I935" s="135"/>
      <c r="J935" s="135"/>
      <c r="K935" s="135"/>
      <c r="L935" s="135"/>
      <c r="M935" s="135"/>
      <c r="N935" s="135"/>
      <c r="O935" s="135"/>
      <c r="P935" s="135"/>
      <c r="Q935" s="135"/>
      <c r="R935" s="135"/>
      <c r="S935" s="135"/>
      <c r="T935" s="5"/>
    </row>
    <row r="936" spans="1:20" x14ac:dyDescent="0.45">
      <c r="A936" s="135"/>
      <c r="B936" s="135"/>
      <c r="C936" s="135"/>
      <c r="D936" s="135"/>
      <c r="E936" s="135"/>
      <c r="F936" s="135"/>
      <c r="G936" s="135"/>
      <c r="H936" s="135"/>
      <c r="I936" s="135"/>
      <c r="J936" s="135"/>
      <c r="K936" s="135"/>
      <c r="L936" s="135"/>
      <c r="M936" s="135"/>
      <c r="N936" s="135"/>
      <c r="O936" s="135"/>
      <c r="P936" s="135"/>
      <c r="Q936" s="135"/>
      <c r="R936" s="135"/>
      <c r="S936" s="135"/>
      <c r="T936" s="5"/>
    </row>
    <row r="937" spans="1:20" x14ac:dyDescent="0.45">
      <c r="A937" s="135"/>
      <c r="B937" s="135"/>
      <c r="C937" s="135"/>
      <c r="D937" s="135"/>
      <c r="E937" s="135"/>
      <c r="F937" s="135"/>
      <c r="G937" s="135"/>
      <c r="H937" s="135"/>
      <c r="I937" s="135"/>
      <c r="J937" s="135"/>
      <c r="K937" s="135"/>
      <c r="L937" s="135"/>
      <c r="M937" s="135"/>
      <c r="N937" s="135"/>
      <c r="O937" s="135"/>
      <c r="P937" s="135"/>
      <c r="Q937" s="135"/>
      <c r="R937" s="135"/>
      <c r="S937" s="135"/>
      <c r="T937" s="5"/>
    </row>
    <row r="938" spans="1:20" x14ac:dyDescent="0.45">
      <c r="A938" s="135"/>
      <c r="B938" s="135"/>
      <c r="C938" s="135"/>
      <c r="D938" s="135"/>
      <c r="E938" s="135"/>
      <c r="F938" s="135"/>
      <c r="G938" s="135"/>
      <c r="H938" s="135"/>
      <c r="I938" s="135"/>
      <c r="J938" s="135"/>
      <c r="K938" s="135"/>
      <c r="L938" s="135"/>
      <c r="M938" s="135"/>
      <c r="N938" s="135"/>
      <c r="O938" s="135"/>
      <c r="P938" s="135"/>
      <c r="Q938" s="135"/>
      <c r="R938" s="135"/>
      <c r="S938" s="135"/>
      <c r="T938" s="5"/>
    </row>
    <row r="939" spans="1:20" x14ac:dyDescent="0.45">
      <c r="A939" s="135"/>
      <c r="B939" s="135"/>
      <c r="C939" s="135"/>
      <c r="D939" s="135"/>
      <c r="E939" s="135"/>
      <c r="F939" s="135"/>
      <c r="G939" s="135"/>
      <c r="H939" s="135"/>
      <c r="I939" s="135"/>
      <c r="J939" s="135"/>
      <c r="K939" s="135"/>
      <c r="L939" s="135"/>
      <c r="M939" s="135"/>
      <c r="N939" s="135"/>
      <c r="O939" s="135"/>
      <c r="P939" s="135"/>
      <c r="Q939" s="135"/>
      <c r="R939" s="135"/>
      <c r="S939" s="135"/>
      <c r="T939" s="5"/>
    </row>
    <row r="940" spans="1:20" x14ac:dyDescent="0.45">
      <c r="A940" s="135"/>
      <c r="B940" s="135"/>
      <c r="C940" s="135"/>
      <c r="D940" s="135"/>
      <c r="E940" s="135"/>
      <c r="F940" s="135"/>
      <c r="G940" s="135"/>
      <c r="H940" s="135"/>
      <c r="I940" s="135"/>
      <c r="J940" s="135"/>
      <c r="K940" s="135"/>
      <c r="L940" s="135"/>
      <c r="M940" s="135"/>
      <c r="N940" s="135"/>
      <c r="O940" s="135"/>
      <c r="P940" s="135"/>
      <c r="Q940" s="135"/>
      <c r="R940" s="135"/>
      <c r="S940" s="135"/>
      <c r="T940" s="5"/>
    </row>
    <row r="941" spans="1:20" x14ac:dyDescent="0.45">
      <c r="A941" s="135"/>
      <c r="B941" s="135"/>
      <c r="C941" s="135"/>
      <c r="D941" s="135"/>
      <c r="E941" s="135"/>
      <c r="F941" s="135"/>
      <c r="G941" s="135"/>
      <c r="H941" s="135"/>
      <c r="I941" s="135"/>
      <c r="J941" s="135"/>
      <c r="K941" s="135"/>
      <c r="L941" s="135"/>
      <c r="M941" s="135"/>
      <c r="N941" s="135"/>
      <c r="O941" s="135"/>
      <c r="P941" s="135"/>
      <c r="Q941" s="135"/>
      <c r="R941" s="135"/>
      <c r="S941" s="135"/>
      <c r="T941" s="5"/>
    </row>
    <row r="942" spans="1:20" x14ac:dyDescent="0.45">
      <c r="A942" s="135"/>
      <c r="B942" s="135"/>
      <c r="C942" s="135"/>
      <c r="D942" s="135"/>
      <c r="E942" s="135"/>
      <c r="F942" s="135"/>
      <c r="G942" s="135"/>
      <c r="H942" s="135"/>
      <c r="I942" s="135"/>
      <c r="J942" s="135"/>
      <c r="K942" s="135"/>
      <c r="L942" s="135"/>
      <c r="M942" s="135"/>
      <c r="N942" s="135"/>
      <c r="O942" s="135"/>
      <c r="P942" s="135"/>
      <c r="Q942" s="135"/>
      <c r="R942" s="135"/>
      <c r="S942" s="135"/>
      <c r="T942" s="5"/>
    </row>
    <row r="943" spans="1:20" x14ac:dyDescent="0.45">
      <c r="A943" s="135"/>
      <c r="B943" s="135"/>
      <c r="C943" s="135"/>
      <c r="D943" s="135"/>
      <c r="E943" s="135"/>
      <c r="F943" s="135"/>
      <c r="G943" s="135"/>
      <c r="H943" s="135"/>
      <c r="I943" s="135"/>
      <c r="J943" s="135"/>
      <c r="K943" s="135"/>
      <c r="L943" s="135"/>
      <c r="M943" s="135"/>
      <c r="N943" s="135"/>
      <c r="O943" s="135"/>
      <c r="P943" s="135"/>
      <c r="Q943" s="135"/>
      <c r="R943" s="135"/>
      <c r="S943" s="135"/>
      <c r="T943" s="5"/>
    </row>
    <row r="944" spans="1:20" x14ac:dyDescent="0.45">
      <c r="A944" s="135"/>
      <c r="B944" s="135"/>
      <c r="C944" s="135"/>
      <c r="D944" s="135"/>
      <c r="E944" s="135"/>
      <c r="F944" s="135"/>
      <c r="G944" s="135"/>
      <c r="H944" s="135"/>
      <c r="I944" s="135"/>
      <c r="J944" s="135"/>
      <c r="K944" s="135"/>
      <c r="L944" s="135"/>
      <c r="M944" s="135"/>
      <c r="N944" s="135"/>
      <c r="O944" s="135"/>
      <c r="P944" s="135"/>
      <c r="Q944" s="135"/>
      <c r="R944" s="135"/>
      <c r="S944" s="135"/>
      <c r="T944" s="5"/>
    </row>
    <row r="945" spans="1:20" x14ac:dyDescent="0.45">
      <c r="A945" s="135"/>
      <c r="B945" s="135"/>
      <c r="C945" s="135"/>
      <c r="D945" s="135"/>
      <c r="E945" s="135"/>
      <c r="F945" s="135"/>
      <c r="G945" s="135"/>
      <c r="H945" s="135"/>
      <c r="I945" s="135"/>
      <c r="J945" s="135"/>
      <c r="K945" s="135"/>
      <c r="L945" s="135"/>
      <c r="M945" s="135"/>
      <c r="N945" s="135"/>
      <c r="O945" s="135"/>
      <c r="P945" s="135"/>
      <c r="Q945" s="135"/>
      <c r="R945" s="135"/>
      <c r="S945" s="135"/>
      <c r="T945" s="5"/>
    </row>
    <row r="946" spans="1:20" x14ac:dyDescent="0.45">
      <c r="A946" s="135"/>
      <c r="B946" s="135"/>
      <c r="C946" s="135"/>
      <c r="D946" s="135"/>
      <c r="E946" s="135"/>
      <c r="F946" s="135"/>
      <c r="G946" s="135"/>
      <c r="H946" s="135"/>
      <c r="I946" s="135"/>
      <c r="J946" s="135"/>
      <c r="K946" s="135"/>
      <c r="L946" s="135"/>
      <c r="M946" s="135"/>
      <c r="N946" s="135"/>
      <c r="O946" s="135"/>
      <c r="P946" s="135"/>
      <c r="Q946" s="135"/>
      <c r="R946" s="135"/>
      <c r="S946" s="135"/>
      <c r="T946" s="5"/>
    </row>
    <row r="947" spans="1:20" x14ac:dyDescent="0.45">
      <c r="A947" s="135"/>
      <c r="B947" s="135"/>
      <c r="C947" s="135"/>
      <c r="D947" s="135"/>
      <c r="E947" s="135"/>
      <c r="F947" s="135"/>
      <c r="G947" s="135"/>
      <c r="H947" s="135"/>
      <c r="I947" s="135"/>
      <c r="J947" s="135"/>
      <c r="K947" s="135"/>
      <c r="L947" s="135"/>
      <c r="M947" s="135"/>
      <c r="N947" s="135"/>
      <c r="O947" s="135"/>
      <c r="P947" s="135"/>
      <c r="Q947" s="135"/>
      <c r="R947" s="135"/>
      <c r="S947" s="135"/>
      <c r="T947" s="5"/>
    </row>
    <row r="948" spans="1:20" x14ac:dyDescent="0.45">
      <c r="A948" s="135"/>
      <c r="B948" s="135"/>
      <c r="C948" s="135"/>
      <c r="D948" s="135"/>
      <c r="E948" s="135"/>
      <c r="F948" s="135"/>
      <c r="G948" s="135"/>
      <c r="H948" s="135"/>
      <c r="I948" s="135"/>
      <c r="J948" s="135"/>
      <c r="K948" s="135"/>
      <c r="L948" s="135"/>
      <c r="M948" s="135"/>
      <c r="N948" s="135"/>
      <c r="O948" s="135"/>
      <c r="P948" s="135"/>
      <c r="Q948" s="135"/>
      <c r="R948" s="135"/>
      <c r="S948" s="135"/>
      <c r="T948" s="5"/>
    </row>
    <row r="949" spans="1:20" x14ac:dyDescent="0.45">
      <c r="A949" s="135"/>
      <c r="B949" s="135"/>
      <c r="C949" s="135"/>
      <c r="D949" s="135"/>
      <c r="E949" s="135"/>
      <c r="F949" s="135"/>
      <c r="G949" s="135"/>
      <c r="H949" s="135"/>
      <c r="I949" s="135"/>
      <c r="J949" s="135"/>
      <c r="K949" s="135"/>
      <c r="L949" s="135"/>
      <c r="M949" s="135"/>
      <c r="N949" s="135"/>
      <c r="O949" s="135"/>
      <c r="P949" s="135"/>
      <c r="Q949" s="135"/>
      <c r="R949" s="135"/>
      <c r="S949" s="135"/>
      <c r="T949" s="5"/>
    </row>
    <row r="950" spans="1:20" x14ac:dyDescent="0.45">
      <c r="A950" s="135"/>
      <c r="B950" s="135"/>
      <c r="C950" s="135"/>
      <c r="D950" s="135"/>
      <c r="E950" s="135"/>
      <c r="F950" s="135"/>
      <c r="G950" s="135"/>
      <c r="H950" s="135"/>
      <c r="I950" s="135"/>
      <c r="J950" s="135"/>
      <c r="K950" s="135"/>
      <c r="L950" s="135"/>
      <c r="M950" s="135"/>
      <c r="N950" s="135"/>
      <c r="O950" s="135"/>
      <c r="P950" s="135"/>
      <c r="Q950" s="135"/>
      <c r="R950" s="135"/>
      <c r="S950" s="135"/>
      <c r="T950" s="5"/>
    </row>
    <row r="951" spans="1:20" x14ac:dyDescent="0.45">
      <c r="A951" s="135"/>
      <c r="B951" s="135"/>
      <c r="C951" s="135"/>
      <c r="D951" s="135"/>
      <c r="E951" s="135"/>
      <c r="F951" s="135"/>
      <c r="G951" s="135"/>
      <c r="H951" s="135"/>
      <c r="I951" s="135"/>
      <c r="J951" s="135"/>
      <c r="K951" s="135"/>
      <c r="L951" s="135"/>
      <c r="M951" s="135"/>
      <c r="N951" s="135"/>
      <c r="O951" s="135"/>
      <c r="P951" s="135"/>
      <c r="Q951" s="135"/>
      <c r="R951" s="135"/>
      <c r="S951" s="135"/>
      <c r="T951" s="5"/>
    </row>
    <row r="952" spans="1:20" x14ac:dyDescent="0.45">
      <c r="A952" s="135"/>
      <c r="B952" s="135"/>
      <c r="C952" s="135"/>
      <c r="D952" s="135"/>
      <c r="E952" s="135"/>
      <c r="F952" s="135"/>
      <c r="G952" s="135"/>
      <c r="H952" s="135"/>
      <c r="I952" s="135"/>
      <c r="J952" s="135"/>
      <c r="K952" s="135"/>
      <c r="L952" s="135"/>
      <c r="M952" s="135"/>
      <c r="N952" s="135"/>
      <c r="O952" s="135"/>
      <c r="P952" s="135"/>
      <c r="Q952" s="135"/>
      <c r="R952" s="135"/>
      <c r="S952" s="135"/>
      <c r="T952" s="5"/>
    </row>
    <row r="953" spans="1:20" x14ac:dyDescent="0.45">
      <c r="A953" s="135"/>
      <c r="B953" s="135"/>
      <c r="C953" s="135"/>
      <c r="D953" s="135"/>
      <c r="E953" s="135"/>
      <c r="F953" s="135"/>
      <c r="G953" s="135"/>
      <c r="H953" s="135"/>
      <c r="I953" s="135"/>
      <c r="J953" s="135"/>
      <c r="K953" s="135"/>
      <c r="L953" s="135"/>
      <c r="M953" s="135"/>
      <c r="N953" s="135"/>
      <c r="O953" s="135"/>
      <c r="P953" s="135"/>
      <c r="Q953" s="135"/>
      <c r="R953" s="135"/>
      <c r="S953" s="135"/>
      <c r="T953" s="5"/>
    </row>
    <row r="954" spans="1:20" x14ac:dyDescent="0.45">
      <c r="A954" s="135"/>
      <c r="B954" s="135"/>
      <c r="C954" s="135"/>
      <c r="D954" s="135"/>
      <c r="E954" s="135"/>
      <c r="F954" s="135"/>
      <c r="G954" s="135"/>
      <c r="H954" s="135"/>
      <c r="I954" s="135"/>
      <c r="J954" s="135"/>
      <c r="K954" s="135"/>
      <c r="L954" s="135"/>
      <c r="M954" s="135"/>
      <c r="N954" s="135"/>
      <c r="O954" s="135"/>
      <c r="P954" s="135"/>
      <c r="Q954" s="135"/>
      <c r="R954" s="135"/>
      <c r="S954" s="135"/>
      <c r="T954" s="5"/>
    </row>
    <row r="955" spans="1:20" x14ac:dyDescent="0.45">
      <c r="A955" s="135"/>
      <c r="B955" s="135"/>
      <c r="C955" s="135"/>
      <c r="D955" s="135"/>
      <c r="E955" s="135"/>
      <c r="F955" s="135"/>
      <c r="G955" s="135"/>
      <c r="H955" s="135"/>
      <c r="I955" s="135"/>
      <c r="J955" s="135"/>
      <c r="K955" s="135"/>
      <c r="L955" s="135"/>
      <c r="M955" s="135"/>
      <c r="N955" s="135"/>
      <c r="O955" s="135"/>
      <c r="P955" s="135"/>
      <c r="Q955" s="135"/>
      <c r="R955" s="135"/>
      <c r="S955" s="135"/>
      <c r="T955" s="5"/>
    </row>
    <row r="956" spans="1:20" x14ac:dyDescent="0.45">
      <c r="A956" s="135"/>
      <c r="B956" s="135"/>
      <c r="C956" s="135"/>
      <c r="D956" s="135"/>
      <c r="E956" s="135"/>
      <c r="F956" s="135"/>
      <c r="G956" s="135"/>
      <c r="H956" s="135"/>
      <c r="I956" s="135"/>
      <c r="J956" s="135"/>
      <c r="K956" s="135"/>
      <c r="L956" s="135"/>
      <c r="M956" s="135"/>
      <c r="N956" s="135"/>
      <c r="O956" s="135"/>
      <c r="P956" s="135"/>
      <c r="Q956" s="135"/>
      <c r="R956" s="135"/>
      <c r="S956" s="135"/>
      <c r="T956" s="5"/>
    </row>
    <row r="957" spans="1:20" x14ac:dyDescent="0.45">
      <c r="A957" s="135"/>
      <c r="B957" s="135"/>
      <c r="C957" s="135"/>
      <c r="D957" s="135"/>
      <c r="E957" s="135"/>
      <c r="F957" s="135"/>
      <c r="G957" s="135"/>
      <c r="H957" s="135"/>
      <c r="I957" s="135"/>
      <c r="J957" s="135"/>
      <c r="K957" s="135"/>
      <c r="L957" s="135"/>
      <c r="M957" s="135"/>
      <c r="N957" s="135"/>
      <c r="O957" s="135"/>
      <c r="P957" s="135"/>
      <c r="Q957" s="135"/>
      <c r="R957" s="135"/>
      <c r="S957" s="135"/>
      <c r="T957" s="5"/>
    </row>
    <row r="958" spans="1:20" x14ac:dyDescent="0.45">
      <c r="A958" s="135"/>
      <c r="B958" s="135"/>
      <c r="C958" s="135"/>
      <c r="D958" s="135"/>
      <c r="E958" s="135"/>
      <c r="F958" s="135"/>
      <c r="G958" s="135"/>
      <c r="H958" s="135"/>
      <c r="I958" s="135"/>
      <c r="J958" s="135"/>
      <c r="K958" s="135"/>
      <c r="L958" s="135"/>
      <c r="M958" s="135"/>
      <c r="N958" s="135"/>
      <c r="O958" s="135"/>
      <c r="P958" s="135"/>
      <c r="Q958" s="135"/>
      <c r="R958" s="135"/>
      <c r="S958" s="135"/>
      <c r="T958" s="5"/>
    </row>
    <row r="959" spans="1:20" x14ac:dyDescent="0.45">
      <c r="A959" s="135"/>
      <c r="B959" s="135"/>
      <c r="C959" s="135"/>
      <c r="D959" s="135"/>
      <c r="E959" s="135"/>
      <c r="F959" s="135"/>
      <c r="G959" s="135"/>
      <c r="H959" s="135"/>
      <c r="I959" s="135"/>
      <c r="J959" s="135"/>
      <c r="K959" s="135"/>
      <c r="L959" s="135"/>
      <c r="M959" s="135"/>
      <c r="N959" s="135"/>
      <c r="O959" s="135"/>
      <c r="P959" s="135"/>
      <c r="Q959" s="135"/>
      <c r="R959" s="135"/>
      <c r="S959" s="135"/>
      <c r="T959" s="5"/>
    </row>
    <row r="960" spans="1:20" x14ac:dyDescent="0.45">
      <c r="A960" s="135"/>
      <c r="B960" s="135"/>
      <c r="C960" s="135"/>
      <c r="D960" s="135"/>
      <c r="E960" s="135"/>
      <c r="F960" s="135"/>
      <c r="G960" s="135"/>
      <c r="H960" s="135"/>
      <c r="I960" s="135"/>
      <c r="J960" s="135"/>
      <c r="K960" s="135"/>
      <c r="L960" s="135"/>
      <c r="M960" s="135"/>
      <c r="N960" s="135"/>
      <c r="O960" s="135"/>
      <c r="P960" s="135"/>
      <c r="Q960" s="135"/>
      <c r="R960" s="135"/>
      <c r="S960" s="135"/>
      <c r="T960" s="5"/>
    </row>
    <row r="961" spans="1:20" x14ac:dyDescent="0.45">
      <c r="A961" s="135"/>
      <c r="B961" s="135"/>
      <c r="C961" s="135"/>
      <c r="D961" s="135"/>
      <c r="E961" s="135"/>
      <c r="F961" s="135"/>
      <c r="G961" s="135"/>
      <c r="H961" s="135"/>
      <c r="I961" s="135"/>
      <c r="J961" s="135"/>
      <c r="K961" s="135"/>
      <c r="L961" s="135"/>
      <c r="M961" s="135"/>
      <c r="N961" s="135"/>
      <c r="O961" s="135"/>
      <c r="P961" s="135"/>
      <c r="Q961" s="135"/>
      <c r="R961" s="135"/>
      <c r="S961" s="135"/>
      <c r="T961" s="5"/>
    </row>
    <row r="962" spans="1:20" x14ac:dyDescent="0.45">
      <c r="A962" s="135"/>
      <c r="B962" s="135"/>
      <c r="C962" s="135"/>
      <c r="D962" s="135"/>
      <c r="E962" s="135"/>
      <c r="F962" s="135"/>
      <c r="G962" s="135"/>
      <c r="H962" s="135"/>
      <c r="I962" s="135"/>
      <c r="J962" s="135"/>
      <c r="K962" s="135"/>
      <c r="L962" s="135"/>
      <c r="M962" s="135"/>
      <c r="N962" s="135"/>
      <c r="O962" s="135"/>
      <c r="P962" s="135"/>
      <c r="Q962" s="135"/>
      <c r="R962" s="135"/>
      <c r="S962" s="135"/>
      <c r="T962" s="5"/>
    </row>
    <row r="963" spans="1:20" x14ac:dyDescent="0.45">
      <c r="A963" s="135"/>
      <c r="B963" s="135"/>
      <c r="C963" s="135"/>
      <c r="D963" s="135"/>
      <c r="E963" s="135"/>
      <c r="F963" s="135"/>
      <c r="G963" s="135"/>
      <c r="H963" s="135"/>
      <c r="I963" s="135"/>
      <c r="J963" s="135"/>
      <c r="K963" s="135"/>
      <c r="L963" s="135"/>
      <c r="M963" s="135"/>
      <c r="N963" s="135"/>
      <c r="O963" s="135"/>
      <c r="P963" s="135"/>
      <c r="Q963" s="135"/>
      <c r="R963" s="135"/>
      <c r="S963" s="135"/>
      <c r="T963" s="5"/>
    </row>
    <row r="964" spans="1:20" x14ac:dyDescent="0.45">
      <c r="A964" s="135"/>
      <c r="B964" s="135"/>
      <c r="C964" s="135"/>
      <c r="D964" s="135"/>
      <c r="E964" s="135"/>
      <c r="F964" s="135"/>
      <c r="G964" s="135"/>
      <c r="H964" s="135"/>
      <c r="I964" s="135"/>
      <c r="J964" s="135"/>
      <c r="K964" s="135"/>
      <c r="L964" s="135"/>
      <c r="M964" s="135"/>
      <c r="N964" s="135"/>
      <c r="O964" s="135"/>
      <c r="P964" s="135"/>
      <c r="Q964" s="135"/>
      <c r="R964" s="135"/>
      <c r="S964" s="135"/>
      <c r="T964" s="5"/>
    </row>
    <row r="965" spans="1:20" x14ac:dyDescent="0.45">
      <c r="A965" s="135"/>
      <c r="B965" s="135"/>
      <c r="C965" s="135"/>
      <c r="D965" s="135"/>
      <c r="E965" s="135"/>
      <c r="F965" s="135"/>
      <c r="G965" s="135"/>
      <c r="H965" s="135"/>
      <c r="I965" s="135"/>
      <c r="J965" s="135"/>
      <c r="K965" s="135"/>
      <c r="L965" s="135"/>
      <c r="M965" s="135"/>
      <c r="N965" s="135"/>
      <c r="O965" s="135"/>
      <c r="P965" s="135"/>
      <c r="Q965" s="135"/>
      <c r="R965" s="135"/>
      <c r="S965" s="135"/>
      <c r="T965" s="5"/>
    </row>
    <row r="966" spans="1:20" x14ac:dyDescent="0.45">
      <c r="A966" s="135"/>
      <c r="B966" s="135"/>
      <c r="C966" s="135"/>
      <c r="D966" s="135"/>
      <c r="E966" s="135"/>
      <c r="F966" s="135"/>
      <c r="G966" s="135"/>
      <c r="H966" s="135"/>
      <c r="I966" s="135"/>
      <c r="J966" s="135"/>
      <c r="K966" s="135"/>
      <c r="L966" s="135"/>
      <c r="M966" s="135"/>
      <c r="N966" s="135"/>
      <c r="O966" s="135"/>
      <c r="P966" s="135"/>
      <c r="Q966" s="135"/>
      <c r="R966" s="135"/>
      <c r="S966" s="135"/>
      <c r="T966" s="5"/>
    </row>
    <row r="967" spans="1:20" x14ac:dyDescent="0.45">
      <c r="A967" s="135"/>
      <c r="B967" s="135"/>
      <c r="C967" s="135"/>
      <c r="D967" s="135"/>
      <c r="E967" s="135"/>
      <c r="F967" s="135"/>
      <c r="G967" s="135"/>
      <c r="H967" s="135"/>
      <c r="I967" s="135"/>
      <c r="J967" s="135"/>
      <c r="K967" s="135"/>
      <c r="L967" s="135"/>
      <c r="M967" s="135"/>
      <c r="N967" s="135"/>
      <c r="O967" s="135"/>
      <c r="P967" s="135"/>
      <c r="Q967" s="135"/>
      <c r="R967" s="135"/>
      <c r="S967" s="135"/>
      <c r="T967" s="5"/>
    </row>
    <row r="968" spans="1:20" x14ac:dyDescent="0.45">
      <c r="A968" s="135"/>
      <c r="B968" s="135"/>
      <c r="C968" s="135"/>
      <c r="D968" s="135"/>
      <c r="E968" s="135"/>
      <c r="F968" s="135"/>
      <c r="G968" s="135"/>
      <c r="H968" s="135"/>
      <c r="I968" s="135"/>
      <c r="J968" s="135"/>
      <c r="K968" s="135"/>
      <c r="L968" s="135"/>
      <c r="M968" s="135"/>
      <c r="N968" s="135"/>
      <c r="O968" s="135"/>
      <c r="P968" s="135"/>
      <c r="Q968" s="135"/>
      <c r="R968" s="135"/>
      <c r="S968" s="135"/>
      <c r="T968" s="5"/>
    </row>
    <row r="969" spans="1:20" x14ac:dyDescent="0.45">
      <c r="A969" s="135"/>
      <c r="B969" s="135"/>
      <c r="C969" s="135"/>
      <c r="D969" s="135"/>
      <c r="E969" s="135"/>
      <c r="F969" s="135"/>
      <c r="G969" s="135"/>
      <c r="H969" s="135"/>
      <c r="I969" s="135"/>
      <c r="J969" s="135"/>
      <c r="K969" s="135"/>
      <c r="L969" s="135"/>
      <c r="M969" s="135"/>
      <c r="N969" s="135"/>
      <c r="O969" s="135"/>
      <c r="P969" s="135"/>
      <c r="Q969" s="135"/>
      <c r="R969" s="135"/>
      <c r="S969" s="135"/>
      <c r="T969" s="5"/>
    </row>
    <row r="970" spans="1:20" x14ac:dyDescent="0.45">
      <c r="A970" s="135"/>
      <c r="B970" s="135"/>
      <c r="C970" s="135"/>
      <c r="D970" s="135"/>
      <c r="E970" s="135"/>
      <c r="F970" s="135"/>
      <c r="G970" s="135"/>
      <c r="H970" s="135"/>
      <c r="I970" s="135"/>
      <c r="J970" s="135"/>
      <c r="K970" s="135"/>
      <c r="L970" s="135"/>
      <c r="M970" s="135"/>
      <c r="N970" s="135"/>
      <c r="O970" s="135"/>
      <c r="P970" s="135"/>
      <c r="Q970" s="135"/>
      <c r="R970" s="135"/>
      <c r="S970" s="135"/>
      <c r="T970" s="5"/>
    </row>
    <row r="971" spans="1:20" x14ac:dyDescent="0.45">
      <c r="A971" s="135"/>
      <c r="B971" s="135"/>
      <c r="C971" s="135"/>
      <c r="D971" s="135"/>
      <c r="E971" s="135"/>
      <c r="F971" s="135"/>
      <c r="G971" s="135"/>
      <c r="H971" s="135"/>
      <c r="I971" s="135"/>
      <c r="J971" s="135"/>
      <c r="K971" s="135"/>
      <c r="L971" s="135"/>
      <c r="M971" s="135"/>
      <c r="N971" s="135"/>
      <c r="O971" s="135"/>
      <c r="P971" s="135"/>
      <c r="Q971" s="135"/>
      <c r="R971" s="135"/>
      <c r="S971" s="135"/>
      <c r="T971" s="5"/>
    </row>
    <row r="972" spans="1:20" x14ac:dyDescent="0.45">
      <c r="A972" s="135"/>
      <c r="B972" s="135"/>
      <c r="C972" s="135"/>
      <c r="D972" s="135"/>
      <c r="E972" s="135"/>
      <c r="F972" s="135"/>
      <c r="G972" s="135"/>
      <c r="H972" s="135"/>
      <c r="I972" s="135"/>
      <c r="J972" s="135"/>
      <c r="K972" s="135"/>
      <c r="L972" s="135"/>
      <c r="M972" s="135"/>
      <c r="N972" s="135"/>
      <c r="O972" s="135"/>
      <c r="P972" s="135"/>
      <c r="Q972" s="135"/>
      <c r="R972" s="135"/>
      <c r="S972" s="135"/>
      <c r="T972" s="5"/>
    </row>
    <row r="973" spans="1:20" x14ac:dyDescent="0.45">
      <c r="A973" s="135"/>
      <c r="B973" s="135"/>
      <c r="C973" s="135"/>
      <c r="D973" s="135"/>
      <c r="E973" s="135"/>
      <c r="F973" s="135"/>
      <c r="G973" s="135"/>
      <c r="H973" s="135"/>
      <c r="I973" s="135"/>
      <c r="J973" s="135"/>
      <c r="K973" s="135"/>
      <c r="L973" s="135"/>
      <c r="M973" s="135"/>
      <c r="N973" s="135"/>
      <c r="O973" s="135"/>
      <c r="P973" s="135"/>
      <c r="Q973" s="135"/>
      <c r="R973" s="135"/>
      <c r="S973" s="135"/>
      <c r="T973" s="5"/>
    </row>
    <row r="974" spans="1:20" x14ac:dyDescent="0.45">
      <c r="A974" s="135"/>
      <c r="B974" s="135"/>
      <c r="C974" s="135"/>
      <c r="D974" s="135"/>
      <c r="E974" s="135"/>
      <c r="F974" s="135"/>
      <c r="G974" s="135"/>
      <c r="H974" s="135"/>
      <c r="I974" s="135"/>
      <c r="J974" s="135"/>
      <c r="K974" s="135"/>
      <c r="L974" s="135"/>
      <c r="M974" s="135"/>
      <c r="N974" s="135"/>
      <c r="O974" s="135"/>
      <c r="P974" s="135"/>
      <c r="Q974" s="135"/>
      <c r="R974" s="135"/>
      <c r="S974" s="135"/>
      <c r="T974" s="5"/>
    </row>
    <row r="975" spans="1:20" x14ac:dyDescent="0.45">
      <c r="A975" s="135"/>
      <c r="B975" s="135"/>
      <c r="C975" s="135"/>
      <c r="D975" s="135"/>
      <c r="E975" s="135"/>
      <c r="F975" s="135"/>
      <c r="G975" s="135"/>
      <c r="H975" s="135"/>
      <c r="I975" s="135"/>
      <c r="J975" s="135"/>
      <c r="K975" s="135"/>
      <c r="L975" s="135"/>
      <c r="M975" s="135"/>
      <c r="N975" s="135"/>
      <c r="O975" s="135"/>
      <c r="P975" s="135"/>
      <c r="Q975" s="135"/>
      <c r="R975" s="135"/>
      <c r="S975" s="135"/>
      <c r="T975" s="5"/>
    </row>
    <row r="976" spans="1:20" x14ac:dyDescent="0.45">
      <c r="A976" s="135"/>
      <c r="B976" s="135"/>
      <c r="C976" s="135"/>
      <c r="D976" s="135"/>
      <c r="E976" s="135"/>
      <c r="F976" s="135"/>
      <c r="G976" s="135"/>
      <c r="H976" s="135"/>
      <c r="I976" s="135"/>
      <c r="J976" s="135"/>
      <c r="K976" s="135"/>
      <c r="L976" s="135"/>
      <c r="M976" s="135"/>
      <c r="N976" s="135"/>
      <c r="O976" s="135"/>
      <c r="P976" s="135"/>
      <c r="Q976" s="135"/>
      <c r="R976" s="135"/>
      <c r="S976" s="135"/>
      <c r="T976" s="5"/>
    </row>
    <row r="977" spans="1:20" x14ac:dyDescent="0.45">
      <c r="A977" s="135"/>
      <c r="B977" s="135"/>
      <c r="C977" s="135"/>
      <c r="D977" s="135"/>
      <c r="E977" s="135"/>
      <c r="F977" s="135"/>
      <c r="G977" s="135"/>
      <c r="H977" s="135"/>
      <c r="I977" s="135"/>
      <c r="J977" s="135"/>
      <c r="K977" s="135"/>
      <c r="L977" s="135"/>
      <c r="M977" s="135"/>
      <c r="N977" s="135"/>
      <c r="O977" s="135"/>
      <c r="P977" s="135"/>
      <c r="Q977" s="135"/>
      <c r="R977" s="135"/>
      <c r="S977" s="135"/>
      <c r="T977" s="5"/>
    </row>
    <row r="978" spans="1:20" x14ac:dyDescent="0.45">
      <c r="A978" s="135"/>
      <c r="B978" s="135"/>
      <c r="C978" s="135"/>
      <c r="D978" s="135"/>
      <c r="E978" s="135"/>
      <c r="F978" s="135"/>
      <c r="G978" s="135"/>
      <c r="H978" s="135"/>
      <c r="I978" s="135"/>
      <c r="J978" s="135"/>
      <c r="K978" s="135"/>
      <c r="L978" s="135"/>
      <c r="M978" s="135"/>
      <c r="N978" s="135"/>
      <c r="O978" s="135"/>
      <c r="P978" s="135"/>
      <c r="Q978" s="135"/>
      <c r="R978" s="135"/>
      <c r="S978" s="135"/>
      <c r="T978" s="5"/>
    </row>
    <row r="979" spans="1:20" x14ac:dyDescent="0.45">
      <c r="A979" s="135"/>
      <c r="B979" s="135"/>
      <c r="C979" s="135"/>
      <c r="D979" s="135"/>
      <c r="E979" s="135"/>
      <c r="F979" s="135"/>
      <c r="G979" s="135"/>
      <c r="H979" s="135"/>
      <c r="I979" s="135"/>
      <c r="J979" s="135"/>
      <c r="K979" s="135"/>
      <c r="L979" s="135"/>
      <c r="M979" s="135"/>
      <c r="N979" s="135"/>
      <c r="O979" s="135"/>
      <c r="P979" s="135"/>
      <c r="Q979" s="135"/>
      <c r="R979" s="135"/>
      <c r="S979" s="135"/>
      <c r="T979" s="5"/>
    </row>
    <row r="980" spans="1:20" x14ac:dyDescent="0.45">
      <c r="A980" s="135"/>
      <c r="B980" s="135"/>
      <c r="C980" s="135"/>
      <c r="D980" s="135"/>
      <c r="E980" s="135"/>
      <c r="F980" s="135"/>
      <c r="G980" s="135"/>
      <c r="H980" s="135"/>
      <c r="I980" s="135"/>
      <c r="J980" s="135"/>
      <c r="K980" s="135"/>
      <c r="L980" s="135"/>
      <c r="M980" s="135"/>
      <c r="N980" s="135"/>
      <c r="O980" s="135"/>
      <c r="P980" s="135"/>
      <c r="Q980" s="135"/>
      <c r="R980" s="135"/>
      <c r="S980" s="135"/>
      <c r="T980" s="5"/>
    </row>
    <row r="981" spans="1:20" x14ac:dyDescent="0.45">
      <c r="A981" s="135"/>
      <c r="B981" s="135"/>
      <c r="C981" s="135"/>
      <c r="D981" s="135"/>
      <c r="E981" s="135"/>
      <c r="F981" s="135"/>
      <c r="G981" s="135"/>
      <c r="H981" s="135"/>
      <c r="I981" s="135"/>
      <c r="J981" s="135"/>
      <c r="K981" s="135"/>
      <c r="L981" s="135"/>
      <c r="M981" s="135"/>
      <c r="N981" s="135"/>
      <c r="O981" s="135"/>
      <c r="P981" s="135"/>
      <c r="Q981" s="135"/>
      <c r="R981" s="135"/>
      <c r="S981" s="135"/>
      <c r="T981" s="5"/>
    </row>
    <row r="982" spans="1:20" x14ac:dyDescent="0.45">
      <c r="A982" s="135"/>
      <c r="B982" s="135"/>
      <c r="C982" s="135"/>
      <c r="D982" s="135"/>
      <c r="E982" s="135"/>
      <c r="F982" s="135"/>
      <c r="G982" s="135"/>
      <c r="H982" s="135"/>
      <c r="I982" s="135"/>
      <c r="J982" s="135"/>
      <c r="K982" s="135"/>
      <c r="L982" s="135"/>
      <c r="M982" s="135"/>
      <c r="N982" s="135"/>
      <c r="O982" s="135"/>
      <c r="P982" s="135"/>
      <c r="Q982" s="135"/>
      <c r="R982" s="135"/>
      <c r="S982" s="135"/>
      <c r="T982" s="5"/>
    </row>
    <row r="983" spans="1:20" x14ac:dyDescent="0.45">
      <c r="A983" s="135"/>
      <c r="B983" s="135"/>
      <c r="C983" s="135"/>
      <c r="D983" s="135"/>
      <c r="E983" s="135"/>
      <c r="F983" s="135"/>
      <c r="G983" s="135"/>
      <c r="H983" s="135"/>
      <c r="I983" s="135"/>
      <c r="J983" s="135"/>
      <c r="K983" s="135"/>
      <c r="L983" s="135"/>
      <c r="M983" s="135"/>
      <c r="N983" s="135"/>
      <c r="O983" s="135"/>
      <c r="P983" s="135"/>
      <c r="Q983" s="135"/>
      <c r="R983" s="135"/>
      <c r="S983" s="135"/>
      <c r="T983" s="5"/>
    </row>
    <row r="984" spans="1:20" x14ac:dyDescent="0.45">
      <c r="A984" s="135"/>
      <c r="B984" s="135"/>
      <c r="C984" s="135"/>
      <c r="D984" s="135"/>
      <c r="E984" s="135"/>
      <c r="F984" s="135"/>
      <c r="G984" s="135"/>
      <c r="H984" s="135"/>
      <c r="I984" s="135"/>
      <c r="J984" s="135"/>
      <c r="K984" s="135"/>
      <c r="L984" s="135"/>
      <c r="M984" s="135"/>
      <c r="N984" s="135"/>
      <c r="O984" s="135"/>
      <c r="P984" s="135"/>
      <c r="Q984" s="135"/>
      <c r="R984" s="135"/>
      <c r="S984" s="135"/>
      <c r="T984" s="5"/>
    </row>
    <row r="985" spans="1:20" x14ac:dyDescent="0.45">
      <c r="A985" s="135"/>
      <c r="B985" s="135"/>
      <c r="C985" s="135"/>
      <c r="D985" s="135"/>
      <c r="E985" s="135"/>
      <c r="F985" s="135"/>
      <c r="G985" s="135"/>
      <c r="H985" s="135"/>
      <c r="I985" s="135"/>
      <c r="J985" s="135"/>
      <c r="K985" s="135"/>
      <c r="L985" s="135"/>
      <c r="M985" s="135"/>
      <c r="N985" s="135"/>
      <c r="O985" s="135"/>
      <c r="P985" s="135"/>
      <c r="Q985" s="135"/>
      <c r="R985" s="135"/>
      <c r="S985" s="135"/>
      <c r="T985" s="5"/>
    </row>
    <row r="986" spans="1:20" x14ac:dyDescent="0.45">
      <c r="A986" s="135"/>
      <c r="B986" s="135"/>
      <c r="C986" s="135"/>
      <c r="D986" s="135"/>
      <c r="E986" s="135"/>
      <c r="F986" s="135"/>
      <c r="G986" s="135"/>
      <c r="H986" s="135"/>
      <c r="I986" s="135"/>
      <c r="J986" s="135"/>
      <c r="K986" s="135"/>
      <c r="L986" s="135"/>
      <c r="M986" s="135"/>
      <c r="N986" s="135"/>
      <c r="O986" s="135"/>
      <c r="P986" s="135"/>
      <c r="Q986" s="135"/>
      <c r="R986" s="135"/>
      <c r="S986" s="135"/>
      <c r="T986" s="5"/>
    </row>
    <row r="987" spans="1:20" x14ac:dyDescent="0.45">
      <c r="A987" s="135"/>
      <c r="B987" s="135"/>
      <c r="C987" s="135"/>
      <c r="D987" s="135"/>
      <c r="E987" s="135"/>
      <c r="F987" s="135"/>
      <c r="G987" s="135"/>
      <c r="H987" s="135"/>
      <c r="I987" s="135"/>
      <c r="J987" s="135"/>
      <c r="K987" s="135"/>
      <c r="L987" s="135"/>
      <c r="M987" s="135"/>
      <c r="N987" s="135"/>
      <c r="O987" s="135"/>
      <c r="P987" s="135"/>
      <c r="Q987" s="135"/>
      <c r="R987" s="135"/>
      <c r="S987" s="135"/>
      <c r="T987" s="5"/>
    </row>
    <row r="988" spans="1:20" x14ac:dyDescent="0.45">
      <c r="A988" s="135"/>
      <c r="B988" s="135"/>
      <c r="C988" s="135"/>
      <c r="D988" s="135"/>
      <c r="E988" s="135"/>
      <c r="F988" s="135"/>
      <c r="G988" s="135"/>
      <c r="H988" s="135"/>
      <c r="I988" s="135"/>
      <c r="J988" s="135"/>
      <c r="K988" s="135"/>
      <c r="L988" s="135"/>
      <c r="M988" s="135"/>
      <c r="N988" s="135"/>
      <c r="O988" s="135"/>
      <c r="P988" s="135"/>
      <c r="Q988" s="135"/>
      <c r="R988" s="135"/>
      <c r="S988" s="135"/>
      <c r="T988" s="5"/>
    </row>
    <row r="989" spans="1:20" x14ac:dyDescent="0.45">
      <c r="A989" s="135"/>
      <c r="B989" s="135"/>
      <c r="C989" s="135"/>
      <c r="D989" s="135"/>
      <c r="E989" s="135"/>
      <c r="F989" s="135"/>
      <c r="G989" s="135"/>
      <c r="H989" s="135"/>
      <c r="I989" s="135"/>
      <c r="J989" s="135"/>
      <c r="K989" s="135"/>
      <c r="L989" s="135"/>
      <c r="M989" s="135"/>
      <c r="N989" s="135"/>
      <c r="O989" s="135"/>
      <c r="P989" s="135"/>
      <c r="Q989" s="135"/>
      <c r="R989" s="135"/>
      <c r="S989" s="135"/>
      <c r="T989" s="5"/>
    </row>
    <row r="990" spans="1:20" x14ac:dyDescent="0.45">
      <c r="A990" s="135"/>
      <c r="B990" s="135"/>
      <c r="C990" s="135"/>
      <c r="D990" s="135"/>
      <c r="E990" s="135"/>
      <c r="F990" s="135"/>
      <c r="G990" s="135"/>
      <c r="H990" s="135"/>
      <c r="I990" s="135"/>
      <c r="J990" s="135"/>
      <c r="K990" s="135"/>
      <c r="L990" s="135"/>
      <c r="M990" s="135"/>
      <c r="N990" s="135"/>
      <c r="O990" s="135"/>
      <c r="P990" s="135"/>
      <c r="Q990" s="135"/>
      <c r="R990" s="135"/>
      <c r="S990" s="135"/>
      <c r="T990" s="5"/>
    </row>
    <row r="991" spans="1:20" x14ac:dyDescent="0.45">
      <c r="A991" s="135"/>
      <c r="B991" s="135"/>
      <c r="C991" s="135"/>
      <c r="D991" s="135"/>
      <c r="E991" s="135"/>
      <c r="F991" s="135"/>
      <c r="G991" s="135"/>
      <c r="H991" s="135"/>
      <c r="I991" s="135"/>
      <c r="J991" s="135"/>
      <c r="K991" s="135"/>
      <c r="L991" s="135"/>
      <c r="M991" s="135"/>
      <c r="N991" s="135"/>
      <c r="O991" s="135"/>
      <c r="P991" s="135"/>
      <c r="Q991" s="135"/>
      <c r="R991" s="135"/>
      <c r="S991" s="135"/>
      <c r="T991" s="5"/>
    </row>
    <row r="992" spans="1:20" x14ac:dyDescent="0.45">
      <c r="A992" s="135"/>
      <c r="B992" s="135"/>
      <c r="C992" s="135"/>
      <c r="D992" s="135"/>
      <c r="E992" s="135"/>
      <c r="F992" s="135"/>
      <c r="G992" s="135"/>
      <c r="H992" s="135"/>
      <c r="I992" s="135"/>
      <c r="J992" s="135"/>
      <c r="K992" s="135"/>
      <c r="L992" s="135"/>
      <c r="M992" s="135"/>
      <c r="N992" s="135"/>
      <c r="O992" s="135"/>
      <c r="P992" s="135"/>
      <c r="Q992" s="135"/>
      <c r="R992" s="135"/>
      <c r="S992" s="135"/>
      <c r="T992" s="5"/>
    </row>
    <row r="993" spans="1:20" x14ac:dyDescent="0.45">
      <c r="A993" s="135"/>
      <c r="B993" s="135"/>
      <c r="C993" s="135"/>
      <c r="D993" s="135"/>
      <c r="E993" s="135"/>
      <c r="F993" s="135"/>
      <c r="G993" s="135"/>
      <c r="H993" s="135"/>
      <c r="I993" s="135"/>
      <c r="J993" s="135"/>
      <c r="K993" s="135"/>
      <c r="L993" s="135"/>
      <c r="M993" s="135"/>
      <c r="N993" s="135"/>
      <c r="O993" s="135"/>
      <c r="P993" s="135"/>
      <c r="Q993" s="135"/>
      <c r="R993" s="135"/>
      <c r="S993" s="135"/>
      <c r="T993" s="5"/>
    </row>
    <row r="994" spans="1:20" x14ac:dyDescent="0.45">
      <c r="A994" s="135"/>
      <c r="B994" s="135"/>
      <c r="C994" s="135"/>
      <c r="D994" s="135"/>
      <c r="E994" s="135"/>
      <c r="F994" s="135"/>
      <c r="G994" s="135"/>
      <c r="H994" s="135"/>
      <c r="I994" s="135"/>
      <c r="J994" s="135"/>
      <c r="K994" s="135"/>
      <c r="L994" s="135"/>
      <c r="M994" s="135"/>
      <c r="N994" s="135"/>
      <c r="O994" s="135"/>
      <c r="P994" s="135"/>
      <c r="Q994" s="135"/>
      <c r="R994" s="135"/>
      <c r="S994" s="135"/>
      <c r="T994" s="5"/>
    </row>
    <row r="995" spans="1:20" x14ac:dyDescent="0.45">
      <c r="A995" s="135"/>
      <c r="B995" s="135"/>
      <c r="C995" s="135"/>
      <c r="D995" s="135"/>
      <c r="E995" s="135"/>
      <c r="F995" s="135"/>
      <c r="G995" s="135"/>
      <c r="H995" s="135"/>
      <c r="I995" s="135"/>
      <c r="J995" s="135"/>
      <c r="K995" s="135"/>
      <c r="L995" s="135"/>
      <c r="M995" s="135"/>
      <c r="N995" s="135"/>
      <c r="O995" s="135"/>
      <c r="P995" s="135"/>
      <c r="Q995" s="135"/>
      <c r="R995" s="135"/>
      <c r="S995" s="135"/>
      <c r="T995" s="5"/>
    </row>
    <row r="996" spans="1:20" x14ac:dyDescent="0.45">
      <c r="A996" s="135"/>
      <c r="B996" s="135"/>
      <c r="C996" s="135"/>
      <c r="D996" s="135"/>
      <c r="E996" s="135"/>
      <c r="F996" s="135"/>
      <c r="G996" s="135"/>
      <c r="H996" s="135"/>
      <c r="I996" s="135"/>
      <c r="J996" s="135"/>
      <c r="K996" s="135"/>
      <c r="L996" s="135"/>
      <c r="M996" s="135"/>
      <c r="N996" s="135"/>
      <c r="O996" s="135"/>
      <c r="P996" s="135"/>
      <c r="Q996" s="135"/>
      <c r="R996" s="135"/>
      <c r="S996" s="135"/>
      <c r="T996" s="5"/>
    </row>
    <row r="997" spans="1:20" x14ac:dyDescent="0.45">
      <c r="A997" s="135"/>
      <c r="B997" s="135"/>
      <c r="C997" s="135"/>
      <c r="D997" s="135"/>
      <c r="E997" s="135"/>
      <c r="F997" s="135"/>
      <c r="G997" s="135"/>
      <c r="H997" s="135"/>
      <c r="I997" s="135"/>
      <c r="J997" s="135"/>
      <c r="K997" s="135"/>
      <c r="L997" s="135"/>
      <c r="M997" s="135"/>
      <c r="N997" s="135"/>
      <c r="O997" s="135"/>
      <c r="P997" s="135"/>
      <c r="Q997" s="135"/>
      <c r="R997" s="135"/>
      <c r="S997" s="135"/>
      <c r="T997" s="5"/>
    </row>
    <row r="998" spans="1:20" x14ac:dyDescent="0.45">
      <c r="A998" s="135"/>
      <c r="B998" s="135"/>
      <c r="C998" s="135"/>
      <c r="D998" s="135"/>
      <c r="E998" s="135"/>
      <c r="F998" s="135"/>
      <c r="G998" s="135"/>
      <c r="H998" s="135"/>
      <c r="I998" s="135"/>
      <c r="J998" s="135"/>
      <c r="K998" s="135"/>
      <c r="L998" s="135"/>
      <c r="M998" s="135"/>
      <c r="N998" s="135"/>
      <c r="O998" s="135"/>
      <c r="P998" s="135"/>
      <c r="Q998" s="135"/>
      <c r="R998" s="135"/>
      <c r="S998" s="135"/>
      <c r="T998" s="5"/>
    </row>
    <row r="999" spans="1:20" x14ac:dyDescent="0.45">
      <c r="A999" s="135"/>
      <c r="B999" s="135"/>
      <c r="C999" s="135"/>
      <c r="D999" s="135"/>
      <c r="E999" s="135"/>
      <c r="F999" s="135"/>
      <c r="G999" s="135"/>
      <c r="H999" s="135"/>
      <c r="I999" s="135"/>
      <c r="J999" s="135"/>
      <c r="K999" s="135"/>
      <c r="L999" s="135"/>
      <c r="M999" s="135"/>
      <c r="N999" s="135"/>
      <c r="O999" s="135"/>
      <c r="P999" s="135"/>
      <c r="Q999" s="135"/>
      <c r="R999" s="135"/>
      <c r="S999" s="135"/>
      <c r="T999" s="5"/>
    </row>
    <row r="1000" spans="1:20" x14ac:dyDescent="0.45">
      <c r="A1000" s="135"/>
      <c r="B1000" s="135"/>
      <c r="C1000" s="135"/>
      <c r="D1000" s="135"/>
      <c r="E1000" s="135"/>
      <c r="F1000" s="135"/>
      <c r="G1000" s="135"/>
      <c r="H1000" s="135"/>
      <c r="I1000" s="135"/>
      <c r="J1000" s="135"/>
      <c r="K1000" s="135"/>
      <c r="L1000" s="135"/>
      <c r="M1000" s="135"/>
      <c r="N1000" s="135"/>
      <c r="O1000" s="135"/>
      <c r="P1000" s="135"/>
      <c r="Q1000" s="135"/>
      <c r="R1000" s="135"/>
      <c r="S1000" s="135"/>
      <c r="T1000" s="5"/>
    </row>
  </sheetData>
  <sheetProtection algorithmName="SHA-512" hashValue="gpCbe5zzriJ8vKJZZWBk083TeChFHwJ4FTDdmMLqALLDW+BoO9ENT3yx3uPvpXP1me9wr8AgWsZ07HY+e9FA+Q==" saltValue="lC2R5ePjC7srCGjc9LI41w==" spinCount="100000" sheet="1" objects="1" scenarios="1" selectLockedCells="1"/>
  <mergeCells count="2">
    <mergeCell ref="A1:T1"/>
    <mergeCell ref="A2:T2"/>
  </mergeCells>
  <conditionalFormatting sqref="A7:T509">
    <cfRule type="expression" dxfId="60" priority="4">
      <formula>MOD(ROW(),2)=0</formula>
    </cfRule>
    <cfRule type="expression" dxfId="59" priority="1">
      <formula>$S7="Validé"</formula>
    </cfRule>
    <cfRule type="expression" dxfId="58" priority="2">
      <formula>$S7="Refusé"</formula>
    </cfRule>
  </conditionalFormatting>
  <printOptions horizontalCentered="1"/>
  <pageMargins left="0.39370078740157477" right="0.39370078740157477" top="1.1811023622047243" bottom="0.39370078740157477" header="0.4724409448818897" footer="0.3"/>
  <pageSetup paperSize="9" scale="55" fitToHeight="0" orientation="landscape" horizontalDpi="0" verticalDpi="0" r:id="rId1"/>
  <headerFooter>
    <oddHeader>&amp;CRAPPORT TMA&amp;RClient : TOUS</oddHeader>
    <oddFooter>&amp;CDocument généré le 26/03/2026&amp;RPage &amp;P /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8467EF-9E8B-435F-A239-3032015CCE9A}">
          <x14:formula1>
            <xm:f>REF_CLIENTS!A:A</xm:f>
          </x14:formula1>
          <xm:sqref>B6 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B9BD-FF09-4C78-8EDE-1DFB45E644E6}">
  <sheetPr codeName="Feuil16">
    <tabColor theme="9" tint="0.79998168889431442"/>
    <pageSetUpPr fitToPage="1"/>
  </sheetPr>
  <dimension ref="A1:U508"/>
  <sheetViews>
    <sheetView zoomScaleNormal="100" workbookViewId="0">
      <selection activeCell="B3" sqref="B3"/>
    </sheetView>
  </sheetViews>
  <sheetFormatPr baseColWidth="10" defaultRowHeight="14.25" x14ac:dyDescent="0.45"/>
  <cols>
    <col min="1" max="1" width="11.86328125" style="5" customWidth="1"/>
    <col min="2" max="2" width="17.73046875" style="5" customWidth="1"/>
    <col min="3" max="3" width="10.6640625" style="5"/>
    <col min="4" max="4" width="24" style="5" customWidth="1"/>
    <col min="5" max="5" width="19.33203125" style="5" customWidth="1"/>
    <col min="6" max="6" width="48.53125" style="5" customWidth="1"/>
    <col min="7" max="7" width="11.33203125" style="28" hidden="1" customWidth="1"/>
    <col min="8" max="8" width="13.33203125" style="5" customWidth="1"/>
    <col min="9" max="10" width="13.73046875" style="5" customWidth="1"/>
    <col min="11" max="11" width="13.53125" style="5" customWidth="1"/>
    <col min="12" max="12" width="13.59765625" style="5" customWidth="1"/>
    <col min="13" max="13" width="13.59765625" style="5" hidden="1" customWidth="1"/>
    <col min="14" max="19" width="13.59765625" style="5" customWidth="1"/>
    <col min="20" max="20" width="36.1328125" style="169" customWidth="1"/>
    <col min="21" max="21" width="10.6640625" style="5" hidden="1" customWidth="1"/>
    <col min="22" max="26" width="10.6640625" style="5" customWidth="1"/>
    <col min="27" max="16384" width="10.6640625" style="5"/>
  </cols>
  <sheetData>
    <row r="1" spans="1:21" ht="44.25" customHeight="1" thickBot="1" x14ac:dyDescent="0.5">
      <c r="A1" s="453" t="s">
        <v>153</v>
      </c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454"/>
      <c r="S1" s="454"/>
      <c r="T1" s="463"/>
    </row>
    <row r="2" spans="1:21" x14ac:dyDescent="0.45">
      <c r="T2" s="5"/>
    </row>
    <row r="3" spans="1:21" x14ac:dyDescent="0.45">
      <c r="A3" s="10" t="s">
        <v>118</v>
      </c>
      <c r="B3" s="38" t="s">
        <v>111</v>
      </c>
      <c r="C3" s="11" t="s">
        <v>69</v>
      </c>
      <c r="D3" s="12">
        <f ca="1">TODAY()</f>
        <v>46133</v>
      </c>
      <c r="T3" s="5"/>
    </row>
    <row r="4" spans="1:21" ht="28.5" x14ac:dyDescent="0.45">
      <c r="A4" s="10" t="s">
        <v>113</v>
      </c>
      <c r="B4" s="31" t="str">
        <f>Suivi_TMA!C5</f>
        <v>Résidence LES JOLIETTES</v>
      </c>
      <c r="C4" s="11" t="s">
        <v>72</v>
      </c>
      <c r="D4" s="10" t="str">
        <f>Suivi_TMA!C7</f>
        <v>CIBOURE (64500)</v>
      </c>
      <c r="T4" s="5"/>
    </row>
    <row r="5" spans="1:21" ht="14.65" thickBot="1" x14ac:dyDescent="0.5">
      <c r="T5" s="5"/>
    </row>
    <row r="6" spans="1:21" s="15" customFormat="1" ht="63" x14ac:dyDescent="0.45">
      <c r="A6" s="492" t="s">
        <v>0</v>
      </c>
      <c r="B6" s="493" t="s">
        <v>92</v>
      </c>
      <c r="C6" s="493" t="s">
        <v>93</v>
      </c>
      <c r="D6" s="493" t="s">
        <v>120</v>
      </c>
      <c r="E6" s="493" t="s">
        <v>95</v>
      </c>
      <c r="F6" s="493" t="s">
        <v>96</v>
      </c>
      <c r="G6" s="493" t="s">
        <v>97</v>
      </c>
      <c r="H6" s="493" t="s">
        <v>121</v>
      </c>
      <c r="I6" s="494" t="s">
        <v>98</v>
      </c>
      <c r="J6" s="495" t="s">
        <v>99</v>
      </c>
      <c r="K6" s="494" t="s">
        <v>100</v>
      </c>
      <c r="L6" s="496" t="s">
        <v>101</v>
      </c>
      <c r="M6" s="493" t="s">
        <v>102</v>
      </c>
      <c r="N6" s="493" t="s">
        <v>122</v>
      </c>
      <c r="O6" s="494" t="s">
        <v>123</v>
      </c>
      <c r="P6" s="494" t="s">
        <v>124</v>
      </c>
      <c r="Q6" s="493" t="s">
        <v>105</v>
      </c>
      <c r="R6" s="493" t="s">
        <v>106</v>
      </c>
      <c r="S6" s="493" t="s">
        <v>91</v>
      </c>
      <c r="T6" s="497" t="s">
        <v>272</v>
      </c>
    </row>
    <row r="7" spans="1:21" ht="24" customHeight="1" x14ac:dyDescent="0.45">
      <c r="A7" s="473">
        <v>1</v>
      </c>
      <c r="B7" s="474" t="s">
        <v>13</v>
      </c>
      <c r="C7" s="474" t="s">
        <v>25</v>
      </c>
      <c r="D7" s="474" t="s">
        <v>206</v>
      </c>
      <c r="E7" s="474" t="s">
        <v>14</v>
      </c>
      <c r="F7" s="474" t="s">
        <v>207</v>
      </c>
      <c r="G7" s="475"/>
      <c r="H7" s="476">
        <v>45708</v>
      </c>
      <c r="I7" s="476">
        <v>45709</v>
      </c>
      <c r="J7" s="477">
        <v>1</v>
      </c>
      <c r="K7" s="478" t="s">
        <v>109</v>
      </c>
      <c r="L7" s="479">
        <v>55.710000000000036</v>
      </c>
      <c r="M7" s="478"/>
      <c r="N7" s="480">
        <v>72.423000000000044</v>
      </c>
      <c r="O7" s="476">
        <v>45713</v>
      </c>
      <c r="P7" s="476">
        <v>46079</v>
      </c>
      <c r="Q7" s="476">
        <v>45728</v>
      </c>
      <c r="R7" s="478" t="s">
        <v>108</v>
      </c>
      <c r="S7" s="478" t="s">
        <v>20</v>
      </c>
      <c r="T7" s="334"/>
      <c r="U7" s="332"/>
    </row>
    <row r="8" spans="1:21" ht="24" customHeight="1" x14ac:dyDescent="0.45">
      <c r="A8" s="473">
        <v>2</v>
      </c>
      <c r="B8" s="474" t="s">
        <v>22</v>
      </c>
      <c r="C8" s="474" t="s">
        <v>27</v>
      </c>
      <c r="D8" s="474" t="s">
        <v>210</v>
      </c>
      <c r="E8" s="474" t="s">
        <v>19</v>
      </c>
      <c r="F8" s="474" t="s">
        <v>211</v>
      </c>
      <c r="G8" s="475"/>
      <c r="H8" s="476">
        <v>45713</v>
      </c>
      <c r="I8" s="476">
        <v>45715</v>
      </c>
      <c r="J8" s="477">
        <v>4</v>
      </c>
      <c r="K8" s="478" t="s">
        <v>163</v>
      </c>
      <c r="L8" s="479">
        <v>-575.73</v>
      </c>
      <c r="M8" s="478" t="s">
        <v>17</v>
      </c>
      <c r="N8" s="480">
        <v>-575.73</v>
      </c>
      <c r="O8" s="476"/>
      <c r="P8" s="476"/>
      <c r="Q8" s="476"/>
      <c r="R8" s="478" t="s">
        <v>108</v>
      </c>
      <c r="S8" s="478" t="s">
        <v>16</v>
      </c>
      <c r="T8" s="334"/>
      <c r="U8" s="332"/>
    </row>
    <row r="9" spans="1:21" ht="28.5" x14ac:dyDescent="0.45">
      <c r="A9" s="473">
        <v>3</v>
      </c>
      <c r="B9" s="474" t="s">
        <v>22</v>
      </c>
      <c r="C9" s="474" t="s">
        <v>27</v>
      </c>
      <c r="D9" s="474" t="s">
        <v>210</v>
      </c>
      <c r="E9" s="474" t="s">
        <v>217</v>
      </c>
      <c r="F9" s="474" t="s">
        <v>218</v>
      </c>
      <c r="G9" s="475"/>
      <c r="H9" s="476">
        <v>45713</v>
      </c>
      <c r="I9" s="476">
        <v>45715</v>
      </c>
      <c r="J9" s="477">
        <v>1</v>
      </c>
      <c r="K9" s="478" t="s">
        <v>109</v>
      </c>
      <c r="L9" s="479">
        <v>477</v>
      </c>
      <c r="M9" s="478" t="s">
        <v>21</v>
      </c>
      <c r="N9" s="480">
        <v>620.1</v>
      </c>
      <c r="O9" s="476"/>
      <c r="P9" s="476"/>
      <c r="Q9" s="476"/>
      <c r="R9" s="478" t="s">
        <v>108</v>
      </c>
      <c r="S9" s="478" t="s">
        <v>133</v>
      </c>
      <c r="T9" s="334"/>
      <c r="U9" s="332"/>
    </row>
    <row r="10" spans="1:21" ht="24" customHeight="1" x14ac:dyDescent="0.45">
      <c r="A10" s="473">
        <v>4</v>
      </c>
      <c r="B10" s="474" t="s">
        <v>22</v>
      </c>
      <c r="C10" s="474" t="s">
        <v>27</v>
      </c>
      <c r="D10" s="474" t="s">
        <v>210</v>
      </c>
      <c r="E10" s="474" t="s">
        <v>54</v>
      </c>
      <c r="F10" s="474" t="s">
        <v>246</v>
      </c>
      <c r="G10" s="475"/>
      <c r="H10" s="476">
        <v>45713</v>
      </c>
      <c r="I10" s="476">
        <v>45715</v>
      </c>
      <c r="J10" s="477">
        <v>2</v>
      </c>
      <c r="K10" s="478" t="s">
        <v>109</v>
      </c>
      <c r="L10" s="481">
        <v>526.09999999999991</v>
      </c>
      <c r="M10" s="481" t="s">
        <v>23</v>
      </c>
      <c r="N10" s="480">
        <v>683.93</v>
      </c>
      <c r="O10" s="476"/>
      <c r="P10" s="476"/>
      <c r="Q10" s="476"/>
      <c r="R10" s="478" t="s">
        <v>108</v>
      </c>
      <c r="S10" s="478" t="s">
        <v>133</v>
      </c>
      <c r="T10" s="334"/>
      <c r="U10" s="332"/>
    </row>
    <row r="11" spans="1:21" ht="24" customHeight="1" x14ac:dyDescent="0.45">
      <c r="A11" s="473">
        <v>5</v>
      </c>
      <c r="B11" s="474" t="s">
        <v>22</v>
      </c>
      <c r="C11" s="474" t="s">
        <v>27</v>
      </c>
      <c r="D11" s="474" t="s">
        <v>210</v>
      </c>
      <c r="E11" s="474" t="s">
        <v>217</v>
      </c>
      <c r="F11" s="474" t="s">
        <v>250</v>
      </c>
      <c r="G11" s="475"/>
      <c r="H11" s="476">
        <v>45713</v>
      </c>
      <c r="I11" s="476">
        <v>45715</v>
      </c>
      <c r="J11" s="477">
        <v>1</v>
      </c>
      <c r="K11" s="478" t="s">
        <v>108</v>
      </c>
      <c r="L11" s="481">
        <v>0</v>
      </c>
      <c r="M11" s="481"/>
      <c r="N11" s="480">
        <v>0</v>
      </c>
      <c r="O11" s="476"/>
      <c r="P11" s="476"/>
      <c r="Q11" s="476"/>
      <c r="R11" s="478" t="s">
        <v>108</v>
      </c>
      <c r="S11" s="478" t="s">
        <v>16</v>
      </c>
      <c r="T11" s="334"/>
      <c r="U11" s="332"/>
    </row>
    <row r="12" spans="1:21" ht="24" customHeight="1" x14ac:dyDescent="0.45">
      <c r="A12" s="473">
        <v>6</v>
      </c>
      <c r="B12" s="474" t="s">
        <v>119</v>
      </c>
      <c r="C12" s="474" t="s">
        <v>26</v>
      </c>
      <c r="D12" s="474" t="s">
        <v>252</v>
      </c>
      <c r="E12" s="474" t="s">
        <v>53</v>
      </c>
      <c r="F12" s="474" t="s">
        <v>253</v>
      </c>
      <c r="G12" s="475"/>
      <c r="H12" s="476">
        <v>45710</v>
      </c>
      <c r="I12" s="476">
        <v>45715</v>
      </c>
      <c r="J12" s="477">
        <v>1</v>
      </c>
      <c r="K12" s="478" t="s">
        <v>109</v>
      </c>
      <c r="L12" s="481">
        <v>352.6</v>
      </c>
      <c r="M12" s="481"/>
      <c r="N12" s="480">
        <v>458.38000000000005</v>
      </c>
      <c r="O12" s="476">
        <v>45716</v>
      </c>
      <c r="P12" s="476"/>
      <c r="Q12" s="476">
        <v>45731</v>
      </c>
      <c r="R12" s="478" t="s">
        <v>109</v>
      </c>
      <c r="S12" s="478" t="s">
        <v>133</v>
      </c>
      <c r="T12" s="334"/>
      <c r="U12" s="332"/>
    </row>
    <row r="13" spans="1:21" s="169" customFormat="1" ht="28.5" x14ac:dyDescent="0.45">
      <c r="A13" s="473">
        <v>7</v>
      </c>
      <c r="B13" s="474" t="s">
        <v>255</v>
      </c>
      <c r="C13" s="474" t="s">
        <v>25</v>
      </c>
      <c r="D13" s="474" t="s">
        <v>256</v>
      </c>
      <c r="E13" s="474" t="s">
        <v>217</v>
      </c>
      <c r="F13" s="474" t="s">
        <v>257</v>
      </c>
      <c r="G13" s="475"/>
      <c r="H13" s="476">
        <v>45771</v>
      </c>
      <c r="I13" s="476">
        <v>45772</v>
      </c>
      <c r="J13" s="477">
        <v>1</v>
      </c>
      <c r="K13" s="478" t="s">
        <v>108</v>
      </c>
      <c r="L13" s="481">
        <v>0</v>
      </c>
      <c r="M13" s="481"/>
      <c r="N13" s="480">
        <v>0</v>
      </c>
      <c r="O13" s="476" t="s">
        <v>164</v>
      </c>
      <c r="P13" s="476"/>
      <c r="Q13" s="476"/>
      <c r="R13" s="478"/>
      <c r="S13" s="478" t="s">
        <v>114</v>
      </c>
      <c r="T13" s="334" t="s">
        <v>259</v>
      </c>
      <c r="U13" s="333"/>
    </row>
    <row r="14" spans="1:21" s="169" customFormat="1" ht="28.5" x14ac:dyDescent="0.45">
      <c r="A14" s="473">
        <v>8</v>
      </c>
      <c r="B14" s="474" t="s">
        <v>260</v>
      </c>
      <c r="C14" s="474" t="s">
        <v>26</v>
      </c>
      <c r="D14" s="474" t="s">
        <v>261</v>
      </c>
      <c r="E14" s="474" t="s">
        <v>217</v>
      </c>
      <c r="F14" s="474" t="s">
        <v>262</v>
      </c>
      <c r="G14" s="475"/>
      <c r="H14" s="476">
        <v>45896</v>
      </c>
      <c r="I14" s="476">
        <v>45896</v>
      </c>
      <c r="J14" s="477">
        <v>1</v>
      </c>
      <c r="K14" s="478" t="s">
        <v>109</v>
      </c>
      <c r="L14" s="481">
        <v>782.95999999999992</v>
      </c>
      <c r="M14" s="481"/>
      <c r="N14" s="480">
        <v>1017.848</v>
      </c>
      <c r="O14" s="476">
        <v>45902</v>
      </c>
      <c r="P14" s="476">
        <v>45905</v>
      </c>
      <c r="Q14" s="476">
        <v>45917</v>
      </c>
      <c r="R14" s="478" t="s">
        <v>108</v>
      </c>
      <c r="S14" s="478" t="s">
        <v>20</v>
      </c>
      <c r="T14" s="334"/>
      <c r="U14" s="333"/>
    </row>
    <row r="15" spans="1:21" s="169" customFormat="1" ht="24" customHeight="1" x14ac:dyDescent="0.45">
      <c r="A15" s="473">
        <v>9</v>
      </c>
      <c r="B15" s="474" t="s">
        <v>263</v>
      </c>
      <c r="C15" s="474" t="s">
        <v>27</v>
      </c>
      <c r="D15" s="474" t="s">
        <v>264</v>
      </c>
      <c r="E15" s="474" t="s">
        <v>54</v>
      </c>
      <c r="F15" s="474" t="s">
        <v>246</v>
      </c>
      <c r="G15" s="475"/>
      <c r="H15" s="476">
        <v>45744</v>
      </c>
      <c r="I15" s="476">
        <v>45745</v>
      </c>
      <c r="J15" s="477">
        <v>2</v>
      </c>
      <c r="K15" s="478" t="s">
        <v>163</v>
      </c>
      <c r="L15" s="479">
        <v>406.09999999999997</v>
      </c>
      <c r="M15" s="478"/>
      <c r="N15" s="480">
        <v>527.92999999999995</v>
      </c>
      <c r="O15" s="476"/>
      <c r="P15" s="476"/>
      <c r="Q15" s="476"/>
      <c r="R15" s="478" t="s">
        <v>108</v>
      </c>
      <c r="S15" s="478" t="s">
        <v>16</v>
      </c>
      <c r="T15" s="334"/>
      <c r="U15" s="333"/>
    </row>
    <row r="16" spans="1:21" ht="24" customHeight="1" x14ac:dyDescent="0.45">
      <c r="A16" s="473">
        <v>10</v>
      </c>
      <c r="B16" s="474" t="s">
        <v>263</v>
      </c>
      <c r="C16" s="474" t="s">
        <v>27</v>
      </c>
      <c r="D16" s="474" t="s">
        <v>264</v>
      </c>
      <c r="E16" s="474" t="s">
        <v>265</v>
      </c>
      <c r="F16" s="474" t="s">
        <v>266</v>
      </c>
      <c r="G16" s="475"/>
      <c r="H16" s="476">
        <v>45744</v>
      </c>
      <c r="I16" s="476">
        <v>45745</v>
      </c>
      <c r="J16" s="477">
        <v>1</v>
      </c>
      <c r="K16" s="478" t="s">
        <v>109</v>
      </c>
      <c r="L16" s="479">
        <v>658.47</v>
      </c>
      <c r="M16" s="478"/>
      <c r="N16" s="480">
        <v>856.01100000000008</v>
      </c>
      <c r="O16" s="476">
        <v>45746</v>
      </c>
      <c r="P16" s="476"/>
      <c r="Q16" s="476">
        <v>45761</v>
      </c>
      <c r="R16" s="478" t="s">
        <v>109</v>
      </c>
      <c r="S16" s="478" t="s">
        <v>133</v>
      </c>
      <c r="T16" s="334"/>
      <c r="U16" s="332"/>
    </row>
    <row r="17" spans="1:21" ht="28.5" x14ac:dyDescent="0.45">
      <c r="A17" s="473">
        <v>11</v>
      </c>
      <c r="B17" s="474" t="s">
        <v>24</v>
      </c>
      <c r="C17" s="474" t="s">
        <v>25</v>
      </c>
      <c r="D17" s="474" t="s">
        <v>268</v>
      </c>
      <c r="E17" s="474" t="s">
        <v>217</v>
      </c>
      <c r="F17" s="474" t="s">
        <v>269</v>
      </c>
      <c r="G17" s="475"/>
      <c r="H17" s="476">
        <v>45956</v>
      </c>
      <c r="I17" s="476">
        <v>45956</v>
      </c>
      <c r="J17" s="477">
        <v>1</v>
      </c>
      <c r="K17" s="478" t="s">
        <v>109</v>
      </c>
      <c r="L17" s="479">
        <v>-249.61999999999989</v>
      </c>
      <c r="M17" s="478"/>
      <c r="N17" s="480">
        <v>-249.61999999999989</v>
      </c>
      <c r="O17" s="476"/>
      <c r="P17" s="476"/>
      <c r="Q17" s="476"/>
      <c r="R17" s="478" t="s">
        <v>108</v>
      </c>
      <c r="S17" s="478" t="s">
        <v>133</v>
      </c>
      <c r="T17" s="334"/>
      <c r="U17" s="332"/>
    </row>
    <row r="18" spans="1:21" ht="28.5" x14ac:dyDescent="0.45">
      <c r="A18" s="473">
        <v>12</v>
      </c>
      <c r="B18" s="474" t="s">
        <v>18</v>
      </c>
      <c r="C18" s="474" t="s">
        <v>26</v>
      </c>
      <c r="D18" s="474" t="s">
        <v>273</v>
      </c>
      <c r="E18" s="474" t="s">
        <v>217</v>
      </c>
      <c r="F18" s="474" t="s">
        <v>279</v>
      </c>
      <c r="G18" s="475"/>
      <c r="H18" s="476">
        <v>45956</v>
      </c>
      <c r="I18" s="476">
        <v>45957</v>
      </c>
      <c r="J18" s="477">
        <v>1</v>
      </c>
      <c r="K18" s="478" t="s">
        <v>109</v>
      </c>
      <c r="L18" s="479">
        <v>444</v>
      </c>
      <c r="M18" s="478"/>
      <c r="N18" s="480">
        <v>577.20000000000005</v>
      </c>
      <c r="O18" s="476">
        <v>45957</v>
      </c>
      <c r="P18" s="476">
        <v>45958</v>
      </c>
      <c r="Q18" s="476">
        <v>45972</v>
      </c>
      <c r="R18" s="478" t="s">
        <v>108</v>
      </c>
      <c r="S18" s="478" t="s">
        <v>20</v>
      </c>
      <c r="T18" s="334"/>
      <c r="U18" s="332"/>
    </row>
    <row r="19" spans="1:21" ht="24" customHeight="1" x14ac:dyDescent="0.45">
      <c r="A19" s="284"/>
      <c r="B19" s="247"/>
      <c r="C19" s="247"/>
      <c r="D19" s="247"/>
      <c r="E19" s="247"/>
      <c r="F19" s="247"/>
      <c r="G19" s="280"/>
      <c r="H19" s="243"/>
      <c r="I19" s="280"/>
      <c r="J19" s="306"/>
      <c r="K19" s="244"/>
      <c r="L19" s="281"/>
      <c r="M19" s="244"/>
      <c r="N19" s="282"/>
      <c r="O19" s="243"/>
      <c r="P19" s="243"/>
      <c r="Q19" s="243"/>
      <c r="R19" s="244"/>
      <c r="S19" s="244"/>
      <c r="T19" s="335"/>
      <c r="U19" s="332"/>
    </row>
    <row r="20" spans="1:21" ht="24" customHeight="1" thickBot="1" x14ac:dyDescent="0.5">
      <c r="A20" s="307"/>
      <c r="B20" s="308"/>
      <c r="C20" s="308"/>
      <c r="D20" s="308"/>
      <c r="E20" s="308"/>
      <c r="F20" s="308"/>
      <c r="G20" s="309"/>
      <c r="H20" s="310"/>
      <c r="I20" s="309"/>
      <c r="J20" s="311"/>
      <c r="K20" s="298"/>
      <c r="L20" s="312"/>
      <c r="M20" s="298"/>
      <c r="N20" s="313"/>
      <c r="O20" s="310"/>
      <c r="P20" s="310"/>
      <c r="Q20" s="310"/>
      <c r="R20" s="298"/>
      <c r="S20" s="298"/>
      <c r="T20" s="336"/>
      <c r="U20" s="332"/>
    </row>
    <row r="21" spans="1:21" s="169" customFormat="1" ht="24" customHeight="1" thickTop="1" x14ac:dyDescent="0.45">
      <c r="A21" s="314"/>
      <c r="B21" s="315"/>
      <c r="C21" s="315"/>
      <c r="D21" s="315"/>
      <c r="E21" s="315"/>
      <c r="F21" s="315"/>
      <c r="G21" s="316"/>
      <c r="H21" s="317"/>
      <c r="I21" s="316"/>
      <c r="J21" s="318"/>
      <c r="K21" s="319" t="s">
        <v>117</v>
      </c>
      <c r="L21" s="320">
        <v>2877.59</v>
      </c>
      <c r="M21" s="320"/>
      <c r="N21" s="321">
        <v>3988.4719999999998</v>
      </c>
      <c r="O21" s="317"/>
      <c r="P21" s="317"/>
      <c r="Q21" s="317"/>
      <c r="R21" s="322"/>
      <c r="S21" s="322"/>
      <c r="T21" s="337"/>
      <c r="U21" s="333"/>
    </row>
    <row r="22" spans="1:21" s="169" customFormat="1" ht="24" customHeight="1" x14ac:dyDescent="0.45">
      <c r="A22" s="323"/>
      <c r="B22" s="324"/>
      <c r="C22" s="324"/>
      <c r="D22" s="324"/>
      <c r="E22" s="324"/>
      <c r="F22" s="324"/>
      <c r="G22" s="325"/>
      <c r="H22" s="326"/>
      <c r="I22" s="325"/>
      <c r="J22" s="327"/>
      <c r="K22" s="328" t="s">
        <v>116</v>
      </c>
      <c r="L22" s="329">
        <v>479.6</v>
      </c>
      <c r="M22" s="329"/>
      <c r="N22" s="330">
        <v>664.74</v>
      </c>
      <c r="O22" s="326"/>
      <c r="P22" s="326"/>
      <c r="Q22" s="326"/>
      <c r="R22" s="331"/>
      <c r="S22" s="331"/>
      <c r="T22" s="335"/>
      <c r="U22" s="333"/>
    </row>
    <row r="23" spans="1:21" s="169" customFormat="1" ht="24" customHeight="1" thickBot="1" x14ac:dyDescent="0.5">
      <c r="A23" s="490"/>
      <c r="B23" s="482"/>
      <c r="C23" s="482"/>
      <c r="D23" s="482"/>
      <c r="E23" s="482"/>
      <c r="F23" s="482"/>
      <c r="G23" s="483"/>
      <c r="H23" s="484"/>
      <c r="I23" s="483"/>
      <c r="J23" s="485"/>
      <c r="K23" s="486" t="s">
        <v>115</v>
      </c>
      <c r="L23" s="487">
        <v>2397.9899999999998</v>
      </c>
      <c r="M23" s="487"/>
      <c r="N23" s="488">
        <v>3323.73</v>
      </c>
      <c r="O23" s="484"/>
      <c r="P23" s="484"/>
      <c r="Q23" s="484"/>
      <c r="R23" s="489"/>
      <c r="S23" s="489"/>
      <c r="T23" s="491"/>
      <c r="U23" s="333"/>
    </row>
    <row r="24" spans="1:21" x14ac:dyDescent="0.45">
      <c r="A24" s="181"/>
      <c r="B24" s="181"/>
      <c r="C24" s="181"/>
      <c r="D24" s="181"/>
      <c r="E24" s="181"/>
      <c r="F24" s="181"/>
      <c r="G24" s="182"/>
      <c r="H24" s="183"/>
      <c r="I24" s="182"/>
      <c r="J24" s="205"/>
      <c r="K24" s="184"/>
      <c r="L24" s="185"/>
      <c r="M24" s="184"/>
      <c r="N24" s="186"/>
      <c r="O24" s="183"/>
      <c r="P24" s="183"/>
      <c r="Q24" s="183"/>
      <c r="R24" s="184"/>
      <c r="S24" s="184"/>
      <c r="U24" s="62"/>
    </row>
    <row r="25" spans="1:21" x14ac:dyDescent="0.45">
      <c r="A25" s="181"/>
      <c r="B25" s="181"/>
      <c r="C25" s="181"/>
      <c r="D25" s="181"/>
      <c r="E25" s="181"/>
      <c r="F25" s="181"/>
      <c r="G25" s="182"/>
      <c r="H25" s="183"/>
      <c r="I25" s="182"/>
      <c r="J25" s="205"/>
      <c r="K25" s="184"/>
      <c r="L25" s="185"/>
      <c r="M25" s="184"/>
      <c r="N25" s="186"/>
      <c r="O25" s="183"/>
      <c r="P25" s="183"/>
      <c r="Q25" s="183"/>
      <c r="R25" s="184"/>
      <c r="S25" s="184"/>
      <c r="U25" s="62"/>
    </row>
    <row r="26" spans="1:21" x14ac:dyDescent="0.45">
      <c r="A26" s="181"/>
      <c r="B26" s="181"/>
      <c r="C26" s="181"/>
      <c r="D26" s="181"/>
      <c r="E26" s="181"/>
      <c r="F26" s="181"/>
      <c r="G26" s="182"/>
      <c r="H26" s="183"/>
      <c r="I26" s="182"/>
      <c r="J26" s="205"/>
      <c r="K26" s="184"/>
      <c r="L26" s="185"/>
      <c r="M26" s="184"/>
      <c r="N26" s="186"/>
      <c r="O26" s="183"/>
      <c r="P26" s="183"/>
      <c r="Q26" s="183"/>
      <c r="R26" s="184"/>
      <c r="S26" s="184"/>
      <c r="U26" s="62"/>
    </row>
    <row r="27" spans="1:21" x14ac:dyDescent="0.45">
      <c r="A27" s="181"/>
      <c r="B27" s="181"/>
      <c r="C27" s="181"/>
      <c r="D27" s="181"/>
      <c r="E27" s="181"/>
      <c r="F27" s="181"/>
      <c r="G27" s="182"/>
      <c r="H27" s="183"/>
      <c r="I27" s="182"/>
      <c r="J27" s="205"/>
      <c r="K27" s="184"/>
      <c r="L27" s="185"/>
      <c r="M27" s="184"/>
      <c r="N27" s="186"/>
      <c r="O27" s="183"/>
      <c r="P27" s="183"/>
      <c r="Q27" s="183"/>
      <c r="R27" s="184"/>
      <c r="S27" s="184"/>
      <c r="U27" s="62"/>
    </row>
    <row r="28" spans="1:21" x14ac:dyDescent="0.45">
      <c r="A28" s="181"/>
      <c r="B28" s="181"/>
      <c r="C28" s="181"/>
      <c r="D28" s="181"/>
      <c r="E28" s="181"/>
      <c r="F28" s="181"/>
      <c r="G28" s="182"/>
      <c r="H28" s="183"/>
      <c r="I28" s="182"/>
      <c r="J28" s="205"/>
      <c r="K28" s="184"/>
      <c r="L28" s="185"/>
      <c r="M28" s="184"/>
      <c r="N28" s="186"/>
      <c r="O28" s="183"/>
      <c r="P28" s="183"/>
      <c r="Q28" s="183"/>
      <c r="R28" s="184"/>
      <c r="S28" s="184"/>
      <c r="U28" s="62"/>
    </row>
    <row r="29" spans="1:21" x14ac:dyDescent="0.45">
      <c r="A29" s="181"/>
      <c r="B29" s="181"/>
      <c r="C29" s="181"/>
      <c r="D29" s="181"/>
      <c r="E29" s="181"/>
      <c r="F29" s="181"/>
      <c r="G29" s="182"/>
      <c r="H29" s="183"/>
      <c r="I29" s="182"/>
      <c r="J29" s="205"/>
      <c r="K29" s="184"/>
      <c r="L29" s="185"/>
      <c r="M29" s="184"/>
      <c r="N29" s="186"/>
      <c r="O29" s="183"/>
      <c r="P29" s="183"/>
      <c r="Q29" s="183"/>
      <c r="R29" s="184"/>
      <c r="S29" s="184"/>
      <c r="U29" s="62"/>
    </row>
    <row r="30" spans="1:21" x14ac:dyDescent="0.45">
      <c r="A30" s="181"/>
      <c r="B30" s="181"/>
      <c r="C30" s="181"/>
      <c r="D30" s="181"/>
      <c r="E30" s="181"/>
      <c r="F30" s="181"/>
      <c r="G30" s="182"/>
      <c r="H30" s="183"/>
      <c r="I30" s="182"/>
      <c r="J30" s="205"/>
      <c r="K30" s="184"/>
      <c r="L30" s="185"/>
      <c r="M30" s="184"/>
      <c r="N30" s="186"/>
      <c r="O30" s="183"/>
      <c r="P30" s="183"/>
      <c r="Q30" s="183"/>
      <c r="R30" s="184"/>
      <c r="S30" s="184"/>
      <c r="U30" s="62"/>
    </row>
    <row r="31" spans="1:21" x14ac:dyDescent="0.45">
      <c r="A31" s="181"/>
      <c r="B31" s="181"/>
      <c r="C31" s="181"/>
      <c r="D31" s="181"/>
      <c r="E31" s="181"/>
      <c r="F31" s="181"/>
      <c r="G31" s="182"/>
      <c r="H31" s="183"/>
      <c r="I31" s="182"/>
      <c r="J31" s="205"/>
      <c r="K31" s="184"/>
      <c r="L31" s="185"/>
      <c r="M31" s="184"/>
      <c r="N31" s="186"/>
      <c r="O31" s="183"/>
      <c r="P31" s="183"/>
      <c r="Q31" s="183"/>
      <c r="R31" s="184"/>
      <c r="S31" s="184"/>
      <c r="U31" s="62"/>
    </row>
    <row r="32" spans="1:21" x14ac:dyDescent="0.45">
      <c r="A32" s="181"/>
      <c r="B32" s="181"/>
      <c r="C32" s="181"/>
      <c r="D32" s="181"/>
      <c r="E32" s="181"/>
      <c r="F32" s="181"/>
      <c r="G32" s="182"/>
      <c r="H32" s="183"/>
      <c r="I32" s="182"/>
      <c r="J32" s="205"/>
      <c r="K32" s="184"/>
      <c r="L32" s="185"/>
      <c r="M32" s="184"/>
      <c r="N32" s="186"/>
      <c r="O32" s="183"/>
      <c r="P32" s="183"/>
      <c r="Q32" s="183"/>
      <c r="R32" s="184"/>
      <c r="S32" s="184"/>
      <c r="U32" s="62"/>
    </row>
    <row r="33" spans="1:21" x14ac:dyDescent="0.45">
      <c r="A33" s="181"/>
      <c r="B33" s="181"/>
      <c r="C33" s="181"/>
      <c r="D33" s="181"/>
      <c r="E33" s="181"/>
      <c r="F33" s="181"/>
      <c r="G33" s="182"/>
      <c r="H33" s="183"/>
      <c r="I33" s="182"/>
      <c r="J33" s="205"/>
      <c r="K33" s="184"/>
      <c r="L33" s="185"/>
      <c r="M33" s="184"/>
      <c r="N33" s="186"/>
      <c r="O33" s="183"/>
      <c r="P33" s="183"/>
      <c r="Q33" s="183"/>
      <c r="R33" s="184"/>
      <c r="S33" s="184"/>
      <c r="U33" s="62"/>
    </row>
    <row r="34" spans="1:21" x14ac:dyDescent="0.45">
      <c r="A34" s="181"/>
      <c r="B34" s="181"/>
      <c r="C34" s="181"/>
      <c r="D34" s="181"/>
      <c r="E34" s="181"/>
      <c r="F34" s="181"/>
      <c r="G34" s="182"/>
      <c r="H34" s="183"/>
      <c r="I34" s="182"/>
      <c r="J34" s="205"/>
      <c r="K34" s="184"/>
      <c r="L34" s="185"/>
      <c r="M34" s="184"/>
      <c r="N34" s="186"/>
      <c r="O34" s="183"/>
      <c r="P34" s="183"/>
      <c r="Q34" s="183"/>
      <c r="R34" s="184"/>
      <c r="S34" s="184"/>
      <c r="U34" s="62"/>
    </row>
    <row r="35" spans="1:21" x14ac:dyDescent="0.45">
      <c r="A35" s="181"/>
      <c r="B35" s="181"/>
      <c r="C35" s="181"/>
      <c r="D35" s="181"/>
      <c r="E35" s="181"/>
      <c r="F35" s="181"/>
      <c r="G35" s="182"/>
      <c r="H35" s="183"/>
      <c r="I35" s="182"/>
      <c r="J35" s="205"/>
      <c r="K35" s="184"/>
      <c r="L35" s="185"/>
      <c r="M35" s="184"/>
      <c r="N35" s="186"/>
      <c r="O35" s="183"/>
      <c r="P35" s="183"/>
      <c r="Q35" s="183"/>
      <c r="R35" s="184"/>
      <c r="S35" s="184"/>
      <c r="U35" s="62"/>
    </row>
    <row r="36" spans="1:21" x14ac:dyDescent="0.45">
      <c r="A36" s="181"/>
      <c r="B36" s="181"/>
      <c r="C36" s="181"/>
      <c r="D36" s="181"/>
      <c r="E36" s="181"/>
      <c r="F36" s="181"/>
      <c r="G36" s="182"/>
      <c r="H36" s="183"/>
      <c r="I36" s="182"/>
      <c r="J36" s="205"/>
      <c r="K36" s="184"/>
      <c r="L36" s="185"/>
      <c r="M36" s="184"/>
      <c r="N36" s="186"/>
      <c r="O36" s="183"/>
      <c r="P36" s="183"/>
      <c r="Q36" s="183"/>
      <c r="R36" s="184"/>
      <c r="S36" s="184"/>
      <c r="U36" s="62"/>
    </row>
    <row r="37" spans="1:21" x14ac:dyDescent="0.45">
      <c r="A37" s="181"/>
      <c r="B37" s="181"/>
      <c r="C37" s="181"/>
      <c r="D37" s="181"/>
      <c r="E37" s="181"/>
      <c r="F37" s="181"/>
      <c r="G37" s="182"/>
      <c r="H37" s="183"/>
      <c r="I37" s="182"/>
      <c r="J37" s="205"/>
      <c r="K37" s="184"/>
      <c r="L37" s="185"/>
      <c r="M37" s="184"/>
      <c r="N37" s="186"/>
      <c r="O37" s="183"/>
      <c r="P37" s="183"/>
      <c r="Q37" s="183"/>
      <c r="R37" s="184"/>
      <c r="S37" s="184"/>
      <c r="U37" s="62"/>
    </row>
    <row r="38" spans="1:21" x14ac:dyDescent="0.45">
      <c r="A38" s="181"/>
      <c r="B38" s="181"/>
      <c r="C38" s="181"/>
      <c r="D38" s="181"/>
      <c r="E38" s="181"/>
      <c r="F38" s="181"/>
      <c r="G38" s="182"/>
      <c r="H38" s="183"/>
      <c r="I38" s="182"/>
      <c r="J38" s="205"/>
      <c r="K38" s="184"/>
      <c r="L38" s="185"/>
      <c r="M38" s="184"/>
      <c r="N38" s="186"/>
      <c r="O38" s="183"/>
      <c r="P38" s="183"/>
      <c r="Q38" s="183"/>
      <c r="R38" s="184"/>
      <c r="S38" s="184"/>
      <c r="U38" s="62"/>
    </row>
    <row r="39" spans="1:21" x14ac:dyDescent="0.45">
      <c r="A39" s="181"/>
      <c r="B39" s="181"/>
      <c r="C39" s="181"/>
      <c r="D39" s="181"/>
      <c r="E39" s="181"/>
      <c r="F39" s="181"/>
      <c r="G39" s="182"/>
      <c r="H39" s="183"/>
      <c r="I39" s="182"/>
      <c r="J39" s="205"/>
      <c r="K39" s="184"/>
      <c r="L39" s="185"/>
      <c r="M39" s="184"/>
      <c r="N39" s="186"/>
      <c r="O39" s="183"/>
      <c r="P39" s="183"/>
      <c r="Q39" s="183"/>
      <c r="R39" s="184"/>
      <c r="S39" s="184"/>
      <c r="U39" s="62"/>
    </row>
    <row r="40" spans="1:21" x14ac:dyDescent="0.45">
      <c r="A40" s="181"/>
      <c r="B40" s="181"/>
      <c r="C40" s="181"/>
      <c r="D40" s="181"/>
      <c r="E40" s="181"/>
      <c r="F40" s="181"/>
      <c r="G40" s="182"/>
      <c r="H40" s="183"/>
      <c r="I40" s="182"/>
      <c r="J40" s="205"/>
      <c r="K40" s="184"/>
      <c r="L40" s="185"/>
      <c r="M40" s="184"/>
      <c r="N40" s="186"/>
      <c r="O40" s="183"/>
      <c r="P40" s="183"/>
      <c r="Q40" s="183"/>
      <c r="R40" s="184"/>
      <c r="S40" s="184"/>
      <c r="U40" s="62"/>
    </row>
    <row r="41" spans="1:21" x14ac:dyDescent="0.45">
      <c r="A41" s="181"/>
      <c r="B41" s="181"/>
      <c r="C41" s="181"/>
      <c r="D41" s="181"/>
      <c r="E41" s="181"/>
      <c r="F41" s="181"/>
      <c r="G41" s="182"/>
      <c r="H41" s="183"/>
      <c r="I41" s="182"/>
      <c r="J41" s="205"/>
      <c r="K41" s="184"/>
      <c r="L41" s="185"/>
      <c r="M41" s="184"/>
      <c r="N41" s="186"/>
      <c r="O41" s="183"/>
      <c r="P41" s="183"/>
      <c r="Q41" s="183"/>
      <c r="R41" s="184"/>
      <c r="S41" s="184"/>
      <c r="U41" s="62"/>
    </row>
    <row r="42" spans="1:21" x14ac:dyDescent="0.45">
      <c r="A42" s="181"/>
      <c r="B42" s="181"/>
      <c r="C42" s="181"/>
      <c r="D42" s="181"/>
      <c r="E42" s="181"/>
      <c r="F42" s="181"/>
      <c r="G42" s="182"/>
      <c r="H42" s="183"/>
      <c r="I42" s="182"/>
      <c r="J42" s="205"/>
      <c r="K42" s="184"/>
      <c r="L42" s="185"/>
      <c r="M42" s="184"/>
      <c r="N42" s="186"/>
      <c r="O42" s="183"/>
      <c r="P42" s="183"/>
      <c r="Q42" s="183"/>
      <c r="R42" s="184"/>
      <c r="S42" s="184"/>
      <c r="U42" s="62"/>
    </row>
    <row r="43" spans="1:21" x14ac:dyDescent="0.45">
      <c r="A43" s="181"/>
      <c r="B43" s="181"/>
      <c r="C43" s="181"/>
      <c r="D43" s="181"/>
      <c r="E43" s="181"/>
      <c r="F43" s="181"/>
      <c r="G43" s="182"/>
      <c r="H43" s="183"/>
      <c r="I43" s="182"/>
      <c r="J43" s="205"/>
      <c r="K43" s="184"/>
      <c r="L43" s="185"/>
      <c r="M43" s="184"/>
      <c r="N43" s="186"/>
      <c r="O43" s="183"/>
      <c r="P43" s="183"/>
      <c r="Q43" s="183"/>
      <c r="R43" s="184"/>
      <c r="S43" s="184"/>
      <c r="U43" s="62"/>
    </row>
    <row r="44" spans="1:21" x14ac:dyDescent="0.45">
      <c r="A44" s="181"/>
      <c r="B44" s="181"/>
      <c r="C44" s="181"/>
      <c r="D44" s="181"/>
      <c r="E44" s="181"/>
      <c r="F44" s="181"/>
      <c r="G44" s="182"/>
      <c r="H44" s="183"/>
      <c r="I44" s="182"/>
      <c r="J44" s="205"/>
      <c r="K44" s="184"/>
      <c r="L44" s="185"/>
      <c r="M44" s="184"/>
      <c r="N44" s="186"/>
      <c r="O44" s="183"/>
      <c r="P44" s="183"/>
      <c r="Q44" s="183"/>
      <c r="R44" s="184"/>
      <c r="S44" s="184"/>
      <c r="U44" s="62"/>
    </row>
    <row r="45" spans="1:21" x14ac:dyDescent="0.45">
      <c r="A45" s="181"/>
      <c r="B45" s="181"/>
      <c r="C45" s="181"/>
      <c r="D45" s="181"/>
      <c r="E45" s="181"/>
      <c r="F45" s="181"/>
      <c r="G45" s="182"/>
      <c r="H45" s="183"/>
      <c r="I45" s="182"/>
      <c r="J45" s="205"/>
      <c r="K45" s="184"/>
      <c r="L45" s="185"/>
      <c r="M45" s="184"/>
      <c r="N45" s="186"/>
      <c r="O45" s="183"/>
      <c r="P45" s="183"/>
      <c r="Q45" s="183"/>
      <c r="R45" s="184"/>
      <c r="S45" s="184"/>
      <c r="U45" s="62"/>
    </row>
    <row r="46" spans="1:21" x14ac:dyDescent="0.45">
      <c r="A46" s="181"/>
      <c r="B46" s="181"/>
      <c r="C46" s="181"/>
      <c r="D46" s="181"/>
      <c r="E46" s="181"/>
      <c r="F46" s="181"/>
      <c r="G46" s="182"/>
      <c r="H46" s="183"/>
      <c r="I46" s="182"/>
      <c r="J46" s="205"/>
      <c r="K46" s="184"/>
      <c r="L46" s="185"/>
      <c r="M46" s="184"/>
      <c r="N46" s="186"/>
      <c r="O46" s="183"/>
      <c r="P46" s="183"/>
      <c r="Q46" s="183"/>
      <c r="R46" s="184"/>
      <c r="S46" s="184"/>
      <c r="U46" s="62"/>
    </row>
    <row r="47" spans="1:21" x14ac:dyDescent="0.45">
      <c r="A47" s="181"/>
      <c r="B47" s="181"/>
      <c r="C47" s="181"/>
      <c r="D47" s="181"/>
      <c r="E47" s="181"/>
      <c r="F47" s="181"/>
      <c r="G47" s="182"/>
      <c r="H47" s="183"/>
      <c r="I47" s="182"/>
      <c r="J47" s="205"/>
      <c r="K47" s="184"/>
      <c r="L47" s="185"/>
      <c r="M47" s="184"/>
      <c r="N47" s="186"/>
      <c r="O47" s="183"/>
      <c r="P47" s="183"/>
      <c r="Q47" s="183"/>
      <c r="R47" s="184"/>
      <c r="S47" s="184"/>
      <c r="U47" s="62"/>
    </row>
    <row r="48" spans="1:21" x14ac:dyDescent="0.45">
      <c r="A48" s="181"/>
      <c r="B48" s="181"/>
      <c r="C48" s="181"/>
      <c r="D48" s="181"/>
      <c r="E48" s="181"/>
      <c r="F48" s="181"/>
      <c r="G48" s="182"/>
      <c r="H48" s="183"/>
      <c r="I48" s="182"/>
      <c r="J48" s="205"/>
      <c r="K48" s="184"/>
      <c r="L48" s="185"/>
      <c r="M48" s="184"/>
      <c r="N48" s="186"/>
      <c r="O48" s="183"/>
      <c r="P48" s="183"/>
      <c r="Q48" s="183"/>
      <c r="R48" s="184"/>
      <c r="S48" s="184"/>
      <c r="U48" s="62"/>
    </row>
    <row r="49" spans="1:21" x14ac:dyDescent="0.45">
      <c r="A49" s="181"/>
      <c r="B49" s="181"/>
      <c r="C49" s="181"/>
      <c r="D49" s="181"/>
      <c r="E49" s="181"/>
      <c r="F49" s="181"/>
      <c r="G49" s="182"/>
      <c r="H49" s="183"/>
      <c r="I49" s="182"/>
      <c r="J49" s="205"/>
      <c r="K49" s="184"/>
      <c r="L49" s="185"/>
      <c r="M49" s="184"/>
      <c r="N49" s="186"/>
      <c r="O49" s="183"/>
      <c r="P49" s="183"/>
      <c r="Q49" s="183"/>
      <c r="R49" s="184"/>
      <c r="S49" s="184"/>
      <c r="U49" s="62"/>
    </row>
    <row r="50" spans="1:21" x14ac:dyDescent="0.45">
      <c r="A50" s="181"/>
      <c r="B50" s="181"/>
      <c r="C50" s="181"/>
      <c r="D50" s="181"/>
      <c r="E50" s="181"/>
      <c r="F50" s="181"/>
      <c r="G50" s="182"/>
      <c r="H50" s="183"/>
      <c r="I50" s="182"/>
      <c r="J50" s="205"/>
      <c r="K50" s="184"/>
      <c r="L50" s="185"/>
      <c r="M50" s="184"/>
      <c r="N50" s="186"/>
      <c r="O50" s="183"/>
      <c r="P50" s="183"/>
      <c r="Q50" s="183"/>
      <c r="R50" s="184"/>
      <c r="S50" s="184"/>
      <c r="U50" s="62"/>
    </row>
    <row r="51" spans="1:21" x14ac:dyDescent="0.45">
      <c r="A51" s="181"/>
      <c r="B51" s="181"/>
      <c r="C51" s="181"/>
      <c r="D51" s="181"/>
      <c r="E51" s="181"/>
      <c r="F51" s="181"/>
      <c r="G51" s="182"/>
      <c r="H51" s="183"/>
      <c r="I51" s="182"/>
      <c r="J51" s="205"/>
      <c r="K51" s="184"/>
      <c r="L51" s="185"/>
      <c r="M51" s="184"/>
      <c r="N51" s="186"/>
      <c r="O51" s="183"/>
      <c r="P51" s="183"/>
      <c r="Q51" s="183"/>
      <c r="R51" s="184"/>
      <c r="S51" s="184"/>
      <c r="U51" s="62"/>
    </row>
    <row r="52" spans="1:21" x14ac:dyDescent="0.45">
      <c r="A52" s="181"/>
      <c r="B52" s="181"/>
      <c r="C52" s="181"/>
      <c r="D52" s="181"/>
      <c r="E52" s="181"/>
      <c r="F52" s="181"/>
      <c r="G52" s="182"/>
      <c r="H52" s="183"/>
      <c r="I52" s="182"/>
      <c r="J52" s="205"/>
      <c r="K52" s="184"/>
      <c r="L52" s="185"/>
      <c r="M52" s="184"/>
      <c r="N52" s="186"/>
      <c r="O52" s="183"/>
      <c r="P52" s="183"/>
      <c r="Q52" s="183"/>
      <c r="R52" s="184"/>
      <c r="S52" s="184"/>
      <c r="U52" s="62"/>
    </row>
    <row r="53" spans="1:21" x14ac:dyDescent="0.45">
      <c r="A53" s="181"/>
      <c r="B53" s="181"/>
      <c r="C53" s="181"/>
      <c r="D53" s="181"/>
      <c r="E53" s="181"/>
      <c r="F53" s="181"/>
      <c r="G53" s="182"/>
      <c r="H53" s="183"/>
      <c r="I53" s="182"/>
      <c r="J53" s="205"/>
      <c r="K53" s="184"/>
      <c r="L53" s="185"/>
      <c r="M53" s="184"/>
      <c r="N53" s="186"/>
      <c r="O53" s="183"/>
      <c r="P53" s="183"/>
      <c r="Q53" s="183"/>
      <c r="R53" s="184"/>
      <c r="S53" s="184"/>
      <c r="U53" s="62"/>
    </row>
    <row r="54" spans="1:21" x14ac:dyDescent="0.45">
      <c r="A54" s="181"/>
      <c r="B54" s="181"/>
      <c r="C54" s="181"/>
      <c r="D54" s="181"/>
      <c r="E54" s="181"/>
      <c r="F54" s="181"/>
      <c r="G54" s="182"/>
      <c r="H54" s="183"/>
      <c r="I54" s="182"/>
      <c r="J54" s="205"/>
      <c r="K54" s="184"/>
      <c r="L54" s="185"/>
      <c r="M54" s="184"/>
      <c r="N54" s="186"/>
      <c r="O54" s="183"/>
      <c r="P54" s="183"/>
      <c r="Q54" s="183"/>
      <c r="R54" s="184"/>
      <c r="S54" s="184"/>
      <c r="U54" s="62"/>
    </row>
    <row r="55" spans="1:21" x14ac:dyDescent="0.45">
      <c r="A55" s="181"/>
      <c r="B55" s="181"/>
      <c r="C55" s="181"/>
      <c r="D55" s="181"/>
      <c r="E55" s="181"/>
      <c r="F55" s="181"/>
      <c r="G55" s="182"/>
      <c r="H55" s="183"/>
      <c r="I55" s="182"/>
      <c r="J55" s="205"/>
      <c r="K55" s="184"/>
      <c r="L55" s="185"/>
      <c r="M55" s="184"/>
      <c r="N55" s="186"/>
      <c r="O55" s="183"/>
      <c r="P55" s="183"/>
      <c r="Q55" s="183"/>
      <c r="R55" s="184"/>
      <c r="S55" s="184"/>
      <c r="U55" s="62"/>
    </row>
    <row r="56" spans="1:21" x14ac:dyDescent="0.45">
      <c r="A56" s="181"/>
      <c r="B56" s="181"/>
      <c r="C56" s="181"/>
      <c r="D56" s="181"/>
      <c r="E56" s="181"/>
      <c r="F56" s="181"/>
      <c r="G56" s="182"/>
      <c r="H56" s="183"/>
      <c r="I56" s="182"/>
      <c r="J56" s="205"/>
      <c r="K56" s="184"/>
      <c r="L56" s="185"/>
      <c r="M56" s="184"/>
      <c r="N56" s="186"/>
      <c r="O56" s="183"/>
      <c r="P56" s="183"/>
      <c r="Q56" s="183"/>
      <c r="R56" s="184"/>
      <c r="S56" s="184"/>
      <c r="U56" s="62"/>
    </row>
    <row r="57" spans="1:21" x14ac:dyDescent="0.45">
      <c r="A57" s="181"/>
      <c r="B57" s="181"/>
      <c r="C57" s="181"/>
      <c r="D57" s="181"/>
      <c r="E57" s="181"/>
      <c r="F57" s="181"/>
      <c r="G57" s="182"/>
      <c r="H57" s="183"/>
      <c r="I57" s="182"/>
      <c r="J57" s="205"/>
      <c r="K57" s="184"/>
      <c r="L57" s="185"/>
      <c r="M57" s="184"/>
      <c r="N57" s="186"/>
      <c r="O57" s="183"/>
      <c r="P57" s="183"/>
      <c r="Q57" s="183"/>
      <c r="R57" s="184"/>
      <c r="S57" s="184"/>
      <c r="U57" s="62"/>
    </row>
    <row r="58" spans="1:21" x14ac:dyDescent="0.45">
      <c r="A58" s="181"/>
      <c r="B58" s="181"/>
      <c r="C58" s="181"/>
      <c r="D58" s="181"/>
      <c r="E58" s="181"/>
      <c r="F58" s="181"/>
      <c r="G58" s="182"/>
      <c r="H58" s="183"/>
      <c r="I58" s="182"/>
      <c r="J58" s="205"/>
      <c r="K58" s="184"/>
      <c r="L58" s="185"/>
      <c r="M58" s="184"/>
      <c r="N58" s="186"/>
      <c r="O58" s="183"/>
      <c r="P58" s="183"/>
      <c r="Q58" s="183"/>
      <c r="R58" s="184"/>
      <c r="S58" s="184"/>
      <c r="U58" s="62"/>
    </row>
    <row r="59" spans="1:21" x14ac:dyDescent="0.45">
      <c r="A59" s="181"/>
      <c r="B59" s="181"/>
      <c r="C59" s="181"/>
      <c r="D59" s="181"/>
      <c r="E59" s="181"/>
      <c r="F59" s="181"/>
      <c r="G59" s="182"/>
      <c r="H59" s="183"/>
      <c r="I59" s="182"/>
      <c r="J59" s="205"/>
      <c r="K59" s="184"/>
      <c r="L59" s="185"/>
      <c r="M59" s="184"/>
      <c r="N59" s="186"/>
      <c r="O59" s="183"/>
      <c r="P59" s="183"/>
      <c r="Q59" s="183"/>
      <c r="R59" s="184"/>
      <c r="S59" s="184"/>
      <c r="U59" s="62"/>
    </row>
    <row r="60" spans="1:21" x14ac:dyDescent="0.45">
      <c r="A60" s="181"/>
      <c r="B60" s="181"/>
      <c r="C60" s="181"/>
      <c r="D60" s="181"/>
      <c r="E60" s="181"/>
      <c r="F60" s="181"/>
      <c r="G60" s="182"/>
      <c r="H60" s="183"/>
      <c r="I60" s="182"/>
      <c r="J60" s="205"/>
      <c r="K60" s="184"/>
      <c r="L60" s="185"/>
      <c r="M60" s="184"/>
      <c r="N60" s="186"/>
      <c r="O60" s="183"/>
      <c r="P60" s="183"/>
      <c r="Q60" s="183"/>
      <c r="R60" s="184"/>
      <c r="S60" s="184"/>
      <c r="U60" s="62"/>
    </row>
    <row r="61" spans="1:21" x14ac:dyDescent="0.45">
      <c r="A61" s="181"/>
      <c r="B61" s="181"/>
      <c r="C61" s="181"/>
      <c r="D61" s="181"/>
      <c r="E61" s="181"/>
      <c r="F61" s="181"/>
      <c r="G61" s="182"/>
      <c r="H61" s="183"/>
      <c r="I61" s="182"/>
      <c r="J61" s="205"/>
      <c r="K61" s="184"/>
      <c r="L61" s="185"/>
      <c r="M61" s="184"/>
      <c r="N61" s="186"/>
      <c r="O61" s="183"/>
      <c r="P61" s="183"/>
      <c r="Q61" s="183"/>
      <c r="R61" s="184"/>
      <c r="S61" s="184"/>
      <c r="U61" s="62"/>
    </row>
    <row r="62" spans="1:21" x14ac:dyDescent="0.45">
      <c r="A62" s="181"/>
      <c r="B62" s="181"/>
      <c r="C62" s="181"/>
      <c r="D62" s="181"/>
      <c r="E62" s="181"/>
      <c r="F62" s="181"/>
      <c r="G62" s="182"/>
      <c r="H62" s="183"/>
      <c r="I62" s="182"/>
      <c r="J62" s="205"/>
      <c r="K62" s="184"/>
      <c r="L62" s="185"/>
      <c r="M62" s="184"/>
      <c r="N62" s="186"/>
      <c r="O62" s="183"/>
      <c r="P62" s="183"/>
      <c r="Q62" s="183"/>
      <c r="R62" s="184"/>
      <c r="S62" s="184"/>
      <c r="U62" s="62"/>
    </row>
    <row r="63" spans="1:21" x14ac:dyDescent="0.45">
      <c r="A63" s="181"/>
      <c r="B63" s="181"/>
      <c r="C63" s="181"/>
      <c r="D63" s="181"/>
      <c r="E63" s="181"/>
      <c r="F63" s="181"/>
      <c r="G63" s="182"/>
      <c r="H63" s="183"/>
      <c r="I63" s="182"/>
      <c r="J63" s="205"/>
      <c r="K63" s="184"/>
      <c r="L63" s="185"/>
      <c r="M63" s="184"/>
      <c r="N63" s="186"/>
      <c r="O63" s="183"/>
      <c r="P63" s="183"/>
      <c r="Q63" s="183"/>
      <c r="R63" s="184"/>
      <c r="S63" s="184"/>
      <c r="U63" s="62"/>
    </row>
    <row r="64" spans="1:21" x14ac:dyDescent="0.45">
      <c r="A64" s="181"/>
      <c r="B64" s="181"/>
      <c r="C64" s="181"/>
      <c r="D64" s="181"/>
      <c r="E64" s="181"/>
      <c r="F64" s="181"/>
      <c r="G64" s="182"/>
      <c r="H64" s="183"/>
      <c r="I64" s="182"/>
      <c r="J64" s="205"/>
      <c r="K64" s="184"/>
      <c r="L64" s="185"/>
      <c r="M64" s="184"/>
      <c r="N64" s="186"/>
      <c r="O64" s="183"/>
      <c r="P64" s="183"/>
      <c r="Q64" s="183"/>
      <c r="R64" s="184"/>
      <c r="S64" s="184"/>
      <c r="U64" s="62"/>
    </row>
    <row r="65" spans="1:21" x14ac:dyDescent="0.45">
      <c r="A65" s="181"/>
      <c r="B65" s="181"/>
      <c r="C65" s="181"/>
      <c r="D65" s="181"/>
      <c r="E65" s="181"/>
      <c r="F65" s="181"/>
      <c r="G65" s="182"/>
      <c r="H65" s="183"/>
      <c r="I65" s="182"/>
      <c r="J65" s="205"/>
      <c r="K65" s="184"/>
      <c r="L65" s="185"/>
      <c r="M65" s="184"/>
      <c r="N65" s="186"/>
      <c r="O65" s="183"/>
      <c r="P65" s="183"/>
      <c r="Q65" s="183"/>
      <c r="R65" s="184"/>
      <c r="S65" s="184"/>
      <c r="U65" s="62"/>
    </row>
    <row r="66" spans="1:21" x14ac:dyDescent="0.45">
      <c r="A66" s="181"/>
      <c r="B66" s="181"/>
      <c r="C66" s="181"/>
      <c r="D66" s="181"/>
      <c r="E66" s="181"/>
      <c r="F66" s="181"/>
      <c r="G66" s="182"/>
      <c r="H66" s="183"/>
      <c r="I66" s="182"/>
      <c r="J66" s="205"/>
      <c r="K66" s="184"/>
      <c r="L66" s="185"/>
      <c r="M66" s="184"/>
      <c r="N66" s="186"/>
      <c r="O66" s="183"/>
      <c r="P66" s="183"/>
      <c r="Q66" s="183"/>
      <c r="R66" s="184"/>
      <c r="S66" s="184"/>
      <c r="U66" s="62"/>
    </row>
    <row r="67" spans="1:21" x14ac:dyDescent="0.45">
      <c r="A67" s="181"/>
      <c r="B67" s="181"/>
      <c r="C67" s="181"/>
      <c r="D67" s="181"/>
      <c r="E67" s="181"/>
      <c r="F67" s="181"/>
      <c r="G67" s="182"/>
      <c r="H67" s="183"/>
      <c r="I67" s="182"/>
      <c r="J67" s="205"/>
      <c r="K67" s="184"/>
      <c r="L67" s="185"/>
      <c r="M67" s="184"/>
      <c r="N67" s="186"/>
      <c r="O67" s="183"/>
      <c r="P67" s="183"/>
      <c r="Q67" s="183"/>
      <c r="R67" s="184"/>
      <c r="S67" s="184"/>
      <c r="U67" s="62"/>
    </row>
    <row r="68" spans="1:21" x14ac:dyDescent="0.45">
      <c r="A68" s="181"/>
      <c r="B68" s="181"/>
      <c r="C68" s="181"/>
      <c r="D68" s="181"/>
      <c r="E68" s="181"/>
      <c r="F68" s="181"/>
      <c r="G68" s="182"/>
      <c r="H68" s="183"/>
      <c r="I68" s="182"/>
      <c r="J68" s="205"/>
      <c r="K68" s="184"/>
      <c r="L68" s="185"/>
      <c r="M68" s="184"/>
      <c r="N68" s="186"/>
      <c r="O68" s="183"/>
      <c r="P68" s="183"/>
      <c r="Q68" s="183"/>
      <c r="R68" s="184"/>
      <c r="S68" s="184"/>
      <c r="U68" s="62"/>
    </row>
    <row r="69" spans="1:21" x14ac:dyDescent="0.45">
      <c r="A69" s="181"/>
      <c r="B69" s="181"/>
      <c r="C69" s="181"/>
      <c r="D69" s="181"/>
      <c r="E69" s="181"/>
      <c r="F69" s="181"/>
      <c r="G69" s="182"/>
      <c r="H69" s="183"/>
      <c r="I69" s="182"/>
      <c r="J69" s="205"/>
      <c r="K69" s="184"/>
      <c r="L69" s="185"/>
      <c r="M69" s="184"/>
      <c r="N69" s="186"/>
      <c r="O69" s="183"/>
      <c r="P69" s="183"/>
      <c r="Q69" s="183"/>
      <c r="R69" s="184"/>
      <c r="S69" s="184"/>
      <c r="U69" s="62"/>
    </row>
    <row r="70" spans="1:21" x14ac:dyDescent="0.45">
      <c r="A70" s="181"/>
      <c r="B70" s="181"/>
      <c r="C70" s="181"/>
      <c r="D70" s="181"/>
      <c r="E70" s="181"/>
      <c r="F70" s="181"/>
      <c r="G70" s="182"/>
      <c r="H70" s="183"/>
      <c r="I70" s="182"/>
      <c r="J70" s="205"/>
      <c r="K70" s="184"/>
      <c r="L70" s="185"/>
      <c r="M70" s="184"/>
      <c r="N70" s="186"/>
      <c r="O70" s="183"/>
      <c r="P70" s="183"/>
      <c r="Q70" s="183"/>
      <c r="R70" s="184"/>
      <c r="S70" s="184"/>
      <c r="U70" s="62"/>
    </row>
    <row r="71" spans="1:21" x14ac:dyDescent="0.45">
      <c r="A71" s="181"/>
      <c r="B71" s="181"/>
      <c r="C71" s="181"/>
      <c r="D71" s="181"/>
      <c r="E71" s="181"/>
      <c r="F71" s="181"/>
      <c r="G71" s="182"/>
      <c r="H71" s="183"/>
      <c r="I71" s="182"/>
      <c r="J71" s="205"/>
      <c r="K71" s="184"/>
      <c r="L71" s="185"/>
      <c r="M71" s="184"/>
      <c r="N71" s="186"/>
      <c r="O71" s="183"/>
      <c r="P71" s="183"/>
      <c r="Q71" s="183"/>
      <c r="R71" s="184"/>
      <c r="S71" s="184"/>
      <c r="U71" s="62"/>
    </row>
    <row r="72" spans="1:21" x14ac:dyDescent="0.45">
      <c r="A72" s="181"/>
      <c r="B72" s="181"/>
      <c r="C72" s="181"/>
      <c r="D72" s="181"/>
      <c r="E72" s="181"/>
      <c r="F72" s="181"/>
      <c r="G72" s="182"/>
      <c r="H72" s="183"/>
      <c r="I72" s="182"/>
      <c r="J72" s="205"/>
      <c r="K72" s="184"/>
      <c r="L72" s="185"/>
      <c r="M72" s="184"/>
      <c r="N72" s="186"/>
      <c r="O72" s="183"/>
      <c r="P72" s="183"/>
      <c r="Q72" s="183"/>
      <c r="R72" s="184"/>
      <c r="S72" s="184"/>
      <c r="U72" s="62"/>
    </row>
    <row r="73" spans="1:21" x14ac:dyDescent="0.45">
      <c r="A73" s="181"/>
      <c r="B73" s="181"/>
      <c r="C73" s="181"/>
      <c r="D73" s="181"/>
      <c r="E73" s="181"/>
      <c r="F73" s="181"/>
      <c r="G73" s="182"/>
      <c r="H73" s="183"/>
      <c r="I73" s="182"/>
      <c r="J73" s="205"/>
      <c r="K73" s="184"/>
      <c r="L73" s="185"/>
      <c r="M73" s="184"/>
      <c r="N73" s="186"/>
      <c r="O73" s="183"/>
      <c r="P73" s="183"/>
      <c r="Q73" s="183"/>
      <c r="R73" s="184"/>
      <c r="S73" s="184"/>
      <c r="U73" s="62"/>
    </row>
    <row r="74" spans="1:21" x14ac:dyDescent="0.45">
      <c r="A74" s="181"/>
      <c r="B74" s="181"/>
      <c r="C74" s="181"/>
      <c r="D74" s="181"/>
      <c r="E74" s="181"/>
      <c r="F74" s="181"/>
      <c r="G74" s="182"/>
      <c r="H74" s="183"/>
      <c r="I74" s="182"/>
      <c r="J74" s="205"/>
      <c r="K74" s="184"/>
      <c r="L74" s="185"/>
      <c r="M74" s="184"/>
      <c r="N74" s="186"/>
      <c r="O74" s="183"/>
      <c r="P74" s="183"/>
      <c r="Q74" s="183"/>
      <c r="R74" s="184"/>
      <c r="S74" s="184"/>
      <c r="U74" s="62"/>
    </row>
    <row r="75" spans="1:21" x14ac:dyDescent="0.45">
      <c r="A75" s="181"/>
      <c r="B75" s="181"/>
      <c r="C75" s="181"/>
      <c r="D75" s="181"/>
      <c r="E75" s="181"/>
      <c r="F75" s="181"/>
      <c r="G75" s="182"/>
      <c r="H75" s="183"/>
      <c r="I75" s="182"/>
      <c r="J75" s="205"/>
      <c r="K75" s="184"/>
      <c r="L75" s="185"/>
      <c r="M75" s="184"/>
      <c r="N75" s="186"/>
      <c r="O75" s="183"/>
      <c r="P75" s="183"/>
      <c r="Q75" s="183"/>
      <c r="R75" s="184"/>
      <c r="S75" s="184"/>
      <c r="U75" s="62"/>
    </row>
    <row r="76" spans="1:21" x14ac:dyDescent="0.45">
      <c r="A76" s="181"/>
      <c r="B76" s="181"/>
      <c r="C76" s="181"/>
      <c r="D76" s="181"/>
      <c r="E76" s="181"/>
      <c r="F76" s="181"/>
      <c r="G76" s="182"/>
      <c r="H76" s="183"/>
      <c r="I76" s="182"/>
      <c r="J76" s="205"/>
      <c r="K76" s="184"/>
      <c r="L76" s="185"/>
      <c r="M76" s="184"/>
      <c r="N76" s="186"/>
      <c r="O76" s="183"/>
      <c r="P76" s="183"/>
      <c r="Q76" s="183"/>
      <c r="R76" s="184"/>
      <c r="S76" s="184"/>
      <c r="U76" s="62"/>
    </row>
    <row r="77" spans="1:21" x14ac:dyDescent="0.45">
      <c r="A77" s="181"/>
      <c r="B77" s="181"/>
      <c r="C77" s="181"/>
      <c r="D77" s="181"/>
      <c r="E77" s="181"/>
      <c r="F77" s="181"/>
      <c r="G77" s="182"/>
      <c r="H77" s="183"/>
      <c r="I77" s="182"/>
      <c r="J77" s="205"/>
      <c r="K77" s="184"/>
      <c r="L77" s="185"/>
      <c r="M77" s="184"/>
      <c r="N77" s="186"/>
      <c r="O77" s="183"/>
      <c r="P77" s="183"/>
      <c r="Q77" s="183"/>
      <c r="R77" s="184"/>
      <c r="S77" s="184"/>
      <c r="U77" s="62"/>
    </row>
    <row r="78" spans="1:21" x14ac:dyDescent="0.45">
      <c r="A78" s="181"/>
      <c r="B78" s="181"/>
      <c r="C78" s="181"/>
      <c r="D78" s="181"/>
      <c r="E78" s="181"/>
      <c r="F78" s="181"/>
      <c r="G78" s="182"/>
      <c r="H78" s="183"/>
      <c r="I78" s="182"/>
      <c r="J78" s="205"/>
      <c r="K78" s="184"/>
      <c r="L78" s="185"/>
      <c r="M78" s="184"/>
      <c r="N78" s="186"/>
      <c r="O78" s="183"/>
      <c r="P78" s="183"/>
      <c r="Q78" s="183"/>
      <c r="R78" s="184"/>
      <c r="S78" s="184"/>
      <c r="U78" s="62"/>
    </row>
    <row r="79" spans="1:21" x14ac:dyDescent="0.45">
      <c r="A79" s="181"/>
      <c r="B79" s="181"/>
      <c r="C79" s="181"/>
      <c r="D79" s="181"/>
      <c r="E79" s="181"/>
      <c r="F79" s="181"/>
      <c r="G79" s="182"/>
      <c r="H79" s="183"/>
      <c r="I79" s="182"/>
      <c r="J79" s="205"/>
      <c r="K79" s="184"/>
      <c r="L79" s="185"/>
      <c r="M79" s="184"/>
      <c r="N79" s="186"/>
      <c r="O79" s="183"/>
      <c r="P79" s="183"/>
      <c r="Q79" s="183"/>
      <c r="R79" s="184"/>
      <c r="S79" s="184"/>
      <c r="U79" s="62"/>
    </row>
    <row r="80" spans="1:21" x14ac:dyDescent="0.45">
      <c r="A80" s="181"/>
      <c r="B80" s="181"/>
      <c r="C80" s="181"/>
      <c r="D80" s="181"/>
      <c r="E80" s="181"/>
      <c r="F80" s="181"/>
      <c r="G80" s="182"/>
      <c r="H80" s="183"/>
      <c r="I80" s="182"/>
      <c r="J80" s="205"/>
      <c r="K80" s="184"/>
      <c r="L80" s="185"/>
      <c r="M80" s="184"/>
      <c r="N80" s="186"/>
      <c r="O80" s="183"/>
      <c r="P80" s="183"/>
      <c r="Q80" s="183"/>
      <c r="R80" s="184"/>
      <c r="S80" s="184"/>
      <c r="U80" s="62"/>
    </row>
    <row r="81" spans="1:21" x14ac:dyDescent="0.45">
      <c r="A81" s="181"/>
      <c r="B81" s="181"/>
      <c r="C81" s="181"/>
      <c r="D81" s="181"/>
      <c r="E81" s="181"/>
      <c r="F81" s="181"/>
      <c r="G81" s="182"/>
      <c r="H81" s="183"/>
      <c r="I81" s="182"/>
      <c r="J81" s="205"/>
      <c r="K81" s="184"/>
      <c r="L81" s="185"/>
      <c r="M81" s="184"/>
      <c r="N81" s="186"/>
      <c r="O81" s="183"/>
      <c r="P81" s="183"/>
      <c r="Q81" s="183"/>
      <c r="R81" s="184"/>
      <c r="S81" s="184"/>
      <c r="U81" s="62"/>
    </row>
    <row r="82" spans="1:21" x14ac:dyDescent="0.45">
      <c r="A82" s="181"/>
      <c r="B82" s="181"/>
      <c r="C82" s="181"/>
      <c r="D82" s="181"/>
      <c r="E82" s="181"/>
      <c r="F82" s="181"/>
      <c r="G82" s="182"/>
      <c r="H82" s="183"/>
      <c r="I82" s="182"/>
      <c r="J82" s="205"/>
      <c r="K82" s="184"/>
      <c r="L82" s="185"/>
      <c r="M82" s="184"/>
      <c r="N82" s="186"/>
      <c r="O82" s="183"/>
      <c r="P82" s="183"/>
      <c r="Q82" s="183"/>
      <c r="R82" s="184"/>
      <c r="S82" s="184"/>
      <c r="U82" s="62"/>
    </row>
    <row r="83" spans="1:21" x14ac:dyDescent="0.45">
      <c r="A83" s="181"/>
      <c r="B83" s="181"/>
      <c r="C83" s="181"/>
      <c r="D83" s="181"/>
      <c r="E83" s="181"/>
      <c r="F83" s="181"/>
      <c r="G83" s="182"/>
      <c r="H83" s="183"/>
      <c r="I83" s="182"/>
      <c r="J83" s="205"/>
      <c r="K83" s="184"/>
      <c r="L83" s="185"/>
      <c r="M83" s="184"/>
      <c r="N83" s="186"/>
      <c r="O83" s="183"/>
      <c r="P83" s="183"/>
      <c r="Q83" s="183"/>
      <c r="R83" s="184"/>
      <c r="S83" s="184"/>
      <c r="U83" s="62"/>
    </row>
    <row r="84" spans="1:21" x14ac:dyDescent="0.45">
      <c r="A84" s="181"/>
      <c r="B84" s="181"/>
      <c r="C84" s="181"/>
      <c r="D84" s="181"/>
      <c r="E84" s="181"/>
      <c r="F84" s="181"/>
      <c r="G84" s="182"/>
      <c r="H84" s="183"/>
      <c r="I84" s="182"/>
      <c r="J84" s="205"/>
      <c r="K84" s="184"/>
      <c r="L84" s="185"/>
      <c r="M84" s="184"/>
      <c r="N84" s="186"/>
      <c r="O84" s="183"/>
      <c r="P84" s="183"/>
      <c r="Q84" s="183"/>
      <c r="R84" s="184"/>
      <c r="S84" s="184"/>
      <c r="U84" s="62"/>
    </row>
    <row r="85" spans="1:21" x14ac:dyDescent="0.45">
      <c r="A85" s="181"/>
      <c r="B85" s="181"/>
      <c r="C85" s="181"/>
      <c r="D85" s="181"/>
      <c r="E85" s="181"/>
      <c r="F85" s="181"/>
      <c r="G85" s="182"/>
      <c r="H85" s="183"/>
      <c r="I85" s="182"/>
      <c r="J85" s="205"/>
      <c r="K85" s="184"/>
      <c r="L85" s="185"/>
      <c r="M85" s="184"/>
      <c r="N85" s="186"/>
      <c r="O85" s="183"/>
      <c r="P85" s="183"/>
      <c r="Q85" s="183"/>
      <c r="R85" s="184"/>
      <c r="S85" s="184"/>
      <c r="U85" s="62"/>
    </row>
    <row r="86" spans="1:21" x14ac:dyDescent="0.45">
      <c r="A86" s="181"/>
      <c r="B86" s="181"/>
      <c r="C86" s="181"/>
      <c r="D86" s="181"/>
      <c r="E86" s="181"/>
      <c r="F86" s="181"/>
      <c r="G86" s="182"/>
      <c r="H86" s="183"/>
      <c r="I86" s="182"/>
      <c r="J86" s="205"/>
      <c r="K86" s="184"/>
      <c r="L86" s="185"/>
      <c r="M86" s="184"/>
      <c r="N86" s="186"/>
      <c r="O86" s="183"/>
      <c r="P86" s="183"/>
      <c r="Q86" s="183"/>
      <c r="R86" s="184"/>
      <c r="S86" s="184"/>
      <c r="U86" s="62"/>
    </row>
    <row r="87" spans="1:21" x14ac:dyDescent="0.45">
      <c r="A87" s="181"/>
      <c r="B87" s="181"/>
      <c r="C87" s="181"/>
      <c r="D87" s="181"/>
      <c r="E87" s="181"/>
      <c r="F87" s="181"/>
      <c r="G87" s="182"/>
      <c r="H87" s="183"/>
      <c r="I87" s="182"/>
      <c r="J87" s="205"/>
      <c r="K87" s="184"/>
      <c r="L87" s="185"/>
      <c r="M87" s="184"/>
      <c r="N87" s="186"/>
      <c r="O87" s="183"/>
      <c r="P87" s="183"/>
      <c r="Q87" s="183"/>
      <c r="R87" s="184"/>
      <c r="S87" s="184"/>
      <c r="U87" s="62"/>
    </row>
    <row r="88" spans="1:21" x14ac:dyDescent="0.45">
      <c r="A88" s="181"/>
      <c r="B88" s="181"/>
      <c r="C88" s="181"/>
      <c r="D88" s="181"/>
      <c r="E88" s="181"/>
      <c r="F88" s="181"/>
      <c r="G88" s="182"/>
      <c r="H88" s="183"/>
      <c r="I88" s="182"/>
      <c r="J88" s="205"/>
      <c r="K88" s="184"/>
      <c r="L88" s="185"/>
      <c r="M88" s="184"/>
      <c r="N88" s="186"/>
      <c r="O88" s="183"/>
      <c r="P88" s="183"/>
      <c r="Q88" s="183"/>
      <c r="R88" s="184"/>
      <c r="S88" s="184"/>
      <c r="U88" s="62"/>
    </row>
    <row r="89" spans="1:21" x14ac:dyDescent="0.45">
      <c r="A89" s="181"/>
      <c r="B89" s="181"/>
      <c r="C89" s="181"/>
      <c r="D89" s="181"/>
      <c r="E89" s="181"/>
      <c r="F89" s="181"/>
      <c r="G89" s="182"/>
      <c r="H89" s="183"/>
      <c r="I89" s="182"/>
      <c r="J89" s="205"/>
      <c r="K89" s="184"/>
      <c r="L89" s="185"/>
      <c r="M89" s="184"/>
      <c r="N89" s="186"/>
      <c r="O89" s="183"/>
      <c r="P89" s="183"/>
      <c r="Q89" s="183"/>
      <c r="R89" s="184"/>
      <c r="S89" s="184"/>
      <c r="U89" s="62"/>
    </row>
    <row r="90" spans="1:21" x14ac:dyDescent="0.45">
      <c r="A90" s="181"/>
      <c r="B90" s="181"/>
      <c r="C90" s="181"/>
      <c r="D90" s="181"/>
      <c r="E90" s="181"/>
      <c r="F90" s="181"/>
      <c r="G90" s="182"/>
      <c r="H90" s="183"/>
      <c r="I90" s="182"/>
      <c r="J90" s="205"/>
      <c r="K90" s="184"/>
      <c r="L90" s="185"/>
      <c r="M90" s="184"/>
      <c r="N90" s="186"/>
      <c r="O90" s="183"/>
      <c r="P90" s="183"/>
      <c r="Q90" s="183"/>
      <c r="R90" s="184"/>
      <c r="S90" s="184"/>
      <c r="U90" s="62"/>
    </row>
    <row r="91" spans="1:21" x14ac:dyDescent="0.45">
      <c r="A91" s="181"/>
      <c r="B91" s="181"/>
      <c r="C91" s="181"/>
      <c r="D91" s="181"/>
      <c r="E91" s="181"/>
      <c r="F91" s="181"/>
      <c r="G91" s="182"/>
      <c r="H91" s="183"/>
      <c r="I91" s="182"/>
      <c r="J91" s="205"/>
      <c r="K91" s="184"/>
      <c r="L91" s="185"/>
      <c r="M91" s="184"/>
      <c r="N91" s="186"/>
      <c r="O91" s="183"/>
      <c r="P91" s="183"/>
      <c r="Q91" s="183"/>
      <c r="R91" s="184"/>
      <c r="S91" s="184"/>
      <c r="U91" s="62"/>
    </row>
    <row r="92" spans="1:21" x14ac:dyDescent="0.45">
      <c r="A92" s="181"/>
      <c r="B92" s="181"/>
      <c r="C92" s="181"/>
      <c r="D92" s="181"/>
      <c r="E92" s="181"/>
      <c r="F92" s="181"/>
      <c r="G92" s="182"/>
      <c r="H92" s="183"/>
      <c r="I92" s="182"/>
      <c r="J92" s="205"/>
      <c r="K92" s="184"/>
      <c r="L92" s="185"/>
      <c r="M92" s="184"/>
      <c r="N92" s="186"/>
      <c r="O92" s="183"/>
      <c r="P92" s="183"/>
      <c r="Q92" s="183"/>
      <c r="R92" s="184"/>
      <c r="S92" s="184"/>
      <c r="U92" s="62"/>
    </row>
    <row r="93" spans="1:21" x14ac:dyDescent="0.45">
      <c r="A93" s="181"/>
      <c r="B93" s="181"/>
      <c r="C93" s="181"/>
      <c r="D93" s="181"/>
      <c r="E93" s="181"/>
      <c r="F93" s="181"/>
      <c r="G93" s="182"/>
      <c r="H93" s="183"/>
      <c r="I93" s="182"/>
      <c r="J93" s="205"/>
      <c r="K93" s="184"/>
      <c r="L93" s="185"/>
      <c r="M93" s="184"/>
      <c r="N93" s="186"/>
      <c r="O93" s="183"/>
      <c r="P93" s="183"/>
      <c r="Q93" s="183"/>
      <c r="R93" s="184"/>
      <c r="S93" s="184"/>
      <c r="U93" s="62"/>
    </row>
    <row r="94" spans="1:21" x14ac:dyDescent="0.45">
      <c r="A94" s="181"/>
      <c r="B94" s="181"/>
      <c r="C94" s="181"/>
      <c r="D94" s="181"/>
      <c r="E94" s="181"/>
      <c r="F94" s="181"/>
      <c r="G94" s="182"/>
      <c r="H94" s="183"/>
      <c r="I94" s="182"/>
      <c r="J94" s="205"/>
      <c r="K94" s="184"/>
      <c r="L94" s="185"/>
      <c r="M94" s="184"/>
      <c r="N94" s="186"/>
      <c r="O94" s="183"/>
      <c r="P94" s="183"/>
      <c r="Q94" s="183"/>
      <c r="R94" s="184"/>
      <c r="S94" s="184"/>
      <c r="U94" s="62"/>
    </row>
    <row r="95" spans="1:21" x14ac:dyDescent="0.45">
      <c r="A95" s="181"/>
      <c r="B95" s="181"/>
      <c r="C95" s="181"/>
      <c r="D95" s="181"/>
      <c r="E95" s="181"/>
      <c r="F95" s="181"/>
      <c r="G95" s="182"/>
      <c r="H95" s="183"/>
      <c r="I95" s="182"/>
      <c r="J95" s="205"/>
      <c r="K95" s="184"/>
      <c r="L95" s="185"/>
      <c r="M95" s="184"/>
      <c r="N95" s="186"/>
      <c r="O95" s="183"/>
      <c r="P95" s="183"/>
      <c r="Q95" s="183"/>
      <c r="R95" s="184"/>
      <c r="S95" s="184"/>
      <c r="U95" s="62"/>
    </row>
    <row r="96" spans="1:21" x14ac:dyDescent="0.45">
      <c r="A96" s="181"/>
      <c r="B96" s="181"/>
      <c r="C96" s="181"/>
      <c r="D96" s="181"/>
      <c r="E96" s="181"/>
      <c r="F96" s="181"/>
      <c r="G96" s="182"/>
      <c r="H96" s="183"/>
      <c r="I96" s="182"/>
      <c r="J96" s="205"/>
      <c r="K96" s="184"/>
      <c r="L96" s="185"/>
      <c r="M96" s="184"/>
      <c r="N96" s="186"/>
      <c r="O96" s="183"/>
      <c r="P96" s="183"/>
      <c r="Q96" s="183"/>
      <c r="R96" s="184"/>
      <c r="S96" s="184"/>
      <c r="U96" s="62"/>
    </row>
    <row r="97" spans="1:21" x14ac:dyDescent="0.45">
      <c r="A97" s="181"/>
      <c r="B97" s="181"/>
      <c r="C97" s="181"/>
      <c r="D97" s="181"/>
      <c r="E97" s="181"/>
      <c r="F97" s="181"/>
      <c r="G97" s="182"/>
      <c r="H97" s="183"/>
      <c r="I97" s="182"/>
      <c r="J97" s="205"/>
      <c r="K97" s="184"/>
      <c r="L97" s="185"/>
      <c r="M97" s="184"/>
      <c r="N97" s="186"/>
      <c r="O97" s="183"/>
      <c r="P97" s="183"/>
      <c r="Q97" s="183"/>
      <c r="R97" s="184"/>
      <c r="S97" s="184"/>
      <c r="U97" s="62"/>
    </row>
    <row r="98" spans="1:21" x14ac:dyDescent="0.45">
      <c r="A98" s="181"/>
      <c r="B98" s="181"/>
      <c r="C98" s="181"/>
      <c r="D98" s="181"/>
      <c r="E98" s="181"/>
      <c r="F98" s="181"/>
      <c r="G98" s="182"/>
      <c r="H98" s="183"/>
      <c r="I98" s="182"/>
      <c r="J98" s="205"/>
      <c r="K98" s="184"/>
      <c r="L98" s="185"/>
      <c r="M98" s="184"/>
      <c r="N98" s="186"/>
      <c r="O98" s="183"/>
      <c r="P98" s="183"/>
      <c r="Q98" s="183"/>
      <c r="R98" s="184"/>
      <c r="S98" s="184"/>
      <c r="U98" s="62"/>
    </row>
    <row r="99" spans="1:21" x14ac:dyDescent="0.45">
      <c r="A99" s="181"/>
      <c r="B99" s="181"/>
      <c r="C99" s="181"/>
      <c r="D99" s="181"/>
      <c r="E99" s="181"/>
      <c r="F99" s="181"/>
      <c r="G99" s="182"/>
      <c r="H99" s="183"/>
      <c r="I99" s="182"/>
      <c r="J99" s="205"/>
      <c r="K99" s="184"/>
      <c r="L99" s="185"/>
      <c r="M99" s="184"/>
      <c r="N99" s="186"/>
      <c r="O99" s="183"/>
      <c r="P99" s="183"/>
      <c r="Q99" s="183"/>
      <c r="R99" s="184"/>
      <c r="S99" s="184"/>
      <c r="U99" s="62"/>
    </row>
    <row r="100" spans="1:21" x14ac:dyDescent="0.45">
      <c r="A100" s="181"/>
      <c r="B100" s="181"/>
      <c r="C100" s="181"/>
      <c r="D100" s="181"/>
      <c r="E100" s="181"/>
      <c r="F100" s="181"/>
      <c r="G100" s="182"/>
      <c r="H100" s="183"/>
      <c r="I100" s="182"/>
      <c r="J100" s="205"/>
      <c r="K100" s="184"/>
      <c r="L100" s="185"/>
      <c r="M100" s="184"/>
      <c r="N100" s="186"/>
      <c r="O100" s="183"/>
      <c r="P100" s="183"/>
      <c r="Q100" s="183"/>
      <c r="R100" s="184"/>
      <c r="S100" s="184"/>
      <c r="U100" s="62"/>
    </row>
    <row r="101" spans="1:21" x14ac:dyDescent="0.45">
      <c r="A101" s="181"/>
      <c r="B101" s="181"/>
      <c r="C101" s="181"/>
      <c r="D101" s="181"/>
      <c r="E101" s="181"/>
      <c r="F101" s="181"/>
      <c r="G101" s="182"/>
      <c r="H101" s="183"/>
      <c r="I101" s="182"/>
      <c r="J101" s="205"/>
      <c r="K101" s="184"/>
      <c r="L101" s="185"/>
      <c r="M101" s="184"/>
      <c r="N101" s="186"/>
      <c r="O101" s="183"/>
      <c r="P101" s="183"/>
      <c r="Q101" s="183"/>
      <c r="R101" s="184"/>
      <c r="S101" s="184"/>
      <c r="U101" s="62"/>
    </row>
    <row r="102" spans="1:21" x14ac:dyDescent="0.45">
      <c r="A102" s="181"/>
      <c r="B102" s="181"/>
      <c r="C102" s="181"/>
      <c r="D102" s="181"/>
      <c r="E102" s="181"/>
      <c r="F102" s="181"/>
      <c r="G102" s="182"/>
      <c r="H102" s="183"/>
      <c r="I102" s="182"/>
      <c r="J102" s="205"/>
      <c r="K102" s="184"/>
      <c r="L102" s="185"/>
      <c r="M102" s="184"/>
      <c r="N102" s="186"/>
      <c r="O102" s="183"/>
      <c r="P102" s="183"/>
      <c r="Q102" s="183"/>
      <c r="R102" s="184"/>
      <c r="S102" s="184"/>
      <c r="U102" s="62"/>
    </row>
    <row r="103" spans="1:21" x14ac:dyDescent="0.45">
      <c r="A103" s="181"/>
      <c r="B103" s="181"/>
      <c r="C103" s="181"/>
      <c r="D103" s="181"/>
      <c r="E103" s="181"/>
      <c r="F103" s="181"/>
      <c r="G103" s="182"/>
      <c r="H103" s="183"/>
      <c r="I103" s="182"/>
      <c r="J103" s="205"/>
      <c r="K103" s="184"/>
      <c r="L103" s="185"/>
      <c r="M103" s="184"/>
      <c r="N103" s="186"/>
      <c r="O103" s="183"/>
      <c r="P103" s="183"/>
      <c r="Q103" s="183"/>
      <c r="R103" s="184"/>
      <c r="S103" s="184"/>
      <c r="U103" s="62"/>
    </row>
    <row r="104" spans="1:21" x14ac:dyDescent="0.45">
      <c r="A104" s="181"/>
      <c r="B104" s="181"/>
      <c r="C104" s="181"/>
      <c r="D104" s="181"/>
      <c r="E104" s="181"/>
      <c r="F104" s="181"/>
      <c r="G104" s="182"/>
      <c r="H104" s="183"/>
      <c r="I104" s="182"/>
      <c r="J104" s="205"/>
      <c r="K104" s="184"/>
      <c r="L104" s="185"/>
      <c r="M104" s="184"/>
      <c r="N104" s="186"/>
      <c r="O104" s="183"/>
      <c r="P104" s="183"/>
      <c r="Q104" s="183"/>
      <c r="R104" s="184"/>
      <c r="S104" s="184"/>
      <c r="U104" s="62"/>
    </row>
    <row r="105" spans="1:21" x14ac:dyDescent="0.45">
      <c r="A105" s="181"/>
      <c r="B105" s="181"/>
      <c r="C105" s="181"/>
      <c r="D105" s="181"/>
      <c r="E105" s="181"/>
      <c r="F105" s="181"/>
      <c r="G105" s="182"/>
      <c r="H105" s="183"/>
      <c r="I105" s="182"/>
      <c r="J105" s="205"/>
      <c r="K105" s="184"/>
      <c r="L105" s="185"/>
      <c r="M105" s="184"/>
      <c r="N105" s="186"/>
      <c r="O105" s="183"/>
      <c r="P105" s="183"/>
      <c r="Q105" s="183"/>
      <c r="R105" s="184"/>
      <c r="S105" s="184"/>
      <c r="U105" s="62"/>
    </row>
    <row r="106" spans="1:21" x14ac:dyDescent="0.45">
      <c r="A106" s="181"/>
      <c r="B106" s="181"/>
      <c r="C106" s="181"/>
      <c r="D106" s="181"/>
      <c r="E106" s="181"/>
      <c r="F106" s="181"/>
      <c r="G106" s="182"/>
      <c r="H106" s="183"/>
      <c r="I106" s="182"/>
      <c r="J106" s="205"/>
      <c r="K106" s="184"/>
      <c r="L106" s="185"/>
      <c r="M106" s="184"/>
      <c r="N106" s="186"/>
      <c r="O106" s="183"/>
      <c r="P106" s="183"/>
      <c r="Q106" s="183"/>
      <c r="R106" s="184"/>
      <c r="S106" s="184"/>
      <c r="U106" s="62"/>
    </row>
    <row r="107" spans="1:21" x14ac:dyDescent="0.45">
      <c r="A107" s="181"/>
      <c r="B107" s="181"/>
      <c r="C107" s="181"/>
      <c r="D107" s="181"/>
      <c r="E107" s="181"/>
      <c r="F107" s="181"/>
      <c r="G107" s="182"/>
      <c r="H107" s="183"/>
      <c r="I107" s="182"/>
      <c r="J107" s="205"/>
      <c r="K107" s="184"/>
      <c r="L107" s="185"/>
      <c r="M107" s="184"/>
      <c r="N107" s="186"/>
      <c r="O107" s="183"/>
      <c r="P107" s="183"/>
      <c r="Q107" s="183"/>
      <c r="R107" s="184"/>
      <c r="S107" s="184"/>
      <c r="U107" s="62"/>
    </row>
    <row r="108" spans="1:21" x14ac:dyDescent="0.45">
      <c r="A108" s="181"/>
      <c r="B108" s="181"/>
      <c r="C108" s="181"/>
      <c r="D108" s="181"/>
      <c r="E108" s="181"/>
      <c r="F108" s="181"/>
      <c r="G108" s="182"/>
      <c r="H108" s="183"/>
      <c r="I108" s="182"/>
      <c r="J108" s="205"/>
      <c r="K108" s="184"/>
      <c r="L108" s="185"/>
      <c r="M108" s="184"/>
      <c r="N108" s="186"/>
      <c r="O108" s="183"/>
      <c r="P108" s="183"/>
      <c r="Q108" s="183"/>
      <c r="R108" s="184"/>
      <c r="S108" s="184"/>
      <c r="U108" s="62"/>
    </row>
    <row r="109" spans="1:21" x14ac:dyDescent="0.45">
      <c r="A109" s="181"/>
      <c r="B109" s="181"/>
      <c r="C109" s="181"/>
      <c r="D109" s="181"/>
      <c r="E109" s="181"/>
      <c r="F109" s="181"/>
      <c r="G109" s="182"/>
      <c r="H109" s="183"/>
      <c r="I109" s="182"/>
      <c r="J109" s="205"/>
      <c r="K109" s="184"/>
      <c r="L109" s="185"/>
      <c r="M109" s="184"/>
      <c r="N109" s="186"/>
      <c r="O109" s="183"/>
      <c r="P109" s="183"/>
      <c r="Q109" s="183"/>
      <c r="R109" s="184"/>
      <c r="S109" s="184"/>
      <c r="U109" s="62"/>
    </row>
    <row r="110" spans="1:21" x14ac:dyDescent="0.45">
      <c r="A110" s="181"/>
      <c r="B110" s="181"/>
      <c r="C110" s="181"/>
      <c r="D110" s="181"/>
      <c r="E110" s="181"/>
      <c r="F110" s="181"/>
      <c r="G110" s="182"/>
      <c r="H110" s="183"/>
      <c r="I110" s="182"/>
      <c r="J110" s="205"/>
      <c r="K110" s="184"/>
      <c r="L110" s="185"/>
      <c r="M110" s="184"/>
      <c r="N110" s="186"/>
      <c r="O110" s="183"/>
      <c r="P110" s="183"/>
      <c r="Q110" s="183"/>
      <c r="R110" s="184"/>
      <c r="S110" s="184"/>
      <c r="U110" s="62"/>
    </row>
    <row r="111" spans="1:21" x14ac:dyDescent="0.45">
      <c r="A111" s="181"/>
      <c r="B111" s="181"/>
      <c r="C111" s="181"/>
      <c r="D111" s="181"/>
      <c r="E111" s="181"/>
      <c r="F111" s="181"/>
      <c r="G111" s="182"/>
      <c r="H111" s="183"/>
      <c r="I111" s="182"/>
      <c r="J111" s="205"/>
      <c r="K111" s="184"/>
      <c r="L111" s="185"/>
      <c r="M111" s="184"/>
      <c r="N111" s="186"/>
      <c r="O111" s="183"/>
      <c r="P111" s="183"/>
      <c r="Q111" s="183"/>
      <c r="R111" s="184"/>
      <c r="S111" s="184"/>
      <c r="U111" s="62"/>
    </row>
    <row r="112" spans="1:21" x14ac:dyDescent="0.45">
      <c r="A112" s="181"/>
      <c r="B112" s="181"/>
      <c r="C112" s="181"/>
      <c r="D112" s="181"/>
      <c r="E112" s="181"/>
      <c r="F112" s="181"/>
      <c r="G112" s="182"/>
      <c r="H112" s="183"/>
      <c r="I112" s="182"/>
      <c r="J112" s="205"/>
      <c r="K112" s="184"/>
      <c r="L112" s="185"/>
      <c r="M112" s="184"/>
      <c r="N112" s="186"/>
      <c r="O112" s="183"/>
      <c r="P112" s="183"/>
      <c r="Q112" s="183"/>
      <c r="R112" s="184"/>
      <c r="S112" s="184"/>
      <c r="U112" s="62"/>
    </row>
    <row r="113" spans="1:21" x14ac:dyDescent="0.45">
      <c r="A113" s="181"/>
      <c r="B113" s="181"/>
      <c r="C113" s="181"/>
      <c r="D113" s="181"/>
      <c r="E113" s="181"/>
      <c r="F113" s="181"/>
      <c r="G113" s="182"/>
      <c r="H113" s="183"/>
      <c r="I113" s="182"/>
      <c r="J113" s="205"/>
      <c r="K113" s="184"/>
      <c r="L113" s="185"/>
      <c r="M113" s="184"/>
      <c r="N113" s="186"/>
      <c r="O113" s="183"/>
      <c r="P113" s="183"/>
      <c r="Q113" s="183"/>
      <c r="R113" s="184"/>
      <c r="S113" s="184"/>
      <c r="U113" s="62"/>
    </row>
    <row r="114" spans="1:21" x14ac:dyDescent="0.45">
      <c r="A114" s="181"/>
      <c r="B114" s="181"/>
      <c r="C114" s="181"/>
      <c r="D114" s="181"/>
      <c r="E114" s="181"/>
      <c r="F114" s="181"/>
      <c r="G114" s="182"/>
      <c r="H114" s="183"/>
      <c r="I114" s="182"/>
      <c r="J114" s="205"/>
      <c r="K114" s="184"/>
      <c r="L114" s="185"/>
      <c r="M114" s="184"/>
      <c r="N114" s="186"/>
      <c r="O114" s="183"/>
      <c r="P114" s="183"/>
      <c r="Q114" s="183"/>
      <c r="R114" s="184"/>
      <c r="S114" s="184"/>
      <c r="U114" s="62"/>
    </row>
    <row r="115" spans="1:21" x14ac:dyDescent="0.45">
      <c r="A115" s="181"/>
      <c r="B115" s="181"/>
      <c r="C115" s="181"/>
      <c r="D115" s="181"/>
      <c r="E115" s="181"/>
      <c r="F115" s="181"/>
      <c r="G115" s="182"/>
      <c r="H115" s="183"/>
      <c r="I115" s="182"/>
      <c r="J115" s="205"/>
      <c r="K115" s="184"/>
      <c r="L115" s="185"/>
      <c r="M115" s="184"/>
      <c r="N115" s="186"/>
      <c r="O115" s="183"/>
      <c r="P115" s="183"/>
      <c r="Q115" s="183"/>
      <c r="R115" s="184"/>
      <c r="S115" s="184"/>
      <c r="U115" s="62"/>
    </row>
    <row r="116" spans="1:21" x14ac:dyDescent="0.45">
      <c r="A116" s="181"/>
      <c r="B116" s="181"/>
      <c r="C116" s="181"/>
      <c r="D116" s="181"/>
      <c r="E116" s="181"/>
      <c r="F116" s="181"/>
      <c r="G116" s="182"/>
      <c r="H116" s="183"/>
      <c r="I116" s="182"/>
      <c r="J116" s="205"/>
      <c r="K116" s="184"/>
      <c r="L116" s="185"/>
      <c r="M116" s="184"/>
      <c r="N116" s="186"/>
      <c r="O116" s="183"/>
      <c r="P116" s="183"/>
      <c r="Q116" s="183"/>
      <c r="R116" s="184"/>
      <c r="S116" s="184"/>
      <c r="U116" s="62"/>
    </row>
    <row r="117" spans="1:21" x14ac:dyDescent="0.45">
      <c r="A117" s="181"/>
      <c r="B117" s="181"/>
      <c r="C117" s="181"/>
      <c r="D117" s="181"/>
      <c r="E117" s="181"/>
      <c r="F117" s="181"/>
      <c r="G117" s="182"/>
      <c r="H117" s="183"/>
      <c r="I117" s="182"/>
      <c r="J117" s="205"/>
      <c r="K117" s="184"/>
      <c r="L117" s="185"/>
      <c r="M117" s="184"/>
      <c r="N117" s="186"/>
      <c r="O117" s="183"/>
      <c r="P117" s="183"/>
      <c r="Q117" s="183"/>
      <c r="R117" s="184"/>
      <c r="S117" s="184"/>
      <c r="U117" s="62"/>
    </row>
    <row r="118" spans="1:21" x14ac:dyDescent="0.45">
      <c r="A118" s="181"/>
      <c r="B118" s="181"/>
      <c r="C118" s="181"/>
      <c r="D118" s="181"/>
      <c r="E118" s="181"/>
      <c r="F118" s="181"/>
      <c r="G118" s="182"/>
      <c r="H118" s="183"/>
      <c r="I118" s="182"/>
      <c r="J118" s="205"/>
      <c r="K118" s="184"/>
      <c r="L118" s="185"/>
      <c r="M118" s="184"/>
      <c r="N118" s="186"/>
      <c r="O118" s="183"/>
      <c r="P118" s="183"/>
      <c r="Q118" s="183"/>
      <c r="R118" s="184"/>
      <c r="S118" s="184"/>
      <c r="U118" s="62"/>
    </row>
    <row r="119" spans="1:21" x14ac:dyDescent="0.45">
      <c r="A119" s="181"/>
      <c r="B119" s="181"/>
      <c r="C119" s="181"/>
      <c r="D119" s="181"/>
      <c r="E119" s="181"/>
      <c r="F119" s="181"/>
      <c r="G119" s="182"/>
      <c r="H119" s="183"/>
      <c r="I119" s="182"/>
      <c r="J119" s="205"/>
      <c r="K119" s="184"/>
      <c r="L119" s="185"/>
      <c r="M119" s="184"/>
      <c r="N119" s="186"/>
      <c r="O119" s="183"/>
      <c r="P119" s="183"/>
      <c r="Q119" s="183"/>
      <c r="R119" s="184"/>
      <c r="S119" s="184"/>
      <c r="U119" s="62"/>
    </row>
    <row r="120" spans="1:21" x14ac:dyDescent="0.45">
      <c r="A120" s="181"/>
      <c r="B120" s="181"/>
      <c r="C120" s="181"/>
      <c r="D120" s="181"/>
      <c r="E120" s="181"/>
      <c r="F120" s="181"/>
      <c r="G120" s="182"/>
      <c r="H120" s="183"/>
      <c r="I120" s="182"/>
      <c r="J120" s="205"/>
      <c r="K120" s="184"/>
      <c r="L120" s="185"/>
      <c r="M120" s="184"/>
      <c r="N120" s="186"/>
      <c r="O120" s="183"/>
      <c r="P120" s="183"/>
      <c r="Q120" s="183"/>
      <c r="R120" s="184"/>
      <c r="S120" s="184"/>
      <c r="U120" s="62"/>
    </row>
    <row r="121" spans="1:21" x14ac:dyDescent="0.45">
      <c r="A121" s="181"/>
      <c r="B121" s="181"/>
      <c r="C121" s="181"/>
      <c r="D121" s="181"/>
      <c r="E121" s="181"/>
      <c r="F121" s="181"/>
      <c r="G121" s="182"/>
      <c r="H121" s="183"/>
      <c r="I121" s="182"/>
      <c r="J121" s="205"/>
      <c r="K121" s="184"/>
      <c r="L121" s="185"/>
      <c r="M121" s="184"/>
      <c r="N121" s="186"/>
      <c r="O121" s="183"/>
      <c r="P121" s="183"/>
      <c r="Q121" s="183"/>
      <c r="R121" s="184"/>
      <c r="S121" s="184"/>
      <c r="U121" s="62"/>
    </row>
    <row r="122" spans="1:21" x14ac:dyDescent="0.45">
      <c r="A122" s="181"/>
      <c r="B122" s="181"/>
      <c r="C122" s="181"/>
      <c r="D122" s="181"/>
      <c r="E122" s="181"/>
      <c r="F122" s="181"/>
      <c r="G122" s="182"/>
      <c r="H122" s="183"/>
      <c r="I122" s="182"/>
      <c r="J122" s="205"/>
      <c r="K122" s="184"/>
      <c r="L122" s="185"/>
      <c r="M122" s="184"/>
      <c r="N122" s="186"/>
      <c r="O122" s="183"/>
      <c r="P122" s="183"/>
      <c r="Q122" s="183"/>
      <c r="R122" s="184"/>
      <c r="S122" s="184"/>
      <c r="U122" s="62"/>
    </row>
    <row r="123" spans="1:21" x14ac:dyDescent="0.45">
      <c r="A123" s="181"/>
      <c r="B123" s="181"/>
      <c r="C123" s="181"/>
      <c r="D123" s="181"/>
      <c r="E123" s="181"/>
      <c r="F123" s="181"/>
      <c r="G123" s="182"/>
      <c r="H123" s="183"/>
      <c r="I123" s="182"/>
      <c r="J123" s="205"/>
      <c r="K123" s="184"/>
      <c r="L123" s="185"/>
      <c r="M123" s="184"/>
      <c r="N123" s="186"/>
      <c r="O123" s="183"/>
      <c r="P123" s="183"/>
      <c r="Q123" s="183"/>
      <c r="R123" s="184"/>
      <c r="S123" s="184"/>
      <c r="U123" s="62"/>
    </row>
    <row r="124" spans="1:21" x14ac:dyDescent="0.45">
      <c r="A124" s="181"/>
      <c r="B124" s="181"/>
      <c r="C124" s="181"/>
      <c r="D124" s="181"/>
      <c r="E124" s="181"/>
      <c r="F124" s="181"/>
      <c r="G124" s="182"/>
      <c r="H124" s="183"/>
      <c r="I124" s="182"/>
      <c r="J124" s="205"/>
      <c r="K124" s="184"/>
      <c r="L124" s="185"/>
      <c r="M124" s="184"/>
      <c r="N124" s="186"/>
      <c r="O124" s="183"/>
      <c r="P124" s="183"/>
      <c r="Q124" s="183"/>
      <c r="R124" s="184"/>
      <c r="S124" s="184"/>
      <c r="U124" s="62"/>
    </row>
    <row r="125" spans="1:21" x14ac:dyDescent="0.45">
      <c r="A125" s="181"/>
      <c r="B125" s="181"/>
      <c r="C125" s="181"/>
      <c r="D125" s="181"/>
      <c r="E125" s="181"/>
      <c r="F125" s="181"/>
      <c r="G125" s="182"/>
      <c r="H125" s="183"/>
      <c r="I125" s="182"/>
      <c r="J125" s="205"/>
      <c r="K125" s="184"/>
      <c r="L125" s="185"/>
      <c r="M125" s="184"/>
      <c r="N125" s="186"/>
      <c r="O125" s="183"/>
      <c r="P125" s="183"/>
      <c r="Q125" s="183"/>
      <c r="R125" s="184"/>
      <c r="S125" s="184"/>
      <c r="U125" s="62"/>
    </row>
    <row r="126" spans="1:21" x14ac:dyDescent="0.45">
      <c r="A126" s="181"/>
      <c r="B126" s="181"/>
      <c r="C126" s="181"/>
      <c r="D126" s="181"/>
      <c r="E126" s="181"/>
      <c r="F126" s="181"/>
      <c r="G126" s="182"/>
      <c r="H126" s="183"/>
      <c r="I126" s="182"/>
      <c r="J126" s="205"/>
      <c r="K126" s="184"/>
      <c r="L126" s="185"/>
      <c r="M126" s="184"/>
      <c r="N126" s="186"/>
      <c r="O126" s="183"/>
      <c r="P126" s="183"/>
      <c r="Q126" s="183"/>
      <c r="R126" s="184"/>
      <c r="S126" s="184"/>
      <c r="U126" s="62"/>
    </row>
    <row r="127" spans="1:21" x14ac:dyDescent="0.45">
      <c r="A127" s="181"/>
      <c r="B127" s="181"/>
      <c r="C127" s="181"/>
      <c r="D127" s="181"/>
      <c r="E127" s="181"/>
      <c r="F127" s="181"/>
      <c r="G127" s="182"/>
      <c r="H127" s="183"/>
      <c r="I127" s="182"/>
      <c r="J127" s="205"/>
      <c r="K127" s="184"/>
      <c r="L127" s="185"/>
      <c r="M127" s="184"/>
      <c r="N127" s="186"/>
      <c r="O127" s="183"/>
      <c r="P127" s="183"/>
      <c r="Q127" s="183"/>
      <c r="R127" s="184"/>
      <c r="S127" s="184"/>
      <c r="U127" s="62"/>
    </row>
    <row r="128" spans="1:21" x14ac:dyDescent="0.45">
      <c r="A128" s="181"/>
      <c r="B128" s="181"/>
      <c r="C128" s="181"/>
      <c r="D128" s="181"/>
      <c r="E128" s="181"/>
      <c r="F128" s="181"/>
      <c r="G128" s="182"/>
      <c r="H128" s="183"/>
      <c r="I128" s="182"/>
      <c r="J128" s="205"/>
      <c r="K128" s="184"/>
      <c r="L128" s="185"/>
      <c r="M128" s="184"/>
      <c r="N128" s="186"/>
      <c r="O128" s="183"/>
      <c r="P128" s="183"/>
      <c r="Q128" s="183"/>
      <c r="R128" s="184"/>
      <c r="S128" s="184"/>
      <c r="U128" s="62"/>
    </row>
    <row r="129" spans="1:21" x14ac:dyDescent="0.45">
      <c r="A129" s="181"/>
      <c r="B129" s="181"/>
      <c r="C129" s="181"/>
      <c r="D129" s="181"/>
      <c r="E129" s="181"/>
      <c r="F129" s="181"/>
      <c r="G129" s="182"/>
      <c r="H129" s="183"/>
      <c r="I129" s="182"/>
      <c r="J129" s="205"/>
      <c r="K129" s="184"/>
      <c r="L129" s="185"/>
      <c r="M129" s="184"/>
      <c r="N129" s="186"/>
      <c r="O129" s="183"/>
      <c r="P129" s="183"/>
      <c r="Q129" s="183"/>
      <c r="R129" s="184"/>
      <c r="S129" s="184"/>
      <c r="U129" s="62"/>
    </row>
    <row r="130" spans="1:21" x14ac:dyDescent="0.45">
      <c r="A130" s="181"/>
      <c r="B130" s="181"/>
      <c r="C130" s="181"/>
      <c r="D130" s="181"/>
      <c r="E130" s="181"/>
      <c r="F130" s="181"/>
      <c r="G130" s="182"/>
      <c r="H130" s="183"/>
      <c r="I130" s="182"/>
      <c r="J130" s="205"/>
      <c r="K130" s="184"/>
      <c r="L130" s="185"/>
      <c r="M130" s="184"/>
      <c r="N130" s="186"/>
      <c r="O130" s="183"/>
      <c r="P130" s="183"/>
      <c r="Q130" s="183"/>
      <c r="R130" s="184"/>
      <c r="S130" s="184"/>
      <c r="U130" s="62"/>
    </row>
    <row r="131" spans="1:21" x14ac:dyDescent="0.45">
      <c r="A131" s="181"/>
      <c r="B131" s="181"/>
      <c r="C131" s="181"/>
      <c r="D131" s="181"/>
      <c r="E131" s="181"/>
      <c r="F131" s="181"/>
      <c r="G131" s="182"/>
      <c r="H131" s="183"/>
      <c r="I131" s="182"/>
      <c r="J131" s="205"/>
      <c r="K131" s="184"/>
      <c r="L131" s="185"/>
      <c r="M131" s="184"/>
      <c r="N131" s="186"/>
      <c r="O131" s="183"/>
      <c r="P131" s="183"/>
      <c r="Q131" s="183"/>
      <c r="R131" s="184"/>
      <c r="S131" s="184"/>
      <c r="U131" s="62"/>
    </row>
    <row r="132" spans="1:21" x14ac:dyDescent="0.45">
      <c r="A132" s="181"/>
      <c r="B132" s="181"/>
      <c r="C132" s="181"/>
      <c r="D132" s="181"/>
      <c r="E132" s="181"/>
      <c r="F132" s="181"/>
      <c r="G132" s="182"/>
      <c r="H132" s="183"/>
      <c r="I132" s="182"/>
      <c r="J132" s="205"/>
      <c r="K132" s="184"/>
      <c r="L132" s="185"/>
      <c r="M132" s="184"/>
      <c r="N132" s="186"/>
      <c r="O132" s="183"/>
      <c r="P132" s="183"/>
      <c r="Q132" s="183"/>
      <c r="R132" s="184"/>
      <c r="S132" s="184"/>
      <c r="U132" s="62"/>
    </row>
    <row r="133" spans="1:21" x14ac:dyDescent="0.45">
      <c r="A133" s="181"/>
      <c r="B133" s="181"/>
      <c r="C133" s="181"/>
      <c r="D133" s="181"/>
      <c r="E133" s="181"/>
      <c r="F133" s="181"/>
      <c r="G133" s="182"/>
      <c r="H133" s="183"/>
      <c r="I133" s="182"/>
      <c r="J133" s="205"/>
      <c r="K133" s="184"/>
      <c r="L133" s="185"/>
      <c r="M133" s="184"/>
      <c r="N133" s="186"/>
      <c r="O133" s="183"/>
      <c r="P133" s="183"/>
      <c r="Q133" s="183"/>
      <c r="R133" s="184"/>
      <c r="S133" s="184"/>
      <c r="U133" s="62"/>
    </row>
    <row r="134" spans="1:21" x14ac:dyDescent="0.45">
      <c r="A134" s="181"/>
      <c r="B134" s="181"/>
      <c r="C134" s="181"/>
      <c r="D134" s="181"/>
      <c r="E134" s="181"/>
      <c r="F134" s="181"/>
      <c r="G134" s="182"/>
      <c r="H134" s="183"/>
      <c r="I134" s="182"/>
      <c r="J134" s="205"/>
      <c r="K134" s="184"/>
      <c r="L134" s="185"/>
      <c r="M134" s="184"/>
      <c r="N134" s="186"/>
      <c r="O134" s="183"/>
      <c r="P134" s="183"/>
      <c r="Q134" s="183"/>
      <c r="R134" s="184"/>
      <c r="S134" s="184"/>
      <c r="U134" s="62"/>
    </row>
    <row r="135" spans="1:21" x14ac:dyDescent="0.45">
      <c r="A135" s="181"/>
      <c r="B135" s="181"/>
      <c r="C135" s="181"/>
      <c r="D135" s="181"/>
      <c r="E135" s="181"/>
      <c r="F135" s="181"/>
      <c r="G135" s="182"/>
      <c r="H135" s="183"/>
      <c r="I135" s="182"/>
      <c r="J135" s="205"/>
      <c r="K135" s="184"/>
      <c r="L135" s="185"/>
      <c r="M135" s="184"/>
      <c r="N135" s="186"/>
      <c r="O135" s="183"/>
      <c r="P135" s="183"/>
      <c r="Q135" s="183"/>
      <c r="R135" s="184"/>
      <c r="S135" s="184"/>
      <c r="U135" s="62"/>
    </row>
    <row r="136" spans="1:21" x14ac:dyDescent="0.45">
      <c r="A136" s="181"/>
      <c r="B136" s="181"/>
      <c r="C136" s="181"/>
      <c r="D136" s="181"/>
      <c r="E136" s="181"/>
      <c r="F136" s="181"/>
      <c r="G136" s="182"/>
      <c r="H136" s="183"/>
      <c r="I136" s="182"/>
      <c r="J136" s="205"/>
      <c r="K136" s="184"/>
      <c r="L136" s="185"/>
      <c r="M136" s="184"/>
      <c r="N136" s="186"/>
      <c r="O136" s="183"/>
      <c r="P136" s="183"/>
      <c r="Q136" s="183"/>
      <c r="R136" s="184"/>
      <c r="S136" s="184"/>
      <c r="U136" s="62"/>
    </row>
    <row r="137" spans="1:21" x14ac:dyDescent="0.45">
      <c r="A137" s="181"/>
      <c r="B137" s="181"/>
      <c r="C137" s="181"/>
      <c r="D137" s="181"/>
      <c r="E137" s="181"/>
      <c r="F137" s="181"/>
      <c r="G137" s="182"/>
      <c r="H137" s="183"/>
      <c r="I137" s="182"/>
      <c r="J137" s="205"/>
      <c r="K137" s="184"/>
      <c r="L137" s="185"/>
      <c r="M137" s="184"/>
      <c r="N137" s="186"/>
      <c r="O137" s="183"/>
      <c r="P137" s="183"/>
      <c r="Q137" s="183"/>
      <c r="R137" s="184"/>
      <c r="S137" s="184"/>
      <c r="U137" s="62"/>
    </row>
    <row r="138" spans="1:21" x14ac:dyDescent="0.45">
      <c r="A138" s="181"/>
      <c r="B138" s="181"/>
      <c r="C138" s="181"/>
      <c r="D138" s="181"/>
      <c r="E138" s="181"/>
      <c r="F138" s="181"/>
      <c r="G138" s="182"/>
      <c r="H138" s="183"/>
      <c r="I138" s="182"/>
      <c r="J138" s="205"/>
      <c r="K138" s="184"/>
      <c r="L138" s="185"/>
      <c r="M138" s="184"/>
      <c r="N138" s="186"/>
      <c r="O138" s="183"/>
      <c r="P138" s="183"/>
      <c r="Q138" s="183"/>
      <c r="R138" s="184"/>
      <c r="S138" s="184"/>
      <c r="U138" s="62"/>
    </row>
    <row r="139" spans="1:21" x14ac:dyDescent="0.45">
      <c r="A139" s="181"/>
      <c r="B139" s="181"/>
      <c r="C139" s="181"/>
      <c r="D139" s="181"/>
      <c r="E139" s="181"/>
      <c r="F139" s="181"/>
      <c r="G139" s="182"/>
      <c r="H139" s="183"/>
      <c r="I139" s="182"/>
      <c r="J139" s="205"/>
      <c r="K139" s="184"/>
      <c r="L139" s="185"/>
      <c r="M139" s="184"/>
      <c r="N139" s="186"/>
      <c r="O139" s="183"/>
      <c r="P139" s="183"/>
      <c r="Q139" s="183"/>
      <c r="R139" s="184"/>
      <c r="S139" s="184"/>
      <c r="U139" s="62"/>
    </row>
    <row r="140" spans="1:21" x14ac:dyDescent="0.45">
      <c r="A140" s="181"/>
      <c r="B140" s="181"/>
      <c r="C140" s="181"/>
      <c r="D140" s="181"/>
      <c r="E140" s="181"/>
      <c r="F140" s="181"/>
      <c r="G140" s="182"/>
      <c r="H140" s="183"/>
      <c r="I140" s="182"/>
      <c r="J140" s="205"/>
      <c r="K140" s="184"/>
      <c r="L140" s="185"/>
      <c r="M140" s="184"/>
      <c r="N140" s="186"/>
      <c r="O140" s="183"/>
      <c r="P140" s="183"/>
      <c r="Q140" s="183"/>
      <c r="R140" s="184"/>
      <c r="S140" s="184"/>
      <c r="U140" s="62"/>
    </row>
    <row r="141" spans="1:21" x14ac:dyDescent="0.45">
      <c r="A141" s="181"/>
      <c r="B141" s="181"/>
      <c r="C141" s="181"/>
      <c r="D141" s="181"/>
      <c r="E141" s="181"/>
      <c r="F141" s="181"/>
      <c r="G141" s="182"/>
      <c r="H141" s="183"/>
      <c r="I141" s="182"/>
      <c r="J141" s="205"/>
      <c r="K141" s="184"/>
      <c r="L141" s="185"/>
      <c r="M141" s="184"/>
      <c r="N141" s="186"/>
      <c r="O141" s="183"/>
      <c r="P141" s="183"/>
      <c r="Q141" s="183"/>
      <c r="R141" s="184"/>
      <c r="S141" s="184"/>
      <c r="U141" s="62"/>
    </row>
    <row r="142" spans="1:21" x14ac:dyDescent="0.45">
      <c r="A142" s="181"/>
      <c r="B142" s="181"/>
      <c r="C142" s="181"/>
      <c r="D142" s="181"/>
      <c r="E142" s="181"/>
      <c r="F142" s="181"/>
      <c r="G142" s="182"/>
      <c r="H142" s="183"/>
      <c r="I142" s="182"/>
      <c r="J142" s="205"/>
      <c r="K142" s="184"/>
      <c r="L142" s="185"/>
      <c r="M142" s="184"/>
      <c r="N142" s="186"/>
      <c r="O142" s="183"/>
      <c r="P142" s="183"/>
      <c r="Q142" s="183"/>
      <c r="R142" s="184"/>
      <c r="S142" s="184"/>
      <c r="U142" s="62"/>
    </row>
    <row r="143" spans="1:21" x14ac:dyDescent="0.45">
      <c r="A143" s="181"/>
      <c r="B143" s="181"/>
      <c r="C143" s="181"/>
      <c r="D143" s="181"/>
      <c r="E143" s="181"/>
      <c r="F143" s="181"/>
      <c r="G143" s="182"/>
      <c r="H143" s="183"/>
      <c r="I143" s="182"/>
      <c r="J143" s="205"/>
      <c r="K143" s="184"/>
      <c r="L143" s="185"/>
      <c r="M143" s="184"/>
      <c r="N143" s="186"/>
      <c r="O143" s="183"/>
      <c r="P143" s="183"/>
      <c r="Q143" s="183"/>
      <c r="R143" s="184"/>
      <c r="S143" s="184"/>
      <c r="U143" s="62"/>
    </row>
    <row r="144" spans="1:21" x14ac:dyDescent="0.45">
      <c r="A144" s="181"/>
      <c r="B144" s="181"/>
      <c r="C144" s="181"/>
      <c r="D144" s="181"/>
      <c r="E144" s="181"/>
      <c r="F144" s="181"/>
      <c r="G144" s="182"/>
      <c r="H144" s="183"/>
      <c r="I144" s="182"/>
      <c r="J144" s="205"/>
      <c r="K144" s="184"/>
      <c r="L144" s="185"/>
      <c r="M144" s="184"/>
      <c r="N144" s="186"/>
      <c r="O144" s="183"/>
      <c r="P144" s="183"/>
      <c r="Q144" s="183"/>
      <c r="R144" s="184"/>
      <c r="S144" s="184"/>
      <c r="U144" s="62"/>
    </row>
    <row r="145" spans="1:21" x14ac:dyDescent="0.45">
      <c r="A145" s="181"/>
      <c r="B145" s="181"/>
      <c r="C145" s="181"/>
      <c r="D145" s="181"/>
      <c r="E145" s="181"/>
      <c r="F145" s="181"/>
      <c r="G145" s="182"/>
      <c r="H145" s="183"/>
      <c r="I145" s="182"/>
      <c r="J145" s="205"/>
      <c r="K145" s="184"/>
      <c r="L145" s="185"/>
      <c r="M145" s="184"/>
      <c r="N145" s="186"/>
      <c r="O145" s="183"/>
      <c r="P145" s="183"/>
      <c r="Q145" s="183"/>
      <c r="R145" s="184"/>
      <c r="S145" s="184"/>
      <c r="U145" s="62"/>
    </row>
    <row r="146" spans="1:21" x14ac:dyDescent="0.45">
      <c r="A146" s="181"/>
      <c r="B146" s="181"/>
      <c r="C146" s="181"/>
      <c r="D146" s="181"/>
      <c r="E146" s="181"/>
      <c r="F146" s="181"/>
      <c r="G146" s="182"/>
      <c r="H146" s="183"/>
      <c r="I146" s="182"/>
      <c r="J146" s="205"/>
      <c r="K146" s="184"/>
      <c r="L146" s="185"/>
      <c r="M146" s="184"/>
      <c r="N146" s="186"/>
      <c r="O146" s="183"/>
      <c r="P146" s="183"/>
      <c r="Q146" s="183"/>
      <c r="R146" s="184"/>
      <c r="S146" s="184"/>
      <c r="U146" s="62"/>
    </row>
    <row r="147" spans="1:21" x14ac:dyDescent="0.45">
      <c r="A147" s="181"/>
      <c r="B147" s="181"/>
      <c r="C147" s="181"/>
      <c r="D147" s="181"/>
      <c r="E147" s="181"/>
      <c r="F147" s="181"/>
      <c r="G147" s="182"/>
      <c r="H147" s="183"/>
      <c r="I147" s="182"/>
      <c r="J147" s="205"/>
      <c r="K147" s="184"/>
      <c r="L147" s="185"/>
      <c r="M147" s="184"/>
      <c r="N147" s="186"/>
      <c r="O147" s="183"/>
      <c r="P147" s="183"/>
      <c r="Q147" s="183"/>
      <c r="R147" s="184"/>
      <c r="S147" s="184"/>
      <c r="U147" s="62"/>
    </row>
    <row r="148" spans="1:21" x14ac:dyDescent="0.45">
      <c r="A148" s="181"/>
      <c r="B148" s="181"/>
      <c r="C148" s="181"/>
      <c r="D148" s="181"/>
      <c r="E148" s="181"/>
      <c r="F148" s="181"/>
      <c r="G148" s="182"/>
      <c r="H148" s="183"/>
      <c r="I148" s="182"/>
      <c r="J148" s="205"/>
      <c r="K148" s="184"/>
      <c r="L148" s="185"/>
      <c r="M148" s="184"/>
      <c r="N148" s="186"/>
      <c r="O148" s="183"/>
      <c r="P148" s="183"/>
      <c r="Q148" s="183"/>
      <c r="R148" s="184"/>
      <c r="S148" s="184"/>
      <c r="U148" s="62"/>
    </row>
    <row r="149" spans="1:21" x14ac:dyDescent="0.45">
      <c r="A149" s="181"/>
      <c r="B149" s="181"/>
      <c r="C149" s="181"/>
      <c r="D149" s="181"/>
      <c r="E149" s="181"/>
      <c r="F149" s="181"/>
      <c r="G149" s="182"/>
      <c r="H149" s="183"/>
      <c r="I149" s="182"/>
      <c r="J149" s="205"/>
      <c r="K149" s="184"/>
      <c r="L149" s="185"/>
      <c r="M149" s="184"/>
      <c r="N149" s="186"/>
      <c r="O149" s="183"/>
      <c r="P149" s="183"/>
      <c r="Q149" s="183"/>
      <c r="R149" s="184"/>
      <c r="S149" s="184"/>
      <c r="U149" s="62"/>
    </row>
    <row r="150" spans="1:21" x14ac:dyDescent="0.45">
      <c r="A150" s="181"/>
      <c r="B150" s="181"/>
      <c r="C150" s="181"/>
      <c r="D150" s="181"/>
      <c r="E150" s="181"/>
      <c r="F150" s="181"/>
      <c r="G150" s="182"/>
      <c r="H150" s="183"/>
      <c r="I150" s="182"/>
      <c r="J150" s="205"/>
      <c r="K150" s="184"/>
      <c r="L150" s="185"/>
      <c r="M150" s="184"/>
      <c r="N150" s="186"/>
      <c r="O150" s="183"/>
      <c r="P150" s="183"/>
      <c r="Q150" s="183"/>
      <c r="R150" s="184"/>
      <c r="S150" s="184"/>
      <c r="U150" s="62"/>
    </row>
    <row r="151" spans="1:21" x14ac:dyDescent="0.45">
      <c r="A151" s="181"/>
      <c r="B151" s="181"/>
      <c r="C151" s="181"/>
      <c r="D151" s="181"/>
      <c r="E151" s="181"/>
      <c r="F151" s="181"/>
      <c r="G151" s="182"/>
      <c r="H151" s="183"/>
      <c r="I151" s="182"/>
      <c r="J151" s="205"/>
      <c r="K151" s="184"/>
      <c r="L151" s="185"/>
      <c r="M151" s="184"/>
      <c r="N151" s="186"/>
      <c r="O151" s="183"/>
      <c r="P151" s="183"/>
      <c r="Q151" s="183"/>
      <c r="R151" s="184"/>
      <c r="S151" s="184"/>
      <c r="U151" s="62"/>
    </row>
    <row r="152" spans="1:21" x14ac:dyDescent="0.45">
      <c r="A152" s="181"/>
      <c r="B152" s="181"/>
      <c r="C152" s="181"/>
      <c r="D152" s="181"/>
      <c r="E152" s="181"/>
      <c r="F152" s="181"/>
      <c r="G152" s="182"/>
      <c r="H152" s="183"/>
      <c r="I152" s="182"/>
      <c r="J152" s="205"/>
      <c r="K152" s="184"/>
      <c r="L152" s="185"/>
      <c r="M152" s="184"/>
      <c r="N152" s="186"/>
      <c r="O152" s="183"/>
      <c r="P152" s="183"/>
      <c r="Q152" s="183"/>
      <c r="R152" s="184"/>
      <c r="S152" s="184"/>
      <c r="U152" s="62"/>
    </row>
    <row r="153" spans="1:21" x14ac:dyDescent="0.45">
      <c r="A153" s="181"/>
      <c r="B153" s="181"/>
      <c r="C153" s="181"/>
      <c r="D153" s="181"/>
      <c r="E153" s="181"/>
      <c r="F153" s="181"/>
      <c r="G153" s="182"/>
      <c r="H153" s="183"/>
      <c r="I153" s="182"/>
      <c r="J153" s="205"/>
      <c r="K153" s="184"/>
      <c r="L153" s="185"/>
      <c r="M153" s="184"/>
      <c r="N153" s="186"/>
      <c r="O153" s="183"/>
      <c r="P153" s="183"/>
      <c r="Q153" s="183"/>
      <c r="R153" s="184"/>
      <c r="S153" s="184"/>
      <c r="U153" s="62"/>
    </row>
    <row r="154" spans="1:21" x14ac:dyDescent="0.45">
      <c r="A154" s="181"/>
      <c r="B154" s="181"/>
      <c r="C154" s="181"/>
      <c r="D154" s="181"/>
      <c r="E154" s="181"/>
      <c r="F154" s="181"/>
      <c r="G154" s="182"/>
      <c r="H154" s="183"/>
      <c r="I154" s="182"/>
      <c r="J154" s="205"/>
      <c r="K154" s="184"/>
      <c r="L154" s="185"/>
      <c r="M154" s="184"/>
      <c r="N154" s="186"/>
      <c r="O154" s="183"/>
      <c r="P154" s="183"/>
      <c r="Q154" s="183"/>
      <c r="R154" s="184"/>
      <c r="S154" s="184"/>
      <c r="U154" s="62"/>
    </row>
    <row r="155" spans="1:21" x14ac:dyDescent="0.45">
      <c r="A155" s="181"/>
      <c r="B155" s="181"/>
      <c r="C155" s="181"/>
      <c r="D155" s="181"/>
      <c r="E155" s="181"/>
      <c r="F155" s="181"/>
      <c r="G155" s="182"/>
      <c r="H155" s="183"/>
      <c r="I155" s="182"/>
      <c r="J155" s="205"/>
      <c r="K155" s="184"/>
      <c r="L155" s="185"/>
      <c r="M155" s="184"/>
      <c r="N155" s="186"/>
      <c r="O155" s="183"/>
      <c r="P155" s="183"/>
      <c r="Q155" s="183"/>
      <c r="R155" s="184"/>
      <c r="S155" s="184"/>
      <c r="U155" s="62"/>
    </row>
    <row r="156" spans="1:21" x14ac:dyDescent="0.45">
      <c r="A156" s="181"/>
      <c r="B156" s="181"/>
      <c r="C156" s="181"/>
      <c r="D156" s="181"/>
      <c r="E156" s="181"/>
      <c r="F156" s="181"/>
      <c r="G156" s="182"/>
      <c r="H156" s="183"/>
      <c r="I156" s="182"/>
      <c r="J156" s="205"/>
      <c r="K156" s="184"/>
      <c r="L156" s="185"/>
      <c r="M156" s="184"/>
      <c r="N156" s="186"/>
      <c r="O156" s="183"/>
      <c r="P156" s="183"/>
      <c r="Q156" s="183"/>
      <c r="R156" s="184"/>
      <c r="S156" s="184"/>
      <c r="U156" s="62"/>
    </row>
    <row r="157" spans="1:21" x14ac:dyDescent="0.45">
      <c r="A157" s="181"/>
      <c r="B157" s="181"/>
      <c r="C157" s="181"/>
      <c r="D157" s="181"/>
      <c r="E157" s="181"/>
      <c r="F157" s="181"/>
      <c r="G157" s="182"/>
      <c r="H157" s="183"/>
      <c r="I157" s="182"/>
      <c r="J157" s="205"/>
      <c r="K157" s="184"/>
      <c r="L157" s="185"/>
      <c r="M157" s="184"/>
      <c r="N157" s="186"/>
      <c r="O157" s="183"/>
      <c r="P157" s="183"/>
      <c r="Q157" s="183"/>
      <c r="R157" s="184"/>
      <c r="S157" s="184"/>
      <c r="U157" s="62"/>
    </row>
    <row r="158" spans="1:21" x14ac:dyDescent="0.45">
      <c r="A158" s="181"/>
      <c r="B158" s="181"/>
      <c r="C158" s="181"/>
      <c r="D158" s="181"/>
      <c r="E158" s="181"/>
      <c r="F158" s="181"/>
      <c r="G158" s="182"/>
      <c r="H158" s="183"/>
      <c r="I158" s="182"/>
      <c r="J158" s="205"/>
      <c r="K158" s="184"/>
      <c r="L158" s="185"/>
      <c r="M158" s="184"/>
      <c r="N158" s="186"/>
      <c r="O158" s="183"/>
      <c r="P158" s="183"/>
      <c r="Q158" s="183"/>
      <c r="R158" s="184"/>
      <c r="S158" s="184"/>
      <c r="U158" s="62"/>
    </row>
    <row r="159" spans="1:21" x14ac:dyDescent="0.45">
      <c r="A159" s="181"/>
      <c r="B159" s="181"/>
      <c r="C159" s="181"/>
      <c r="D159" s="181"/>
      <c r="E159" s="181"/>
      <c r="F159" s="181"/>
      <c r="G159" s="182"/>
      <c r="H159" s="183"/>
      <c r="I159" s="182"/>
      <c r="J159" s="205"/>
      <c r="K159" s="184"/>
      <c r="L159" s="185"/>
      <c r="M159" s="184"/>
      <c r="N159" s="186"/>
      <c r="O159" s="183"/>
      <c r="P159" s="183"/>
      <c r="Q159" s="183"/>
      <c r="R159" s="184"/>
      <c r="S159" s="184"/>
      <c r="U159" s="62"/>
    </row>
    <row r="160" spans="1:21" x14ac:dyDescent="0.45">
      <c r="A160" s="181"/>
      <c r="B160" s="181"/>
      <c r="C160" s="181"/>
      <c r="D160" s="181"/>
      <c r="E160" s="181"/>
      <c r="F160" s="181"/>
      <c r="G160" s="182"/>
      <c r="H160" s="183"/>
      <c r="I160" s="182"/>
      <c r="J160" s="205"/>
      <c r="K160" s="184"/>
      <c r="L160" s="185"/>
      <c r="M160" s="184"/>
      <c r="N160" s="186"/>
      <c r="O160" s="183"/>
      <c r="P160" s="183"/>
      <c r="Q160" s="183"/>
      <c r="R160" s="184"/>
      <c r="S160" s="184"/>
      <c r="U160" s="62"/>
    </row>
    <row r="161" spans="1:21" x14ac:dyDescent="0.45">
      <c r="A161" s="181"/>
      <c r="B161" s="181"/>
      <c r="C161" s="181"/>
      <c r="D161" s="181"/>
      <c r="E161" s="181"/>
      <c r="F161" s="181"/>
      <c r="G161" s="182"/>
      <c r="H161" s="183"/>
      <c r="I161" s="182"/>
      <c r="J161" s="205"/>
      <c r="K161" s="184"/>
      <c r="L161" s="185"/>
      <c r="M161" s="184"/>
      <c r="N161" s="186"/>
      <c r="O161" s="183"/>
      <c r="P161" s="183"/>
      <c r="Q161" s="183"/>
      <c r="R161" s="184"/>
      <c r="S161" s="184"/>
      <c r="U161" s="62"/>
    </row>
    <row r="162" spans="1:21" x14ac:dyDescent="0.45">
      <c r="A162" s="181"/>
      <c r="B162" s="181"/>
      <c r="C162" s="181"/>
      <c r="D162" s="181"/>
      <c r="E162" s="181"/>
      <c r="F162" s="181"/>
      <c r="G162" s="182"/>
      <c r="H162" s="183"/>
      <c r="I162" s="182"/>
      <c r="J162" s="205"/>
      <c r="K162" s="184"/>
      <c r="L162" s="185"/>
      <c r="M162" s="184"/>
      <c r="N162" s="186"/>
      <c r="O162" s="183"/>
      <c r="P162" s="183"/>
      <c r="Q162" s="183"/>
      <c r="R162" s="184"/>
      <c r="S162" s="184"/>
      <c r="U162" s="62"/>
    </row>
    <row r="163" spans="1:21" x14ac:dyDescent="0.45">
      <c r="A163" s="181"/>
      <c r="B163" s="181"/>
      <c r="C163" s="181"/>
      <c r="D163" s="181"/>
      <c r="E163" s="181"/>
      <c r="F163" s="181"/>
      <c r="G163" s="182"/>
      <c r="H163" s="183"/>
      <c r="I163" s="182"/>
      <c r="J163" s="205"/>
      <c r="K163" s="184"/>
      <c r="L163" s="185"/>
      <c r="M163" s="184"/>
      <c r="N163" s="186"/>
      <c r="O163" s="183"/>
      <c r="P163" s="183"/>
      <c r="Q163" s="183"/>
      <c r="R163" s="184"/>
      <c r="S163" s="184"/>
      <c r="U163" s="62"/>
    </row>
    <row r="164" spans="1:21" x14ac:dyDescent="0.45">
      <c r="A164" s="181"/>
      <c r="B164" s="181"/>
      <c r="C164" s="181"/>
      <c r="D164" s="181"/>
      <c r="E164" s="181"/>
      <c r="F164" s="181"/>
      <c r="G164" s="182"/>
      <c r="H164" s="183"/>
      <c r="I164" s="182"/>
      <c r="J164" s="205"/>
      <c r="K164" s="184"/>
      <c r="L164" s="185"/>
      <c r="M164" s="184"/>
      <c r="N164" s="186"/>
      <c r="O164" s="183"/>
      <c r="P164" s="183"/>
      <c r="Q164" s="183"/>
      <c r="R164" s="184"/>
      <c r="S164" s="184"/>
      <c r="U164" s="62"/>
    </row>
    <row r="165" spans="1:21" x14ac:dyDescent="0.45">
      <c r="A165" s="181"/>
      <c r="B165" s="181"/>
      <c r="C165" s="181"/>
      <c r="D165" s="181"/>
      <c r="E165" s="181"/>
      <c r="F165" s="181"/>
      <c r="G165" s="182"/>
      <c r="H165" s="183"/>
      <c r="I165" s="182"/>
      <c r="J165" s="205"/>
      <c r="K165" s="184"/>
      <c r="L165" s="185"/>
      <c r="M165" s="184"/>
      <c r="N165" s="186"/>
      <c r="O165" s="183"/>
      <c r="P165" s="183"/>
      <c r="Q165" s="183"/>
      <c r="R165" s="184"/>
      <c r="S165" s="184"/>
      <c r="U165" s="62"/>
    </row>
    <row r="166" spans="1:21" x14ac:dyDescent="0.45">
      <c r="A166" s="181"/>
      <c r="B166" s="181"/>
      <c r="C166" s="181"/>
      <c r="D166" s="181"/>
      <c r="E166" s="181"/>
      <c r="F166" s="181"/>
      <c r="G166" s="182"/>
      <c r="H166" s="183"/>
      <c r="I166" s="182"/>
      <c r="J166" s="205"/>
      <c r="K166" s="184"/>
      <c r="L166" s="185"/>
      <c r="M166" s="184"/>
      <c r="N166" s="186"/>
      <c r="O166" s="183"/>
      <c r="P166" s="183"/>
      <c r="Q166" s="183"/>
      <c r="R166" s="184"/>
      <c r="S166" s="184"/>
      <c r="U166" s="62"/>
    </row>
    <row r="167" spans="1:21" x14ac:dyDescent="0.45">
      <c r="A167" s="181"/>
      <c r="B167" s="181"/>
      <c r="C167" s="181"/>
      <c r="D167" s="181"/>
      <c r="E167" s="181"/>
      <c r="F167" s="181"/>
      <c r="G167" s="182"/>
      <c r="H167" s="183"/>
      <c r="I167" s="182"/>
      <c r="J167" s="205"/>
      <c r="K167" s="184"/>
      <c r="L167" s="185"/>
      <c r="M167" s="184"/>
      <c r="N167" s="186"/>
      <c r="O167" s="183"/>
      <c r="P167" s="183"/>
      <c r="Q167" s="183"/>
      <c r="R167" s="184"/>
      <c r="S167" s="184"/>
      <c r="U167" s="62"/>
    </row>
    <row r="168" spans="1:21" x14ac:dyDescent="0.45">
      <c r="A168" s="181"/>
      <c r="B168" s="181"/>
      <c r="C168" s="181"/>
      <c r="D168" s="181"/>
      <c r="E168" s="181"/>
      <c r="F168" s="181"/>
      <c r="G168" s="182"/>
      <c r="H168" s="183"/>
      <c r="I168" s="182"/>
      <c r="J168" s="205"/>
      <c r="K168" s="184"/>
      <c r="L168" s="185"/>
      <c r="M168" s="184"/>
      <c r="N168" s="186"/>
      <c r="O168" s="183"/>
      <c r="P168" s="183"/>
      <c r="Q168" s="183"/>
      <c r="R168" s="184"/>
      <c r="S168" s="184"/>
      <c r="U168" s="62"/>
    </row>
    <row r="169" spans="1:21" x14ac:dyDescent="0.45">
      <c r="A169" s="181"/>
      <c r="B169" s="181"/>
      <c r="C169" s="181"/>
      <c r="D169" s="181"/>
      <c r="E169" s="181"/>
      <c r="F169" s="181"/>
      <c r="G169" s="182"/>
      <c r="H169" s="183"/>
      <c r="I169" s="182"/>
      <c r="J169" s="205"/>
      <c r="K169" s="184"/>
      <c r="L169" s="185"/>
      <c r="M169" s="184"/>
      <c r="N169" s="186"/>
      <c r="O169" s="183"/>
      <c r="P169" s="183"/>
      <c r="Q169" s="183"/>
      <c r="R169" s="184"/>
      <c r="S169" s="184"/>
      <c r="U169" s="62"/>
    </row>
    <row r="170" spans="1:21" x14ac:dyDescent="0.45">
      <c r="A170" s="181"/>
      <c r="B170" s="181"/>
      <c r="C170" s="181"/>
      <c r="D170" s="181"/>
      <c r="E170" s="181"/>
      <c r="F170" s="181"/>
      <c r="G170" s="182"/>
      <c r="H170" s="183"/>
      <c r="I170" s="182"/>
      <c r="J170" s="205"/>
      <c r="K170" s="184"/>
      <c r="L170" s="185"/>
      <c r="M170" s="184"/>
      <c r="N170" s="186"/>
      <c r="O170" s="183"/>
      <c r="P170" s="183"/>
      <c r="Q170" s="183"/>
      <c r="R170" s="184"/>
      <c r="S170" s="184"/>
      <c r="U170" s="62"/>
    </row>
    <row r="171" spans="1:21" x14ac:dyDescent="0.45">
      <c r="A171" s="181"/>
      <c r="B171" s="181"/>
      <c r="C171" s="181"/>
      <c r="D171" s="181"/>
      <c r="E171" s="181"/>
      <c r="F171" s="181"/>
      <c r="G171" s="182"/>
      <c r="H171" s="183"/>
      <c r="I171" s="182"/>
      <c r="J171" s="205"/>
      <c r="K171" s="184"/>
      <c r="L171" s="185"/>
      <c r="M171" s="184"/>
      <c r="N171" s="186"/>
      <c r="O171" s="183"/>
      <c r="P171" s="183"/>
      <c r="Q171" s="183"/>
      <c r="R171" s="184"/>
      <c r="S171" s="184"/>
      <c r="U171" s="62"/>
    </row>
    <row r="172" spans="1:21" x14ac:dyDescent="0.45">
      <c r="A172" s="181"/>
      <c r="B172" s="181"/>
      <c r="C172" s="181"/>
      <c r="D172" s="181"/>
      <c r="E172" s="181"/>
      <c r="F172" s="181"/>
      <c r="G172" s="182"/>
      <c r="H172" s="183"/>
      <c r="I172" s="182"/>
      <c r="J172" s="205"/>
      <c r="K172" s="184"/>
      <c r="L172" s="185"/>
      <c r="M172" s="184"/>
      <c r="N172" s="186"/>
      <c r="O172" s="183"/>
      <c r="P172" s="183"/>
      <c r="Q172" s="183"/>
      <c r="R172" s="184"/>
      <c r="S172" s="184"/>
      <c r="U172" s="62"/>
    </row>
    <row r="173" spans="1:21" x14ac:dyDescent="0.45">
      <c r="A173" s="181"/>
      <c r="B173" s="181"/>
      <c r="C173" s="181"/>
      <c r="D173" s="181"/>
      <c r="E173" s="181"/>
      <c r="F173" s="181"/>
      <c r="G173" s="182"/>
      <c r="H173" s="183"/>
      <c r="I173" s="182"/>
      <c r="J173" s="205"/>
      <c r="K173" s="184"/>
      <c r="L173" s="185"/>
      <c r="M173" s="184"/>
      <c r="N173" s="186"/>
      <c r="O173" s="183"/>
      <c r="P173" s="183"/>
      <c r="Q173" s="183"/>
      <c r="R173" s="184"/>
      <c r="S173" s="184"/>
      <c r="U173" s="62"/>
    </row>
    <row r="174" spans="1:21" x14ac:dyDescent="0.45">
      <c r="A174" s="181"/>
      <c r="B174" s="181"/>
      <c r="C174" s="181"/>
      <c r="D174" s="181"/>
      <c r="E174" s="181"/>
      <c r="F174" s="181"/>
      <c r="G174" s="182"/>
      <c r="H174" s="183"/>
      <c r="I174" s="182"/>
      <c r="J174" s="205"/>
      <c r="K174" s="184"/>
      <c r="L174" s="185"/>
      <c r="M174" s="184"/>
      <c r="N174" s="186"/>
      <c r="O174" s="183"/>
      <c r="P174" s="183"/>
      <c r="Q174" s="183"/>
      <c r="R174" s="184"/>
      <c r="S174" s="184"/>
      <c r="U174" s="62"/>
    </row>
    <row r="175" spans="1:21" x14ac:dyDescent="0.45">
      <c r="A175" s="181"/>
      <c r="B175" s="181"/>
      <c r="C175" s="181"/>
      <c r="D175" s="181"/>
      <c r="E175" s="181"/>
      <c r="F175" s="181"/>
      <c r="G175" s="182"/>
      <c r="H175" s="183"/>
      <c r="I175" s="182"/>
      <c r="J175" s="205"/>
      <c r="K175" s="184"/>
      <c r="L175" s="185"/>
      <c r="M175" s="184"/>
      <c r="N175" s="186"/>
      <c r="O175" s="183"/>
      <c r="P175" s="183"/>
      <c r="Q175" s="183"/>
      <c r="R175" s="184"/>
      <c r="S175" s="184"/>
      <c r="U175" s="62"/>
    </row>
    <row r="176" spans="1:21" x14ac:dyDescent="0.45">
      <c r="A176" s="181"/>
      <c r="B176" s="181"/>
      <c r="C176" s="181"/>
      <c r="D176" s="181"/>
      <c r="E176" s="181"/>
      <c r="F176" s="181"/>
      <c r="G176" s="182"/>
      <c r="H176" s="183"/>
      <c r="I176" s="182"/>
      <c r="J176" s="205"/>
      <c r="K176" s="184"/>
      <c r="L176" s="185"/>
      <c r="M176" s="184"/>
      <c r="N176" s="186"/>
      <c r="O176" s="183"/>
      <c r="P176" s="183"/>
      <c r="Q176" s="183"/>
      <c r="R176" s="184"/>
      <c r="S176" s="184"/>
      <c r="U176" s="62"/>
    </row>
    <row r="177" spans="1:21" x14ac:dyDescent="0.45">
      <c r="A177" s="181"/>
      <c r="B177" s="181"/>
      <c r="C177" s="181"/>
      <c r="D177" s="181"/>
      <c r="E177" s="181"/>
      <c r="F177" s="181"/>
      <c r="G177" s="182"/>
      <c r="H177" s="183"/>
      <c r="I177" s="182"/>
      <c r="J177" s="205"/>
      <c r="K177" s="184"/>
      <c r="L177" s="185"/>
      <c r="M177" s="184"/>
      <c r="N177" s="186"/>
      <c r="O177" s="183"/>
      <c r="P177" s="183"/>
      <c r="Q177" s="183"/>
      <c r="R177" s="184"/>
      <c r="S177" s="184"/>
      <c r="U177" s="62"/>
    </row>
    <row r="178" spans="1:21" x14ac:dyDescent="0.45">
      <c r="A178" s="181"/>
      <c r="B178" s="181"/>
      <c r="C178" s="181"/>
      <c r="D178" s="181"/>
      <c r="E178" s="181"/>
      <c r="F178" s="181"/>
      <c r="G178" s="182"/>
      <c r="H178" s="183"/>
      <c r="I178" s="182"/>
      <c r="J178" s="205"/>
      <c r="K178" s="184"/>
      <c r="L178" s="185"/>
      <c r="M178" s="184"/>
      <c r="N178" s="186"/>
      <c r="O178" s="183"/>
      <c r="P178" s="183"/>
      <c r="Q178" s="183"/>
      <c r="R178" s="184"/>
      <c r="S178" s="184"/>
      <c r="U178" s="62"/>
    </row>
    <row r="179" spans="1:21" x14ac:dyDescent="0.45">
      <c r="A179" s="181"/>
      <c r="B179" s="181"/>
      <c r="C179" s="181"/>
      <c r="D179" s="181"/>
      <c r="E179" s="181"/>
      <c r="F179" s="181"/>
      <c r="G179" s="182"/>
      <c r="H179" s="183"/>
      <c r="I179" s="182"/>
      <c r="J179" s="205"/>
      <c r="K179" s="184"/>
      <c r="L179" s="185"/>
      <c r="M179" s="184"/>
      <c r="N179" s="186"/>
      <c r="O179" s="183"/>
      <c r="P179" s="183"/>
      <c r="Q179" s="183"/>
      <c r="R179" s="184"/>
      <c r="S179" s="184"/>
      <c r="U179" s="62"/>
    </row>
    <row r="180" spans="1:21" x14ac:dyDescent="0.45">
      <c r="A180" s="181"/>
      <c r="B180" s="181"/>
      <c r="C180" s="181"/>
      <c r="D180" s="181"/>
      <c r="E180" s="181"/>
      <c r="F180" s="181"/>
      <c r="G180" s="182"/>
      <c r="H180" s="183"/>
      <c r="I180" s="182"/>
      <c r="J180" s="205"/>
      <c r="K180" s="184"/>
      <c r="L180" s="185"/>
      <c r="M180" s="184"/>
      <c r="N180" s="186"/>
      <c r="O180" s="183"/>
      <c r="P180" s="183"/>
      <c r="Q180" s="183"/>
      <c r="R180" s="184"/>
      <c r="S180" s="184"/>
      <c r="U180" s="62"/>
    </row>
    <row r="181" spans="1:21" x14ac:dyDescent="0.45">
      <c r="A181" s="181"/>
      <c r="B181" s="181"/>
      <c r="C181" s="181"/>
      <c r="D181" s="181"/>
      <c r="E181" s="181"/>
      <c r="F181" s="181"/>
      <c r="G181" s="182"/>
      <c r="H181" s="183"/>
      <c r="I181" s="182"/>
      <c r="J181" s="205"/>
      <c r="K181" s="184"/>
      <c r="L181" s="185"/>
      <c r="M181" s="184"/>
      <c r="N181" s="186"/>
      <c r="O181" s="183"/>
      <c r="P181" s="183"/>
      <c r="Q181" s="183"/>
      <c r="R181" s="184"/>
      <c r="S181" s="184"/>
      <c r="U181" s="62"/>
    </row>
    <row r="182" spans="1:21" x14ac:dyDescent="0.45">
      <c r="A182" s="181"/>
      <c r="B182" s="181"/>
      <c r="C182" s="181"/>
      <c r="D182" s="181"/>
      <c r="E182" s="181"/>
      <c r="F182" s="181"/>
      <c r="G182" s="182"/>
      <c r="H182" s="183"/>
      <c r="I182" s="182"/>
      <c r="J182" s="205"/>
      <c r="K182" s="184"/>
      <c r="L182" s="185"/>
      <c r="M182" s="184"/>
      <c r="N182" s="186"/>
      <c r="O182" s="183"/>
      <c r="P182" s="183"/>
      <c r="Q182" s="183"/>
      <c r="R182" s="184"/>
      <c r="S182" s="184"/>
      <c r="U182" s="62"/>
    </row>
    <row r="183" spans="1:21" x14ac:dyDescent="0.45">
      <c r="A183" s="181"/>
      <c r="B183" s="181"/>
      <c r="C183" s="181"/>
      <c r="D183" s="181"/>
      <c r="E183" s="181"/>
      <c r="F183" s="181"/>
      <c r="G183" s="182"/>
      <c r="H183" s="183"/>
      <c r="I183" s="182"/>
      <c r="J183" s="205"/>
      <c r="K183" s="184"/>
      <c r="L183" s="185"/>
      <c r="M183" s="184"/>
      <c r="N183" s="186"/>
      <c r="O183" s="183"/>
      <c r="P183" s="183"/>
      <c r="Q183" s="183"/>
      <c r="R183" s="184"/>
      <c r="S183" s="184"/>
      <c r="U183" s="62"/>
    </row>
    <row r="184" spans="1:21" x14ac:dyDescent="0.45">
      <c r="A184" s="181"/>
      <c r="B184" s="181"/>
      <c r="C184" s="181"/>
      <c r="D184" s="181"/>
      <c r="E184" s="181"/>
      <c r="F184" s="181"/>
      <c r="G184" s="182"/>
      <c r="H184" s="183"/>
      <c r="I184" s="182"/>
      <c r="J184" s="205"/>
      <c r="K184" s="184"/>
      <c r="L184" s="185"/>
      <c r="M184" s="184"/>
      <c r="N184" s="186"/>
      <c r="O184" s="183"/>
      <c r="P184" s="183"/>
      <c r="Q184" s="183"/>
      <c r="R184" s="184"/>
      <c r="S184" s="184"/>
      <c r="U184" s="62"/>
    </row>
    <row r="185" spans="1:21" x14ac:dyDescent="0.45">
      <c r="A185" s="181"/>
      <c r="B185" s="181"/>
      <c r="C185" s="181"/>
      <c r="D185" s="181"/>
      <c r="E185" s="181"/>
      <c r="F185" s="181"/>
      <c r="G185" s="182"/>
      <c r="H185" s="183"/>
      <c r="I185" s="182"/>
      <c r="J185" s="205"/>
      <c r="K185" s="184"/>
      <c r="L185" s="185"/>
      <c r="M185" s="184"/>
      <c r="N185" s="186"/>
      <c r="O185" s="183"/>
      <c r="P185" s="183"/>
      <c r="Q185" s="183"/>
      <c r="R185" s="184"/>
      <c r="S185" s="184"/>
      <c r="U185" s="62"/>
    </row>
    <row r="186" spans="1:21" x14ac:dyDescent="0.45">
      <c r="A186" s="181"/>
      <c r="B186" s="181"/>
      <c r="C186" s="181"/>
      <c r="D186" s="181"/>
      <c r="E186" s="181"/>
      <c r="F186" s="181"/>
      <c r="G186" s="182"/>
      <c r="H186" s="183"/>
      <c r="I186" s="182"/>
      <c r="J186" s="205"/>
      <c r="K186" s="184"/>
      <c r="L186" s="185"/>
      <c r="M186" s="184"/>
      <c r="N186" s="186"/>
      <c r="O186" s="183"/>
      <c r="P186" s="183"/>
      <c r="Q186" s="183"/>
      <c r="R186" s="184"/>
      <c r="S186" s="184"/>
      <c r="U186" s="62"/>
    </row>
    <row r="187" spans="1:21" x14ac:dyDescent="0.45">
      <c r="A187" s="181"/>
      <c r="B187" s="181"/>
      <c r="C187" s="181"/>
      <c r="D187" s="181"/>
      <c r="E187" s="181"/>
      <c r="F187" s="181"/>
      <c r="G187" s="182"/>
      <c r="H187" s="183"/>
      <c r="I187" s="182"/>
      <c r="J187" s="205"/>
      <c r="K187" s="184"/>
      <c r="L187" s="185"/>
      <c r="M187" s="184"/>
      <c r="N187" s="186"/>
      <c r="O187" s="183"/>
      <c r="P187" s="183"/>
      <c r="Q187" s="183"/>
      <c r="R187" s="184"/>
      <c r="S187" s="184"/>
      <c r="U187" s="62"/>
    </row>
    <row r="188" spans="1:21" x14ac:dyDescent="0.45">
      <c r="A188" s="181"/>
      <c r="B188" s="181"/>
      <c r="C188" s="181"/>
      <c r="D188" s="181"/>
      <c r="E188" s="181"/>
      <c r="F188" s="181"/>
      <c r="G188" s="182"/>
      <c r="H188" s="183"/>
      <c r="I188" s="182"/>
      <c r="J188" s="205"/>
      <c r="K188" s="184"/>
      <c r="L188" s="185"/>
      <c r="M188" s="184"/>
      <c r="N188" s="186"/>
      <c r="O188" s="183"/>
      <c r="P188" s="183"/>
      <c r="Q188" s="183"/>
      <c r="R188" s="184"/>
      <c r="S188" s="184"/>
      <c r="U188" s="62"/>
    </row>
    <row r="189" spans="1:21" x14ac:dyDescent="0.45">
      <c r="A189" s="181"/>
      <c r="B189" s="181"/>
      <c r="C189" s="181"/>
      <c r="D189" s="181"/>
      <c r="E189" s="181"/>
      <c r="F189" s="181"/>
      <c r="G189" s="182"/>
      <c r="H189" s="183"/>
      <c r="I189" s="182"/>
      <c r="J189" s="205"/>
      <c r="K189" s="184"/>
      <c r="L189" s="185"/>
      <c r="M189" s="184"/>
      <c r="N189" s="186"/>
      <c r="O189" s="183"/>
      <c r="P189" s="183"/>
      <c r="Q189" s="183"/>
      <c r="R189" s="184"/>
      <c r="S189" s="184"/>
      <c r="U189" s="62"/>
    </row>
    <row r="190" spans="1:21" x14ac:dyDescent="0.45">
      <c r="A190" s="181"/>
      <c r="B190" s="181"/>
      <c r="C190" s="181"/>
      <c r="D190" s="181"/>
      <c r="E190" s="181"/>
      <c r="F190" s="181"/>
      <c r="G190" s="182"/>
      <c r="H190" s="183"/>
      <c r="I190" s="182"/>
      <c r="J190" s="205"/>
      <c r="K190" s="184"/>
      <c r="L190" s="185"/>
      <c r="M190" s="184"/>
      <c r="N190" s="186"/>
      <c r="O190" s="183"/>
      <c r="P190" s="183"/>
      <c r="Q190" s="183"/>
      <c r="R190" s="184"/>
      <c r="S190" s="184"/>
      <c r="U190" s="62"/>
    </row>
    <row r="191" spans="1:21" x14ac:dyDescent="0.45">
      <c r="A191" s="181"/>
      <c r="B191" s="181"/>
      <c r="C191" s="181"/>
      <c r="D191" s="181"/>
      <c r="E191" s="181"/>
      <c r="F191" s="181"/>
      <c r="G191" s="182"/>
      <c r="H191" s="183"/>
      <c r="I191" s="182"/>
      <c r="J191" s="205"/>
      <c r="K191" s="184"/>
      <c r="L191" s="185"/>
      <c r="M191" s="184"/>
      <c r="N191" s="186"/>
      <c r="O191" s="183"/>
      <c r="P191" s="183"/>
      <c r="Q191" s="183"/>
      <c r="R191" s="184"/>
      <c r="S191" s="184"/>
      <c r="U191" s="62"/>
    </row>
    <row r="192" spans="1:21" x14ac:dyDescent="0.45">
      <c r="A192" s="181"/>
      <c r="B192" s="181"/>
      <c r="C192" s="181"/>
      <c r="D192" s="181"/>
      <c r="E192" s="181"/>
      <c r="F192" s="181"/>
      <c r="G192" s="182"/>
      <c r="H192" s="183"/>
      <c r="I192" s="182"/>
      <c r="J192" s="205"/>
      <c r="K192" s="184"/>
      <c r="L192" s="185"/>
      <c r="M192" s="184"/>
      <c r="N192" s="186"/>
      <c r="O192" s="183"/>
      <c r="P192" s="183"/>
      <c r="Q192" s="183"/>
      <c r="R192" s="184"/>
      <c r="S192" s="184"/>
      <c r="U192" s="62"/>
    </row>
    <row r="193" spans="1:21" x14ac:dyDescent="0.45">
      <c r="A193" s="181"/>
      <c r="B193" s="181"/>
      <c r="C193" s="181"/>
      <c r="D193" s="181"/>
      <c r="E193" s="181"/>
      <c r="F193" s="181"/>
      <c r="G193" s="182"/>
      <c r="H193" s="183"/>
      <c r="I193" s="182"/>
      <c r="J193" s="205"/>
      <c r="K193" s="184"/>
      <c r="L193" s="185"/>
      <c r="M193" s="184"/>
      <c r="N193" s="186"/>
      <c r="O193" s="183"/>
      <c r="P193" s="183"/>
      <c r="Q193" s="183"/>
      <c r="R193" s="184"/>
      <c r="S193" s="184"/>
      <c r="U193" s="62"/>
    </row>
    <row r="194" spans="1:21" x14ac:dyDescent="0.45">
      <c r="A194" s="181"/>
      <c r="B194" s="181"/>
      <c r="C194" s="181"/>
      <c r="D194" s="181"/>
      <c r="E194" s="181"/>
      <c r="F194" s="181"/>
      <c r="G194" s="182"/>
      <c r="H194" s="183"/>
      <c r="I194" s="182"/>
      <c r="J194" s="205"/>
      <c r="K194" s="184"/>
      <c r="L194" s="185"/>
      <c r="M194" s="184"/>
      <c r="N194" s="186"/>
      <c r="O194" s="183"/>
      <c r="P194" s="183"/>
      <c r="Q194" s="183"/>
      <c r="R194" s="184"/>
      <c r="S194" s="184"/>
      <c r="U194" s="62"/>
    </row>
    <row r="195" spans="1:21" x14ac:dyDescent="0.45">
      <c r="A195" s="181"/>
      <c r="B195" s="181"/>
      <c r="C195" s="181"/>
      <c r="D195" s="181"/>
      <c r="E195" s="181"/>
      <c r="F195" s="181"/>
      <c r="G195" s="182"/>
      <c r="H195" s="183"/>
      <c r="I195" s="182"/>
      <c r="J195" s="205"/>
      <c r="K195" s="184"/>
      <c r="L195" s="185"/>
      <c r="M195" s="184"/>
      <c r="N195" s="186"/>
      <c r="O195" s="183"/>
      <c r="P195" s="183"/>
      <c r="Q195" s="183"/>
      <c r="R195" s="184"/>
      <c r="S195" s="184"/>
      <c r="U195" s="62"/>
    </row>
    <row r="196" spans="1:21" x14ac:dyDescent="0.45">
      <c r="A196" s="181"/>
      <c r="B196" s="181"/>
      <c r="C196" s="181"/>
      <c r="D196" s="181"/>
      <c r="E196" s="181"/>
      <c r="F196" s="181"/>
      <c r="G196" s="182"/>
      <c r="H196" s="183"/>
      <c r="I196" s="182"/>
      <c r="J196" s="205"/>
      <c r="K196" s="184"/>
      <c r="L196" s="185"/>
      <c r="M196" s="184"/>
      <c r="N196" s="186"/>
      <c r="O196" s="183"/>
      <c r="P196" s="183"/>
      <c r="Q196" s="183"/>
      <c r="R196" s="184"/>
      <c r="S196" s="184"/>
      <c r="U196" s="62"/>
    </row>
    <row r="197" spans="1:21" x14ac:dyDescent="0.45">
      <c r="A197" s="181"/>
      <c r="B197" s="181"/>
      <c r="C197" s="181"/>
      <c r="D197" s="181"/>
      <c r="E197" s="181"/>
      <c r="F197" s="181"/>
      <c r="G197" s="182"/>
      <c r="H197" s="183"/>
      <c r="I197" s="182"/>
      <c r="J197" s="205"/>
      <c r="K197" s="184"/>
      <c r="L197" s="185"/>
      <c r="M197" s="184"/>
      <c r="N197" s="186"/>
      <c r="O197" s="183"/>
      <c r="P197" s="183"/>
      <c r="Q197" s="183"/>
      <c r="R197" s="184"/>
      <c r="S197" s="184"/>
      <c r="U197" s="62"/>
    </row>
    <row r="198" spans="1:21" x14ac:dyDescent="0.45">
      <c r="A198" s="181"/>
      <c r="B198" s="181"/>
      <c r="C198" s="181"/>
      <c r="D198" s="181"/>
      <c r="E198" s="181"/>
      <c r="F198" s="181"/>
      <c r="G198" s="182"/>
      <c r="H198" s="183"/>
      <c r="I198" s="182"/>
      <c r="J198" s="205"/>
      <c r="K198" s="184"/>
      <c r="L198" s="185"/>
      <c r="M198" s="184"/>
      <c r="N198" s="186"/>
      <c r="O198" s="183"/>
      <c r="P198" s="183"/>
      <c r="Q198" s="183"/>
      <c r="R198" s="184"/>
      <c r="S198" s="184"/>
      <c r="U198" s="62"/>
    </row>
    <row r="199" spans="1:21" x14ac:dyDescent="0.45">
      <c r="A199" s="181"/>
      <c r="B199" s="181"/>
      <c r="C199" s="181"/>
      <c r="D199" s="181"/>
      <c r="E199" s="181"/>
      <c r="F199" s="181"/>
      <c r="G199" s="182"/>
      <c r="H199" s="183"/>
      <c r="I199" s="182"/>
      <c r="J199" s="205"/>
      <c r="K199" s="184"/>
      <c r="L199" s="185"/>
      <c r="M199" s="184"/>
      <c r="N199" s="186"/>
      <c r="O199" s="183"/>
      <c r="P199" s="183"/>
      <c r="Q199" s="183"/>
      <c r="R199" s="184"/>
      <c r="S199" s="184"/>
      <c r="U199" s="62"/>
    </row>
    <row r="200" spans="1:21" x14ac:dyDescent="0.45">
      <c r="A200" s="181"/>
      <c r="B200" s="181"/>
      <c r="C200" s="181"/>
      <c r="D200" s="181"/>
      <c r="E200" s="181"/>
      <c r="F200" s="181"/>
      <c r="G200" s="182"/>
      <c r="H200" s="183"/>
      <c r="I200" s="182"/>
      <c r="J200" s="205"/>
      <c r="K200" s="184"/>
      <c r="L200" s="185"/>
      <c r="M200" s="184"/>
      <c r="N200" s="186"/>
      <c r="O200" s="183"/>
      <c r="P200" s="183"/>
      <c r="Q200" s="183"/>
      <c r="R200" s="184"/>
      <c r="S200" s="184"/>
      <c r="U200" s="62"/>
    </row>
    <row r="201" spans="1:21" x14ac:dyDescent="0.45">
      <c r="A201" s="181"/>
      <c r="B201" s="181"/>
      <c r="C201" s="181"/>
      <c r="D201" s="181"/>
      <c r="E201" s="181"/>
      <c r="F201" s="181"/>
      <c r="G201" s="182"/>
      <c r="H201" s="183"/>
      <c r="I201" s="182"/>
      <c r="J201" s="205"/>
      <c r="K201" s="184"/>
      <c r="L201" s="185"/>
      <c r="M201" s="184"/>
      <c r="N201" s="186"/>
      <c r="O201" s="183"/>
      <c r="P201" s="183"/>
      <c r="Q201" s="183"/>
      <c r="R201" s="184"/>
      <c r="S201" s="184"/>
      <c r="U201" s="62"/>
    </row>
    <row r="202" spans="1:21" x14ac:dyDescent="0.45">
      <c r="A202" s="181"/>
      <c r="B202" s="181"/>
      <c r="C202" s="181"/>
      <c r="D202" s="181"/>
      <c r="E202" s="181"/>
      <c r="F202" s="181"/>
      <c r="G202" s="182"/>
      <c r="H202" s="183"/>
      <c r="I202" s="182"/>
      <c r="J202" s="205"/>
      <c r="K202" s="184"/>
      <c r="L202" s="185"/>
      <c r="M202" s="184"/>
      <c r="N202" s="186"/>
      <c r="O202" s="183"/>
      <c r="P202" s="183"/>
      <c r="Q202" s="183"/>
      <c r="R202" s="184"/>
      <c r="S202" s="184"/>
      <c r="U202" s="62"/>
    </row>
    <row r="203" spans="1:21" x14ac:dyDescent="0.45">
      <c r="A203" s="181"/>
      <c r="B203" s="181"/>
      <c r="C203" s="181"/>
      <c r="D203" s="181"/>
      <c r="E203" s="181"/>
      <c r="F203" s="181"/>
      <c r="G203" s="182"/>
      <c r="H203" s="183"/>
      <c r="I203" s="182"/>
      <c r="J203" s="205"/>
      <c r="K203" s="184"/>
      <c r="L203" s="185"/>
      <c r="M203" s="184"/>
      <c r="N203" s="186"/>
      <c r="O203" s="183"/>
      <c r="P203" s="183"/>
      <c r="Q203" s="183"/>
      <c r="R203" s="184"/>
      <c r="S203" s="184"/>
      <c r="U203" s="62"/>
    </row>
    <row r="204" spans="1:21" x14ac:dyDescent="0.45">
      <c r="A204" s="181"/>
      <c r="B204" s="181"/>
      <c r="C204" s="181"/>
      <c r="D204" s="181"/>
      <c r="E204" s="181"/>
      <c r="F204" s="181"/>
      <c r="G204" s="182"/>
      <c r="H204" s="183"/>
      <c r="I204" s="182"/>
      <c r="J204" s="205"/>
      <c r="K204" s="184"/>
      <c r="L204" s="185"/>
      <c r="M204" s="184"/>
      <c r="N204" s="186"/>
      <c r="O204" s="183"/>
      <c r="P204" s="183"/>
      <c r="Q204" s="183"/>
      <c r="R204" s="184"/>
      <c r="S204" s="184"/>
      <c r="U204" s="62"/>
    </row>
    <row r="205" spans="1:21" x14ac:dyDescent="0.45">
      <c r="A205" s="181"/>
      <c r="B205" s="181"/>
      <c r="C205" s="181"/>
      <c r="D205" s="181"/>
      <c r="E205" s="181"/>
      <c r="F205" s="181"/>
      <c r="G205" s="182"/>
      <c r="H205" s="183"/>
      <c r="I205" s="182"/>
      <c r="J205" s="205"/>
      <c r="K205" s="184"/>
      <c r="L205" s="185"/>
      <c r="M205" s="184"/>
      <c r="N205" s="186"/>
      <c r="O205" s="183"/>
      <c r="P205" s="183"/>
      <c r="Q205" s="183"/>
      <c r="R205" s="184"/>
      <c r="S205" s="184"/>
      <c r="U205" s="62"/>
    </row>
    <row r="206" spans="1:21" x14ac:dyDescent="0.45">
      <c r="A206" s="181"/>
      <c r="B206" s="181"/>
      <c r="C206" s="181"/>
      <c r="D206" s="181"/>
      <c r="E206" s="181"/>
      <c r="F206" s="181"/>
      <c r="G206" s="182"/>
      <c r="H206" s="183"/>
      <c r="I206" s="182"/>
      <c r="J206" s="205"/>
      <c r="K206" s="184"/>
      <c r="L206" s="185"/>
      <c r="M206" s="184"/>
      <c r="N206" s="186"/>
      <c r="O206" s="183"/>
      <c r="P206" s="183"/>
      <c r="Q206" s="183"/>
      <c r="R206" s="184"/>
      <c r="S206" s="184"/>
      <c r="U206" s="62"/>
    </row>
    <row r="207" spans="1:21" x14ac:dyDescent="0.45">
      <c r="A207" s="181"/>
      <c r="B207" s="181"/>
      <c r="C207" s="181"/>
      <c r="D207" s="181"/>
      <c r="E207" s="181"/>
      <c r="F207" s="181"/>
      <c r="G207" s="182"/>
      <c r="H207" s="183"/>
      <c r="I207" s="182"/>
      <c r="J207" s="205"/>
      <c r="K207" s="184"/>
      <c r="L207" s="185"/>
      <c r="M207" s="184"/>
      <c r="N207" s="186"/>
      <c r="O207" s="183"/>
      <c r="P207" s="183"/>
      <c r="Q207" s="183"/>
      <c r="R207" s="184"/>
      <c r="S207" s="184"/>
      <c r="U207" s="62"/>
    </row>
    <row r="208" spans="1:21" x14ac:dyDescent="0.45">
      <c r="A208" s="181"/>
      <c r="B208" s="181"/>
      <c r="C208" s="181"/>
      <c r="D208" s="181"/>
      <c r="E208" s="181"/>
      <c r="F208" s="181"/>
      <c r="G208" s="182"/>
      <c r="H208" s="183"/>
      <c r="I208" s="182"/>
      <c r="J208" s="205"/>
      <c r="K208" s="184"/>
      <c r="L208" s="185"/>
      <c r="M208" s="184"/>
      <c r="N208" s="186"/>
      <c r="O208" s="183"/>
      <c r="P208" s="183"/>
      <c r="Q208" s="183"/>
      <c r="R208" s="184"/>
      <c r="S208" s="184"/>
      <c r="U208" s="62"/>
    </row>
    <row r="209" spans="1:21" x14ac:dyDescent="0.45">
      <c r="A209" s="181"/>
      <c r="B209" s="181"/>
      <c r="C209" s="181"/>
      <c r="D209" s="181"/>
      <c r="E209" s="181"/>
      <c r="F209" s="181"/>
      <c r="G209" s="182"/>
      <c r="H209" s="183"/>
      <c r="I209" s="182"/>
      <c r="J209" s="205"/>
      <c r="K209" s="184"/>
      <c r="L209" s="185"/>
      <c r="M209" s="184"/>
      <c r="N209" s="186"/>
      <c r="O209" s="183"/>
      <c r="P209" s="183"/>
      <c r="Q209" s="183"/>
      <c r="R209" s="184"/>
      <c r="S209" s="184"/>
      <c r="U209" s="62"/>
    </row>
    <row r="210" spans="1:21" x14ac:dyDescent="0.45">
      <c r="A210" s="181"/>
      <c r="B210" s="181"/>
      <c r="C210" s="181"/>
      <c r="D210" s="181"/>
      <c r="E210" s="181"/>
      <c r="F210" s="181"/>
      <c r="G210" s="182"/>
      <c r="H210" s="183"/>
      <c r="I210" s="182"/>
      <c r="J210" s="205"/>
      <c r="K210" s="184"/>
      <c r="L210" s="185"/>
      <c r="M210" s="184"/>
      <c r="N210" s="186"/>
      <c r="O210" s="183"/>
      <c r="P210" s="183"/>
      <c r="Q210" s="183"/>
      <c r="R210" s="184"/>
      <c r="S210" s="184"/>
      <c r="U210" s="62"/>
    </row>
    <row r="211" spans="1:21" x14ac:dyDescent="0.45">
      <c r="A211" s="181"/>
      <c r="B211" s="181"/>
      <c r="C211" s="181"/>
      <c r="D211" s="181"/>
      <c r="E211" s="181"/>
      <c r="F211" s="181"/>
      <c r="G211" s="182"/>
      <c r="H211" s="183"/>
      <c r="I211" s="182"/>
      <c r="J211" s="205"/>
      <c r="K211" s="184"/>
      <c r="L211" s="185"/>
      <c r="M211" s="184"/>
      <c r="N211" s="186"/>
      <c r="O211" s="183"/>
      <c r="P211" s="183"/>
      <c r="Q211" s="183"/>
      <c r="R211" s="184"/>
      <c r="S211" s="184"/>
      <c r="U211" s="62"/>
    </row>
    <row r="212" spans="1:21" x14ac:dyDescent="0.45">
      <c r="A212" s="181"/>
      <c r="B212" s="181"/>
      <c r="C212" s="181"/>
      <c r="D212" s="181"/>
      <c r="E212" s="181"/>
      <c r="F212" s="181"/>
      <c r="G212" s="182"/>
      <c r="H212" s="183"/>
      <c r="I212" s="182"/>
      <c r="J212" s="205"/>
      <c r="K212" s="184"/>
      <c r="L212" s="185"/>
      <c r="M212" s="184"/>
      <c r="N212" s="186"/>
      <c r="O212" s="183"/>
      <c r="P212" s="183"/>
      <c r="Q212" s="183"/>
      <c r="R212" s="184"/>
      <c r="S212" s="184"/>
      <c r="U212" s="62"/>
    </row>
    <row r="213" spans="1:21" x14ac:dyDescent="0.45">
      <c r="A213" s="181"/>
      <c r="B213" s="181"/>
      <c r="C213" s="181"/>
      <c r="D213" s="181"/>
      <c r="E213" s="181"/>
      <c r="F213" s="181"/>
      <c r="G213" s="182"/>
      <c r="H213" s="183"/>
      <c r="I213" s="182"/>
      <c r="J213" s="205"/>
      <c r="K213" s="184"/>
      <c r="L213" s="185"/>
      <c r="M213" s="184"/>
      <c r="N213" s="186"/>
      <c r="O213" s="183"/>
      <c r="P213" s="183"/>
      <c r="Q213" s="183"/>
      <c r="R213" s="184"/>
      <c r="S213" s="184"/>
      <c r="U213" s="62"/>
    </row>
    <row r="214" spans="1:21" x14ac:dyDescent="0.45">
      <c r="A214" s="181"/>
      <c r="B214" s="181"/>
      <c r="C214" s="181"/>
      <c r="D214" s="181"/>
      <c r="E214" s="181"/>
      <c r="F214" s="181"/>
      <c r="G214" s="182"/>
      <c r="H214" s="183"/>
      <c r="I214" s="182"/>
      <c r="J214" s="205"/>
      <c r="K214" s="184"/>
      <c r="L214" s="185"/>
      <c r="M214" s="184"/>
      <c r="N214" s="186"/>
      <c r="O214" s="183"/>
      <c r="P214" s="183"/>
      <c r="Q214" s="183"/>
      <c r="R214" s="184"/>
      <c r="S214" s="184"/>
      <c r="U214" s="62"/>
    </row>
    <row r="215" spans="1:21" x14ac:dyDescent="0.45">
      <c r="A215" s="181"/>
      <c r="B215" s="181"/>
      <c r="C215" s="181"/>
      <c r="D215" s="181"/>
      <c r="E215" s="181"/>
      <c r="F215" s="181"/>
      <c r="G215" s="182"/>
      <c r="H215" s="183"/>
      <c r="I215" s="182"/>
      <c r="J215" s="205"/>
      <c r="K215" s="184"/>
      <c r="L215" s="185"/>
      <c r="M215" s="184"/>
      <c r="N215" s="186"/>
      <c r="O215" s="183"/>
      <c r="P215" s="183"/>
      <c r="Q215" s="183"/>
      <c r="R215" s="184"/>
      <c r="S215" s="184"/>
      <c r="U215" s="62"/>
    </row>
    <row r="216" spans="1:21" x14ac:dyDescent="0.45">
      <c r="A216" s="181"/>
      <c r="B216" s="181"/>
      <c r="C216" s="181"/>
      <c r="D216" s="181"/>
      <c r="E216" s="181"/>
      <c r="F216" s="181"/>
      <c r="G216" s="182"/>
      <c r="H216" s="183"/>
      <c r="I216" s="182"/>
      <c r="J216" s="205"/>
      <c r="K216" s="184"/>
      <c r="L216" s="185"/>
      <c r="M216" s="184"/>
      <c r="N216" s="186"/>
      <c r="O216" s="183"/>
      <c r="P216" s="183"/>
      <c r="Q216" s="183"/>
      <c r="R216" s="184"/>
      <c r="S216" s="184"/>
      <c r="U216" s="62"/>
    </row>
    <row r="217" spans="1:21" x14ac:dyDescent="0.45">
      <c r="A217" s="181"/>
      <c r="B217" s="181"/>
      <c r="C217" s="181"/>
      <c r="D217" s="181"/>
      <c r="E217" s="181"/>
      <c r="F217" s="181"/>
      <c r="G217" s="182"/>
      <c r="H217" s="183"/>
      <c r="I217" s="182"/>
      <c r="J217" s="205"/>
      <c r="K217" s="184"/>
      <c r="L217" s="185"/>
      <c r="M217" s="184"/>
      <c r="N217" s="186"/>
      <c r="O217" s="183"/>
      <c r="P217" s="183"/>
      <c r="Q217" s="183"/>
      <c r="R217" s="184"/>
      <c r="S217" s="184"/>
      <c r="U217" s="62"/>
    </row>
    <row r="218" spans="1:21" x14ac:dyDescent="0.45">
      <c r="A218" s="181"/>
      <c r="B218" s="181"/>
      <c r="C218" s="181"/>
      <c r="D218" s="181"/>
      <c r="E218" s="181"/>
      <c r="F218" s="181"/>
      <c r="G218" s="182"/>
      <c r="H218" s="183"/>
      <c r="I218" s="182"/>
      <c r="J218" s="205"/>
      <c r="K218" s="184"/>
      <c r="L218" s="185"/>
      <c r="M218" s="184"/>
      <c r="N218" s="186"/>
      <c r="O218" s="183"/>
      <c r="P218" s="183"/>
      <c r="Q218" s="183"/>
      <c r="R218" s="184"/>
      <c r="S218" s="184"/>
      <c r="U218" s="62"/>
    </row>
    <row r="219" spans="1:21" x14ac:dyDescent="0.45">
      <c r="A219" s="181"/>
      <c r="B219" s="181"/>
      <c r="C219" s="181"/>
      <c r="D219" s="181"/>
      <c r="E219" s="181"/>
      <c r="F219" s="181"/>
      <c r="G219" s="182"/>
      <c r="H219" s="183"/>
      <c r="I219" s="182"/>
      <c r="J219" s="205"/>
      <c r="K219" s="184"/>
      <c r="L219" s="185"/>
      <c r="M219" s="184"/>
      <c r="N219" s="186"/>
      <c r="O219" s="183"/>
      <c r="P219" s="183"/>
      <c r="Q219" s="183"/>
      <c r="R219" s="184"/>
      <c r="S219" s="184"/>
      <c r="U219" s="62"/>
    </row>
    <row r="220" spans="1:21" x14ac:dyDescent="0.45">
      <c r="A220" s="181"/>
      <c r="B220" s="181"/>
      <c r="C220" s="181"/>
      <c r="D220" s="181"/>
      <c r="E220" s="181"/>
      <c r="F220" s="181"/>
      <c r="G220" s="182"/>
      <c r="H220" s="183"/>
      <c r="I220" s="182"/>
      <c r="J220" s="205"/>
      <c r="K220" s="184"/>
      <c r="L220" s="185"/>
      <c r="M220" s="184"/>
      <c r="N220" s="186"/>
      <c r="O220" s="183"/>
      <c r="P220" s="183"/>
      <c r="Q220" s="183"/>
      <c r="R220" s="184"/>
      <c r="S220" s="184"/>
      <c r="U220" s="62"/>
    </row>
    <row r="221" spans="1:21" x14ac:dyDescent="0.45">
      <c r="A221" s="181"/>
      <c r="B221" s="181"/>
      <c r="C221" s="181"/>
      <c r="D221" s="181"/>
      <c r="E221" s="181"/>
      <c r="F221" s="181"/>
      <c r="G221" s="182"/>
      <c r="H221" s="183"/>
      <c r="I221" s="182"/>
      <c r="J221" s="205"/>
      <c r="K221" s="184"/>
      <c r="L221" s="185"/>
      <c r="M221" s="184"/>
      <c r="N221" s="186"/>
      <c r="O221" s="183"/>
      <c r="P221" s="183"/>
      <c r="Q221" s="183"/>
      <c r="R221" s="184"/>
      <c r="S221" s="184"/>
      <c r="U221" s="62"/>
    </row>
    <row r="222" spans="1:21" x14ac:dyDescent="0.45">
      <c r="A222" s="181"/>
      <c r="B222" s="181"/>
      <c r="C222" s="181"/>
      <c r="D222" s="181"/>
      <c r="E222" s="181"/>
      <c r="F222" s="181"/>
      <c r="G222" s="182"/>
      <c r="H222" s="183"/>
      <c r="I222" s="182"/>
      <c r="J222" s="205"/>
      <c r="K222" s="184"/>
      <c r="L222" s="185"/>
      <c r="M222" s="184"/>
      <c r="N222" s="186"/>
      <c r="O222" s="183"/>
      <c r="P222" s="183"/>
      <c r="Q222" s="183"/>
      <c r="R222" s="184"/>
      <c r="S222" s="184"/>
      <c r="U222" s="62"/>
    </row>
    <row r="223" spans="1:21" x14ac:dyDescent="0.45">
      <c r="A223" s="181"/>
      <c r="B223" s="181"/>
      <c r="C223" s="181"/>
      <c r="D223" s="181"/>
      <c r="E223" s="181"/>
      <c r="F223" s="181"/>
      <c r="G223" s="182"/>
      <c r="H223" s="183"/>
      <c r="I223" s="182"/>
      <c r="J223" s="205"/>
      <c r="K223" s="184"/>
      <c r="L223" s="185"/>
      <c r="M223" s="184"/>
      <c r="N223" s="186"/>
      <c r="O223" s="183"/>
      <c r="P223" s="183"/>
      <c r="Q223" s="183"/>
      <c r="R223" s="184"/>
      <c r="S223" s="184"/>
      <c r="U223" s="62"/>
    </row>
    <row r="224" spans="1:21" x14ac:dyDescent="0.45">
      <c r="A224" s="181"/>
      <c r="B224" s="181"/>
      <c r="C224" s="181"/>
      <c r="D224" s="181"/>
      <c r="E224" s="181"/>
      <c r="F224" s="181"/>
      <c r="G224" s="182"/>
      <c r="H224" s="183"/>
      <c r="I224" s="182"/>
      <c r="J224" s="205"/>
      <c r="K224" s="184"/>
      <c r="L224" s="185"/>
      <c r="M224" s="184"/>
      <c r="N224" s="186"/>
      <c r="O224" s="183"/>
      <c r="P224" s="183"/>
      <c r="Q224" s="183"/>
      <c r="R224" s="184"/>
      <c r="S224" s="184"/>
      <c r="U224" s="62"/>
    </row>
    <row r="225" spans="1:21" x14ac:dyDescent="0.45">
      <c r="A225" s="181"/>
      <c r="B225" s="181"/>
      <c r="C225" s="181"/>
      <c r="D225" s="181"/>
      <c r="E225" s="181"/>
      <c r="F225" s="181"/>
      <c r="G225" s="182"/>
      <c r="H225" s="183"/>
      <c r="I225" s="182"/>
      <c r="J225" s="205"/>
      <c r="K225" s="184"/>
      <c r="L225" s="185"/>
      <c r="M225" s="184"/>
      <c r="N225" s="186"/>
      <c r="O225" s="183"/>
      <c r="P225" s="183"/>
      <c r="Q225" s="183"/>
      <c r="R225" s="184"/>
      <c r="S225" s="184"/>
      <c r="U225" s="62"/>
    </row>
    <row r="226" spans="1:21" x14ac:dyDescent="0.45">
      <c r="A226" s="181"/>
      <c r="B226" s="181"/>
      <c r="C226" s="181"/>
      <c r="D226" s="181"/>
      <c r="E226" s="181"/>
      <c r="F226" s="181"/>
      <c r="G226" s="182"/>
      <c r="H226" s="183"/>
      <c r="I226" s="182"/>
      <c r="J226" s="205"/>
      <c r="K226" s="184"/>
      <c r="L226" s="185"/>
      <c r="M226" s="184"/>
      <c r="N226" s="186"/>
      <c r="O226" s="183"/>
      <c r="P226" s="183"/>
      <c r="Q226" s="183"/>
      <c r="R226" s="184"/>
      <c r="S226" s="184"/>
      <c r="U226" s="62"/>
    </row>
    <row r="227" spans="1:21" x14ac:dyDescent="0.45">
      <c r="A227" s="181"/>
      <c r="B227" s="181"/>
      <c r="C227" s="181"/>
      <c r="D227" s="181"/>
      <c r="E227" s="181"/>
      <c r="F227" s="181"/>
      <c r="G227" s="182"/>
      <c r="H227" s="183"/>
      <c r="I227" s="182"/>
      <c r="J227" s="205"/>
      <c r="K227" s="184"/>
      <c r="L227" s="185"/>
      <c r="M227" s="184"/>
      <c r="N227" s="186"/>
      <c r="O227" s="183"/>
      <c r="P227" s="183"/>
      <c r="Q227" s="183"/>
      <c r="R227" s="184"/>
      <c r="S227" s="184"/>
      <c r="U227" s="62"/>
    </row>
    <row r="228" spans="1:21" x14ac:dyDescent="0.45">
      <c r="A228" s="181"/>
      <c r="B228" s="181"/>
      <c r="C228" s="181"/>
      <c r="D228" s="181"/>
      <c r="E228" s="181"/>
      <c r="F228" s="181"/>
      <c r="G228" s="182"/>
      <c r="H228" s="183"/>
      <c r="I228" s="182"/>
      <c r="J228" s="205"/>
      <c r="K228" s="184"/>
      <c r="L228" s="185"/>
      <c r="M228" s="184"/>
      <c r="N228" s="186"/>
      <c r="O228" s="183"/>
      <c r="P228" s="183"/>
      <c r="Q228" s="183"/>
      <c r="R228" s="184"/>
      <c r="S228" s="184"/>
      <c r="U228" s="62"/>
    </row>
    <row r="229" spans="1:21" x14ac:dyDescent="0.45">
      <c r="A229" s="181"/>
      <c r="B229" s="181"/>
      <c r="C229" s="181"/>
      <c r="D229" s="181"/>
      <c r="E229" s="181"/>
      <c r="F229" s="181"/>
      <c r="G229" s="182"/>
      <c r="H229" s="183"/>
      <c r="I229" s="182"/>
      <c r="J229" s="205"/>
      <c r="K229" s="184"/>
      <c r="L229" s="185"/>
      <c r="M229" s="184"/>
      <c r="N229" s="186"/>
      <c r="O229" s="183"/>
      <c r="P229" s="183"/>
      <c r="Q229" s="183"/>
      <c r="R229" s="184"/>
      <c r="S229" s="184"/>
      <c r="U229" s="62"/>
    </row>
    <row r="230" spans="1:21" x14ac:dyDescent="0.45">
      <c r="A230" s="181"/>
      <c r="B230" s="181"/>
      <c r="C230" s="181"/>
      <c r="D230" s="181"/>
      <c r="E230" s="181"/>
      <c r="F230" s="181"/>
      <c r="G230" s="182"/>
      <c r="H230" s="183"/>
      <c r="I230" s="182"/>
      <c r="J230" s="205"/>
      <c r="K230" s="184"/>
      <c r="L230" s="185"/>
      <c r="M230" s="184"/>
      <c r="N230" s="186"/>
      <c r="O230" s="183"/>
      <c r="P230" s="183"/>
      <c r="Q230" s="183"/>
      <c r="R230" s="184"/>
      <c r="S230" s="184"/>
      <c r="U230" s="62"/>
    </row>
    <row r="231" spans="1:21" x14ac:dyDescent="0.45">
      <c r="A231" s="181"/>
      <c r="B231" s="181"/>
      <c r="C231" s="181"/>
      <c r="D231" s="181"/>
      <c r="E231" s="181"/>
      <c r="F231" s="181"/>
      <c r="G231" s="182"/>
      <c r="H231" s="183"/>
      <c r="I231" s="182"/>
      <c r="J231" s="205"/>
      <c r="K231" s="184"/>
      <c r="L231" s="185"/>
      <c r="M231" s="184"/>
      <c r="N231" s="186"/>
      <c r="O231" s="183"/>
      <c r="P231" s="183"/>
      <c r="Q231" s="183"/>
      <c r="R231" s="184"/>
      <c r="S231" s="184"/>
      <c r="U231" s="62"/>
    </row>
    <row r="232" spans="1:21" x14ac:dyDescent="0.45">
      <c r="A232" s="181"/>
      <c r="B232" s="181"/>
      <c r="C232" s="181"/>
      <c r="D232" s="181"/>
      <c r="E232" s="181"/>
      <c r="F232" s="181"/>
      <c r="G232" s="182"/>
      <c r="H232" s="183"/>
      <c r="I232" s="182"/>
      <c r="J232" s="205"/>
      <c r="K232" s="184"/>
      <c r="L232" s="185"/>
      <c r="M232" s="184"/>
      <c r="N232" s="186"/>
      <c r="O232" s="183"/>
      <c r="P232" s="183"/>
      <c r="Q232" s="183"/>
      <c r="R232" s="184"/>
      <c r="S232" s="184"/>
      <c r="U232" s="62"/>
    </row>
    <row r="233" spans="1:21" x14ac:dyDescent="0.45">
      <c r="A233" s="181"/>
      <c r="B233" s="181"/>
      <c r="C233" s="181"/>
      <c r="D233" s="181"/>
      <c r="E233" s="181"/>
      <c r="F233" s="181"/>
      <c r="G233" s="182"/>
      <c r="H233" s="183"/>
      <c r="I233" s="182"/>
      <c r="J233" s="205"/>
      <c r="K233" s="184"/>
      <c r="L233" s="185"/>
      <c r="M233" s="184"/>
      <c r="N233" s="186"/>
      <c r="O233" s="183"/>
      <c r="P233" s="183"/>
      <c r="Q233" s="183"/>
      <c r="R233" s="184"/>
      <c r="S233" s="184"/>
      <c r="U233" s="62"/>
    </row>
    <row r="234" spans="1:21" x14ac:dyDescent="0.45">
      <c r="A234" s="181"/>
      <c r="B234" s="181"/>
      <c r="C234" s="181"/>
      <c r="D234" s="181"/>
      <c r="E234" s="181"/>
      <c r="F234" s="181"/>
      <c r="G234" s="182"/>
      <c r="H234" s="183"/>
      <c r="I234" s="182"/>
      <c r="J234" s="205"/>
      <c r="K234" s="184"/>
      <c r="L234" s="185"/>
      <c r="M234" s="184"/>
      <c r="N234" s="186"/>
      <c r="O234" s="183"/>
      <c r="P234" s="183"/>
      <c r="Q234" s="183"/>
      <c r="R234" s="184"/>
      <c r="S234" s="184"/>
      <c r="U234" s="62"/>
    </row>
    <row r="235" spans="1:21" x14ac:dyDescent="0.45">
      <c r="A235" s="181"/>
      <c r="B235" s="181"/>
      <c r="C235" s="181"/>
      <c r="D235" s="181"/>
      <c r="E235" s="181"/>
      <c r="F235" s="181"/>
      <c r="G235" s="182"/>
      <c r="H235" s="183"/>
      <c r="I235" s="182"/>
      <c r="J235" s="205"/>
      <c r="K235" s="184"/>
      <c r="L235" s="185"/>
      <c r="M235" s="184"/>
      <c r="N235" s="186"/>
      <c r="O235" s="183"/>
      <c r="P235" s="183"/>
      <c r="Q235" s="183"/>
      <c r="R235" s="184"/>
      <c r="S235" s="184"/>
      <c r="U235" s="62"/>
    </row>
    <row r="236" spans="1:21" x14ac:dyDescent="0.45">
      <c r="A236" s="181"/>
      <c r="B236" s="181"/>
      <c r="C236" s="181"/>
      <c r="D236" s="181"/>
      <c r="E236" s="181"/>
      <c r="F236" s="181"/>
      <c r="G236" s="182"/>
      <c r="H236" s="183"/>
      <c r="I236" s="182"/>
      <c r="J236" s="205"/>
      <c r="K236" s="184"/>
      <c r="L236" s="185"/>
      <c r="M236" s="184"/>
      <c r="N236" s="186"/>
      <c r="O236" s="183"/>
      <c r="P236" s="183"/>
      <c r="Q236" s="183"/>
      <c r="R236" s="184"/>
      <c r="S236" s="184"/>
      <c r="U236" s="62"/>
    </row>
    <row r="237" spans="1:21" x14ac:dyDescent="0.45">
      <c r="A237" s="181"/>
      <c r="B237" s="181"/>
      <c r="C237" s="181"/>
      <c r="D237" s="181"/>
      <c r="E237" s="181"/>
      <c r="F237" s="181"/>
      <c r="G237" s="182"/>
      <c r="H237" s="183"/>
      <c r="I237" s="182"/>
      <c r="J237" s="205"/>
      <c r="K237" s="184"/>
      <c r="L237" s="185"/>
      <c r="M237" s="184"/>
      <c r="N237" s="186"/>
      <c r="O237" s="183"/>
      <c r="P237" s="183"/>
      <c r="Q237" s="183"/>
      <c r="R237" s="184"/>
      <c r="S237" s="184"/>
      <c r="U237" s="62"/>
    </row>
    <row r="238" spans="1:21" x14ac:dyDescent="0.45">
      <c r="A238" s="181"/>
      <c r="B238" s="181"/>
      <c r="C238" s="181"/>
      <c r="D238" s="181"/>
      <c r="E238" s="181"/>
      <c r="F238" s="181"/>
      <c r="G238" s="182"/>
      <c r="H238" s="183"/>
      <c r="I238" s="182"/>
      <c r="J238" s="205"/>
      <c r="K238" s="184"/>
      <c r="L238" s="185"/>
      <c r="M238" s="184"/>
      <c r="N238" s="186"/>
      <c r="O238" s="183"/>
      <c r="P238" s="183"/>
      <c r="Q238" s="183"/>
      <c r="R238" s="184"/>
      <c r="S238" s="184"/>
      <c r="U238" s="62"/>
    </row>
    <row r="239" spans="1:21" x14ac:dyDescent="0.45">
      <c r="A239" s="181"/>
      <c r="B239" s="181"/>
      <c r="C239" s="181"/>
      <c r="D239" s="181"/>
      <c r="E239" s="181"/>
      <c r="F239" s="181"/>
      <c r="G239" s="182"/>
      <c r="H239" s="183"/>
      <c r="I239" s="182"/>
      <c r="J239" s="205"/>
      <c r="K239" s="184"/>
      <c r="L239" s="185"/>
      <c r="M239" s="184"/>
      <c r="N239" s="186"/>
      <c r="O239" s="183"/>
      <c r="P239" s="183"/>
      <c r="Q239" s="183"/>
      <c r="R239" s="184"/>
      <c r="S239" s="184"/>
      <c r="U239" s="62"/>
    </row>
    <row r="240" spans="1:21" x14ac:dyDescent="0.45">
      <c r="A240" s="181"/>
      <c r="B240" s="181"/>
      <c r="C240" s="181"/>
      <c r="D240" s="181"/>
      <c r="E240" s="181"/>
      <c r="F240" s="181"/>
      <c r="G240" s="182"/>
      <c r="H240" s="183"/>
      <c r="I240" s="182"/>
      <c r="J240" s="205"/>
      <c r="K240" s="184"/>
      <c r="L240" s="185"/>
      <c r="M240" s="184"/>
      <c r="N240" s="186"/>
      <c r="O240" s="183"/>
      <c r="P240" s="183"/>
      <c r="Q240" s="183"/>
      <c r="R240" s="184"/>
      <c r="S240" s="184"/>
      <c r="U240" s="62"/>
    </row>
    <row r="241" spans="1:21" x14ac:dyDescent="0.45">
      <c r="A241" s="181"/>
      <c r="B241" s="181"/>
      <c r="C241" s="181"/>
      <c r="D241" s="181"/>
      <c r="E241" s="181"/>
      <c r="F241" s="181"/>
      <c r="G241" s="182"/>
      <c r="H241" s="183"/>
      <c r="I241" s="182"/>
      <c r="J241" s="205"/>
      <c r="K241" s="184"/>
      <c r="L241" s="185"/>
      <c r="M241" s="184"/>
      <c r="N241" s="186"/>
      <c r="O241" s="183"/>
      <c r="P241" s="183"/>
      <c r="Q241" s="183"/>
      <c r="R241" s="184"/>
      <c r="S241" s="184"/>
      <c r="U241" s="62"/>
    </row>
    <row r="242" spans="1:21" x14ac:dyDescent="0.45">
      <c r="A242" s="181"/>
      <c r="B242" s="181"/>
      <c r="C242" s="181"/>
      <c r="D242" s="181"/>
      <c r="E242" s="181"/>
      <c r="F242" s="181"/>
      <c r="G242" s="182"/>
      <c r="H242" s="183"/>
      <c r="I242" s="182"/>
      <c r="J242" s="205"/>
      <c r="K242" s="184"/>
      <c r="L242" s="185"/>
      <c r="M242" s="184"/>
      <c r="N242" s="186"/>
      <c r="O242" s="183"/>
      <c r="P242" s="183"/>
      <c r="Q242" s="183"/>
      <c r="R242" s="184"/>
      <c r="S242" s="184"/>
      <c r="U242" s="62"/>
    </row>
    <row r="243" spans="1:21" x14ac:dyDescent="0.45">
      <c r="A243" s="181"/>
      <c r="B243" s="181"/>
      <c r="C243" s="181"/>
      <c r="D243" s="181"/>
      <c r="E243" s="181"/>
      <c r="F243" s="181"/>
      <c r="G243" s="182"/>
      <c r="H243" s="183"/>
      <c r="I243" s="182"/>
      <c r="J243" s="205"/>
      <c r="K243" s="184"/>
      <c r="L243" s="185"/>
      <c r="M243" s="184"/>
      <c r="N243" s="186"/>
      <c r="O243" s="183"/>
      <c r="P243" s="183"/>
      <c r="Q243" s="183"/>
      <c r="R243" s="184"/>
      <c r="S243" s="184"/>
      <c r="U243" s="62"/>
    </row>
    <row r="244" spans="1:21" x14ac:dyDescent="0.45">
      <c r="A244" s="181"/>
      <c r="B244" s="181"/>
      <c r="C244" s="181"/>
      <c r="D244" s="181"/>
      <c r="E244" s="181"/>
      <c r="F244" s="181"/>
      <c r="G244" s="182"/>
      <c r="H244" s="183"/>
      <c r="I244" s="182"/>
      <c r="J244" s="205"/>
      <c r="K244" s="184"/>
      <c r="L244" s="185"/>
      <c r="M244" s="184"/>
      <c r="N244" s="186"/>
      <c r="O244" s="183"/>
      <c r="P244" s="183"/>
      <c r="Q244" s="183"/>
      <c r="R244" s="184"/>
      <c r="S244" s="184"/>
      <c r="U244" s="62"/>
    </row>
    <row r="245" spans="1:21" x14ac:dyDescent="0.45">
      <c r="A245" s="181"/>
      <c r="B245" s="181"/>
      <c r="C245" s="181"/>
      <c r="D245" s="181"/>
      <c r="E245" s="181"/>
      <c r="F245" s="181"/>
      <c r="G245" s="182"/>
      <c r="H245" s="183"/>
      <c r="I245" s="182"/>
      <c r="J245" s="205"/>
      <c r="K245" s="184"/>
      <c r="L245" s="185"/>
      <c r="M245" s="184"/>
      <c r="N245" s="186"/>
      <c r="O245" s="183"/>
      <c r="P245" s="183"/>
      <c r="Q245" s="183"/>
      <c r="R245" s="184"/>
      <c r="S245" s="184"/>
      <c r="U245" s="62"/>
    </row>
    <row r="246" spans="1:21" x14ac:dyDescent="0.45">
      <c r="A246" s="181"/>
      <c r="B246" s="181"/>
      <c r="C246" s="181"/>
      <c r="D246" s="181"/>
      <c r="E246" s="181"/>
      <c r="F246" s="181"/>
      <c r="G246" s="182"/>
      <c r="H246" s="183"/>
      <c r="I246" s="182"/>
      <c r="J246" s="205"/>
      <c r="K246" s="184"/>
      <c r="L246" s="185"/>
      <c r="M246" s="184"/>
      <c r="N246" s="186"/>
      <c r="O246" s="183"/>
      <c r="P246" s="183"/>
      <c r="Q246" s="183"/>
      <c r="R246" s="184"/>
      <c r="S246" s="184"/>
      <c r="U246" s="62"/>
    </row>
    <row r="247" spans="1:21" x14ac:dyDescent="0.45">
      <c r="A247" s="181"/>
      <c r="B247" s="181"/>
      <c r="C247" s="181"/>
      <c r="D247" s="181"/>
      <c r="E247" s="181"/>
      <c r="F247" s="181"/>
      <c r="G247" s="182"/>
      <c r="H247" s="183"/>
      <c r="I247" s="182"/>
      <c r="J247" s="205"/>
      <c r="K247" s="184"/>
      <c r="L247" s="185"/>
      <c r="M247" s="184"/>
      <c r="N247" s="186"/>
      <c r="O247" s="183"/>
      <c r="P247" s="183"/>
      <c r="Q247" s="183"/>
      <c r="R247" s="184"/>
      <c r="S247" s="184"/>
      <c r="U247" s="62"/>
    </row>
    <row r="248" spans="1:21" x14ac:dyDescent="0.45">
      <c r="A248" s="181"/>
      <c r="B248" s="181"/>
      <c r="C248" s="181"/>
      <c r="D248" s="181"/>
      <c r="E248" s="181"/>
      <c r="F248" s="181"/>
      <c r="G248" s="182"/>
      <c r="H248" s="183"/>
      <c r="I248" s="182"/>
      <c r="J248" s="205"/>
      <c r="K248" s="184"/>
      <c r="L248" s="185"/>
      <c r="M248" s="184"/>
      <c r="N248" s="186"/>
      <c r="O248" s="183"/>
      <c r="P248" s="183"/>
      <c r="Q248" s="183"/>
      <c r="R248" s="184"/>
      <c r="S248" s="184"/>
      <c r="U248" s="62"/>
    </row>
    <row r="249" spans="1:21" x14ac:dyDescent="0.45">
      <c r="A249" s="181"/>
      <c r="B249" s="181"/>
      <c r="C249" s="181"/>
      <c r="D249" s="181"/>
      <c r="E249" s="181"/>
      <c r="F249" s="181"/>
      <c r="G249" s="182"/>
      <c r="H249" s="183"/>
      <c r="I249" s="182"/>
      <c r="J249" s="205"/>
      <c r="K249" s="184"/>
      <c r="L249" s="185"/>
      <c r="M249" s="184"/>
      <c r="N249" s="186"/>
      <c r="O249" s="183"/>
      <c r="P249" s="183"/>
      <c r="Q249" s="183"/>
      <c r="R249" s="184"/>
      <c r="S249" s="184"/>
      <c r="U249" s="62"/>
    </row>
    <row r="250" spans="1:21" x14ac:dyDescent="0.45">
      <c r="A250" s="181"/>
      <c r="B250" s="181"/>
      <c r="C250" s="181"/>
      <c r="D250" s="181"/>
      <c r="E250" s="181"/>
      <c r="F250" s="181"/>
      <c r="G250" s="182"/>
      <c r="H250" s="183"/>
      <c r="I250" s="182"/>
      <c r="J250" s="205"/>
      <c r="K250" s="184"/>
      <c r="L250" s="185"/>
      <c r="M250" s="184"/>
      <c r="N250" s="186"/>
      <c r="O250" s="183"/>
      <c r="P250" s="183"/>
      <c r="Q250" s="183"/>
      <c r="R250" s="184"/>
      <c r="S250" s="184"/>
      <c r="U250" s="62"/>
    </row>
    <row r="251" spans="1:21" x14ac:dyDescent="0.45">
      <c r="A251" s="181"/>
      <c r="B251" s="181"/>
      <c r="C251" s="181"/>
      <c r="D251" s="181"/>
      <c r="E251" s="181"/>
      <c r="F251" s="181"/>
      <c r="G251" s="182"/>
      <c r="H251" s="183"/>
      <c r="I251" s="182"/>
      <c r="J251" s="205"/>
      <c r="K251" s="184"/>
      <c r="L251" s="185"/>
      <c r="M251" s="184"/>
      <c r="N251" s="186"/>
      <c r="O251" s="183"/>
      <c r="P251" s="183"/>
      <c r="Q251" s="183"/>
      <c r="R251" s="184"/>
      <c r="S251" s="184"/>
      <c r="U251" s="62"/>
    </row>
    <row r="252" spans="1:21" x14ac:dyDescent="0.45">
      <c r="A252" s="181"/>
      <c r="B252" s="181"/>
      <c r="C252" s="181"/>
      <c r="D252" s="181"/>
      <c r="E252" s="181"/>
      <c r="F252" s="181"/>
      <c r="G252" s="182"/>
      <c r="H252" s="183"/>
      <c r="I252" s="182"/>
      <c r="J252" s="205"/>
      <c r="K252" s="184"/>
      <c r="L252" s="185"/>
      <c r="M252" s="184"/>
      <c r="N252" s="186"/>
      <c r="O252" s="183"/>
      <c r="P252" s="183"/>
      <c r="Q252" s="183"/>
      <c r="R252" s="184"/>
      <c r="S252" s="184"/>
      <c r="U252" s="62"/>
    </row>
    <row r="253" spans="1:21" x14ac:dyDescent="0.45">
      <c r="A253" s="181"/>
      <c r="B253" s="181"/>
      <c r="C253" s="181"/>
      <c r="D253" s="181"/>
      <c r="E253" s="181"/>
      <c r="F253" s="181"/>
      <c r="G253" s="182"/>
      <c r="H253" s="183"/>
      <c r="I253" s="182"/>
      <c r="J253" s="205"/>
      <c r="K253" s="184"/>
      <c r="L253" s="185"/>
      <c r="M253" s="184"/>
      <c r="N253" s="186"/>
      <c r="O253" s="183"/>
      <c r="P253" s="183"/>
      <c r="Q253" s="183"/>
      <c r="R253" s="184"/>
      <c r="S253" s="184"/>
      <c r="U253" s="62"/>
    </row>
    <row r="254" spans="1:21" x14ac:dyDescent="0.45">
      <c r="A254" s="181"/>
      <c r="B254" s="181"/>
      <c r="C254" s="181"/>
      <c r="D254" s="181"/>
      <c r="E254" s="181"/>
      <c r="F254" s="181"/>
      <c r="G254" s="182"/>
      <c r="H254" s="183"/>
      <c r="I254" s="182"/>
      <c r="J254" s="205"/>
      <c r="K254" s="184"/>
      <c r="L254" s="185"/>
      <c r="M254" s="184"/>
      <c r="N254" s="186"/>
      <c r="O254" s="183"/>
      <c r="P254" s="183"/>
      <c r="Q254" s="183"/>
      <c r="R254" s="184"/>
      <c r="S254" s="184"/>
      <c r="U254" s="62"/>
    </row>
    <row r="255" spans="1:21" x14ac:dyDescent="0.45">
      <c r="A255" s="181"/>
      <c r="B255" s="181"/>
      <c r="C255" s="181"/>
      <c r="D255" s="181"/>
      <c r="E255" s="181"/>
      <c r="F255" s="181"/>
      <c r="G255" s="182"/>
      <c r="H255" s="183"/>
      <c r="I255" s="182"/>
      <c r="J255" s="205"/>
      <c r="K255" s="184"/>
      <c r="L255" s="185"/>
      <c r="M255" s="184"/>
      <c r="N255" s="186"/>
      <c r="O255" s="183"/>
      <c r="P255" s="183"/>
      <c r="Q255" s="183"/>
      <c r="R255" s="184"/>
      <c r="S255" s="184"/>
      <c r="U255" s="62"/>
    </row>
    <row r="256" spans="1:21" x14ac:dyDescent="0.45">
      <c r="A256" s="181"/>
      <c r="B256" s="181"/>
      <c r="C256" s="181"/>
      <c r="D256" s="181"/>
      <c r="E256" s="181"/>
      <c r="F256" s="181"/>
      <c r="G256" s="182"/>
      <c r="H256" s="183"/>
      <c r="I256" s="182"/>
      <c r="J256" s="205"/>
      <c r="K256" s="184"/>
      <c r="L256" s="185"/>
      <c r="M256" s="184"/>
      <c r="N256" s="186"/>
      <c r="O256" s="183"/>
      <c r="P256" s="183"/>
      <c r="Q256" s="183"/>
      <c r="R256" s="184"/>
      <c r="S256" s="184"/>
      <c r="U256" s="62"/>
    </row>
    <row r="257" spans="1:21" x14ac:dyDescent="0.45">
      <c r="A257" s="181"/>
      <c r="B257" s="181"/>
      <c r="C257" s="181"/>
      <c r="D257" s="181"/>
      <c r="E257" s="181"/>
      <c r="F257" s="181"/>
      <c r="G257" s="182"/>
      <c r="H257" s="183"/>
      <c r="I257" s="182"/>
      <c r="J257" s="205"/>
      <c r="K257" s="184"/>
      <c r="L257" s="185"/>
      <c r="M257" s="184"/>
      <c r="N257" s="186"/>
      <c r="O257" s="183"/>
      <c r="P257" s="183"/>
      <c r="Q257" s="183"/>
      <c r="R257" s="184"/>
      <c r="S257" s="184"/>
      <c r="U257" s="62"/>
    </row>
    <row r="258" spans="1:21" x14ac:dyDescent="0.45">
      <c r="A258" s="181"/>
      <c r="B258" s="181"/>
      <c r="C258" s="181"/>
      <c r="D258" s="181"/>
      <c r="E258" s="181"/>
      <c r="F258" s="181"/>
      <c r="G258" s="182"/>
      <c r="H258" s="183"/>
      <c r="I258" s="182"/>
      <c r="J258" s="205"/>
      <c r="K258" s="184"/>
      <c r="L258" s="185"/>
      <c r="M258" s="184"/>
      <c r="N258" s="186"/>
      <c r="O258" s="183"/>
      <c r="P258" s="183"/>
      <c r="Q258" s="183"/>
      <c r="R258" s="184"/>
      <c r="S258" s="184"/>
      <c r="U258" s="62"/>
    </row>
    <row r="259" spans="1:21" x14ac:dyDescent="0.45">
      <c r="A259" s="181"/>
      <c r="B259" s="181"/>
      <c r="C259" s="181"/>
      <c r="D259" s="181"/>
      <c r="E259" s="181"/>
      <c r="F259" s="181"/>
      <c r="G259" s="182"/>
      <c r="H259" s="183"/>
      <c r="I259" s="182"/>
      <c r="J259" s="205"/>
      <c r="K259" s="184"/>
      <c r="L259" s="185"/>
      <c r="M259" s="184"/>
      <c r="N259" s="186"/>
      <c r="O259" s="183"/>
      <c r="P259" s="183"/>
      <c r="Q259" s="183"/>
      <c r="R259" s="184"/>
      <c r="S259" s="184"/>
      <c r="U259" s="62"/>
    </row>
    <row r="260" spans="1:21" x14ac:dyDescent="0.45">
      <c r="A260" s="181"/>
      <c r="B260" s="181"/>
      <c r="C260" s="181"/>
      <c r="D260" s="181"/>
      <c r="E260" s="181"/>
      <c r="F260" s="181"/>
      <c r="G260" s="182"/>
      <c r="H260" s="183"/>
      <c r="I260" s="182"/>
      <c r="J260" s="205"/>
      <c r="K260" s="184"/>
      <c r="L260" s="185"/>
      <c r="M260" s="184"/>
      <c r="N260" s="186"/>
      <c r="O260" s="183"/>
      <c r="P260" s="183"/>
      <c r="Q260" s="183"/>
      <c r="R260" s="184"/>
      <c r="S260" s="184"/>
      <c r="U260" s="62"/>
    </row>
    <row r="261" spans="1:21" x14ac:dyDescent="0.45">
      <c r="A261" s="181"/>
      <c r="B261" s="181"/>
      <c r="C261" s="181"/>
      <c r="D261" s="181"/>
      <c r="E261" s="181"/>
      <c r="F261" s="181"/>
      <c r="G261" s="182"/>
      <c r="H261" s="183"/>
      <c r="I261" s="182"/>
      <c r="J261" s="205"/>
      <c r="K261" s="184"/>
      <c r="L261" s="185"/>
      <c r="M261" s="184"/>
      <c r="N261" s="186"/>
      <c r="O261" s="183"/>
      <c r="P261" s="183"/>
      <c r="Q261" s="183"/>
      <c r="R261" s="184"/>
      <c r="S261" s="184"/>
      <c r="U261" s="62"/>
    </row>
    <row r="262" spans="1:21" x14ac:dyDescent="0.45">
      <c r="A262" s="181"/>
      <c r="B262" s="181"/>
      <c r="C262" s="181"/>
      <c r="D262" s="181"/>
      <c r="E262" s="181"/>
      <c r="F262" s="181"/>
      <c r="G262" s="182"/>
      <c r="H262" s="183"/>
      <c r="I262" s="182"/>
      <c r="J262" s="205"/>
      <c r="K262" s="184"/>
      <c r="L262" s="185"/>
      <c r="M262" s="184"/>
      <c r="N262" s="186"/>
      <c r="O262" s="183"/>
      <c r="P262" s="183"/>
      <c r="Q262" s="183"/>
      <c r="R262" s="184"/>
      <c r="S262" s="184"/>
      <c r="U262" s="62"/>
    </row>
    <row r="263" spans="1:21" x14ac:dyDescent="0.45">
      <c r="A263" s="181"/>
      <c r="B263" s="181"/>
      <c r="C263" s="181"/>
      <c r="D263" s="181"/>
      <c r="E263" s="181"/>
      <c r="F263" s="181"/>
      <c r="G263" s="182"/>
      <c r="H263" s="183"/>
      <c r="I263" s="182"/>
      <c r="J263" s="205"/>
      <c r="K263" s="184"/>
      <c r="L263" s="185"/>
      <c r="M263" s="184"/>
      <c r="N263" s="186"/>
      <c r="O263" s="183"/>
      <c r="P263" s="183"/>
      <c r="Q263" s="183"/>
      <c r="R263" s="184"/>
      <c r="S263" s="184"/>
      <c r="U263" s="62"/>
    </row>
    <row r="264" spans="1:21" x14ac:dyDescent="0.45">
      <c r="A264" s="181"/>
      <c r="B264" s="181"/>
      <c r="C264" s="181"/>
      <c r="D264" s="181"/>
      <c r="E264" s="181"/>
      <c r="F264" s="181"/>
      <c r="G264" s="182"/>
      <c r="H264" s="183"/>
      <c r="I264" s="182"/>
      <c r="J264" s="205"/>
      <c r="K264" s="184"/>
      <c r="L264" s="185"/>
      <c r="M264" s="184"/>
      <c r="N264" s="186"/>
      <c r="O264" s="183"/>
      <c r="P264" s="183"/>
      <c r="Q264" s="183"/>
      <c r="R264" s="184"/>
      <c r="S264" s="184"/>
      <c r="U264" s="62"/>
    </row>
    <row r="265" spans="1:21" x14ac:dyDescent="0.45">
      <c r="A265" s="181"/>
      <c r="B265" s="181"/>
      <c r="C265" s="181"/>
      <c r="D265" s="181"/>
      <c r="E265" s="181"/>
      <c r="F265" s="181"/>
      <c r="G265" s="182"/>
      <c r="H265" s="183"/>
      <c r="I265" s="182"/>
      <c r="J265" s="205"/>
      <c r="K265" s="184"/>
      <c r="L265" s="185"/>
      <c r="M265" s="184"/>
      <c r="N265" s="186"/>
      <c r="O265" s="183"/>
      <c r="P265" s="183"/>
      <c r="Q265" s="183"/>
      <c r="R265" s="184"/>
      <c r="S265" s="184"/>
      <c r="U265" s="62"/>
    </row>
    <row r="266" spans="1:21" x14ac:dyDescent="0.45">
      <c r="A266" s="181"/>
      <c r="B266" s="181"/>
      <c r="C266" s="181"/>
      <c r="D266" s="181"/>
      <c r="E266" s="181"/>
      <c r="F266" s="181"/>
      <c r="G266" s="182"/>
      <c r="H266" s="183"/>
      <c r="I266" s="182"/>
      <c r="J266" s="205"/>
      <c r="K266" s="184"/>
      <c r="L266" s="185"/>
      <c r="M266" s="184"/>
      <c r="N266" s="186"/>
      <c r="O266" s="183"/>
      <c r="P266" s="183"/>
      <c r="Q266" s="183"/>
      <c r="R266" s="184"/>
      <c r="S266" s="184"/>
      <c r="U266" s="62"/>
    </row>
    <row r="267" spans="1:21" x14ac:dyDescent="0.45">
      <c r="A267" s="181"/>
      <c r="B267" s="181"/>
      <c r="C267" s="181"/>
      <c r="D267" s="181"/>
      <c r="E267" s="181"/>
      <c r="F267" s="181"/>
      <c r="G267" s="182"/>
      <c r="H267" s="183"/>
      <c r="I267" s="182"/>
      <c r="J267" s="205"/>
      <c r="K267" s="184"/>
      <c r="L267" s="185"/>
      <c r="M267" s="184"/>
      <c r="N267" s="186"/>
      <c r="O267" s="183"/>
      <c r="P267" s="183"/>
      <c r="Q267" s="183"/>
      <c r="R267" s="184"/>
      <c r="S267" s="184"/>
      <c r="U267" s="62"/>
    </row>
    <row r="268" spans="1:21" x14ac:dyDescent="0.45">
      <c r="A268" s="181"/>
      <c r="B268" s="181"/>
      <c r="C268" s="181"/>
      <c r="D268" s="181"/>
      <c r="E268" s="181"/>
      <c r="F268" s="181"/>
      <c r="G268" s="182"/>
      <c r="H268" s="183"/>
      <c r="I268" s="182"/>
      <c r="J268" s="205"/>
      <c r="K268" s="184"/>
      <c r="L268" s="185"/>
      <c r="M268" s="184"/>
      <c r="N268" s="186"/>
      <c r="O268" s="183"/>
      <c r="P268" s="183"/>
      <c r="Q268" s="183"/>
      <c r="R268" s="184"/>
      <c r="S268" s="184"/>
      <c r="U268" s="62"/>
    </row>
    <row r="269" spans="1:21" x14ac:dyDescent="0.45">
      <c r="A269" s="181"/>
      <c r="B269" s="181"/>
      <c r="C269" s="181"/>
      <c r="D269" s="181"/>
      <c r="E269" s="181"/>
      <c r="F269" s="181"/>
      <c r="G269" s="182"/>
      <c r="H269" s="183"/>
      <c r="I269" s="182"/>
      <c r="J269" s="205"/>
      <c r="K269" s="184"/>
      <c r="L269" s="185"/>
      <c r="M269" s="184"/>
      <c r="N269" s="186"/>
      <c r="O269" s="183"/>
      <c r="P269" s="183"/>
      <c r="Q269" s="183"/>
      <c r="R269" s="184"/>
      <c r="S269" s="184"/>
      <c r="U269" s="62"/>
    </row>
    <row r="270" spans="1:21" x14ac:dyDescent="0.45">
      <c r="A270" s="181"/>
      <c r="B270" s="181"/>
      <c r="C270" s="181"/>
      <c r="D270" s="181"/>
      <c r="E270" s="181"/>
      <c r="F270" s="181"/>
      <c r="G270" s="182"/>
      <c r="H270" s="183"/>
      <c r="I270" s="182"/>
      <c r="J270" s="205"/>
      <c r="K270" s="184"/>
      <c r="L270" s="185"/>
      <c r="M270" s="184"/>
      <c r="N270" s="186"/>
      <c r="O270" s="183"/>
      <c r="P270" s="183"/>
      <c r="Q270" s="183"/>
      <c r="R270" s="184"/>
      <c r="S270" s="184"/>
      <c r="U270" s="62"/>
    </row>
    <row r="271" spans="1:21" x14ac:dyDescent="0.45">
      <c r="A271" s="181"/>
      <c r="B271" s="181"/>
      <c r="C271" s="181"/>
      <c r="D271" s="181"/>
      <c r="E271" s="181"/>
      <c r="F271" s="181"/>
      <c r="G271" s="182"/>
      <c r="H271" s="183"/>
      <c r="I271" s="182"/>
      <c r="J271" s="205"/>
      <c r="K271" s="184"/>
      <c r="L271" s="185"/>
      <c r="M271" s="184"/>
      <c r="N271" s="186"/>
      <c r="O271" s="183"/>
      <c r="P271" s="183"/>
      <c r="Q271" s="183"/>
      <c r="R271" s="184"/>
      <c r="S271" s="184"/>
      <c r="U271" s="62"/>
    </row>
    <row r="272" spans="1:21" x14ac:dyDescent="0.45">
      <c r="A272" s="181"/>
      <c r="B272" s="181"/>
      <c r="C272" s="181"/>
      <c r="D272" s="181"/>
      <c r="E272" s="181"/>
      <c r="F272" s="181"/>
      <c r="G272" s="182"/>
      <c r="H272" s="183"/>
      <c r="I272" s="182"/>
      <c r="J272" s="205"/>
      <c r="K272" s="184"/>
      <c r="L272" s="185"/>
      <c r="M272" s="184"/>
      <c r="N272" s="186"/>
      <c r="O272" s="183"/>
      <c r="P272" s="183"/>
      <c r="Q272" s="183"/>
      <c r="R272" s="184"/>
      <c r="S272" s="184"/>
      <c r="U272" s="62"/>
    </row>
    <row r="273" spans="1:21" x14ac:dyDescent="0.45">
      <c r="A273" s="181"/>
      <c r="B273" s="181"/>
      <c r="C273" s="181"/>
      <c r="D273" s="181"/>
      <c r="E273" s="181"/>
      <c r="F273" s="181"/>
      <c r="G273" s="182"/>
      <c r="H273" s="183"/>
      <c r="I273" s="182"/>
      <c r="J273" s="205"/>
      <c r="K273" s="184"/>
      <c r="L273" s="185"/>
      <c r="M273" s="184"/>
      <c r="N273" s="186"/>
      <c r="O273" s="183"/>
      <c r="P273" s="183"/>
      <c r="Q273" s="183"/>
      <c r="R273" s="184"/>
      <c r="S273" s="184"/>
      <c r="U273" s="62"/>
    </row>
    <row r="274" spans="1:21" x14ac:dyDescent="0.45">
      <c r="A274" s="181"/>
      <c r="B274" s="181"/>
      <c r="C274" s="181"/>
      <c r="D274" s="181"/>
      <c r="E274" s="181"/>
      <c r="F274" s="181"/>
      <c r="G274" s="182"/>
      <c r="H274" s="183"/>
      <c r="I274" s="182"/>
      <c r="J274" s="205"/>
      <c r="K274" s="184"/>
      <c r="L274" s="185"/>
      <c r="M274" s="184"/>
      <c r="N274" s="186"/>
      <c r="O274" s="183"/>
      <c r="P274" s="183"/>
      <c r="Q274" s="183"/>
      <c r="R274" s="184"/>
      <c r="S274" s="184"/>
      <c r="U274" s="62"/>
    </row>
    <row r="275" spans="1:21" x14ac:dyDescent="0.45">
      <c r="A275" s="181"/>
      <c r="B275" s="181"/>
      <c r="C275" s="181"/>
      <c r="D275" s="181"/>
      <c r="E275" s="181"/>
      <c r="F275" s="181"/>
      <c r="G275" s="182"/>
      <c r="H275" s="183"/>
      <c r="I275" s="182"/>
      <c r="J275" s="205"/>
      <c r="K275" s="184"/>
      <c r="L275" s="185"/>
      <c r="M275" s="184"/>
      <c r="N275" s="186"/>
      <c r="O275" s="183"/>
      <c r="P275" s="183"/>
      <c r="Q275" s="183"/>
      <c r="R275" s="184"/>
      <c r="S275" s="184"/>
      <c r="U275" s="62"/>
    </row>
    <row r="276" spans="1:21" x14ac:dyDescent="0.45">
      <c r="A276" s="181"/>
      <c r="B276" s="181"/>
      <c r="C276" s="181"/>
      <c r="D276" s="181"/>
      <c r="E276" s="181"/>
      <c r="F276" s="181"/>
      <c r="G276" s="182"/>
      <c r="H276" s="183"/>
      <c r="I276" s="182"/>
      <c r="J276" s="205"/>
      <c r="K276" s="184"/>
      <c r="L276" s="185"/>
      <c r="M276" s="184"/>
      <c r="N276" s="186"/>
      <c r="O276" s="183"/>
      <c r="P276" s="183"/>
      <c r="Q276" s="183"/>
      <c r="R276" s="184"/>
      <c r="S276" s="184"/>
      <c r="U276" s="62"/>
    </row>
    <row r="277" spans="1:21" x14ac:dyDescent="0.45">
      <c r="A277" s="181"/>
      <c r="B277" s="181"/>
      <c r="C277" s="181"/>
      <c r="D277" s="181"/>
      <c r="E277" s="181"/>
      <c r="F277" s="181"/>
      <c r="G277" s="182"/>
      <c r="H277" s="183"/>
      <c r="I277" s="182"/>
      <c r="J277" s="205"/>
      <c r="K277" s="184"/>
      <c r="L277" s="185"/>
      <c r="M277" s="184"/>
      <c r="N277" s="186"/>
      <c r="O277" s="183"/>
      <c r="P277" s="183"/>
      <c r="Q277" s="183"/>
      <c r="R277" s="184"/>
      <c r="S277" s="184"/>
      <c r="U277" s="62"/>
    </row>
    <row r="278" spans="1:21" x14ac:dyDescent="0.45">
      <c r="A278" s="181"/>
      <c r="B278" s="181"/>
      <c r="C278" s="181"/>
      <c r="D278" s="181"/>
      <c r="E278" s="181"/>
      <c r="F278" s="181"/>
      <c r="G278" s="182"/>
      <c r="H278" s="183"/>
      <c r="I278" s="182"/>
      <c r="J278" s="205"/>
      <c r="K278" s="184"/>
      <c r="L278" s="185"/>
      <c r="M278" s="184"/>
      <c r="N278" s="186"/>
      <c r="O278" s="183"/>
      <c r="P278" s="183"/>
      <c r="Q278" s="183"/>
      <c r="R278" s="184"/>
      <c r="S278" s="184"/>
      <c r="U278" s="62"/>
    </row>
    <row r="279" spans="1:21" x14ac:dyDescent="0.45">
      <c r="A279" s="181"/>
      <c r="B279" s="181"/>
      <c r="C279" s="181"/>
      <c r="D279" s="181"/>
      <c r="E279" s="181"/>
      <c r="F279" s="181"/>
      <c r="G279" s="182"/>
      <c r="H279" s="183"/>
      <c r="I279" s="182"/>
      <c r="J279" s="205"/>
      <c r="K279" s="184"/>
      <c r="L279" s="185"/>
      <c r="M279" s="184"/>
      <c r="N279" s="186"/>
      <c r="O279" s="183"/>
      <c r="P279" s="183"/>
      <c r="Q279" s="183"/>
      <c r="R279" s="184"/>
      <c r="S279" s="184"/>
      <c r="U279" s="62"/>
    </row>
    <row r="280" spans="1:21" x14ac:dyDescent="0.45">
      <c r="A280" s="181"/>
      <c r="B280" s="181"/>
      <c r="C280" s="181"/>
      <c r="D280" s="181"/>
      <c r="E280" s="181"/>
      <c r="F280" s="181"/>
      <c r="G280" s="182"/>
      <c r="H280" s="183"/>
      <c r="I280" s="182"/>
      <c r="J280" s="205"/>
      <c r="K280" s="184"/>
      <c r="L280" s="185"/>
      <c r="M280" s="184"/>
      <c r="N280" s="186"/>
      <c r="O280" s="183"/>
      <c r="P280" s="183"/>
      <c r="Q280" s="183"/>
      <c r="R280" s="184"/>
      <c r="S280" s="184"/>
      <c r="U280" s="62"/>
    </row>
    <row r="281" spans="1:21" x14ac:dyDescent="0.45">
      <c r="A281" s="181"/>
      <c r="B281" s="181"/>
      <c r="C281" s="181"/>
      <c r="D281" s="181"/>
      <c r="E281" s="181"/>
      <c r="F281" s="181"/>
      <c r="G281" s="182"/>
      <c r="H281" s="183"/>
      <c r="I281" s="182"/>
      <c r="J281" s="205"/>
      <c r="K281" s="184"/>
      <c r="L281" s="185"/>
      <c r="M281" s="184"/>
      <c r="N281" s="186"/>
      <c r="O281" s="183"/>
      <c r="P281" s="183"/>
      <c r="Q281" s="183"/>
      <c r="R281" s="184"/>
      <c r="S281" s="184"/>
      <c r="U281" s="62"/>
    </row>
    <row r="282" spans="1:21" x14ac:dyDescent="0.45">
      <c r="A282" s="181"/>
      <c r="B282" s="181"/>
      <c r="C282" s="181"/>
      <c r="D282" s="181"/>
      <c r="E282" s="181"/>
      <c r="F282" s="181"/>
      <c r="G282" s="182"/>
      <c r="H282" s="183"/>
      <c r="I282" s="182"/>
      <c r="J282" s="205"/>
      <c r="K282" s="184"/>
      <c r="L282" s="185"/>
      <c r="M282" s="184"/>
      <c r="N282" s="186"/>
      <c r="O282" s="183"/>
      <c r="P282" s="183"/>
      <c r="Q282" s="183"/>
      <c r="R282" s="184"/>
      <c r="S282" s="184"/>
      <c r="U282" s="62"/>
    </row>
    <row r="283" spans="1:21" x14ac:dyDescent="0.45">
      <c r="A283" s="181"/>
      <c r="B283" s="181"/>
      <c r="C283" s="181"/>
      <c r="D283" s="181"/>
      <c r="E283" s="181"/>
      <c r="F283" s="181"/>
      <c r="G283" s="182"/>
      <c r="H283" s="183"/>
      <c r="I283" s="182"/>
      <c r="J283" s="205"/>
      <c r="K283" s="184"/>
      <c r="L283" s="185"/>
      <c r="M283" s="184"/>
      <c r="N283" s="186"/>
      <c r="O283" s="183"/>
      <c r="P283" s="183"/>
      <c r="Q283" s="183"/>
      <c r="R283" s="184"/>
      <c r="S283" s="184"/>
      <c r="U283" s="62"/>
    </row>
    <row r="284" spans="1:21" x14ac:dyDescent="0.45">
      <c r="A284" s="181"/>
      <c r="B284" s="181"/>
      <c r="C284" s="181"/>
      <c r="D284" s="181"/>
      <c r="E284" s="181"/>
      <c r="F284" s="181"/>
      <c r="G284" s="182"/>
      <c r="H284" s="183"/>
      <c r="I284" s="182"/>
      <c r="J284" s="205"/>
      <c r="K284" s="184"/>
      <c r="L284" s="185"/>
      <c r="M284" s="184"/>
      <c r="N284" s="186"/>
      <c r="O284" s="183"/>
      <c r="P284" s="183"/>
      <c r="Q284" s="183"/>
      <c r="R284" s="184"/>
      <c r="S284" s="184"/>
      <c r="U284" s="62"/>
    </row>
    <row r="285" spans="1:21" x14ac:dyDescent="0.45">
      <c r="A285" s="181"/>
      <c r="B285" s="181"/>
      <c r="C285" s="181"/>
      <c r="D285" s="181"/>
      <c r="E285" s="181"/>
      <c r="F285" s="181"/>
      <c r="G285" s="182"/>
      <c r="H285" s="183"/>
      <c r="I285" s="182"/>
      <c r="J285" s="205"/>
      <c r="K285" s="184"/>
      <c r="L285" s="185"/>
      <c r="M285" s="184"/>
      <c r="N285" s="186"/>
      <c r="O285" s="183"/>
      <c r="P285" s="183"/>
      <c r="Q285" s="183"/>
      <c r="R285" s="184"/>
      <c r="S285" s="184"/>
      <c r="U285" s="62"/>
    </row>
    <row r="286" spans="1:21" x14ac:dyDescent="0.45">
      <c r="A286" s="181"/>
      <c r="B286" s="181"/>
      <c r="C286" s="181"/>
      <c r="D286" s="181"/>
      <c r="E286" s="181"/>
      <c r="F286" s="181"/>
      <c r="G286" s="182"/>
      <c r="H286" s="183"/>
      <c r="I286" s="182"/>
      <c r="J286" s="205"/>
      <c r="K286" s="184"/>
      <c r="L286" s="185"/>
      <c r="M286" s="184"/>
      <c r="N286" s="186"/>
      <c r="O286" s="183"/>
      <c r="P286" s="183"/>
      <c r="Q286" s="183"/>
      <c r="R286" s="184"/>
      <c r="S286" s="184"/>
      <c r="U286" s="62"/>
    </row>
    <row r="287" spans="1:21" x14ac:dyDescent="0.45">
      <c r="A287" s="181"/>
      <c r="B287" s="181"/>
      <c r="C287" s="181"/>
      <c r="D287" s="181"/>
      <c r="E287" s="181"/>
      <c r="F287" s="181"/>
      <c r="G287" s="182"/>
      <c r="H287" s="183"/>
      <c r="I287" s="182"/>
      <c r="J287" s="205"/>
      <c r="K287" s="184"/>
      <c r="L287" s="185"/>
      <c r="M287" s="184"/>
      <c r="N287" s="186"/>
      <c r="O287" s="183"/>
      <c r="P287" s="183"/>
      <c r="Q287" s="183"/>
      <c r="R287" s="184"/>
      <c r="S287" s="184"/>
      <c r="U287" s="62"/>
    </row>
    <row r="288" spans="1:21" x14ac:dyDescent="0.45">
      <c r="A288" s="181"/>
      <c r="B288" s="181"/>
      <c r="C288" s="181"/>
      <c r="D288" s="181"/>
      <c r="E288" s="181"/>
      <c r="F288" s="181"/>
      <c r="G288" s="182"/>
      <c r="H288" s="183"/>
      <c r="I288" s="182"/>
      <c r="J288" s="205"/>
      <c r="K288" s="184"/>
      <c r="L288" s="185"/>
      <c r="M288" s="184"/>
      <c r="N288" s="186"/>
      <c r="O288" s="183"/>
      <c r="P288" s="183"/>
      <c r="Q288" s="183"/>
      <c r="R288" s="184"/>
      <c r="S288" s="184"/>
      <c r="U288" s="62"/>
    </row>
    <row r="289" spans="1:21" x14ac:dyDescent="0.45">
      <c r="A289" s="181"/>
      <c r="B289" s="181"/>
      <c r="C289" s="181"/>
      <c r="D289" s="181"/>
      <c r="E289" s="181"/>
      <c r="F289" s="181"/>
      <c r="G289" s="182"/>
      <c r="H289" s="183"/>
      <c r="I289" s="182"/>
      <c r="J289" s="205"/>
      <c r="K289" s="184"/>
      <c r="L289" s="185"/>
      <c r="M289" s="184"/>
      <c r="N289" s="186"/>
      <c r="O289" s="183"/>
      <c r="P289" s="183"/>
      <c r="Q289" s="183"/>
      <c r="R289" s="184"/>
      <c r="S289" s="184"/>
      <c r="U289" s="62"/>
    </row>
    <row r="290" spans="1:21" x14ac:dyDescent="0.45">
      <c r="A290" s="181"/>
      <c r="B290" s="181"/>
      <c r="C290" s="181"/>
      <c r="D290" s="181"/>
      <c r="E290" s="181"/>
      <c r="F290" s="181"/>
      <c r="G290" s="182"/>
      <c r="H290" s="183"/>
      <c r="I290" s="182"/>
      <c r="J290" s="205"/>
      <c r="K290" s="184"/>
      <c r="L290" s="185"/>
      <c r="M290" s="184"/>
      <c r="N290" s="186"/>
      <c r="O290" s="183"/>
      <c r="P290" s="183"/>
      <c r="Q290" s="183"/>
      <c r="R290" s="184"/>
      <c r="S290" s="184"/>
      <c r="U290" s="62"/>
    </row>
    <row r="291" spans="1:21" x14ac:dyDescent="0.45">
      <c r="A291" s="181"/>
      <c r="B291" s="181"/>
      <c r="C291" s="181"/>
      <c r="D291" s="181"/>
      <c r="E291" s="181"/>
      <c r="F291" s="181"/>
      <c r="G291" s="182"/>
      <c r="H291" s="183"/>
      <c r="I291" s="182"/>
      <c r="J291" s="205"/>
      <c r="K291" s="184"/>
      <c r="L291" s="185"/>
      <c r="M291" s="184"/>
      <c r="N291" s="186"/>
      <c r="O291" s="183"/>
      <c r="P291" s="183"/>
      <c r="Q291" s="183"/>
      <c r="R291" s="184"/>
      <c r="S291" s="184"/>
      <c r="U291" s="62"/>
    </row>
    <row r="292" spans="1:21" x14ac:dyDescent="0.45">
      <c r="A292" s="181"/>
      <c r="B292" s="181"/>
      <c r="C292" s="181"/>
      <c r="D292" s="181"/>
      <c r="E292" s="181"/>
      <c r="F292" s="181"/>
      <c r="G292" s="182"/>
      <c r="H292" s="183"/>
      <c r="I292" s="182"/>
      <c r="J292" s="205"/>
      <c r="K292" s="184"/>
      <c r="L292" s="185"/>
      <c r="M292" s="184"/>
      <c r="N292" s="186"/>
      <c r="O292" s="183"/>
      <c r="P292" s="183"/>
      <c r="Q292" s="183"/>
      <c r="R292" s="184"/>
      <c r="S292" s="184"/>
      <c r="U292" s="62"/>
    </row>
    <row r="293" spans="1:21" x14ac:dyDescent="0.45">
      <c r="A293" s="181"/>
      <c r="B293" s="181"/>
      <c r="C293" s="181"/>
      <c r="D293" s="181"/>
      <c r="E293" s="181"/>
      <c r="F293" s="181"/>
      <c r="G293" s="182"/>
      <c r="H293" s="183"/>
      <c r="I293" s="182"/>
      <c r="J293" s="205"/>
      <c r="K293" s="184"/>
      <c r="L293" s="185"/>
      <c r="M293" s="184"/>
      <c r="N293" s="186"/>
      <c r="O293" s="183"/>
      <c r="P293" s="183"/>
      <c r="Q293" s="183"/>
      <c r="R293" s="184"/>
      <c r="S293" s="184"/>
      <c r="U293" s="62"/>
    </row>
    <row r="294" spans="1:21" x14ac:dyDescent="0.45">
      <c r="A294" s="181"/>
      <c r="B294" s="181"/>
      <c r="C294" s="181"/>
      <c r="D294" s="181"/>
      <c r="E294" s="181"/>
      <c r="F294" s="181"/>
      <c r="G294" s="182"/>
      <c r="H294" s="183"/>
      <c r="I294" s="182"/>
      <c r="J294" s="205"/>
      <c r="K294" s="184"/>
      <c r="L294" s="185"/>
      <c r="M294" s="184"/>
      <c r="N294" s="186"/>
      <c r="O294" s="183"/>
      <c r="P294" s="183"/>
      <c r="Q294" s="183"/>
      <c r="R294" s="184"/>
      <c r="S294" s="184"/>
      <c r="U294" s="62"/>
    </row>
    <row r="295" spans="1:21" x14ac:dyDescent="0.45">
      <c r="A295" s="181"/>
      <c r="B295" s="181"/>
      <c r="C295" s="181"/>
      <c r="D295" s="181"/>
      <c r="E295" s="181"/>
      <c r="F295" s="181"/>
      <c r="G295" s="182"/>
      <c r="H295" s="183"/>
      <c r="I295" s="182"/>
      <c r="J295" s="205"/>
      <c r="K295" s="184"/>
      <c r="L295" s="185"/>
      <c r="M295" s="184"/>
      <c r="N295" s="186"/>
      <c r="O295" s="183"/>
      <c r="P295" s="183"/>
      <c r="Q295" s="183"/>
      <c r="R295" s="184"/>
      <c r="S295" s="184"/>
      <c r="U295" s="62"/>
    </row>
    <row r="296" spans="1:21" x14ac:dyDescent="0.45">
      <c r="A296" s="181"/>
      <c r="B296" s="181"/>
      <c r="C296" s="181"/>
      <c r="D296" s="181"/>
      <c r="E296" s="181"/>
      <c r="F296" s="181"/>
      <c r="G296" s="182"/>
      <c r="H296" s="183"/>
      <c r="I296" s="182"/>
      <c r="J296" s="205"/>
      <c r="K296" s="184"/>
      <c r="L296" s="185"/>
      <c r="M296" s="184"/>
      <c r="N296" s="186"/>
      <c r="O296" s="183"/>
      <c r="P296" s="183"/>
      <c r="Q296" s="183"/>
      <c r="R296" s="184"/>
      <c r="S296" s="184"/>
      <c r="U296" s="62"/>
    </row>
    <row r="297" spans="1:21" x14ac:dyDescent="0.45">
      <c r="A297" s="181"/>
      <c r="B297" s="181"/>
      <c r="C297" s="181"/>
      <c r="D297" s="181"/>
      <c r="E297" s="181"/>
      <c r="F297" s="181"/>
      <c r="G297" s="182"/>
      <c r="H297" s="183"/>
      <c r="I297" s="182"/>
      <c r="J297" s="205"/>
      <c r="K297" s="184"/>
      <c r="L297" s="185"/>
      <c r="M297" s="184"/>
      <c r="N297" s="186"/>
      <c r="O297" s="183"/>
      <c r="P297" s="183"/>
      <c r="Q297" s="183"/>
      <c r="R297" s="184"/>
      <c r="S297" s="184"/>
      <c r="U297" s="62"/>
    </row>
    <row r="298" spans="1:21" x14ac:dyDescent="0.45">
      <c r="A298" s="181"/>
      <c r="B298" s="181"/>
      <c r="C298" s="181"/>
      <c r="D298" s="181"/>
      <c r="E298" s="181"/>
      <c r="F298" s="181"/>
      <c r="G298" s="182"/>
      <c r="H298" s="183"/>
      <c r="I298" s="182"/>
      <c r="J298" s="205"/>
      <c r="K298" s="184"/>
      <c r="L298" s="185"/>
      <c r="M298" s="184"/>
      <c r="N298" s="186"/>
      <c r="O298" s="183"/>
      <c r="P298" s="183"/>
      <c r="Q298" s="183"/>
      <c r="R298" s="184"/>
      <c r="S298" s="184"/>
      <c r="U298" s="62"/>
    </row>
    <row r="299" spans="1:21" x14ac:dyDescent="0.45">
      <c r="A299" s="181"/>
      <c r="B299" s="181"/>
      <c r="C299" s="181"/>
      <c r="D299" s="181"/>
      <c r="E299" s="181"/>
      <c r="F299" s="181"/>
      <c r="G299" s="182"/>
      <c r="H299" s="183"/>
      <c r="I299" s="182"/>
      <c r="J299" s="205"/>
      <c r="K299" s="184"/>
      <c r="L299" s="185"/>
      <c r="M299" s="184"/>
      <c r="N299" s="186"/>
      <c r="O299" s="183"/>
      <c r="P299" s="183"/>
      <c r="Q299" s="183"/>
      <c r="R299" s="184"/>
      <c r="S299" s="184"/>
      <c r="U299" s="62"/>
    </row>
    <row r="300" spans="1:21" x14ac:dyDescent="0.45">
      <c r="A300" s="181"/>
      <c r="B300" s="181"/>
      <c r="C300" s="181"/>
      <c r="D300" s="181"/>
      <c r="E300" s="181"/>
      <c r="F300" s="181"/>
      <c r="G300" s="182"/>
      <c r="H300" s="183"/>
      <c r="I300" s="182"/>
      <c r="J300" s="205"/>
      <c r="K300" s="184"/>
      <c r="L300" s="185"/>
      <c r="M300" s="184"/>
      <c r="N300" s="186"/>
      <c r="O300" s="183"/>
      <c r="P300" s="183"/>
      <c r="Q300" s="183"/>
      <c r="R300" s="184"/>
      <c r="S300" s="184"/>
      <c r="U300" s="62"/>
    </row>
    <row r="301" spans="1:21" x14ac:dyDescent="0.45">
      <c r="A301" s="181"/>
      <c r="B301" s="181"/>
      <c r="C301" s="181"/>
      <c r="D301" s="181"/>
      <c r="E301" s="181"/>
      <c r="F301" s="181"/>
      <c r="G301" s="182"/>
      <c r="H301" s="183"/>
      <c r="I301" s="182"/>
      <c r="J301" s="205"/>
      <c r="K301" s="184"/>
      <c r="L301" s="185"/>
      <c r="M301" s="184"/>
      <c r="N301" s="186"/>
      <c r="O301" s="183"/>
      <c r="P301" s="183"/>
      <c r="Q301" s="183"/>
      <c r="R301" s="184"/>
      <c r="S301" s="184"/>
      <c r="U301" s="62"/>
    </row>
    <row r="302" spans="1:21" x14ac:dyDescent="0.45">
      <c r="A302" s="181"/>
      <c r="B302" s="181"/>
      <c r="C302" s="181"/>
      <c r="D302" s="181"/>
      <c r="E302" s="181"/>
      <c r="F302" s="181"/>
      <c r="G302" s="182"/>
      <c r="H302" s="183"/>
      <c r="I302" s="182"/>
      <c r="J302" s="205"/>
      <c r="K302" s="184"/>
      <c r="L302" s="185"/>
      <c r="M302" s="184"/>
      <c r="N302" s="186"/>
      <c r="O302" s="183"/>
      <c r="P302" s="183"/>
      <c r="Q302" s="183"/>
      <c r="R302" s="184"/>
      <c r="S302" s="184"/>
      <c r="U302" s="62"/>
    </row>
    <row r="303" spans="1:21" x14ac:dyDescent="0.45">
      <c r="A303" s="181"/>
      <c r="B303" s="181"/>
      <c r="C303" s="181"/>
      <c r="D303" s="181"/>
      <c r="E303" s="181"/>
      <c r="F303" s="181"/>
      <c r="G303" s="182"/>
      <c r="H303" s="183"/>
      <c r="I303" s="182"/>
      <c r="J303" s="205"/>
      <c r="K303" s="184"/>
      <c r="L303" s="185"/>
      <c r="M303" s="184"/>
      <c r="N303" s="186"/>
      <c r="O303" s="183"/>
      <c r="P303" s="183"/>
      <c r="Q303" s="183"/>
      <c r="R303" s="184"/>
      <c r="S303" s="184"/>
      <c r="U303" s="62"/>
    </row>
    <row r="304" spans="1:21" x14ac:dyDescent="0.45">
      <c r="A304" s="181"/>
      <c r="B304" s="181"/>
      <c r="C304" s="181"/>
      <c r="D304" s="181"/>
      <c r="E304" s="181"/>
      <c r="F304" s="181"/>
      <c r="G304" s="182"/>
      <c r="H304" s="183"/>
      <c r="I304" s="182"/>
      <c r="J304" s="205"/>
      <c r="K304" s="184"/>
      <c r="L304" s="185"/>
      <c r="M304" s="184"/>
      <c r="N304" s="186"/>
      <c r="O304" s="183"/>
      <c r="P304" s="183"/>
      <c r="Q304" s="183"/>
      <c r="R304" s="184"/>
      <c r="S304" s="184"/>
      <c r="U304" s="62"/>
    </row>
    <row r="305" spans="1:21" x14ac:dyDescent="0.45">
      <c r="A305" s="181"/>
      <c r="B305" s="181"/>
      <c r="C305" s="181"/>
      <c r="D305" s="181"/>
      <c r="E305" s="181"/>
      <c r="F305" s="181"/>
      <c r="G305" s="182"/>
      <c r="H305" s="183"/>
      <c r="I305" s="182"/>
      <c r="J305" s="205"/>
      <c r="K305" s="184"/>
      <c r="L305" s="185"/>
      <c r="M305" s="184"/>
      <c r="N305" s="186"/>
      <c r="O305" s="183"/>
      <c r="P305" s="183"/>
      <c r="Q305" s="183"/>
      <c r="R305" s="184"/>
      <c r="S305" s="184"/>
      <c r="U305" s="62"/>
    </row>
    <row r="306" spans="1:21" x14ac:dyDescent="0.45">
      <c r="A306" s="181"/>
      <c r="B306" s="181"/>
      <c r="C306" s="181"/>
      <c r="D306" s="181"/>
      <c r="E306" s="181"/>
      <c r="F306" s="181"/>
      <c r="G306" s="182"/>
      <c r="H306" s="183"/>
      <c r="I306" s="182"/>
      <c r="J306" s="205"/>
      <c r="K306" s="184"/>
      <c r="L306" s="185"/>
      <c r="M306" s="184"/>
      <c r="N306" s="186"/>
      <c r="O306" s="183"/>
      <c r="P306" s="183"/>
      <c r="Q306" s="183"/>
      <c r="R306" s="184"/>
      <c r="S306" s="184"/>
      <c r="U306" s="62"/>
    </row>
    <row r="307" spans="1:21" x14ac:dyDescent="0.45">
      <c r="A307" s="181"/>
      <c r="B307" s="181"/>
      <c r="C307" s="181"/>
      <c r="D307" s="181"/>
      <c r="E307" s="181"/>
      <c r="F307" s="181"/>
      <c r="G307" s="182"/>
      <c r="H307" s="183"/>
      <c r="I307" s="182"/>
      <c r="J307" s="205"/>
      <c r="K307" s="184"/>
      <c r="L307" s="185"/>
      <c r="M307" s="184"/>
      <c r="N307" s="186"/>
      <c r="O307" s="183"/>
      <c r="P307" s="183"/>
      <c r="Q307" s="183"/>
      <c r="R307" s="184"/>
      <c r="S307" s="184"/>
      <c r="U307" s="62"/>
    </row>
    <row r="308" spans="1:21" x14ac:dyDescent="0.45">
      <c r="A308" s="181"/>
      <c r="B308" s="181"/>
      <c r="C308" s="181"/>
      <c r="D308" s="181"/>
      <c r="E308" s="181"/>
      <c r="F308" s="181"/>
      <c r="G308" s="182"/>
      <c r="H308" s="183"/>
      <c r="I308" s="182"/>
      <c r="J308" s="205"/>
      <c r="K308" s="184"/>
      <c r="L308" s="185"/>
      <c r="M308" s="184"/>
      <c r="N308" s="186"/>
      <c r="O308" s="183"/>
      <c r="P308" s="183"/>
      <c r="Q308" s="183"/>
      <c r="R308" s="184"/>
      <c r="S308" s="184"/>
      <c r="U308" s="62"/>
    </row>
    <row r="309" spans="1:21" x14ac:dyDescent="0.45">
      <c r="A309" s="181"/>
      <c r="B309" s="181"/>
      <c r="C309" s="181"/>
      <c r="D309" s="181"/>
      <c r="E309" s="181"/>
      <c r="F309" s="181"/>
      <c r="G309" s="182"/>
      <c r="H309" s="183"/>
      <c r="I309" s="182"/>
      <c r="J309" s="205"/>
      <c r="K309" s="184"/>
      <c r="L309" s="185"/>
      <c r="M309" s="184"/>
      <c r="N309" s="186"/>
      <c r="O309" s="183"/>
      <c r="P309" s="183"/>
      <c r="Q309" s="183"/>
      <c r="R309" s="184"/>
      <c r="S309" s="184"/>
      <c r="U309" s="62"/>
    </row>
    <row r="310" spans="1:21" x14ac:dyDescent="0.45">
      <c r="A310" s="181"/>
      <c r="B310" s="181"/>
      <c r="C310" s="181"/>
      <c r="D310" s="181"/>
      <c r="E310" s="181"/>
      <c r="F310" s="181"/>
      <c r="G310" s="182"/>
      <c r="H310" s="183"/>
      <c r="I310" s="182"/>
      <c r="J310" s="205"/>
      <c r="K310" s="184"/>
      <c r="L310" s="185"/>
      <c r="M310" s="184"/>
      <c r="N310" s="186"/>
      <c r="O310" s="183"/>
      <c r="P310" s="183"/>
      <c r="Q310" s="183"/>
      <c r="R310" s="184"/>
      <c r="S310" s="184"/>
      <c r="U310" s="62"/>
    </row>
    <row r="311" spans="1:21" x14ac:dyDescent="0.45">
      <c r="A311" s="181"/>
      <c r="B311" s="181"/>
      <c r="C311" s="181"/>
      <c r="D311" s="181"/>
      <c r="E311" s="181"/>
      <c r="F311" s="181"/>
      <c r="G311" s="182"/>
      <c r="H311" s="183"/>
      <c r="I311" s="182"/>
      <c r="J311" s="205"/>
      <c r="K311" s="184"/>
      <c r="L311" s="185"/>
      <c r="M311" s="184"/>
      <c r="N311" s="186"/>
      <c r="O311" s="183"/>
      <c r="P311" s="183"/>
      <c r="Q311" s="183"/>
      <c r="R311" s="184"/>
      <c r="S311" s="184"/>
      <c r="U311" s="62"/>
    </row>
    <row r="312" spans="1:21" x14ac:dyDescent="0.45">
      <c r="A312" s="181"/>
      <c r="B312" s="181"/>
      <c r="C312" s="181"/>
      <c r="D312" s="181"/>
      <c r="E312" s="181"/>
      <c r="F312" s="181"/>
      <c r="G312" s="182"/>
      <c r="H312" s="183"/>
      <c r="I312" s="182"/>
      <c r="J312" s="205"/>
      <c r="K312" s="184"/>
      <c r="L312" s="185"/>
      <c r="M312" s="184"/>
      <c r="N312" s="186"/>
      <c r="O312" s="183"/>
      <c r="P312" s="183"/>
      <c r="Q312" s="183"/>
      <c r="R312" s="184"/>
      <c r="S312" s="184"/>
      <c r="U312" s="62"/>
    </row>
    <row r="313" spans="1:21" x14ac:dyDescent="0.45">
      <c r="A313" s="181"/>
      <c r="B313" s="181"/>
      <c r="C313" s="181"/>
      <c r="D313" s="181"/>
      <c r="E313" s="181"/>
      <c r="F313" s="181"/>
      <c r="G313" s="182"/>
      <c r="H313" s="183"/>
      <c r="I313" s="182"/>
      <c r="J313" s="205"/>
      <c r="K313" s="184"/>
      <c r="L313" s="185"/>
      <c r="M313" s="184"/>
      <c r="N313" s="186"/>
      <c r="O313" s="183"/>
      <c r="P313" s="183"/>
      <c r="Q313" s="183"/>
      <c r="R313" s="184"/>
      <c r="S313" s="184"/>
      <c r="U313" s="62"/>
    </row>
    <row r="314" spans="1:21" x14ac:dyDescent="0.45">
      <c r="A314" s="181"/>
      <c r="B314" s="181"/>
      <c r="C314" s="181"/>
      <c r="D314" s="181"/>
      <c r="E314" s="181"/>
      <c r="F314" s="181"/>
      <c r="G314" s="182"/>
      <c r="H314" s="183"/>
      <c r="I314" s="182"/>
      <c r="J314" s="205"/>
      <c r="K314" s="184"/>
      <c r="L314" s="185"/>
      <c r="M314" s="184"/>
      <c r="N314" s="186"/>
      <c r="O314" s="183"/>
      <c r="P314" s="183"/>
      <c r="Q314" s="183"/>
      <c r="R314" s="184"/>
      <c r="S314" s="184"/>
      <c r="U314" s="62"/>
    </row>
    <row r="315" spans="1:21" x14ac:dyDescent="0.45">
      <c r="A315" s="181"/>
      <c r="B315" s="181"/>
      <c r="C315" s="181"/>
      <c r="D315" s="181"/>
      <c r="E315" s="181"/>
      <c r="F315" s="181"/>
      <c r="G315" s="182"/>
      <c r="H315" s="183"/>
      <c r="I315" s="182"/>
      <c r="J315" s="205"/>
      <c r="K315" s="184"/>
      <c r="L315" s="185"/>
      <c r="M315" s="184"/>
      <c r="N315" s="186"/>
      <c r="O315" s="183"/>
      <c r="P315" s="183"/>
      <c r="Q315" s="183"/>
      <c r="R315" s="184"/>
      <c r="S315" s="184"/>
      <c r="U315" s="62"/>
    </row>
    <row r="316" spans="1:21" x14ac:dyDescent="0.45">
      <c r="A316" s="181"/>
      <c r="B316" s="181"/>
      <c r="C316" s="181"/>
      <c r="D316" s="181"/>
      <c r="E316" s="181"/>
      <c r="F316" s="181"/>
      <c r="G316" s="182"/>
      <c r="H316" s="183"/>
      <c r="I316" s="182"/>
      <c r="J316" s="205"/>
      <c r="K316" s="184"/>
      <c r="L316" s="185"/>
      <c r="M316" s="184"/>
      <c r="N316" s="186"/>
      <c r="O316" s="183"/>
      <c r="P316" s="183"/>
      <c r="Q316" s="183"/>
      <c r="R316" s="184"/>
      <c r="S316" s="184"/>
      <c r="U316" s="62"/>
    </row>
    <row r="317" spans="1:21" x14ac:dyDescent="0.45">
      <c r="A317" s="181"/>
      <c r="B317" s="181"/>
      <c r="C317" s="181"/>
      <c r="D317" s="181"/>
      <c r="E317" s="181"/>
      <c r="F317" s="181"/>
      <c r="G317" s="182"/>
      <c r="H317" s="183"/>
      <c r="I317" s="182"/>
      <c r="J317" s="205"/>
      <c r="K317" s="184"/>
      <c r="L317" s="185"/>
      <c r="M317" s="184"/>
      <c r="N317" s="186"/>
      <c r="O317" s="183"/>
      <c r="P317" s="183"/>
      <c r="Q317" s="183"/>
      <c r="R317" s="184"/>
      <c r="S317" s="184"/>
      <c r="U317" s="62"/>
    </row>
    <row r="318" spans="1:21" x14ac:dyDescent="0.45">
      <c r="A318" s="181"/>
      <c r="B318" s="181"/>
      <c r="C318" s="181"/>
      <c r="D318" s="181"/>
      <c r="E318" s="181"/>
      <c r="F318" s="181"/>
      <c r="G318" s="182"/>
      <c r="H318" s="183"/>
      <c r="I318" s="182"/>
      <c r="J318" s="205"/>
      <c r="K318" s="184"/>
      <c r="L318" s="185"/>
      <c r="M318" s="184"/>
      <c r="N318" s="186"/>
      <c r="O318" s="183"/>
      <c r="P318" s="183"/>
      <c r="Q318" s="183"/>
      <c r="R318" s="184"/>
      <c r="S318" s="184"/>
      <c r="U318" s="62"/>
    </row>
    <row r="319" spans="1:21" x14ac:dyDescent="0.45">
      <c r="A319" s="181"/>
      <c r="B319" s="181"/>
      <c r="C319" s="181"/>
      <c r="D319" s="181"/>
      <c r="E319" s="181"/>
      <c r="F319" s="181"/>
      <c r="G319" s="182"/>
      <c r="H319" s="183"/>
      <c r="I319" s="182"/>
      <c r="J319" s="205"/>
      <c r="K319" s="184"/>
      <c r="L319" s="185"/>
      <c r="M319" s="184"/>
      <c r="N319" s="186"/>
      <c r="O319" s="183"/>
      <c r="P319" s="183"/>
      <c r="Q319" s="183"/>
      <c r="R319" s="184"/>
      <c r="S319" s="184"/>
      <c r="U319" s="62"/>
    </row>
    <row r="320" spans="1:21" x14ac:dyDescent="0.45">
      <c r="A320" s="181"/>
      <c r="B320" s="181"/>
      <c r="C320" s="181"/>
      <c r="D320" s="181"/>
      <c r="E320" s="181"/>
      <c r="F320" s="181"/>
      <c r="G320" s="182"/>
      <c r="H320" s="183"/>
      <c r="I320" s="182"/>
      <c r="J320" s="205"/>
      <c r="K320" s="184"/>
      <c r="L320" s="185"/>
      <c r="M320" s="184"/>
      <c r="N320" s="186"/>
      <c r="O320" s="183"/>
      <c r="P320" s="183"/>
      <c r="Q320" s="183"/>
      <c r="R320" s="184"/>
      <c r="S320" s="184"/>
      <c r="U320" s="62"/>
    </row>
    <row r="321" spans="1:21" x14ac:dyDescent="0.45">
      <c r="A321" s="181"/>
      <c r="B321" s="181"/>
      <c r="C321" s="181"/>
      <c r="D321" s="181"/>
      <c r="E321" s="181"/>
      <c r="F321" s="181"/>
      <c r="G321" s="182"/>
      <c r="H321" s="183"/>
      <c r="I321" s="182"/>
      <c r="J321" s="205"/>
      <c r="K321" s="184"/>
      <c r="L321" s="185"/>
      <c r="M321" s="184"/>
      <c r="N321" s="186"/>
      <c r="O321" s="183"/>
      <c r="P321" s="183"/>
      <c r="Q321" s="183"/>
      <c r="R321" s="184"/>
      <c r="S321" s="184"/>
      <c r="U321" s="62"/>
    </row>
    <row r="322" spans="1:21" x14ac:dyDescent="0.45">
      <c r="A322" s="181"/>
      <c r="B322" s="181"/>
      <c r="C322" s="181"/>
      <c r="D322" s="181"/>
      <c r="E322" s="181"/>
      <c r="F322" s="181"/>
      <c r="G322" s="182"/>
      <c r="H322" s="183"/>
      <c r="I322" s="182"/>
      <c r="J322" s="205"/>
      <c r="K322" s="184"/>
      <c r="L322" s="185"/>
      <c r="M322" s="184"/>
      <c r="N322" s="186"/>
      <c r="O322" s="183"/>
      <c r="P322" s="183"/>
      <c r="Q322" s="183"/>
      <c r="R322" s="184"/>
      <c r="S322" s="184"/>
      <c r="U322" s="62"/>
    </row>
    <row r="323" spans="1:21" x14ac:dyDescent="0.45">
      <c r="A323" s="181"/>
      <c r="B323" s="181"/>
      <c r="C323" s="181"/>
      <c r="D323" s="181"/>
      <c r="E323" s="181"/>
      <c r="F323" s="181"/>
      <c r="G323" s="182"/>
      <c r="H323" s="183"/>
      <c r="I323" s="182"/>
      <c r="J323" s="205"/>
      <c r="K323" s="184"/>
      <c r="L323" s="185"/>
      <c r="M323" s="184"/>
      <c r="N323" s="186"/>
      <c r="O323" s="183"/>
      <c r="P323" s="183"/>
      <c r="Q323" s="183"/>
      <c r="R323" s="184"/>
      <c r="S323" s="184"/>
      <c r="U323" s="62"/>
    </row>
    <row r="324" spans="1:21" x14ac:dyDescent="0.45">
      <c r="A324" s="181"/>
      <c r="B324" s="181"/>
      <c r="C324" s="181"/>
      <c r="D324" s="181"/>
      <c r="E324" s="181"/>
      <c r="F324" s="181"/>
      <c r="G324" s="182"/>
      <c r="H324" s="183"/>
      <c r="I324" s="182"/>
      <c r="J324" s="205"/>
      <c r="K324" s="184"/>
      <c r="L324" s="185"/>
      <c r="M324" s="184"/>
      <c r="N324" s="186"/>
      <c r="O324" s="183"/>
      <c r="P324" s="183"/>
      <c r="Q324" s="183"/>
      <c r="R324" s="184"/>
      <c r="S324" s="184"/>
      <c r="U324" s="62"/>
    </row>
    <row r="325" spans="1:21" x14ac:dyDescent="0.45">
      <c r="A325" s="181"/>
      <c r="B325" s="181"/>
      <c r="C325" s="181"/>
      <c r="D325" s="181"/>
      <c r="E325" s="181"/>
      <c r="F325" s="181"/>
      <c r="G325" s="182"/>
      <c r="H325" s="183"/>
      <c r="I325" s="182"/>
      <c r="J325" s="205"/>
      <c r="K325" s="184"/>
      <c r="L325" s="185"/>
      <c r="M325" s="184"/>
      <c r="N325" s="186"/>
      <c r="O325" s="183"/>
      <c r="P325" s="183"/>
      <c r="Q325" s="183"/>
      <c r="R325" s="184"/>
      <c r="S325" s="184"/>
      <c r="U325" s="62"/>
    </row>
    <row r="326" spans="1:21" x14ac:dyDescent="0.45">
      <c r="A326" s="181"/>
      <c r="B326" s="181"/>
      <c r="C326" s="181"/>
      <c r="D326" s="181"/>
      <c r="E326" s="181"/>
      <c r="F326" s="181"/>
      <c r="G326" s="182"/>
      <c r="H326" s="183"/>
      <c r="I326" s="182"/>
      <c r="J326" s="205"/>
      <c r="K326" s="184"/>
      <c r="L326" s="185"/>
      <c r="M326" s="184"/>
      <c r="N326" s="186"/>
      <c r="O326" s="183"/>
      <c r="P326" s="183"/>
      <c r="Q326" s="183"/>
      <c r="R326" s="184"/>
      <c r="S326" s="184"/>
      <c r="U326" s="62"/>
    </row>
    <row r="327" spans="1:21" x14ac:dyDescent="0.45">
      <c r="A327" s="181"/>
      <c r="B327" s="181"/>
      <c r="C327" s="181"/>
      <c r="D327" s="181"/>
      <c r="E327" s="181"/>
      <c r="F327" s="181"/>
      <c r="G327" s="182"/>
      <c r="H327" s="183"/>
      <c r="I327" s="182"/>
      <c r="J327" s="205"/>
      <c r="K327" s="184"/>
      <c r="L327" s="185"/>
      <c r="M327" s="184"/>
      <c r="N327" s="186"/>
      <c r="O327" s="183"/>
      <c r="P327" s="183"/>
      <c r="Q327" s="183"/>
      <c r="R327" s="184"/>
      <c r="S327" s="184"/>
      <c r="U327" s="62"/>
    </row>
    <row r="328" spans="1:21" x14ac:dyDescent="0.45">
      <c r="A328" s="181"/>
      <c r="B328" s="181"/>
      <c r="C328" s="181"/>
      <c r="D328" s="181"/>
      <c r="E328" s="181"/>
      <c r="F328" s="181"/>
      <c r="G328" s="182"/>
      <c r="H328" s="183"/>
      <c r="I328" s="182"/>
      <c r="J328" s="205"/>
      <c r="K328" s="184"/>
      <c r="L328" s="185"/>
      <c r="M328" s="184"/>
      <c r="N328" s="186"/>
      <c r="O328" s="183"/>
      <c r="P328" s="183"/>
      <c r="Q328" s="183"/>
      <c r="R328" s="184"/>
      <c r="S328" s="184"/>
      <c r="U328" s="62"/>
    </row>
    <row r="329" spans="1:21" x14ac:dyDescent="0.45">
      <c r="A329" s="181"/>
      <c r="B329" s="181"/>
      <c r="C329" s="181"/>
      <c r="D329" s="181"/>
      <c r="E329" s="181"/>
      <c r="F329" s="181"/>
      <c r="G329" s="182"/>
      <c r="H329" s="183"/>
      <c r="I329" s="182"/>
      <c r="J329" s="205"/>
      <c r="K329" s="184"/>
      <c r="L329" s="185"/>
      <c r="M329" s="184"/>
      <c r="N329" s="186"/>
      <c r="O329" s="183"/>
      <c r="P329" s="183"/>
      <c r="Q329" s="183"/>
      <c r="R329" s="184"/>
      <c r="S329" s="184"/>
      <c r="U329" s="62"/>
    </row>
    <row r="330" spans="1:21" x14ac:dyDescent="0.45">
      <c r="A330" s="181"/>
      <c r="B330" s="181"/>
      <c r="C330" s="181"/>
      <c r="D330" s="181"/>
      <c r="E330" s="181"/>
      <c r="F330" s="181"/>
      <c r="G330" s="182"/>
      <c r="H330" s="183"/>
      <c r="I330" s="182"/>
      <c r="J330" s="205"/>
      <c r="K330" s="184"/>
      <c r="L330" s="185"/>
      <c r="M330" s="184"/>
      <c r="N330" s="186"/>
      <c r="O330" s="183"/>
      <c r="P330" s="183"/>
      <c r="Q330" s="183"/>
      <c r="R330" s="184"/>
      <c r="S330" s="184"/>
      <c r="U330" s="62"/>
    </row>
    <row r="331" spans="1:21" x14ac:dyDescent="0.45">
      <c r="A331" s="181"/>
      <c r="B331" s="181"/>
      <c r="C331" s="181"/>
      <c r="D331" s="181"/>
      <c r="E331" s="181"/>
      <c r="F331" s="181"/>
      <c r="G331" s="182"/>
      <c r="H331" s="183"/>
      <c r="I331" s="182"/>
      <c r="J331" s="205"/>
      <c r="K331" s="184"/>
      <c r="L331" s="185"/>
      <c r="M331" s="184"/>
      <c r="N331" s="186"/>
      <c r="O331" s="183"/>
      <c r="P331" s="183"/>
      <c r="Q331" s="183"/>
      <c r="R331" s="184"/>
      <c r="S331" s="184"/>
      <c r="U331" s="62"/>
    </row>
    <row r="332" spans="1:21" x14ac:dyDescent="0.45">
      <c r="A332" s="181"/>
      <c r="B332" s="181"/>
      <c r="C332" s="181"/>
      <c r="D332" s="181"/>
      <c r="E332" s="181"/>
      <c r="F332" s="181"/>
      <c r="G332" s="182"/>
      <c r="H332" s="183"/>
      <c r="I332" s="182"/>
      <c r="J332" s="205"/>
      <c r="K332" s="184"/>
      <c r="L332" s="185"/>
      <c r="M332" s="184"/>
      <c r="N332" s="186"/>
      <c r="O332" s="183"/>
      <c r="P332" s="183"/>
      <c r="Q332" s="183"/>
      <c r="R332" s="184"/>
      <c r="S332" s="184"/>
      <c r="U332" s="62"/>
    </row>
    <row r="333" spans="1:21" x14ac:dyDescent="0.45">
      <c r="A333" s="181"/>
      <c r="B333" s="181"/>
      <c r="C333" s="181"/>
      <c r="D333" s="181"/>
      <c r="E333" s="181"/>
      <c r="F333" s="181"/>
      <c r="G333" s="182"/>
      <c r="H333" s="183"/>
      <c r="I333" s="182"/>
      <c r="J333" s="205"/>
      <c r="K333" s="184"/>
      <c r="L333" s="185"/>
      <c r="M333" s="184"/>
      <c r="N333" s="186"/>
      <c r="O333" s="183"/>
      <c r="P333" s="183"/>
      <c r="Q333" s="183"/>
      <c r="R333" s="184"/>
      <c r="S333" s="184"/>
      <c r="U333" s="62"/>
    </row>
    <row r="334" spans="1:21" x14ac:dyDescent="0.45">
      <c r="A334" s="181"/>
      <c r="B334" s="181"/>
      <c r="C334" s="181"/>
      <c r="D334" s="181"/>
      <c r="E334" s="181"/>
      <c r="F334" s="181"/>
      <c r="G334" s="182"/>
      <c r="H334" s="183"/>
      <c r="I334" s="182"/>
      <c r="J334" s="205"/>
      <c r="K334" s="184"/>
      <c r="L334" s="185"/>
      <c r="M334" s="184"/>
      <c r="N334" s="186"/>
      <c r="O334" s="183"/>
      <c r="P334" s="183"/>
      <c r="Q334" s="183"/>
      <c r="R334" s="184"/>
      <c r="S334" s="184"/>
      <c r="U334" s="62"/>
    </row>
    <row r="335" spans="1:21" x14ac:dyDescent="0.45">
      <c r="A335" s="181"/>
      <c r="B335" s="181"/>
      <c r="C335" s="181"/>
      <c r="D335" s="181"/>
      <c r="E335" s="181"/>
      <c r="F335" s="181"/>
      <c r="G335" s="182"/>
      <c r="H335" s="183"/>
      <c r="I335" s="182"/>
      <c r="J335" s="205"/>
      <c r="K335" s="184"/>
      <c r="L335" s="185"/>
      <c r="M335" s="184"/>
      <c r="N335" s="186"/>
      <c r="O335" s="183"/>
      <c r="P335" s="183"/>
      <c r="Q335" s="183"/>
      <c r="R335" s="184"/>
      <c r="S335" s="184"/>
      <c r="U335" s="62"/>
    </row>
    <row r="336" spans="1:21" x14ac:dyDescent="0.45">
      <c r="A336" s="181"/>
      <c r="B336" s="181"/>
      <c r="C336" s="181"/>
      <c r="D336" s="181"/>
      <c r="E336" s="181"/>
      <c r="F336" s="181"/>
      <c r="G336" s="182"/>
      <c r="H336" s="183"/>
      <c r="I336" s="182"/>
      <c r="J336" s="205"/>
      <c r="K336" s="184"/>
      <c r="L336" s="185"/>
      <c r="M336" s="184"/>
      <c r="N336" s="186"/>
      <c r="O336" s="183"/>
      <c r="P336" s="183"/>
      <c r="Q336" s="183"/>
      <c r="R336" s="184"/>
      <c r="S336" s="184"/>
      <c r="U336" s="62"/>
    </row>
    <row r="337" spans="1:21" x14ac:dyDescent="0.45">
      <c r="A337" s="181"/>
      <c r="B337" s="181"/>
      <c r="C337" s="181"/>
      <c r="D337" s="181"/>
      <c r="E337" s="181"/>
      <c r="F337" s="181"/>
      <c r="G337" s="182"/>
      <c r="H337" s="183"/>
      <c r="I337" s="182"/>
      <c r="J337" s="205"/>
      <c r="K337" s="184"/>
      <c r="L337" s="185"/>
      <c r="M337" s="184"/>
      <c r="N337" s="186"/>
      <c r="O337" s="183"/>
      <c r="P337" s="183"/>
      <c r="Q337" s="183"/>
      <c r="R337" s="184"/>
      <c r="S337" s="184"/>
      <c r="U337" s="62"/>
    </row>
    <row r="338" spans="1:21" x14ac:dyDescent="0.45">
      <c r="A338" s="181"/>
      <c r="B338" s="181"/>
      <c r="C338" s="181"/>
      <c r="D338" s="181"/>
      <c r="E338" s="181"/>
      <c r="F338" s="181"/>
      <c r="G338" s="182"/>
      <c r="H338" s="183"/>
      <c r="I338" s="182"/>
      <c r="J338" s="205"/>
      <c r="K338" s="184"/>
      <c r="L338" s="185"/>
      <c r="M338" s="184"/>
      <c r="N338" s="186"/>
      <c r="O338" s="183"/>
      <c r="P338" s="183"/>
      <c r="Q338" s="183"/>
      <c r="R338" s="184"/>
      <c r="S338" s="184"/>
      <c r="U338" s="62"/>
    </row>
    <row r="339" spans="1:21" x14ac:dyDescent="0.45">
      <c r="A339" s="181"/>
      <c r="B339" s="181"/>
      <c r="C339" s="181"/>
      <c r="D339" s="181"/>
      <c r="E339" s="181"/>
      <c r="F339" s="181"/>
      <c r="G339" s="182"/>
      <c r="H339" s="183"/>
      <c r="I339" s="182"/>
      <c r="J339" s="205"/>
      <c r="K339" s="184"/>
      <c r="L339" s="185"/>
      <c r="M339" s="184"/>
      <c r="N339" s="186"/>
      <c r="O339" s="183"/>
      <c r="P339" s="183"/>
      <c r="Q339" s="183"/>
      <c r="R339" s="184"/>
      <c r="S339" s="184"/>
      <c r="U339" s="62"/>
    </row>
    <row r="340" spans="1:21" x14ac:dyDescent="0.45">
      <c r="A340" s="181"/>
      <c r="B340" s="181"/>
      <c r="C340" s="181"/>
      <c r="D340" s="181"/>
      <c r="E340" s="181"/>
      <c r="F340" s="181"/>
      <c r="G340" s="182"/>
      <c r="H340" s="183"/>
      <c r="I340" s="182"/>
      <c r="J340" s="205"/>
      <c r="K340" s="184"/>
      <c r="L340" s="185"/>
      <c r="M340" s="184"/>
      <c r="N340" s="186"/>
      <c r="O340" s="183"/>
      <c r="P340" s="183"/>
      <c r="Q340" s="183"/>
      <c r="R340" s="184"/>
      <c r="S340" s="184"/>
      <c r="U340" s="62"/>
    </row>
    <row r="341" spans="1:21" x14ac:dyDescent="0.45">
      <c r="A341" s="181"/>
      <c r="B341" s="181"/>
      <c r="C341" s="181"/>
      <c r="D341" s="181"/>
      <c r="E341" s="181"/>
      <c r="F341" s="181"/>
      <c r="G341" s="182"/>
      <c r="H341" s="183"/>
      <c r="I341" s="182"/>
      <c r="J341" s="205"/>
      <c r="K341" s="184"/>
      <c r="L341" s="185"/>
      <c r="M341" s="184"/>
      <c r="N341" s="186"/>
      <c r="O341" s="183"/>
      <c r="P341" s="183"/>
      <c r="Q341" s="183"/>
      <c r="R341" s="184"/>
      <c r="S341" s="184"/>
      <c r="U341" s="62"/>
    </row>
    <row r="342" spans="1:21" x14ac:dyDescent="0.45">
      <c r="A342" s="181"/>
      <c r="B342" s="181"/>
      <c r="C342" s="181"/>
      <c r="D342" s="181"/>
      <c r="E342" s="181"/>
      <c r="F342" s="181"/>
      <c r="G342" s="182"/>
      <c r="H342" s="183"/>
      <c r="I342" s="182"/>
      <c r="J342" s="205"/>
      <c r="K342" s="184"/>
      <c r="L342" s="185"/>
      <c r="M342" s="184"/>
      <c r="N342" s="186"/>
      <c r="O342" s="183"/>
      <c r="P342" s="183"/>
      <c r="Q342" s="183"/>
      <c r="R342" s="184"/>
      <c r="S342" s="184"/>
      <c r="U342" s="62"/>
    </row>
    <row r="343" spans="1:21" x14ac:dyDescent="0.45">
      <c r="A343" s="181"/>
      <c r="B343" s="181"/>
      <c r="C343" s="181"/>
      <c r="D343" s="181"/>
      <c r="E343" s="181"/>
      <c r="F343" s="181"/>
      <c r="G343" s="182"/>
      <c r="H343" s="183"/>
      <c r="I343" s="182"/>
      <c r="J343" s="205"/>
      <c r="K343" s="184"/>
      <c r="L343" s="185"/>
      <c r="M343" s="184"/>
      <c r="N343" s="186"/>
      <c r="O343" s="183"/>
      <c r="P343" s="183"/>
      <c r="Q343" s="183"/>
      <c r="R343" s="184"/>
      <c r="S343" s="184"/>
      <c r="U343" s="62"/>
    </row>
    <row r="344" spans="1:21" x14ac:dyDescent="0.45">
      <c r="A344" s="181"/>
      <c r="B344" s="181"/>
      <c r="C344" s="181"/>
      <c r="D344" s="181"/>
      <c r="E344" s="181"/>
      <c r="F344" s="181"/>
      <c r="G344" s="182"/>
      <c r="H344" s="183"/>
      <c r="I344" s="182"/>
      <c r="J344" s="205"/>
      <c r="K344" s="184"/>
      <c r="L344" s="185"/>
      <c r="M344" s="184"/>
      <c r="N344" s="186"/>
      <c r="O344" s="183"/>
      <c r="P344" s="183"/>
      <c r="Q344" s="183"/>
      <c r="R344" s="184"/>
      <c r="S344" s="184"/>
      <c r="U344" s="62"/>
    </row>
    <row r="345" spans="1:21" x14ac:dyDescent="0.45">
      <c r="A345" s="181"/>
      <c r="B345" s="181"/>
      <c r="C345" s="181"/>
      <c r="D345" s="181"/>
      <c r="E345" s="181"/>
      <c r="F345" s="181"/>
      <c r="G345" s="182"/>
      <c r="H345" s="183"/>
      <c r="I345" s="182"/>
      <c r="J345" s="205"/>
      <c r="K345" s="184"/>
      <c r="L345" s="185"/>
      <c r="M345" s="184"/>
      <c r="N345" s="186"/>
      <c r="O345" s="183"/>
      <c r="P345" s="183"/>
      <c r="Q345" s="183"/>
      <c r="R345" s="184"/>
      <c r="S345" s="184"/>
      <c r="U345" s="62"/>
    </row>
    <row r="346" spans="1:21" x14ac:dyDescent="0.45">
      <c r="A346" s="181"/>
      <c r="B346" s="181"/>
      <c r="C346" s="181"/>
      <c r="D346" s="181"/>
      <c r="E346" s="181"/>
      <c r="F346" s="181"/>
      <c r="G346" s="182"/>
      <c r="H346" s="183"/>
      <c r="I346" s="182"/>
      <c r="J346" s="205"/>
      <c r="K346" s="184"/>
      <c r="L346" s="185"/>
      <c r="M346" s="184"/>
      <c r="N346" s="186"/>
      <c r="O346" s="183"/>
      <c r="P346" s="183"/>
      <c r="Q346" s="183"/>
      <c r="R346" s="184"/>
      <c r="S346" s="184"/>
      <c r="U346" s="62"/>
    </row>
    <row r="347" spans="1:21" x14ac:dyDescent="0.45">
      <c r="A347" s="181"/>
      <c r="B347" s="181"/>
      <c r="C347" s="181"/>
      <c r="D347" s="181"/>
      <c r="E347" s="181"/>
      <c r="F347" s="181"/>
      <c r="G347" s="182"/>
      <c r="H347" s="183"/>
      <c r="I347" s="182"/>
      <c r="J347" s="205"/>
      <c r="K347" s="184"/>
      <c r="L347" s="185"/>
      <c r="M347" s="184"/>
      <c r="N347" s="186"/>
      <c r="O347" s="183"/>
      <c r="P347" s="183"/>
      <c r="Q347" s="183"/>
      <c r="R347" s="184"/>
      <c r="S347" s="184"/>
      <c r="U347" s="62"/>
    </row>
    <row r="348" spans="1:21" x14ac:dyDescent="0.45">
      <c r="A348" s="181"/>
      <c r="B348" s="181"/>
      <c r="C348" s="181"/>
      <c r="D348" s="181"/>
      <c r="E348" s="181"/>
      <c r="F348" s="181"/>
      <c r="G348" s="182"/>
      <c r="H348" s="183"/>
      <c r="I348" s="182"/>
      <c r="J348" s="205"/>
      <c r="K348" s="184"/>
      <c r="L348" s="185"/>
      <c r="M348" s="184"/>
      <c r="N348" s="186"/>
      <c r="O348" s="183"/>
      <c r="P348" s="183"/>
      <c r="Q348" s="183"/>
      <c r="R348" s="184"/>
      <c r="S348" s="184"/>
      <c r="U348" s="62"/>
    </row>
    <row r="349" spans="1:21" x14ac:dyDescent="0.45">
      <c r="A349" s="181"/>
      <c r="B349" s="181"/>
      <c r="C349" s="181"/>
      <c r="D349" s="181"/>
      <c r="E349" s="181"/>
      <c r="F349" s="181"/>
      <c r="G349" s="182"/>
      <c r="H349" s="183"/>
      <c r="I349" s="182"/>
      <c r="J349" s="205"/>
      <c r="K349" s="184"/>
      <c r="L349" s="185"/>
      <c r="M349" s="184"/>
      <c r="N349" s="186"/>
      <c r="O349" s="183"/>
      <c r="P349" s="183"/>
      <c r="Q349" s="183"/>
      <c r="R349" s="184"/>
      <c r="S349" s="184"/>
      <c r="U349" s="62"/>
    </row>
    <row r="350" spans="1:21" x14ac:dyDescent="0.45">
      <c r="A350" s="181"/>
      <c r="B350" s="181"/>
      <c r="C350" s="181"/>
      <c r="D350" s="181"/>
      <c r="E350" s="181"/>
      <c r="F350" s="181"/>
      <c r="G350" s="182"/>
      <c r="H350" s="183"/>
      <c r="I350" s="182"/>
      <c r="J350" s="205"/>
      <c r="K350" s="184"/>
      <c r="L350" s="185"/>
      <c r="M350" s="184"/>
      <c r="N350" s="186"/>
      <c r="O350" s="183"/>
      <c r="P350" s="183"/>
      <c r="Q350" s="183"/>
      <c r="R350" s="184"/>
      <c r="S350" s="184"/>
      <c r="U350" s="62"/>
    </row>
    <row r="351" spans="1:21" x14ac:dyDescent="0.45">
      <c r="A351" s="181"/>
      <c r="B351" s="181"/>
      <c r="C351" s="181"/>
      <c r="D351" s="181"/>
      <c r="E351" s="181"/>
      <c r="F351" s="181"/>
      <c r="G351" s="182"/>
      <c r="H351" s="183"/>
      <c r="I351" s="182"/>
      <c r="J351" s="205"/>
      <c r="K351" s="184"/>
      <c r="L351" s="185"/>
      <c r="M351" s="184"/>
      <c r="N351" s="186"/>
      <c r="O351" s="183"/>
      <c r="P351" s="183"/>
      <c r="Q351" s="183"/>
      <c r="R351" s="184"/>
      <c r="S351" s="184"/>
      <c r="U351" s="62"/>
    </row>
    <row r="352" spans="1:21" x14ac:dyDescent="0.45">
      <c r="A352" s="181"/>
      <c r="B352" s="181"/>
      <c r="C352" s="181"/>
      <c r="D352" s="181"/>
      <c r="E352" s="181"/>
      <c r="F352" s="181"/>
      <c r="G352" s="182"/>
      <c r="H352" s="183"/>
      <c r="I352" s="182"/>
      <c r="J352" s="205"/>
      <c r="K352" s="184"/>
      <c r="L352" s="185"/>
      <c r="M352" s="184"/>
      <c r="N352" s="186"/>
      <c r="O352" s="183"/>
      <c r="P352" s="183"/>
      <c r="Q352" s="183"/>
      <c r="R352" s="184"/>
      <c r="S352" s="184"/>
      <c r="U352" s="62"/>
    </row>
    <row r="353" spans="1:21" x14ac:dyDescent="0.45">
      <c r="A353" s="181"/>
      <c r="B353" s="181"/>
      <c r="C353" s="181"/>
      <c r="D353" s="181"/>
      <c r="E353" s="181"/>
      <c r="F353" s="181"/>
      <c r="G353" s="182"/>
      <c r="H353" s="183"/>
      <c r="I353" s="182"/>
      <c r="J353" s="205"/>
      <c r="K353" s="184"/>
      <c r="L353" s="185"/>
      <c r="M353" s="184"/>
      <c r="N353" s="186"/>
      <c r="O353" s="183"/>
      <c r="P353" s="183"/>
      <c r="Q353" s="183"/>
      <c r="R353" s="184"/>
      <c r="S353" s="184"/>
      <c r="U353" s="62"/>
    </row>
    <row r="354" spans="1:21" x14ac:dyDescent="0.45">
      <c r="A354" s="181"/>
      <c r="B354" s="181"/>
      <c r="C354" s="181"/>
      <c r="D354" s="181"/>
      <c r="E354" s="181"/>
      <c r="F354" s="181"/>
      <c r="G354" s="182"/>
      <c r="H354" s="183"/>
      <c r="I354" s="182"/>
      <c r="J354" s="205"/>
      <c r="K354" s="184"/>
      <c r="L354" s="185"/>
      <c r="M354" s="184"/>
      <c r="N354" s="186"/>
      <c r="O354" s="183"/>
      <c r="P354" s="183"/>
      <c r="Q354" s="183"/>
      <c r="R354" s="184"/>
      <c r="S354" s="184"/>
      <c r="U354" s="62"/>
    </row>
    <row r="355" spans="1:21" x14ac:dyDescent="0.45">
      <c r="A355" s="181"/>
      <c r="B355" s="181"/>
      <c r="C355" s="181"/>
      <c r="D355" s="181"/>
      <c r="E355" s="181"/>
      <c r="F355" s="181"/>
      <c r="G355" s="182"/>
      <c r="H355" s="183"/>
      <c r="I355" s="182"/>
      <c r="J355" s="205"/>
      <c r="K355" s="184"/>
      <c r="L355" s="185"/>
      <c r="M355" s="184"/>
      <c r="N355" s="186"/>
      <c r="O355" s="183"/>
      <c r="P355" s="183"/>
      <c r="Q355" s="183"/>
      <c r="R355" s="184"/>
      <c r="S355" s="184"/>
      <c r="U355" s="62"/>
    </row>
    <row r="356" spans="1:21" x14ac:dyDescent="0.45">
      <c r="A356" s="181"/>
      <c r="B356" s="181"/>
      <c r="C356" s="181"/>
      <c r="D356" s="181"/>
      <c r="E356" s="181"/>
      <c r="F356" s="181"/>
      <c r="G356" s="182"/>
      <c r="H356" s="183"/>
      <c r="I356" s="182"/>
      <c r="J356" s="205"/>
      <c r="K356" s="184"/>
      <c r="L356" s="185"/>
      <c r="M356" s="184"/>
      <c r="N356" s="186"/>
      <c r="O356" s="183"/>
      <c r="P356" s="183"/>
      <c r="Q356" s="183"/>
      <c r="R356" s="184"/>
      <c r="S356" s="184"/>
      <c r="U356" s="62"/>
    </row>
    <row r="357" spans="1:21" x14ac:dyDescent="0.45">
      <c r="A357" s="181"/>
      <c r="B357" s="181"/>
      <c r="C357" s="181"/>
      <c r="D357" s="181"/>
      <c r="E357" s="181"/>
      <c r="F357" s="181"/>
      <c r="G357" s="182"/>
      <c r="H357" s="183"/>
      <c r="I357" s="182"/>
      <c r="J357" s="205"/>
      <c r="K357" s="184"/>
      <c r="L357" s="185"/>
      <c r="M357" s="184"/>
      <c r="N357" s="186"/>
      <c r="O357" s="183"/>
      <c r="P357" s="183"/>
      <c r="Q357" s="183"/>
      <c r="R357" s="184"/>
      <c r="S357" s="184"/>
      <c r="U357" s="62"/>
    </row>
    <row r="358" spans="1:21" x14ac:dyDescent="0.45">
      <c r="A358" s="181"/>
      <c r="B358" s="181"/>
      <c r="C358" s="181"/>
      <c r="D358" s="181"/>
      <c r="E358" s="181"/>
      <c r="F358" s="181"/>
      <c r="G358" s="182"/>
      <c r="H358" s="183"/>
      <c r="I358" s="182"/>
      <c r="J358" s="205"/>
      <c r="K358" s="184"/>
      <c r="L358" s="185"/>
      <c r="M358" s="184"/>
      <c r="N358" s="186"/>
      <c r="O358" s="183"/>
      <c r="P358" s="183"/>
      <c r="Q358" s="183"/>
      <c r="R358" s="184"/>
      <c r="S358" s="184"/>
      <c r="U358" s="62"/>
    </row>
    <row r="359" spans="1:21" x14ac:dyDescent="0.45">
      <c r="A359" s="181"/>
      <c r="B359" s="181"/>
      <c r="C359" s="181"/>
      <c r="D359" s="181"/>
      <c r="E359" s="181"/>
      <c r="F359" s="181"/>
      <c r="G359" s="182"/>
      <c r="H359" s="183"/>
      <c r="I359" s="182"/>
      <c r="J359" s="205"/>
      <c r="K359" s="184"/>
      <c r="L359" s="185"/>
      <c r="M359" s="184"/>
      <c r="N359" s="186"/>
      <c r="O359" s="183"/>
      <c r="P359" s="183"/>
      <c r="Q359" s="183"/>
      <c r="R359" s="184"/>
      <c r="S359" s="184"/>
      <c r="U359" s="62"/>
    </row>
    <row r="360" spans="1:21" x14ac:dyDescent="0.45">
      <c r="A360" s="181"/>
      <c r="B360" s="181"/>
      <c r="C360" s="181"/>
      <c r="D360" s="181"/>
      <c r="E360" s="181"/>
      <c r="F360" s="181"/>
      <c r="G360" s="182"/>
      <c r="H360" s="183"/>
      <c r="I360" s="182"/>
      <c r="J360" s="205"/>
      <c r="K360" s="184"/>
      <c r="L360" s="185"/>
      <c r="M360" s="184"/>
      <c r="N360" s="186"/>
      <c r="O360" s="183"/>
      <c r="P360" s="183"/>
      <c r="Q360" s="183"/>
      <c r="R360" s="184"/>
      <c r="S360" s="184"/>
      <c r="U360" s="62"/>
    </row>
    <row r="361" spans="1:21" x14ac:dyDescent="0.45">
      <c r="A361" s="181"/>
      <c r="B361" s="181"/>
      <c r="C361" s="181"/>
      <c r="D361" s="181"/>
      <c r="E361" s="181"/>
      <c r="F361" s="181"/>
      <c r="G361" s="182"/>
      <c r="H361" s="183"/>
      <c r="I361" s="182"/>
      <c r="J361" s="205"/>
      <c r="K361" s="184"/>
      <c r="L361" s="185"/>
      <c r="M361" s="184"/>
      <c r="N361" s="186"/>
      <c r="O361" s="183"/>
      <c r="P361" s="183"/>
      <c r="Q361" s="183"/>
      <c r="R361" s="184"/>
      <c r="S361" s="184"/>
      <c r="U361" s="62"/>
    </row>
    <row r="362" spans="1:21" x14ac:dyDescent="0.45">
      <c r="A362" s="181"/>
      <c r="B362" s="181"/>
      <c r="C362" s="181"/>
      <c r="D362" s="181"/>
      <c r="E362" s="181"/>
      <c r="F362" s="181"/>
      <c r="G362" s="182"/>
      <c r="H362" s="183"/>
      <c r="I362" s="182"/>
      <c r="J362" s="205"/>
      <c r="K362" s="184"/>
      <c r="L362" s="185"/>
      <c r="M362" s="184"/>
      <c r="N362" s="186"/>
      <c r="O362" s="183"/>
      <c r="P362" s="183"/>
      <c r="Q362" s="183"/>
      <c r="R362" s="184"/>
      <c r="S362" s="184"/>
      <c r="U362" s="62"/>
    </row>
    <row r="363" spans="1:21" x14ac:dyDescent="0.45">
      <c r="A363" s="181"/>
      <c r="B363" s="181"/>
      <c r="C363" s="181"/>
      <c r="D363" s="181"/>
      <c r="E363" s="181"/>
      <c r="F363" s="181"/>
      <c r="G363" s="182"/>
      <c r="H363" s="183"/>
      <c r="I363" s="182"/>
      <c r="J363" s="205"/>
      <c r="K363" s="184"/>
      <c r="L363" s="185"/>
      <c r="M363" s="184"/>
      <c r="N363" s="186"/>
      <c r="O363" s="183"/>
      <c r="P363" s="183"/>
      <c r="Q363" s="183"/>
      <c r="R363" s="184"/>
      <c r="S363" s="184"/>
      <c r="U363" s="62"/>
    </row>
    <row r="364" spans="1:21" x14ac:dyDescent="0.45">
      <c r="A364" s="181"/>
      <c r="B364" s="181"/>
      <c r="C364" s="181"/>
      <c r="D364" s="181"/>
      <c r="E364" s="181"/>
      <c r="F364" s="181"/>
      <c r="G364" s="182"/>
      <c r="H364" s="183"/>
      <c r="I364" s="182"/>
      <c r="J364" s="205"/>
      <c r="K364" s="184"/>
      <c r="L364" s="185"/>
      <c r="M364" s="184"/>
      <c r="N364" s="186"/>
      <c r="O364" s="183"/>
      <c r="P364" s="183"/>
      <c r="Q364" s="183"/>
      <c r="R364" s="184"/>
      <c r="S364" s="184"/>
      <c r="U364" s="62"/>
    </row>
    <row r="365" spans="1:21" x14ac:dyDescent="0.45">
      <c r="A365" s="181"/>
      <c r="B365" s="181"/>
      <c r="C365" s="181"/>
      <c r="D365" s="181"/>
      <c r="E365" s="181"/>
      <c r="F365" s="181"/>
      <c r="G365" s="182"/>
      <c r="H365" s="183"/>
      <c r="I365" s="182"/>
      <c r="J365" s="205"/>
      <c r="K365" s="184"/>
      <c r="L365" s="185"/>
      <c r="M365" s="184"/>
      <c r="N365" s="186"/>
      <c r="O365" s="183"/>
      <c r="P365" s="183"/>
      <c r="Q365" s="183"/>
      <c r="R365" s="184"/>
      <c r="S365" s="184"/>
      <c r="U365" s="62"/>
    </row>
    <row r="366" spans="1:21" x14ac:dyDescent="0.45">
      <c r="A366" s="181"/>
      <c r="B366" s="181"/>
      <c r="C366" s="181"/>
      <c r="D366" s="181"/>
      <c r="E366" s="181"/>
      <c r="F366" s="181"/>
      <c r="G366" s="182"/>
      <c r="H366" s="183"/>
      <c r="I366" s="182"/>
      <c r="J366" s="205"/>
      <c r="K366" s="184"/>
      <c r="L366" s="185"/>
      <c r="M366" s="184"/>
      <c r="N366" s="186"/>
      <c r="O366" s="183"/>
      <c r="P366" s="183"/>
      <c r="Q366" s="183"/>
      <c r="R366" s="184"/>
      <c r="S366" s="184"/>
      <c r="U366" s="62"/>
    </row>
    <row r="367" spans="1:21" x14ac:dyDescent="0.45">
      <c r="A367" s="181"/>
      <c r="B367" s="181"/>
      <c r="C367" s="181"/>
      <c r="D367" s="181"/>
      <c r="E367" s="181"/>
      <c r="F367" s="181"/>
      <c r="G367" s="182"/>
      <c r="H367" s="183"/>
      <c r="I367" s="182"/>
      <c r="J367" s="205"/>
      <c r="K367" s="184"/>
      <c r="L367" s="185"/>
      <c r="M367" s="184"/>
      <c r="N367" s="186"/>
      <c r="O367" s="183"/>
      <c r="P367" s="183"/>
      <c r="Q367" s="183"/>
      <c r="R367" s="184"/>
      <c r="S367" s="184"/>
      <c r="U367" s="62"/>
    </row>
    <row r="368" spans="1:21" x14ac:dyDescent="0.45">
      <c r="A368" s="181"/>
      <c r="B368" s="181"/>
      <c r="C368" s="181"/>
      <c r="D368" s="181"/>
      <c r="E368" s="181"/>
      <c r="F368" s="181"/>
      <c r="G368" s="182"/>
      <c r="H368" s="183"/>
      <c r="I368" s="182"/>
      <c r="J368" s="205"/>
      <c r="K368" s="184"/>
      <c r="L368" s="185"/>
      <c r="M368" s="184"/>
      <c r="N368" s="186"/>
      <c r="O368" s="183"/>
      <c r="P368" s="183"/>
      <c r="Q368" s="183"/>
      <c r="R368" s="184"/>
      <c r="S368" s="184"/>
      <c r="U368" s="62"/>
    </row>
    <row r="369" spans="1:21" x14ac:dyDescent="0.45">
      <c r="A369" s="181"/>
      <c r="B369" s="181"/>
      <c r="C369" s="181"/>
      <c r="D369" s="181"/>
      <c r="E369" s="181"/>
      <c r="F369" s="181"/>
      <c r="G369" s="182"/>
      <c r="H369" s="183"/>
      <c r="I369" s="182"/>
      <c r="J369" s="205"/>
      <c r="K369" s="184"/>
      <c r="L369" s="185"/>
      <c r="M369" s="184"/>
      <c r="N369" s="186"/>
      <c r="O369" s="183"/>
      <c r="P369" s="183"/>
      <c r="Q369" s="183"/>
      <c r="R369" s="184"/>
      <c r="S369" s="184"/>
      <c r="U369" s="62"/>
    </row>
    <row r="370" spans="1:21" x14ac:dyDescent="0.45">
      <c r="A370" s="181"/>
      <c r="B370" s="181"/>
      <c r="C370" s="181"/>
      <c r="D370" s="181"/>
      <c r="E370" s="181"/>
      <c r="F370" s="181"/>
      <c r="G370" s="182"/>
      <c r="H370" s="183"/>
      <c r="I370" s="182"/>
      <c r="J370" s="205"/>
      <c r="K370" s="184"/>
      <c r="L370" s="185"/>
      <c r="M370" s="184"/>
      <c r="N370" s="186"/>
      <c r="O370" s="183"/>
      <c r="P370" s="183"/>
      <c r="Q370" s="183"/>
      <c r="R370" s="184"/>
      <c r="S370" s="184"/>
      <c r="U370" s="62"/>
    </row>
    <row r="371" spans="1:21" x14ac:dyDescent="0.45">
      <c r="A371" s="181"/>
      <c r="B371" s="181"/>
      <c r="C371" s="181"/>
      <c r="D371" s="181"/>
      <c r="E371" s="181"/>
      <c r="F371" s="181"/>
      <c r="G371" s="182"/>
      <c r="H371" s="183"/>
      <c r="I371" s="182"/>
      <c r="J371" s="205"/>
      <c r="K371" s="184"/>
      <c r="L371" s="185"/>
      <c r="M371" s="184"/>
      <c r="N371" s="186"/>
      <c r="O371" s="183"/>
      <c r="P371" s="183"/>
      <c r="Q371" s="183"/>
      <c r="R371" s="184"/>
      <c r="S371" s="184"/>
      <c r="U371" s="62"/>
    </row>
    <row r="372" spans="1:21" x14ac:dyDescent="0.45">
      <c r="A372" s="181"/>
      <c r="B372" s="181"/>
      <c r="C372" s="181"/>
      <c r="D372" s="181"/>
      <c r="E372" s="181"/>
      <c r="F372" s="181"/>
      <c r="G372" s="182"/>
      <c r="H372" s="183"/>
      <c r="I372" s="182"/>
      <c r="J372" s="205"/>
      <c r="K372" s="184"/>
      <c r="L372" s="185"/>
      <c r="M372" s="184"/>
      <c r="N372" s="186"/>
      <c r="O372" s="183"/>
      <c r="P372" s="183"/>
      <c r="Q372" s="183"/>
      <c r="R372" s="184"/>
      <c r="S372" s="184"/>
      <c r="U372" s="62"/>
    </row>
    <row r="373" spans="1:21" x14ac:dyDescent="0.45">
      <c r="A373" s="181"/>
      <c r="B373" s="181"/>
      <c r="C373" s="181"/>
      <c r="D373" s="181"/>
      <c r="E373" s="181"/>
      <c r="F373" s="181"/>
      <c r="G373" s="182"/>
      <c r="H373" s="183"/>
      <c r="I373" s="182"/>
      <c r="J373" s="205"/>
      <c r="K373" s="184"/>
      <c r="L373" s="185"/>
      <c r="M373" s="184"/>
      <c r="N373" s="186"/>
      <c r="O373" s="183"/>
      <c r="P373" s="183"/>
      <c r="Q373" s="183"/>
      <c r="R373" s="184"/>
      <c r="S373" s="184"/>
      <c r="U373" s="62"/>
    </row>
    <row r="374" spans="1:21" x14ac:dyDescent="0.45">
      <c r="A374" s="181"/>
      <c r="B374" s="181"/>
      <c r="C374" s="181"/>
      <c r="D374" s="181"/>
      <c r="E374" s="181"/>
      <c r="F374" s="181"/>
      <c r="G374" s="182"/>
      <c r="H374" s="183"/>
      <c r="I374" s="182"/>
      <c r="J374" s="205"/>
      <c r="K374" s="184"/>
      <c r="L374" s="185"/>
      <c r="M374" s="184"/>
      <c r="N374" s="186"/>
      <c r="O374" s="183"/>
      <c r="P374" s="183"/>
      <c r="Q374" s="183"/>
      <c r="R374" s="184"/>
      <c r="S374" s="184"/>
      <c r="U374" s="62"/>
    </row>
    <row r="375" spans="1:21" x14ac:dyDescent="0.45">
      <c r="A375" s="181"/>
      <c r="B375" s="181"/>
      <c r="C375" s="181"/>
      <c r="D375" s="181"/>
      <c r="E375" s="181"/>
      <c r="F375" s="181"/>
      <c r="G375" s="182"/>
      <c r="H375" s="183"/>
      <c r="I375" s="182"/>
      <c r="J375" s="205"/>
      <c r="K375" s="184"/>
      <c r="L375" s="185"/>
      <c r="M375" s="184"/>
      <c r="N375" s="186"/>
      <c r="O375" s="183"/>
      <c r="P375" s="183"/>
      <c r="Q375" s="183"/>
      <c r="R375" s="184"/>
      <c r="S375" s="184"/>
      <c r="U375" s="62"/>
    </row>
    <row r="376" spans="1:21" x14ac:dyDescent="0.45">
      <c r="A376" s="181"/>
      <c r="B376" s="181"/>
      <c r="C376" s="181"/>
      <c r="D376" s="181"/>
      <c r="E376" s="181"/>
      <c r="F376" s="181"/>
      <c r="G376" s="182"/>
      <c r="H376" s="183"/>
      <c r="I376" s="182"/>
      <c r="J376" s="205"/>
      <c r="K376" s="184"/>
      <c r="L376" s="185"/>
      <c r="M376" s="184"/>
      <c r="N376" s="186"/>
      <c r="O376" s="183"/>
      <c r="P376" s="183"/>
      <c r="Q376" s="183"/>
      <c r="R376" s="184"/>
      <c r="S376" s="184"/>
      <c r="U376" s="62"/>
    </row>
    <row r="377" spans="1:21" x14ac:dyDescent="0.45">
      <c r="A377" s="181"/>
      <c r="B377" s="181"/>
      <c r="C377" s="181"/>
      <c r="D377" s="181"/>
      <c r="E377" s="181"/>
      <c r="F377" s="181"/>
      <c r="G377" s="182"/>
      <c r="H377" s="183"/>
      <c r="I377" s="182"/>
      <c r="J377" s="205"/>
      <c r="K377" s="184"/>
      <c r="L377" s="185"/>
      <c r="M377" s="184"/>
      <c r="N377" s="186"/>
      <c r="O377" s="183"/>
      <c r="P377" s="183"/>
      <c r="Q377" s="183"/>
      <c r="R377" s="184"/>
      <c r="S377" s="184"/>
      <c r="U377" s="62"/>
    </row>
    <row r="378" spans="1:21" x14ac:dyDescent="0.45">
      <c r="A378" s="181"/>
      <c r="B378" s="181"/>
      <c r="C378" s="181"/>
      <c r="D378" s="181"/>
      <c r="E378" s="181"/>
      <c r="F378" s="181"/>
      <c r="G378" s="182"/>
      <c r="H378" s="183"/>
      <c r="I378" s="182"/>
      <c r="J378" s="205"/>
      <c r="K378" s="184"/>
      <c r="L378" s="185"/>
      <c r="M378" s="184"/>
      <c r="N378" s="186"/>
      <c r="O378" s="183"/>
      <c r="P378" s="183"/>
      <c r="Q378" s="183"/>
      <c r="R378" s="184"/>
      <c r="S378" s="184"/>
      <c r="U378" s="62"/>
    </row>
    <row r="379" spans="1:21" x14ac:dyDescent="0.45">
      <c r="A379" s="181"/>
      <c r="B379" s="181"/>
      <c r="C379" s="181"/>
      <c r="D379" s="181"/>
      <c r="E379" s="181"/>
      <c r="F379" s="181"/>
      <c r="G379" s="182"/>
      <c r="H379" s="183"/>
      <c r="I379" s="182"/>
      <c r="J379" s="205"/>
      <c r="K379" s="184"/>
      <c r="L379" s="185"/>
      <c r="M379" s="184"/>
      <c r="N379" s="186"/>
      <c r="O379" s="183"/>
      <c r="P379" s="183"/>
      <c r="Q379" s="183"/>
      <c r="R379" s="184"/>
      <c r="S379" s="184"/>
      <c r="U379" s="62"/>
    </row>
    <row r="380" spans="1:21" x14ac:dyDescent="0.45">
      <c r="A380" s="181"/>
      <c r="B380" s="181"/>
      <c r="C380" s="181"/>
      <c r="D380" s="181"/>
      <c r="E380" s="181"/>
      <c r="F380" s="181"/>
      <c r="G380" s="182"/>
      <c r="H380" s="183"/>
      <c r="I380" s="182"/>
      <c r="J380" s="205"/>
      <c r="K380" s="184"/>
      <c r="L380" s="185"/>
      <c r="M380" s="184"/>
      <c r="N380" s="186"/>
      <c r="O380" s="183"/>
      <c r="P380" s="183"/>
      <c r="Q380" s="183"/>
      <c r="R380" s="184"/>
      <c r="S380" s="184"/>
      <c r="U380" s="62"/>
    </row>
    <row r="381" spans="1:21" x14ac:dyDescent="0.45">
      <c r="A381" s="181"/>
      <c r="B381" s="181"/>
      <c r="C381" s="181"/>
      <c r="D381" s="181"/>
      <c r="E381" s="181"/>
      <c r="F381" s="181"/>
      <c r="G381" s="182"/>
      <c r="H381" s="183"/>
      <c r="I381" s="182"/>
      <c r="J381" s="205"/>
      <c r="K381" s="184"/>
      <c r="L381" s="185"/>
      <c r="M381" s="184"/>
      <c r="N381" s="186"/>
      <c r="O381" s="183"/>
      <c r="P381" s="183"/>
      <c r="Q381" s="183"/>
      <c r="R381" s="184"/>
      <c r="S381" s="184"/>
      <c r="U381" s="62"/>
    </row>
    <row r="382" spans="1:21" x14ac:dyDescent="0.45">
      <c r="A382" s="181"/>
      <c r="B382" s="181"/>
      <c r="C382" s="181"/>
      <c r="D382" s="181"/>
      <c r="E382" s="181"/>
      <c r="F382" s="181"/>
      <c r="G382" s="182"/>
      <c r="H382" s="183"/>
      <c r="I382" s="182"/>
      <c r="J382" s="205"/>
      <c r="K382" s="184"/>
      <c r="L382" s="185"/>
      <c r="M382" s="184"/>
      <c r="N382" s="186"/>
      <c r="O382" s="183"/>
      <c r="P382" s="183"/>
      <c r="Q382" s="183"/>
      <c r="R382" s="184"/>
      <c r="S382" s="184"/>
      <c r="U382" s="62"/>
    </row>
    <row r="383" spans="1:21" x14ac:dyDescent="0.45">
      <c r="A383" s="181"/>
      <c r="B383" s="181"/>
      <c r="C383" s="181"/>
      <c r="D383" s="181"/>
      <c r="E383" s="181"/>
      <c r="F383" s="181"/>
      <c r="G383" s="182"/>
      <c r="H383" s="183"/>
      <c r="I383" s="182"/>
      <c r="J383" s="205"/>
      <c r="K383" s="184"/>
      <c r="L383" s="185"/>
      <c r="M383" s="184"/>
      <c r="N383" s="186"/>
      <c r="O383" s="183"/>
      <c r="P383" s="183"/>
      <c r="Q383" s="183"/>
      <c r="R383" s="184"/>
      <c r="S383" s="184"/>
      <c r="U383" s="62"/>
    </row>
    <row r="384" spans="1:21" x14ac:dyDescent="0.45">
      <c r="A384" s="181"/>
      <c r="B384" s="181"/>
      <c r="C384" s="181"/>
      <c r="D384" s="181"/>
      <c r="E384" s="181"/>
      <c r="F384" s="181"/>
      <c r="G384" s="182"/>
      <c r="H384" s="183"/>
      <c r="I384" s="182"/>
      <c r="J384" s="205"/>
      <c r="K384" s="184"/>
      <c r="L384" s="185"/>
      <c r="M384" s="184"/>
      <c r="N384" s="186"/>
      <c r="O384" s="183"/>
      <c r="P384" s="183"/>
      <c r="Q384" s="183"/>
      <c r="R384" s="184"/>
      <c r="S384" s="184"/>
      <c r="U384" s="62"/>
    </row>
    <row r="385" spans="1:21" x14ac:dyDescent="0.45">
      <c r="A385" s="181"/>
      <c r="B385" s="181"/>
      <c r="C385" s="181"/>
      <c r="D385" s="181"/>
      <c r="E385" s="181"/>
      <c r="F385" s="181"/>
      <c r="G385" s="182"/>
      <c r="H385" s="183"/>
      <c r="I385" s="182"/>
      <c r="J385" s="205"/>
      <c r="K385" s="184"/>
      <c r="L385" s="185"/>
      <c r="M385" s="184"/>
      <c r="N385" s="186"/>
      <c r="O385" s="183"/>
      <c r="P385" s="183"/>
      <c r="Q385" s="183"/>
      <c r="R385" s="184"/>
      <c r="S385" s="184"/>
      <c r="U385" s="62"/>
    </row>
    <row r="386" spans="1:21" x14ac:dyDescent="0.45">
      <c r="A386" s="181"/>
      <c r="B386" s="181"/>
      <c r="C386" s="181"/>
      <c r="D386" s="181"/>
      <c r="E386" s="181"/>
      <c r="F386" s="181"/>
      <c r="G386" s="182"/>
      <c r="H386" s="183"/>
      <c r="I386" s="182"/>
      <c r="J386" s="205"/>
      <c r="K386" s="184"/>
      <c r="L386" s="185"/>
      <c r="M386" s="184"/>
      <c r="N386" s="186"/>
      <c r="O386" s="183"/>
      <c r="P386" s="183"/>
      <c r="Q386" s="183"/>
      <c r="R386" s="184"/>
      <c r="S386" s="184"/>
      <c r="U386" s="62"/>
    </row>
    <row r="387" spans="1:21" x14ac:dyDescent="0.45">
      <c r="A387" s="181"/>
      <c r="B387" s="181"/>
      <c r="C387" s="181"/>
      <c r="D387" s="181"/>
      <c r="E387" s="181"/>
      <c r="F387" s="181"/>
      <c r="G387" s="182"/>
      <c r="H387" s="183"/>
      <c r="I387" s="182"/>
      <c r="J387" s="205"/>
      <c r="K387" s="184"/>
      <c r="L387" s="185"/>
      <c r="M387" s="184"/>
      <c r="N387" s="186"/>
      <c r="O387" s="183"/>
      <c r="P387" s="183"/>
      <c r="Q387" s="183"/>
      <c r="R387" s="184"/>
      <c r="S387" s="184"/>
      <c r="U387" s="62"/>
    </row>
    <row r="388" spans="1:21" x14ac:dyDescent="0.45">
      <c r="A388" s="181"/>
      <c r="B388" s="181"/>
      <c r="C388" s="181"/>
      <c r="D388" s="181"/>
      <c r="E388" s="181"/>
      <c r="F388" s="181"/>
      <c r="G388" s="182"/>
      <c r="H388" s="183"/>
      <c r="I388" s="182"/>
      <c r="J388" s="205"/>
      <c r="K388" s="184"/>
      <c r="L388" s="185"/>
      <c r="M388" s="184"/>
      <c r="N388" s="186"/>
      <c r="O388" s="183"/>
      <c r="P388" s="183"/>
      <c r="Q388" s="183"/>
      <c r="R388" s="184"/>
      <c r="S388" s="184"/>
      <c r="U388" s="62"/>
    </row>
    <row r="389" spans="1:21" x14ac:dyDescent="0.45">
      <c r="A389" s="181"/>
      <c r="B389" s="181"/>
      <c r="C389" s="181"/>
      <c r="D389" s="181"/>
      <c r="E389" s="181"/>
      <c r="F389" s="181"/>
      <c r="G389" s="182"/>
      <c r="H389" s="183"/>
      <c r="I389" s="182"/>
      <c r="J389" s="205"/>
      <c r="K389" s="184"/>
      <c r="L389" s="185"/>
      <c r="M389" s="184"/>
      <c r="N389" s="186"/>
      <c r="O389" s="183"/>
      <c r="P389" s="183"/>
      <c r="Q389" s="183"/>
      <c r="R389" s="184"/>
      <c r="S389" s="184"/>
      <c r="U389" s="62"/>
    </row>
    <row r="390" spans="1:21" x14ac:dyDescent="0.45">
      <c r="A390" s="181"/>
      <c r="B390" s="181"/>
      <c r="C390" s="181"/>
      <c r="D390" s="181"/>
      <c r="E390" s="181"/>
      <c r="F390" s="181"/>
      <c r="G390" s="182"/>
      <c r="H390" s="183"/>
      <c r="I390" s="182"/>
      <c r="J390" s="205"/>
      <c r="K390" s="184"/>
      <c r="L390" s="185"/>
      <c r="M390" s="184"/>
      <c r="N390" s="186"/>
      <c r="O390" s="183"/>
      <c r="P390" s="183"/>
      <c r="Q390" s="183"/>
      <c r="R390" s="184"/>
      <c r="S390" s="184"/>
      <c r="U390" s="62"/>
    </row>
    <row r="391" spans="1:21" x14ac:dyDescent="0.45">
      <c r="A391" s="181"/>
      <c r="B391" s="181"/>
      <c r="C391" s="181"/>
      <c r="D391" s="181"/>
      <c r="E391" s="181"/>
      <c r="F391" s="181"/>
      <c r="G391" s="182"/>
      <c r="H391" s="183"/>
      <c r="I391" s="182"/>
      <c r="J391" s="205"/>
      <c r="K391" s="184"/>
      <c r="L391" s="185"/>
      <c r="M391" s="184"/>
      <c r="N391" s="186"/>
      <c r="O391" s="183"/>
      <c r="P391" s="183"/>
      <c r="Q391" s="183"/>
      <c r="R391" s="184"/>
      <c r="S391" s="184"/>
      <c r="U391" s="62"/>
    </row>
    <row r="392" spans="1:21" x14ac:dyDescent="0.45">
      <c r="A392" s="181"/>
      <c r="B392" s="181"/>
      <c r="C392" s="181"/>
      <c r="D392" s="181"/>
      <c r="E392" s="181"/>
      <c r="F392" s="181"/>
      <c r="G392" s="182"/>
      <c r="H392" s="183"/>
      <c r="I392" s="182"/>
      <c r="J392" s="205"/>
      <c r="K392" s="184"/>
      <c r="L392" s="185"/>
      <c r="M392" s="184"/>
      <c r="N392" s="186"/>
      <c r="O392" s="183"/>
      <c r="P392" s="183"/>
      <c r="Q392" s="183"/>
      <c r="R392" s="184"/>
      <c r="S392" s="184"/>
      <c r="U392" s="62"/>
    </row>
    <row r="393" spans="1:21" x14ac:dyDescent="0.45">
      <c r="A393" s="181"/>
      <c r="B393" s="181"/>
      <c r="C393" s="181"/>
      <c r="D393" s="181"/>
      <c r="E393" s="181"/>
      <c r="F393" s="181"/>
      <c r="G393" s="182"/>
      <c r="H393" s="183"/>
      <c r="I393" s="182"/>
      <c r="J393" s="205"/>
      <c r="K393" s="184"/>
      <c r="L393" s="185"/>
      <c r="M393" s="184"/>
      <c r="N393" s="186"/>
      <c r="O393" s="183"/>
      <c r="P393" s="183"/>
      <c r="Q393" s="183"/>
      <c r="R393" s="184"/>
      <c r="S393" s="184"/>
      <c r="U393" s="62"/>
    </row>
    <row r="394" spans="1:21" x14ac:dyDescent="0.45">
      <c r="A394" s="181"/>
      <c r="B394" s="181"/>
      <c r="C394" s="181"/>
      <c r="D394" s="181"/>
      <c r="E394" s="181"/>
      <c r="F394" s="181"/>
      <c r="G394" s="182"/>
      <c r="H394" s="183"/>
      <c r="I394" s="182"/>
      <c r="J394" s="205"/>
      <c r="K394" s="184"/>
      <c r="L394" s="185"/>
      <c r="M394" s="184"/>
      <c r="N394" s="186"/>
      <c r="O394" s="183"/>
      <c r="P394" s="183"/>
      <c r="Q394" s="183"/>
      <c r="R394" s="184"/>
      <c r="S394" s="184"/>
      <c r="U394" s="62"/>
    </row>
    <row r="395" spans="1:21" x14ac:dyDescent="0.45">
      <c r="A395" s="181"/>
      <c r="B395" s="181"/>
      <c r="C395" s="181"/>
      <c r="D395" s="181"/>
      <c r="E395" s="181"/>
      <c r="F395" s="181"/>
      <c r="G395" s="182"/>
      <c r="H395" s="183"/>
      <c r="I395" s="182"/>
      <c r="J395" s="205"/>
      <c r="K395" s="184"/>
      <c r="L395" s="185"/>
      <c r="M395" s="184"/>
      <c r="N395" s="186"/>
      <c r="O395" s="183"/>
      <c r="P395" s="183"/>
      <c r="Q395" s="183"/>
      <c r="R395" s="184"/>
      <c r="S395" s="184"/>
      <c r="U395" s="62"/>
    </row>
    <row r="396" spans="1:21" x14ac:dyDescent="0.45">
      <c r="A396" s="181"/>
      <c r="B396" s="181"/>
      <c r="C396" s="181"/>
      <c r="D396" s="181"/>
      <c r="E396" s="181"/>
      <c r="F396" s="181"/>
      <c r="G396" s="182"/>
      <c r="H396" s="183"/>
      <c r="I396" s="182"/>
      <c r="J396" s="205"/>
      <c r="K396" s="184"/>
      <c r="L396" s="185"/>
      <c r="M396" s="184"/>
      <c r="N396" s="186"/>
      <c r="O396" s="183"/>
      <c r="P396" s="183"/>
      <c r="Q396" s="183"/>
      <c r="R396" s="184"/>
      <c r="S396" s="184"/>
      <c r="U396" s="62"/>
    </row>
    <row r="397" spans="1:21" x14ac:dyDescent="0.45">
      <c r="A397" s="181"/>
      <c r="B397" s="181"/>
      <c r="C397" s="181"/>
      <c r="D397" s="181"/>
      <c r="E397" s="181"/>
      <c r="F397" s="181"/>
      <c r="G397" s="182"/>
      <c r="H397" s="183"/>
      <c r="I397" s="182"/>
      <c r="J397" s="205"/>
      <c r="K397" s="184"/>
      <c r="L397" s="185"/>
      <c r="M397" s="184"/>
      <c r="N397" s="186"/>
      <c r="O397" s="183"/>
      <c r="P397" s="183"/>
      <c r="Q397" s="183"/>
      <c r="R397" s="184"/>
      <c r="S397" s="184"/>
      <c r="U397" s="62"/>
    </row>
    <row r="398" spans="1:21" x14ac:dyDescent="0.45">
      <c r="A398" s="181"/>
      <c r="B398" s="181"/>
      <c r="C398" s="181"/>
      <c r="D398" s="181"/>
      <c r="E398" s="181"/>
      <c r="F398" s="181"/>
      <c r="G398" s="182"/>
      <c r="H398" s="183"/>
      <c r="I398" s="182"/>
      <c r="J398" s="205"/>
      <c r="K398" s="184"/>
      <c r="L398" s="185"/>
      <c r="M398" s="184"/>
      <c r="N398" s="186"/>
      <c r="O398" s="183"/>
      <c r="P398" s="183"/>
      <c r="Q398" s="183"/>
      <c r="R398" s="184"/>
      <c r="S398" s="184"/>
      <c r="U398" s="62"/>
    </row>
    <row r="399" spans="1:21" x14ac:dyDescent="0.45">
      <c r="A399" s="181"/>
      <c r="B399" s="181"/>
      <c r="C399" s="181"/>
      <c r="D399" s="181"/>
      <c r="E399" s="181"/>
      <c r="F399" s="181"/>
      <c r="G399" s="182"/>
      <c r="H399" s="183"/>
      <c r="I399" s="182"/>
      <c r="J399" s="205"/>
      <c r="K399" s="184"/>
      <c r="L399" s="185"/>
      <c r="M399" s="184"/>
      <c r="N399" s="186"/>
      <c r="O399" s="183"/>
      <c r="P399" s="183"/>
      <c r="Q399" s="183"/>
      <c r="R399" s="184"/>
      <c r="S399" s="184"/>
      <c r="U399" s="62"/>
    </row>
    <row r="400" spans="1:21" x14ac:dyDescent="0.45">
      <c r="A400" s="181"/>
      <c r="B400" s="181"/>
      <c r="C400" s="181"/>
      <c r="D400" s="181"/>
      <c r="E400" s="181"/>
      <c r="F400" s="181"/>
      <c r="G400" s="182"/>
      <c r="H400" s="183"/>
      <c r="I400" s="182"/>
      <c r="J400" s="205"/>
      <c r="K400" s="184"/>
      <c r="L400" s="185"/>
      <c r="M400" s="184"/>
      <c r="N400" s="186"/>
      <c r="O400" s="183"/>
      <c r="P400" s="183"/>
      <c r="Q400" s="183"/>
      <c r="R400" s="184"/>
      <c r="S400" s="184"/>
      <c r="U400" s="62"/>
    </row>
    <row r="401" spans="1:21" x14ac:dyDescent="0.45">
      <c r="A401" s="181"/>
      <c r="B401" s="181"/>
      <c r="C401" s="181"/>
      <c r="D401" s="181"/>
      <c r="E401" s="181"/>
      <c r="F401" s="181"/>
      <c r="G401" s="182"/>
      <c r="H401" s="183"/>
      <c r="I401" s="182"/>
      <c r="J401" s="205"/>
      <c r="K401" s="184"/>
      <c r="L401" s="185"/>
      <c r="M401" s="184"/>
      <c r="N401" s="186"/>
      <c r="O401" s="183"/>
      <c r="P401" s="183"/>
      <c r="Q401" s="183"/>
      <c r="R401" s="184"/>
      <c r="S401" s="184"/>
      <c r="U401" s="62"/>
    </row>
    <row r="402" spans="1:21" x14ac:dyDescent="0.45">
      <c r="A402" s="181"/>
      <c r="B402" s="181"/>
      <c r="C402" s="181"/>
      <c r="D402" s="181"/>
      <c r="E402" s="181"/>
      <c r="F402" s="181"/>
      <c r="G402" s="182"/>
      <c r="H402" s="183"/>
      <c r="I402" s="182"/>
      <c r="J402" s="205"/>
      <c r="K402" s="184"/>
      <c r="L402" s="185"/>
      <c r="M402" s="184"/>
      <c r="N402" s="186"/>
      <c r="O402" s="183"/>
      <c r="P402" s="183"/>
      <c r="Q402" s="183"/>
      <c r="R402" s="184"/>
      <c r="S402" s="184"/>
      <c r="U402" s="62"/>
    </row>
    <row r="403" spans="1:21" x14ac:dyDescent="0.45">
      <c r="A403" s="181"/>
      <c r="B403" s="181"/>
      <c r="C403" s="181"/>
      <c r="D403" s="181"/>
      <c r="E403" s="181"/>
      <c r="F403" s="181"/>
      <c r="G403" s="182"/>
      <c r="H403" s="183"/>
      <c r="I403" s="182"/>
      <c r="J403" s="205"/>
      <c r="K403" s="184"/>
      <c r="L403" s="185"/>
      <c r="M403" s="184"/>
      <c r="N403" s="186"/>
      <c r="O403" s="183"/>
      <c r="P403" s="183"/>
      <c r="Q403" s="183"/>
      <c r="R403" s="184"/>
      <c r="S403" s="184"/>
      <c r="U403" s="62"/>
    </row>
    <row r="404" spans="1:21" x14ac:dyDescent="0.45">
      <c r="A404" s="181"/>
      <c r="B404" s="181"/>
      <c r="C404" s="181"/>
      <c r="D404" s="181"/>
      <c r="E404" s="181"/>
      <c r="F404" s="181"/>
      <c r="G404" s="182"/>
      <c r="H404" s="183"/>
      <c r="I404" s="182"/>
      <c r="J404" s="205"/>
      <c r="K404" s="184"/>
      <c r="L404" s="185"/>
      <c r="M404" s="184"/>
      <c r="N404" s="186"/>
      <c r="O404" s="183"/>
      <c r="P404" s="183"/>
      <c r="Q404" s="183"/>
      <c r="R404" s="184"/>
      <c r="S404" s="184"/>
      <c r="U404" s="62"/>
    </row>
    <row r="405" spans="1:21" x14ac:dyDescent="0.45">
      <c r="A405" s="181"/>
      <c r="B405" s="181"/>
      <c r="C405" s="181"/>
      <c r="D405" s="181"/>
      <c r="E405" s="181"/>
      <c r="F405" s="181"/>
      <c r="G405" s="182"/>
      <c r="H405" s="183"/>
      <c r="I405" s="182"/>
      <c r="J405" s="205"/>
      <c r="K405" s="184"/>
      <c r="L405" s="185"/>
      <c r="M405" s="184"/>
      <c r="N405" s="186"/>
      <c r="O405" s="183"/>
      <c r="P405" s="183"/>
      <c r="Q405" s="183"/>
      <c r="R405" s="184"/>
      <c r="S405" s="184"/>
      <c r="U405" s="62"/>
    </row>
    <row r="406" spans="1:21" x14ac:dyDescent="0.45">
      <c r="A406" s="181"/>
      <c r="B406" s="181"/>
      <c r="C406" s="181"/>
      <c r="D406" s="181"/>
      <c r="E406" s="181"/>
      <c r="F406" s="181"/>
      <c r="G406" s="182"/>
      <c r="H406" s="183"/>
      <c r="I406" s="182"/>
      <c r="J406" s="205"/>
      <c r="K406" s="184"/>
      <c r="L406" s="185"/>
      <c r="M406" s="184"/>
      <c r="N406" s="186"/>
      <c r="O406" s="183"/>
      <c r="P406" s="183"/>
      <c r="Q406" s="183"/>
      <c r="R406" s="184"/>
      <c r="S406" s="184"/>
      <c r="U406" s="62"/>
    </row>
    <row r="407" spans="1:21" x14ac:dyDescent="0.45">
      <c r="A407" s="181"/>
      <c r="B407" s="181"/>
      <c r="C407" s="181"/>
      <c r="D407" s="181"/>
      <c r="E407" s="181"/>
      <c r="F407" s="181"/>
      <c r="G407" s="182"/>
      <c r="H407" s="183"/>
      <c r="I407" s="182"/>
      <c r="J407" s="205"/>
      <c r="K407" s="184"/>
      <c r="L407" s="185"/>
      <c r="M407" s="184"/>
      <c r="N407" s="186"/>
      <c r="O407" s="183"/>
      <c r="P407" s="183"/>
      <c r="Q407" s="183"/>
      <c r="R407" s="184"/>
      <c r="S407" s="184"/>
      <c r="U407" s="62"/>
    </row>
    <row r="408" spans="1:21" x14ac:dyDescent="0.45">
      <c r="A408" s="181"/>
      <c r="B408" s="181"/>
      <c r="C408" s="181"/>
      <c r="D408" s="181"/>
      <c r="E408" s="181"/>
      <c r="F408" s="181"/>
      <c r="G408" s="182"/>
      <c r="H408" s="183"/>
      <c r="I408" s="182"/>
      <c r="J408" s="205"/>
      <c r="K408" s="184"/>
      <c r="L408" s="185"/>
      <c r="M408" s="184"/>
      <c r="N408" s="186"/>
      <c r="O408" s="183"/>
      <c r="P408" s="183"/>
      <c r="Q408" s="183"/>
      <c r="R408" s="184"/>
      <c r="S408" s="184"/>
      <c r="U408" s="62"/>
    </row>
    <row r="409" spans="1:21" x14ac:dyDescent="0.45">
      <c r="A409" s="181"/>
      <c r="B409" s="181"/>
      <c r="C409" s="181"/>
      <c r="D409" s="181"/>
      <c r="E409" s="181"/>
      <c r="F409" s="181"/>
      <c r="G409" s="182"/>
      <c r="H409" s="183"/>
      <c r="I409" s="182"/>
      <c r="J409" s="205"/>
      <c r="K409" s="184"/>
      <c r="L409" s="185"/>
      <c r="M409" s="184"/>
      <c r="N409" s="186"/>
      <c r="O409" s="183"/>
      <c r="P409" s="183"/>
      <c r="Q409" s="183"/>
      <c r="R409" s="184"/>
      <c r="S409" s="184"/>
      <c r="U409" s="62"/>
    </row>
    <row r="410" spans="1:21" x14ac:dyDescent="0.45">
      <c r="A410" s="181"/>
      <c r="B410" s="181"/>
      <c r="C410" s="181"/>
      <c r="D410" s="181"/>
      <c r="E410" s="181"/>
      <c r="F410" s="181"/>
      <c r="G410" s="182"/>
      <c r="H410" s="183"/>
      <c r="I410" s="182"/>
      <c r="J410" s="205"/>
      <c r="K410" s="184"/>
      <c r="L410" s="185"/>
      <c r="M410" s="184"/>
      <c r="N410" s="186"/>
      <c r="O410" s="183"/>
      <c r="P410" s="183"/>
      <c r="Q410" s="183"/>
      <c r="R410" s="184"/>
      <c r="S410" s="184"/>
      <c r="U410" s="62"/>
    </row>
    <row r="411" spans="1:21" x14ac:dyDescent="0.45">
      <c r="A411" s="181"/>
      <c r="B411" s="181"/>
      <c r="C411" s="181"/>
      <c r="D411" s="181"/>
      <c r="E411" s="181"/>
      <c r="F411" s="181"/>
      <c r="G411" s="182"/>
      <c r="H411" s="183"/>
      <c r="I411" s="182"/>
      <c r="J411" s="205"/>
      <c r="K411" s="184"/>
      <c r="L411" s="185"/>
      <c r="M411" s="184"/>
      <c r="N411" s="186"/>
      <c r="O411" s="183"/>
      <c r="P411" s="183"/>
      <c r="Q411" s="183"/>
      <c r="R411" s="184"/>
      <c r="S411" s="184"/>
      <c r="U411" s="62"/>
    </row>
    <row r="412" spans="1:21" x14ac:dyDescent="0.45">
      <c r="A412" s="181"/>
      <c r="B412" s="181"/>
      <c r="C412" s="181"/>
      <c r="D412" s="181"/>
      <c r="E412" s="181"/>
      <c r="F412" s="181"/>
      <c r="G412" s="182"/>
      <c r="H412" s="183"/>
      <c r="I412" s="182"/>
      <c r="J412" s="205"/>
      <c r="K412" s="184"/>
      <c r="L412" s="185"/>
      <c r="M412" s="184"/>
      <c r="N412" s="186"/>
      <c r="O412" s="183"/>
      <c r="P412" s="183"/>
      <c r="Q412" s="183"/>
      <c r="R412" s="184"/>
      <c r="S412" s="184"/>
      <c r="U412" s="62"/>
    </row>
    <row r="413" spans="1:21" x14ac:dyDescent="0.45">
      <c r="A413" s="181"/>
      <c r="B413" s="181"/>
      <c r="C413" s="181"/>
      <c r="D413" s="181"/>
      <c r="E413" s="181"/>
      <c r="F413" s="181"/>
      <c r="G413" s="182"/>
      <c r="H413" s="183"/>
      <c r="I413" s="182"/>
      <c r="J413" s="205"/>
      <c r="K413" s="184"/>
      <c r="L413" s="185"/>
      <c r="M413" s="184"/>
      <c r="N413" s="186"/>
      <c r="O413" s="183"/>
      <c r="P413" s="183"/>
      <c r="Q413" s="183"/>
      <c r="R413" s="184"/>
      <c r="S413" s="184"/>
      <c r="U413" s="62"/>
    </row>
    <row r="414" spans="1:21" x14ac:dyDescent="0.45">
      <c r="A414" s="181"/>
      <c r="B414" s="181"/>
      <c r="C414" s="181"/>
      <c r="D414" s="181"/>
      <c r="E414" s="181"/>
      <c r="F414" s="181"/>
      <c r="G414" s="182"/>
      <c r="H414" s="183"/>
      <c r="I414" s="182"/>
      <c r="J414" s="205"/>
      <c r="K414" s="184"/>
      <c r="L414" s="185"/>
      <c r="M414" s="184"/>
      <c r="N414" s="186"/>
      <c r="O414" s="183"/>
      <c r="P414" s="183"/>
      <c r="Q414" s="183"/>
      <c r="R414" s="184"/>
      <c r="S414" s="184"/>
      <c r="U414" s="62"/>
    </row>
    <row r="415" spans="1:21" x14ac:dyDescent="0.45">
      <c r="A415" s="181"/>
      <c r="B415" s="181"/>
      <c r="C415" s="181"/>
      <c r="D415" s="181"/>
      <c r="E415" s="181"/>
      <c r="F415" s="181"/>
      <c r="G415" s="182"/>
      <c r="H415" s="183"/>
      <c r="I415" s="182"/>
      <c r="J415" s="205"/>
      <c r="K415" s="184"/>
      <c r="L415" s="185"/>
      <c r="M415" s="184"/>
      <c r="N415" s="186"/>
      <c r="O415" s="183"/>
      <c r="P415" s="183"/>
      <c r="Q415" s="183"/>
      <c r="R415" s="184"/>
      <c r="S415" s="184"/>
      <c r="U415" s="62"/>
    </row>
    <row r="416" spans="1:21" x14ac:dyDescent="0.45">
      <c r="A416" s="181"/>
      <c r="B416" s="181"/>
      <c r="C416" s="181"/>
      <c r="D416" s="181"/>
      <c r="E416" s="181"/>
      <c r="F416" s="181"/>
      <c r="G416" s="182"/>
      <c r="H416" s="183"/>
      <c r="I416" s="182"/>
      <c r="J416" s="205"/>
      <c r="K416" s="184"/>
      <c r="L416" s="185"/>
      <c r="M416" s="184"/>
      <c r="N416" s="186"/>
      <c r="O416" s="183"/>
      <c r="P416" s="183"/>
      <c r="Q416" s="183"/>
      <c r="R416" s="184"/>
      <c r="S416" s="184"/>
      <c r="U416" s="62"/>
    </row>
    <row r="417" spans="1:21" x14ac:dyDescent="0.45">
      <c r="A417" s="181"/>
      <c r="B417" s="181"/>
      <c r="C417" s="181"/>
      <c r="D417" s="181"/>
      <c r="E417" s="181"/>
      <c r="F417" s="181"/>
      <c r="G417" s="182"/>
      <c r="H417" s="183"/>
      <c r="I417" s="182"/>
      <c r="J417" s="205"/>
      <c r="K417" s="184"/>
      <c r="L417" s="185"/>
      <c r="M417" s="184"/>
      <c r="N417" s="186"/>
      <c r="O417" s="183"/>
      <c r="P417" s="183"/>
      <c r="Q417" s="183"/>
      <c r="R417" s="184"/>
      <c r="S417" s="184"/>
      <c r="U417" s="62"/>
    </row>
    <row r="418" spans="1:21" x14ac:dyDescent="0.45">
      <c r="A418" s="181"/>
      <c r="B418" s="181"/>
      <c r="C418" s="181"/>
      <c r="D418" s="181"/>
      <c r="E418" s="181"/>
      <c r="F418" s="181"/>
      <c r="G418" s="182"/>
      <c r="H418" s="183"/>
      <c r="I418" s="182"/>
      <c r="J418" s="205"/>
      <c r="K418" s="184"/>
      <c r="L418" s="185"/>
      <c r="M418" s="184"/>
      <c r="N418" s="186"/>
      <c r="O418" s="183"/>
      <c r="P418" s="183"/>
      <c r="Q418" s="183"/>
      <c r="R418" s="184"/>
      <c r="S418" s="184"/>
      <c r="U418" s="62"/>
    </row>
    <row r="419" spans="1:21" x14ac:dyDescent="0.45">
      <c r="A419" s="181"/>
      <c r="B419" s="181"/>
      <c r="C419" s="181"/>
      <c r="D419" s="181"/>
      <c r="E419" s="181"/>
      <c r="F419" s="181"/>
      <c r="G419" s="182"/>
      <c r="H419" s="183"/>
      <c r="I419" s="182"/>
      <c r="J419" s="205"/>
      <c r="K419" s="184"/>
      <c r="L419" s="185"/>
      <c r="M419" s="184"/>
      <c r="N419" s="186"/>
      <c r="O419" s="183"/>
      <c r="P419" s="183"/>
      <c r="Q419" s="183"/>
      <c r="R419" s="184"/>
      <c r="S419" s="184"/>
      <c r="U419" s="62"/>
    </row>
    <row r="420" spans="1:21" x14ac:dyDescent="0.45">
      <c r="A420" s="181"/>
      <c r="B420" s="181"/>
      <c r="C420" s="181"/>
      <c r="D420" s="181"/>
      <c r="E420" s="181"/>
      <c r="F420" s="181"/>
      <c r="G420" s="182"/>
      <c r="H420" s="183"/>
      <c r="I420" s="182"/>
      <c r="J420" s="205"/>
      <c r="K420" s="184"/>
      <c r="L420" s="185"/>
      <c r="M420" s="184"/>
      <c r="N420" s="186"/>
      <c r="O420" s="183"/>
      <c r="P420" s="183"/>
      <c r="Q420" s="183"/>
      <c r="R420" s="184"/>
      <c r="S420" s="184"/>
      <c r="U420" s="62"/>
    </row>
    <row r="421" spans="1:21" x14ac:dyDescent="0.45">
      <c r="A421" s="181"/>
      <c r="B421" s="181"/>
      <c r="C421" s="181"/>
      <c r="D421" s="181"/>
      <c r="E421" s="181"/>
      <c r="F421" s="181"/>
      <c r="G421" s="182"/>
      <c r="H421" s="183"/>
      <c r="I421" s="182"/>
      <c r="J421" s="205"/>
      <c r="K421" s="184"/>
      <c r="L421" s="185"/>
      <c r="M421" s="184"/>
      <c r="N421" s="186"/>
      <c r="O421" s="183"/>
      <c r="P421" s="183"/>
      <c r="Q421" s="183"/>
      <c r="R421" s="184"/>
      <c r="S421" s="184"/>
      <c r="U421" s="62"/>
    </row>
    <row r="422" spans="1:21" x14ac:dyDescent="0.45">
      <c r="A422" s="181"/>
      <c r="B422" s="181"/>
      <c r="C422" s="181"/>
      <c r="D422" s="181"/>
      <c r="E422" s="181"/>
      <c r="F422" s="181"/>
      <c r="G422" s="182"/>
      <c r="H422" s="183"/>
      <c r="I422" s="182"/>
      <c r="J422" s="205"/>
      <c r="K422" s="184"/>
      <c r="L422" s="185"/>
      <c r="M422" s="184"/>
      <c r="N422" s="186"/>
      <c r="O422" s="183"/>
      <c r="P422" s="183"/>
      <c r="Q422" s="183"/>
      <c r="R422" s="184"/>
      <c r="S422" s="184"/>
      <c r="U422" s="62"/>
    </row>
    <row r="423" spans="1:21" x14ac:dyDescent="0.45">
      <c r="A423" s="181"/>
      <c r="B423" s="181"/>
      <c r="C423" s="181"/>
      <c r="D423" s="181"/>
      <c r="E423" s="181"/>
      <c r="F423" s="181"/>
      <c r="G423" s="182"/>
      <c r="H423" s="183"/>
      <c r="I423" s="182"/>
      <c r="J423" s="205"/>
      <c r="K423" s="184"/>
      <c r="L423" s="185"/>
      <c r="M423" s="184"/>
      <c r="N423" s="186"/>
      <c r="O423" s="183"/>
      <c r="P423" s="183"/>
      <c r="Q423" s="183"/>
      <c r="R423" s="184"/>
      <c r="S423" s="184"/>
      <c r="U423" s="62"/>
    </row>
    <row r="424" spans="1:21" x14ac:dyDescent="0.45">
      <c r="A424" s="181"/>
      <c r="B424" s="181"/>
      <c r="C424" s="181"/>
      <c r="D424" s="181"/>
      <c r="E424" s="181"/>
      <c r="F424" s="181"/>
      <c r="G424" s="182"/>
      <c r="H424" s="183"/>
      <c r="I424" s="182"/>
      <c r="J424" s="205"/>
      <c r="K424" s="184"/>
      <c r="L424" s="185"/>
      <c r="M424" s="184"/>
      <c r="N424" s="186"/>
      <c r="O424" s="183"/>
      <c r="P424" s="183"/>
      <c r="Q424" s="183"/>
      <c r="R424" s="184"/>
      <c r="S424" s="184"/>
      <c r="U424" s="62"/>
    </row>
    <row r="425" spans="1:21" x14ac:dyDescent="0.45">
      <c r="A425" s="181"/>
      <c r="B425" s="181"/>
      <c r="C425" s="181"/>
      <c r="D425" s="181"/>
      <c r="E425" s="181"/>
      <c r="F425" s="181"/>
      <c r="G425" s="182"/>
      <c r="H425" s="183"/>
      <c r="I425" s="182"/>
      <c r="J425" s="205"/>
      <c r="K425" s="184"/>
      <c r="L425" s="185"/>
      <c r="M425" s="184"/>
      <c r="N425" s="186"/>
      <c r="O425" s="183"/>
      <c r="P425" s="183"/>
      <c r="Q425" s="183"/>
      <c r="R425" s="184"/>
      <c r="S425" s="184"/>
      <c r="U425" s="62"/>
    </row>
    <row r="426" spans="1:21" x14ac:dyDescent="0.45">
      <c r="A426" s="181"/>
      <c r="B426" s="181"/>
      <c r="C426" s="181"/>
      <c r="D426" s="181"/>
      <c r="E426" s="181"/>
      <c r="F426" s="181"/>
      <c r="G426" s="182"/>
      <c r="H426" s="183"/>
      <c r="I426" s="182"/>
      <c r="J426" s="205"/>
      <c r="K426" s="184"/>
      <c r="L426" s="185"/>
      <c r="M426" s="184"/>
      <c r="N426" s="186"/>
      <c r="O426" s="183"/>
      <c r="P426" s="183"/>
      <c r="Q426" s="183"/>
      <c r="R426" s="184"/>
      <c r="S426" s="184"/>
      <c r="U426" s="62"/>
    </row>
    <row r="427" spans="1:21" x14ac:dyDescent="0.45">
      <c r="A427" s="181"/>
      <c r="B427" s="181"/>
      <c r="C427" s="181"/>
      <c r="D427" s="181"/>
      <c r="E427" s="181"/>
      <c r="F427" s="181"/>
      <c r="G427" s="182"/>
      <c r="H427" s="183"/>
      <c r="I427" s="182"/>
      <c r="J427" s="205"/>
      <c r="K427" s="184"/>
      <c r="L427" s="185"/>
      <c r="M427" s="184"/>
      <c r="N427" s="186"/>
      <c r="O427" s="183"/>
      <c r="P427" s="183"/>
      <c r="Q427" s="183"/>
      <c r="R427" s="184"/>
      <c r="S427" s="184"/>
      <c r="U427" s="62"/>
    </row>
    <row r="428" spans="1:21" x14ac:dyDescent="0.45">
      <c r="A428" s="181"/>
      <c r="B428" s="181"/>
      <c r="C428" s="181"/>
      <c r="D428" s="181"/>
      <c r="E428" s="181"/>
      <c r="F428" s="181"/>
      <c r="G428" s="182"/>
      <c r="H428" s="183"/>
      <c r="I428" s="182"/>
      <c r="J428" s="205"/>
      <c r="K428" s="184"/>
      <c r="L428" s="185"/>
      <c r="M428" s="184"/>
      <c r="N428" s="186"/>
      <c r="O428" s="183"/>
      <c r="P428" s="183"/>
      <c r="Q428" s="183"/>
      <c r="R428" s="184"/>
      <c r="S428" s="184"/>
      <c r="U428" s="62"/>
    </row>
    <row r="429" spans="1:21" x14ac:dyDescent="0.45">
      <c r="A429" s="181"/>
      <c r="B429" s="181"/>
      <c r="C429" s="181"/>
      <c r="D429" s="181"/>
      <c r="E429" s="181"/>
      <c r="F429" s="181"/>
      <c r="G429" s="182"/>
      <c r="H429" s="183"/>
      <c r="I429" s="182"/>
      <c r="J429" s="205"/>
      <c r="K429" s="184"/>
      <c r="L429" s="185"/>
      <c r="M429" s="184"/>
      <c r="N429" s="186"/>
      <c r="O429" s="183"/>
      <c r="P429" s="183"/>
      <c r="Q429" s="183"/>
      <c r="R429" s="184"/>
      <c r="S429" s="184"/>
      <c r="U429" s="62"/>
    </row>
    <row r="430" spans="1:21" x14ac:dyDescent="0.45">
      <c r="A430" s="181"/>
      <c r="B430" s="181"/>
      <c r="C430" s="181"/>
      <c r="D430" s="181"/>
      <c r="E430" s="181"/>
      <c r="F430" s="181"/>
      <c r="G430" s="182"/>
      <c r="H430" s="183"/>
      <c r="I430" s="182"/>
      <c r="J430" s="205"/>
      <c r="K430" s="184"/>
      <c r="L430" s="185"/>
      <c r="M430" s="184"/>
      <c r="N430" s="186"/>
      <c r="O430" s="183"/>
      <c r="P430" s="183"/>
      <c r="Q430" s="183"/>
      <c r="R430" s="184"/>
      <c r="S430" s="184"/>
      <c r="U430" s="62"/>
    </row>
    <row r="431" spans="1:21" x14ac:dyDescent="0.45">
      <c r="A431" s="181"/>
      <c r="B431" s="181"/>
      <c r="C431" s="181"/>
      <c r="D431" s="181"/>
      <c r="E431" s="181"/>
      <c r="F431" s="181"/>
      <c r="G431" s="182"/>
      <c r="H431" s="183"/>
      <c r="I431" s="182"/>
      <c r="J431" s="205"/>
      <c r="K431" s="184"/>
      <c r="L431" s="185"/>
      <c r="M431" s="184"/>
      <c r="N431" s="186"/>
      <c r="O431" s="183"/>
      <c r="P431" s="183"/>
      <c r="Q431" s="183"/>
      <c r="R431" s="184"/>
      <c r="S431" s="184"/>
      <c r="U431" s="62"/>
    </row>
    <row r="432" spans="1:21" x14ac:dyDescent="0.45">
      <c r="A432" s="181"/>
      <c r="B432" s="181"/>
      <c r="C432" s="181"/>
      <c r="D432" s="181"/>
      <c r="E432" s="181"/>
      <c r="F432" s="181"/>
      <c r="G432" s="182"/>
      <c r="H432" s="183"/>
      <c r="I432" s="182"/>
      <c r="J432" s="205"/>
      <c r="K432" s="184"/>
      <c r="L432" s="185"/>
      <c r="M432" s="184"/>
      <c r="N432" s="186"/>
      <c r="O432" s="183"/>
      <c r="P432" s="183"/>
      <c r="Q432" s="183"/>
      <c r="R432" s="184"/>
      <c r="S432" s="184"/>
      <c r="U432" s="62"/>
    </row>
    <row r="433" spans="1:21" x14ac:dyDescent="0.45">
      <c r="A433" s="181"/>
      <c r="B433" s="181"/>
      <c r="C433" s="181"/>
      <c r="D433" s="181"/>
      <c r="E433" s="181"/>
      <c r="F433" s="181"/>
      <c r="G433" s="182"/>
      <c r="H433" s="183"/>
      <c r="I433" s="182"/>
      <c r="J433" s="205"/>
      <c r="K433" s="184"/>
      <c r="L433" s="185"/>
      <c r="M433" s="184"/>
      <c r="N433" s="186"/>
      <c r="O433" s="183"/>
      <c r="P433" s="183"/>
      <c r="Q433" s="183"/>
      <c r="R433" s="184"/>
      <c r="S433" s="184"/>
      <c r="U433" s="62"/>
    </row>
    <row r="434" spans="1:21" x14ac:dyDescent="0.45">
      <c r="A434" s="181"/>
      <c r="B434" s="181"/>
      <c r="C434" s="181"/>
      <c r="D434" s="181"/>
      <c r="E434" s="181"/>
      <c r="F434" s="181"/>
      <c r="G434" s="182"/>
      <c r="H434" s="183"/>
      <c r="I434" s="182"/>
      <c r="J434" s="205"/>
      <c r="K434" s="184"/>
      <c r="L434" s="185"/>
      <c r="M434" s="184"/>
      <c r="N434" s="186"/>
      <c r="O434" s="183"/>
      <c r="P434" s="183"/>
      <c r="Q434" s="183"/>
      <c r="R434" s="184"/>
      <c r="S434" s="184"/>
      <c r="U434" s="62"/>
    </row>
    <row r="435" spans="1:21" x14ac:dyDescent="0.45">
      <c r="A435" s="181"/>
      <c r="B435" s="181"/>
      <c r="C435" s="181"/>
      <c r="D435" s="181"/>
      <c r="E435" s="181"/>
      <c r="F435" s="181"/>
      <c r="G435" s="182"/>
      <c r="H435" s="183"/>
      <c r="I435" s="182"/>
      <c r="J435" s="205"/>
      <c r="K435" s="184"/>
      <c r="L435" s="185"/>
      <c r="M435" s="184"/>
      <c r="N435" s="186"/>
      <c r="O435" s="183"/>
      <c r="P435" s="183"/>
      <c r="Q435" s="183"/>
      <c r="R435" s="184"/>
      <c r="S435" s="184"/>
      <c r="U435" s="62"/>
    </row>
    <row r="436" spans="1:21" x14ac:dyDescent="0.45">
      <c r="A436" s="181"/>
      <c r="B436" s="181"/>
      <c r="C436" s="181"/>
      <c r="D436" s="181"/>
      <c r="E436" s="181"/>
      <c r="F436" s="181"/>
      <c r="G436" s="182"/>
      <c r="H436" s="183"/>
      <c r="I436" s="182"/>
      <c r="J436" s="205"/>
      <c r="K436" s="184"/>
      <c r="L436" s="185"/>
      <c r="M436" s="184"/>
      <c r="N436" s="186"/>
      <c r="O436" s="183"/>
      <c r="P436" s="183"/>
      <c r="Q436" s="183"/>
      <c r="R436" s="184"/>
      <c r="S436" s="184"/>
      <c r="U436" s="62"/>
    </row>
    <row r="437" spans="1:21" x14ac:dyDescent="0.45">
      <c r="A437" s="181"/>
      <c r="B437" s="181"/>
      <c r="C437" s="181"/>
      <c r="D437" s="181"/>
      <c r="E437" s="181"/>
      <c r="F437" s="181"/>
      <c r="G437" s="182"/>
      <c r="H437" s="183"/>
      <c r="I437" s="182"/>
      <c r="J437" s="205"/>
      <c r="K437" s="184"/>
      <c r="L437" s="185"/>
      <c r="M437" s="184"/>
      <c r="N437" s="186"/>
      <c r="O437" s="183"/>
      <c r="P437" s="183"/>
      <c r="Q437" s="183"/>
      <c r="R437" s="184"/>
      <c r="S437" s="184"/>
      <c r="U437" s="62"/>
    </row>
    <row r="438" spans="1:21" x14ac:dyDescent="0.45">
      <c r="A438" s="181"/>
      <c r="B438" s="181"/>
      <c r="C438" s="181"/>
      <c r="D438" s="181"/>
      <c r="E438" s="181"/>
      <c r="F438" s="181"/>
      <c r="G438" s="182"/>
      <c r="H438" s="183"/>
      <c r="I438" s="182"/>
      <c r="J438" s="205"/>
      <c r="K438" s="184"/>
      <c r="L438" s="185"/>
      <c r="M438" s="184"/>
      <c r="N438" s="186"/>
      <c r="O438" s="183"/>
      <c r="P438" s="183"/>
      <c r="Q438" s="183"/>
      <c r="R438" s="184"/>
      <c r="S438" s="184"/>
      <c r="U438" s="62"/>
    </row>
    <row r="439" spans="1:21" x14ac:dyDescent="0.45">
      <c r="A439" s="181"/>
      <c r="B439" s="181"/>
      <c r="C439" s="181"/>
      <c r="D439" s="181"/>
      <c r="E439" s="181"/>
      <c r="F439" s="181"/>
      <c r="G439" s="182"/>
      <c r="H439" s="183"/>
      <c r="I439" s="182"/>
      <c r="J439" s="205"/>
      <c r="K439" s="184"/>
      <c r="L439" s="185"/>
      <c r="M439" s="184"/>
      <c r="N439" s="186"/>
      <c r="O439" s="183"/>
      <c r="P439" s="183"/>
      <c r="Q439" s="183"/>
      <c r="R439" s="184"/>
      <c r="S439" s="184"/>
      <c r="U439" s="62"/>
    </row>
    <row r="440" spans="1:21" x14ac:dyDescent="0.45">
      <c r="A440" s="181"/>
      <c r="B440" s="181"/>
      <c r="C440" s="181"/>
      <c r="D440" s="181"/>
      <c r="E440" s="181"/>
      <c r="F440" s="181"/>
      <c r="G440" s="182"/>
      <c r="H440" s="183"/>
      <c r="I440" s="182"/>
      <c r="J440" s="205"/>
      <c r="K440" s="184"/>
      <c r="L440" s="185"/>
      <c r="M440" s="184"/>
      <c r="N440" s="186"/>
      <c r="O440" s="183"/>
      <c r="P440" s="183"/>
      <c r="Q440" s="183"/>
      <c r="R440" s="184"/>
      <c r="S440" s="184"/>
      <c r="U440" s="62"/>
    </row>
    <row r="441" spans="1:21" x14ac:dyDescent="0.45">
      <c r="A441" s="181"/>
      <c r="B441" s="181"/>
      <c r="C441" s="181"/>
      <c r="D441" s="181"/>
      <c r="E441" s="181"/>
      <c r="F441" s="181"/>
      <c r="G441" s="182"/>
      <c r="H441" s="183"/>
      <c r="I441" s="182"/>
      <c r="J441" s="205"/>
      <c r="K441" s="184"/>
      <c r="L441" s="185"/>
      <c r="M441" s="184"/>
      <c r="N441" s="186"/>
      <c r="O441" s="183"/>
      <c r="P441" s="183"/>
      <c r="Q441" s="183"/>
      <c r="R441" s="184"/>
      <c r="S441" s="184"/>
      <c r="U441" s="62"/>
    </row>
    <row r="442" spans="1:21" x14ac:dyDescent="0.45">
      <c r="A442" s="181"/>
      <c r="B442" s="181"/>
      <c r="C442" s="181"/>
      <c r="D442" s="181"/>
      <c r="E442" s="181"/>
      <c r="F442" s="181"/>
      <c r="G442" s="182"/>
      <c r="H442" s="183"/>
      <c r="I442" s="182"/>
      <c r="J442" s="205"/>
      <c r="K442" s="184"/>
      <c r="L442" s="185"/>
      <c r="M442" s="184"/>
      <c r="N442" s="186"/>
      <c r="O442" s="183"/>
      <c r="P442" s="183"/>
      <c r="Q442" s="183"/>
      <c r="R442" s="184"/>
      <c r="S442" s="184"/>
      <c r="U442" s="62"/>
    </row>
    <row r="443" spans="1:21" x14ac:dyDescent="0.45">
      <c r="A443" s="181"/>
      <c r="B443" s="181"/>
      <c r="C443" s="181"/>
      <c r="D443" s="181"/>
      <c r="E443" s="181"/>
      <c r="F443" s="181"/>
      <c r="G443" s="182"/>
      <c r="H443" s="183"/>
      <c r="I443" s="182"/>
      <c r="J443" s="205"/>
      <c r="K443" s="184"/>
      <c r="L443" s="185"/>
      <c r="M443" s="184"/>
      <c r="N443" s="186"/>
      <c r="O443" s="183"/>
      <c r="P443" s="183"/>
      <c r="Q443" s="183"/>
      <c r="R443" s="184"/>
      <c r="S443" s="184"/>
      <c r="U443" s="62"/>
    </row>
    <row r="444" spans="1:21" x14ac:dyDescent="0.45">
      <c r="A444" s="181"/>
      <c r="B444" s="181"/>
      <c r="C444" s="181"/>
      <c r="D444" s="181"/>
      <c r="E444" s="181"/>
      <c r="F444" s="181"/>
      <c r="G444" s="182"/>
      <c r="H444" s="183"/>
      <c r="I444" s="182"/>
      <c r="J444" s="205"/>
      <c r="K444" s="184"/>
      <c r="L444" s="185"/>
      <c r="M444" s="184"/>
      <c r="N444" s="186"/>
      <c r="O444" s="183"/>
      <c r="P444" s="183"/>
      <c r="Q444" s="183"/>
      <c r="R444" s="184"/>
      <c r="S444" s="184"/>
      <c r="U444" s="62"/>
    </row>
    <row r="445" spans="1:21" x14ac:dyDescent="0.45">
      <c r="A445" s="181"/>
      <c r="B445" s="181"/>
      <c r="C445" s="181"/>
      <c r="D445" s="181"/>
      <c r="E445" s="181"/>
      <c r="F445" s="181"/>
      <c r="G445" s="182"/>
      <c r="H445" s="183"/>
      <c r="I445" s="182"/>
      <c r="J445" s="205"/>
      <c r="K445" s="184"/>
      <c r="L445" s="185"/>
      <c r="M445" s="184"/>
      <c r="N445" s="186"/>
      <c r="O445" s="183"/>
      <c r="P445" s="183"/>
      <c r="Q445" s="183"/>
      <c r="R445" s="184"/>
      <c r="S445" s="184"/>
      <c r="U445" s="62"/>
    </row>
    <row r="446" spans="1:21" x14ac:dyDescent="0.45">
      <c r="A446" s="181"/>
      <c r="B446" s="181"/>
      <c r="C446" s="181"/>
      <c r="D446" s="181"/>
      <c r="E446" s="181"/>
      <c r="F446" s="181"/>
      <c r="G446" s="182"/>
      <c r="H446" s="183"/>
      <c r="I446" s="182"/>
      <c r="J446" s="205"/>
      <c r="K446" s="184"/>
      <c r="L446" s="185"/>
      <c r="M446" s="184"/>
      <c r="N446" s="186"/>
      <c r="O446" s="183"/>
      <c r="P446" s="183"/>
      <c r="Q446" s="183"/>
      <c r="R446" s="184"/>
      <c r="S446" s="184"/>
      <c r="U446" s="62"/>
    </row>
    <row r="447" spans="1:21" x14ac:dyDescent="0.45">
      <c r="A447" s="181"/>
      <c r="B447" s="181"/>
      <c r="C447" s="181"/>
      <c r="D447" s="181"/>
      <c r="E447" s="181"/>
      <c r="F447" s="181"/>
      <c r="G447" s="182"/>
      <c r="H447" s="183"/>
      <c r="I447" s="182"/>
      <c r="J447" s="205"/>
      <c r="K447" s="184"/>
      <c r="L447" s="185"/>
      <c r="M447" s="184"/>
      <c r="N447" s="186"/>
      <c r="O447" s="183"/>
      <c r="P447" s="183"/>
      <c r="Q447" s="183"/>
      <c r="R447" s="184"/>
      <c r="S447" s="184"/>
      <c r="U447" s="62"/>
    </row>
    <row r="448" spans="1:21" x14ac:dyDescent="0.45">
      <c r="A448" s="181"/>
      <c r="B448" s="181"/>
      <c r="C448" s="181"/>
      <c r="D448" s="181"/>
      <c r="E448" s="181"/>
      <c r="F448" s="181"/>
      <c r="G448" s="182"/>
      <c r="H448" s="183"/>
      <c r="I448" s="182"/>
      <c r="J448" s="205"/>
      <c r="K448" s="184"/>
      <c r="L448" s="185"/>
      <c r="M448" s="184"/>
      <c r="N448" s="186"/>
      <c r="O448" s="183"/>
      <c r="P448" s="183"/>
      <c r="Q448" s="183"/>
      <c r="R448" s="184"/>
      <c r="S448" s="184"/>
      <c r="U448" s="62"/>
    </row>
    <row r="449" spans="1:21" x14ac:dyDescent="0.45">
      <c r="A449" s="181"/>
      <c r="B449" s="181"/>
      <c r="C449" s="181"/>
      <c r="D449" s="181"/>
      <c r="E449" s="181"/>
      <c r="F449" s="181"/>
      <c r="G449" s="182"/>
      <c r="H449" s="183"/>
      <c r="I449" s="182"/>
      <c r="J449" s="205"/>
      <c r="K449" s="184"/>
      <c r="L449" s="185"/>
      <c r="M449" s="184"/>
      <c r="N449" s="186"/>
      <c r="O449" s="183"/>
      <c r="P449" s="183"/>
      <c r="Q449" s="183"/>
      <c r="R449" s="184"/>
      <c r="S449" s="184"/>
      <c r="U449" s="62"/>
    </row>
    <row r="450" spans="1:21" x14ac:dyDescent="0.45">
      <c r="A450" s="181"/>
      <c r="B450" s="181"/>
      <c r="C450" s="181"/>
      <c r="D450" s="181"/>
      <c r="E450" s="181"/>
      <c r="F450" s="181"/>
      <c r="G450" s="182"/>
      <c r="H450" s="183"/>
      <c r="I450" s="182"/>
      <c r="J450" s="205"/>
      <c r="K450" s="184"/>
      <c r="L450" s="185"/>
      <c r="M450" s="184"/>
      <c r="N450" s="186"/>
      <c r="O450" s="183"/>
      <c r="P450" s="183"/>
      <c r="Q450" s="183"/>
      <c r="R450" s="184"/>
      <c r="S450" s="184"/>
      <c r="U450" s="62"/>
    </row>
    <row r="451" spans="1:21" x14ac:dyDescent="0.45">
      <c r="A451" s="181"/>
      <c r="B451" s="181"/>
      <c r="C451" s="181"/>
      <c r="D451" s="181"/>
      <c r="E451" s="181"/>
      <c r="F451" s="181"/>
      <c r="G451" s="182"/>
      <c r="H451" s="183"/>
      <c r="I451" s="182"/>
      <c r="J451" s="205"/>
      <c r="K451" s="184"/>
      <c r="L451" s="185"/>
      <c r="M451" s="184"/>
      <c r="N451" s="186"/>
      <c r="O451" s="183"/>
      <c r="P451" s="183"/>
      <c r="Q451" s="183"/>
      <c r="R451" s="184"/>
      <c r="S451" s="184"/>
      <c r="U451" s="62"/>
    </row>
    <row r="452" spans="1:21" x14ac:dyDescent="0.45">
      <c r="A452" s="181"/>
      <c r="B452" s="181"/>
      <c r="C452" s="181"/>
      <c r="D452" s="181"/>
      <c r="E452" s="181"/>
      <c r="F452" s="181"/>
      <c r="G452" s="182"/>
      <c r="H452" s="183"/>
      <c r="I452" s="182"/>
      <c r="J452" s="205"/>
      <c r="K452" s="184"/>
      <c r="L452" s="185"/>
      <c r="M452" s="184"/>
      <c r="N452" s="186"/>
      <c r="O452" s="183"/>
      <c r="P452" s="183"/>
      <c r="Q452" s="183"/>
      <c r="R452" s="184"/>
      <c r="S452" s="184"/>
      <c r="U452" s="62"/>
    </row>
    <row r="453" spans="1:21" x14ac:dyDescent="0.45">
      <c r="A453" s="181"/>
      <c r="B453" s="181"/>
      <c r="C453" s="181"/>
      <c r="D453" s="181"/>
      <c r="E453" s="181"/>
      <c r="F453" s="181"/>
      <c r="G453" s="182"/>
      <c r="H453" s="183"/>
      <c r="I453" s="182"/>
      <c r="J453" s="205"/>
      <c r="K453" s="184"/>
      <c r="L453" s="185"/>
      <c r="M453" s="184"/>
      <c r="N453" s="186"/>
      <c r="O453" s="183"/>
      <c r="P453" s="183"/>
      <c r="Q453" s="183"/>
      <c r="R453" s="184"/>
      <c r="S453" s="184"/>
      <c r="U453" s="62"/>
    </row>
    <row r="454" spans="1:21" x14ac:dyDescent="0.45">
      <c r="A454" s="181"/>
      <c r="B454" s="181"/>
      <c r="C454" s="181"/>
      <c r="D454" s="181"/>
      <c r="E454" s="181"/>
      <c r="F454" s="181"/>
      <c r="G454" s="182"/>
      <c r="H454" s="183"/>
      <c r="I454" s="182"/>
      <c r="J454" s="205"/>
      <c r="K454" s="184"/>
      <c r="L454" s="185"/>
      <c r="M454" s="184"/>
      <c r="N454" s="186"/>
      <c r="O454" s="183"/>
      <c r="P454" s="183"/>
      <c r="Q454" s="183"/>
      <c r="R454" s="184"/>
      <c r="S454" s="184"/>
      <c r="U454" s="62"/>
    </row>
    <row r="455" spans="1:21" x14ac:dyDescent="0.45">
      <c r="A455" s="181"/>
      <c r="B455" s="181"/>
      <c r="C455" s="181"/>
      <c r="D455" s="181"/>
      <c r="E455" s="181"/>
      <c r="F455" s="181"/>
      <c r="G455" s="182"/>
      <c r="H455" s="183"/>
      <c r="I455" s="182"/>
      <c r="J455" s="205"/>
      <c r="K455" s="184"/>
      <c r="L455" s="185"/>
      <c r="M455" s="184"/>
      <c r="N455" s="186"/>
      <c r="O455" s="183"/>
      <c r="P455" s="183"/>
      <c r="Q455" s="183"/>
      <c r="R455" s="184"/>
      <c r="S455" s="184"/>
      <c r="U455" s="62"/>
    </row>
    <row r="456" spans="1:21" x14ac:dyDescent="0.45">
      <c r="A456" s="181"/>
      <c r="B456" s="181"/>
      <c r="C456" s="181"/>
      <c r="D456" s="181"/>
      <c r="E456" s="181"/>
      <c r="F456" s="181"/>
      <c r="G456" s="182"/>
      <c r="H456" s="183"/>
      <c r="I456" s="182"/>
      <c r="J456" s="205"/>
      <c r="K456" s="184"/>
      <c r="L456" s="185"/>
      <c r="M456" s="184"/>
      <c r="N456" s="186"/>
      <c r="O456" s="183"/>
      <c r="P456" s="183"/>
      <c r="Q456" s="183"/>
      <c r="R456" s="184"/>
      <c r="S456" s="184"/>
      <c r="U456" s="62"/>
    </row>
    <row r="457" spans="1:21" x14ac:dyDescent="0.45">
      <c r="A457" s="181"/>
      <c r="B457" s="181"/>
      <c r="C457" s="181"/>
      <c r="D457" s="181"/>
      <c r="E457" s="181"/>
      <c r="F457" s="181"/>
      <c r="G457" s="182"/>
      <c r="H457" s="183"/>
      <c r="I457" s="182"/>
      <c r="J457" s="205"/>
      <c r="K457" s="184"/>
      <c r="L457" s="185"/>
      <c r="M457" s="184"/>
      <c r="N457" s="186"/>
      <c r="O457" s="183"/>
      <c r="P457" s="183"/>
      <c r="Q457" s="183"/>
      <c r="R457" s="184"/>
      <c r="S457" s="184"/>
      <c r="U457" s="62"/>
    </row>
    <row r="458" spans="1:21" x14ac:dyDescent="0.45">
      <c r="A458" s="181"/>
      <c r="B458" s="181"/>
      <c r="C458" s="181"/>
      <c r="D458" s="181"/>
      <c r="E458" s="181"/>
      <c r="F458" s="181"/>
      <c r="G458" s="182"/>
      <c r="H458" s="183"/>
      <c r="I458" s="182"/>
      <c r="J458" s="205"/>
      <c r="K458" s="184"/>
      <c r="L458" s="185"/>
      <c r="M458" s="184"/>
      <c r="N458" s="186"/>
      <c r="O458" s="183"/>
      <c r="P458" s="183"/>
      <c r="Q458" s="183"/>
      <c r="R458" s="184"/>
      <c r="S458" s="184"/>
      <c r="U458" s="62"/>
    </row>
    <row r="459" spans="1:21" x14ac:dyDescent="0.45">
      <c r="A459" s="181"/>
      <c r="B459" s="181"/>
      <c r="C459" s="181"/>
      <c r="D459" s="181"/>
      <c r="E459" s="181"/>
      <c r="F459" s="181"/>
      <c r="G459" s="182"/>
      <c r="H459" s="183"/>
      <c r="I459" s="182"/>
      <c r="J459" s="205"/>
      <c r="K459" s="184"/>
      <c r="L459" s="185"/>
      <c r="M459" s="184"/>
      <c r="N459" s="186"/>
      <c r="O459" s="183"/>
      <c r="P459" s="183"/>
      <c r="Q459" s="183"/>
      <c r="R459" s="184"/>
      <c r="S459" s="184"/>
      <c r="U459" s="62"/>
    </row>
    <row r="460" spans="1:21" x14ac:dyDescent="0.45">
      <c r="A460" s="181"/>
      <c r="B460" s="181"/>
      <c r="C460" s="181"/>
      <c r="D460" s="181"/>
      <c r="E460" s="181"/>
      <c r="F460" s="181"/>
      <c r="G460" s="182"/>
      <c r="H460" s="183"/>
      <c r="I460" s="182"/>
      <c r="J460" s="205"/>
      <c r="K460" s="184"/>
      <c r="L460" s="185"/>
      <c r="M460" s="184"/>
      <c r="N460" s="186"/>
      <c r="O460" s="183"/>
      <c r="P460" s="183"/>
      <c r="Q460" s="183"/>
      <c r="R460" s="184"/>
      <c r="S460" s="184"/>
      <c r="U460" s="62"/>
    </row>
    <row r="461" spans="1:21" x14ac:dyDescent="0.45">
      <c r="A461" s="181"/>
      <c r="B461" s="181"/>
      <c r="C461" s="181"/>
      <c r="D461" s="181"/>
      <c r="E461" s="181"/>
      <c r="F461" s="181"/>
      <c r="G461" s="182"/>
      <c r="H461" s="183"/>
      <c r="I461" s="182"/>
      <c r="J461" s="205"/>
      <c r="K461" s="184"/>
      <c r="L461" s="185"/>
      <c r="M461" s="184"/>
      <c r="N461" s="186"/>
      <c r="O461" s="183"/>
      <c r="P461" s="183"/>
      <c r="Q461" s="183"/>
      <c r="R461" s="184"/>
      <c r="S461" s="184"/>
      <c r="U461" s="62"/>
    </row>
    <row r="462" spans="1:21" x14ac:dyDescent="0.45">
      <c r="A462" s="181"/>
      <c r="B462" s="181"/>
      <c r="C462" s="181"/>
      <c r="D462" s="181"/>
      <c r="E462" s="181"/>
      <c r="F462" s="181"/>
      <c r="G462" s="182"/>
      <c r="H462" s="183"/>
      <c r="I462" s="182"/>
      <c r="J462" s="205"/>
      <c r="K462" s="184"/>
      <c r="L462" s="185"/>
      <c r="M462" s="184"/>
      <c r="N462" s="186"/>
      <c r="O462" s="183"/>
      <c r="P462" s="183"/>
      <c r="Q462" s="183"/>
      <c r="R462" s="184"/>
      <c r="S462" s="184"/>
      <c r="U462" s="62"/>
    </row>
    <row r="463" spans="1:21" x14ac:dyDescent="0.45">
      <c r="A463" s="181"/>
      <c r="B463" s="181"/>
      <c r="C463" s="181"/>
      <c r="D463" s="181"/>
      <c r="E463" s="181"/>
      <c r="F463" s="181"/>
      <c r="G463" s="182"/>
      <c r="H463" s="183"/>
      <c r="I463" s="182"/>
      <c r="J463" s="205"/>
      <c r="K463" s="184"/>
      <c r="L463" s="185"/>
      <c r="M463" s="184"/>
      <c r="N463" s="186"/>
      <c r="O463" s="183"/>
      <c r="P463" s="183"/>
      <c r="Q463" s="183"/>
      <c r="R463" s="184"/>
      <c r="S463" s="184"/>
      <c r="U463" s="62"/>
    </row>
    <row r="464" spans="1:21" x14ac:dyDescent="0.45">
      <c r="A464" s="181"/>
      <c r="B464" s="181"/>
      <c r="C464" s="181"/>
      <c r="D464" s="181"/>
      <c r="E464" s="181"/>
      <c r="F464" s="181"/>
      <c r="G464" s="182"/>
      <c r="H464" s="183"/>
      <c r="I464" s="182"/>
      <c r="J464" s="205"/>
      <c r="K464" s="184"/>
      <c r="L464" s="185"/>
      <c r="M464" s="184"/>
      <c r="N464" s="186"/>
      <c r="O464" s="183"/>
      <c r="P464" s="183"/>
      <c r="Q464" s="183"/>
      <c r="R464" s="184"/>
      <c r="S464" s="184"/>
      <c r="U464" s="62"/>
    </row>
    <row r="465" spans="1:21" x14ac:dyDescent="0.45">
      <c r="A465" s="181"/>
      <c r="B465" s="181"/>
      <c r="C465" s="181"/>
      <c r="D465" s="181"/>
      <c r="E465" s="181"/>
      <c r="F465" s="181"/>
      <c r="G465" s="182"/>
      <c r="H465" s="183"/>
      <c r="I465" s="182"/>
      <c r="J465" s="205"/>
      <c r="K465" s="184"/>
      <c r="L465" s="185"/>
      <c r="M465" s="184"/>
      <c r="N465" s="186"/>
      <c r="O465" s="183"/>
      <c r="P465" s="183"/>
      <c r="Q465" s="183"/>
      <c r="R465" s="184"/>
      <c r="S465" s="184"/>
      <c r="U465" s="62"/>
    </row>
    <row r="466" spans="1:21" x14ac:dyDescent="0.45">
      <c r="A466" s="181"/>
      <c r="B466" s="181"/>
      <c r="C466" s="181"/>
      <c r="D466" s="181"/>
      <c r="E466" s="181"/>
      <c r="F466" s="181"/>
      <c r="G466" s="182"/>
      <c r="H466" s="183"/>
      <c r="I466" s="182"/>
      <c r="J466" s="205"/>
      <c r="K466" s="184"/>
      <c r="L466" s="185"/>
      <c r="M466" s="184"/>
      <c r="N466" s="186"/>
      <c r="O466" s="183"/>
      <c r="P466" s="183"/>
      <c r="Q466" s="183"/>
      <c r="R466" s="184"/>
      <c r="S466" s="184"/>
      <c r="U466" s="62"/>
    </row>
    <row r="467" spans="1:21" x14ac:dyDescent="0.45">
      <c r="A467" s="181"/>
      <c r="B467" s="181"/>
      <c r="C467" s="181"/>
      <c r="D467" s="181"/>
      <c r="E467" s="181"/>
      <c r="F467" s="181"/>
      <c r="G467" s="182"/>
      <c r="H467" s="183"/>
      <c r="I467" s="182"/>
      <c r="J467" s="205"/>
      <c r="K467" s="184"/>
      <c r="L467" s="185"/>
      <c r="M467" s="184"/>
      <c r="N467" s="186"/>
      <c r="O467" s="183"/>
      <c r="P467" s="183"/>
      <c r="Q467" s="183"/>
      <c r="R467" s="184"/>
      <c r="S467" s="184"/>
      <c r="U467" s="62"/>
    </row>
    <row r="468" spans="1:21" x14ac:dyDescent="0.45">
      <c r="A468" s="181"/>
      <c r="B468" s="181"/>
      <c r="C468" s="181"/>
      <c r="D468" s="181"/>
      <c r="E468" s="181"/>
      <c r="F468" s="181"/>
      <c r="G468" s="182"/>
      <c r="H468" s="183"/>
      <c r="I468" s="182"/>
      <c r="J468" s="205"/>
      <c r="K468" s="184"/>
      <c r="L468" s="185"/>
      <c r="M468" s="184"/>
      <c r="N468" s="186"/>
      <c r="O468" s="183"/>
      <c r="P468" s="183"/>
      <c r="Q468" s="183"/>
      <c r="R468" s="184"/>
      <c r="S468" s="184"/>
      <c r="U468" s="62"/>
    </row>
    <row r="469" spans="1:21" x14ac:dyDescent="0.45">
      <c r="A469" s="181"/>
      <c r="B469" s="181"/>
      <c r="C469" s="181"/>
      <c r="D469" s="181"/>
      <c r="E469" s="181"/>
      <c r="F469" s="181"/>
      <c r="G469" s="182"/>
      <c r="H469" s="183"/>
      <c r="I469" s="182"/>
      <c r="J469" s="205"/>
      <c r="K469" s="184"/>
      <c r="L469" s="185"/>
      <c r="M469" s="184"/>
      <c r="N469" s="186"/>
      <c r="O469" s="183"/>
      <c r="P469" s="183"/>
      <c r="Q469" s="183"/>
      <c r="R469" s="184"/>
      <c r="S469" s="184"/>
      <c r="U469" s="62"/>
    </row>
    <row r="470" spans="1:21" x14ac:dyDescent="0.45">
      <c r="A470" s="181"/>
      <c r="B470" s="181"/>
      <c r="C470" s="181"/>
      <c r="D470" s="181"/>
      <c r="E470" s="181"/>
      <c r="F470" s="181"/>
      <c r="G470" s="182"/>
      <c r="H470" s="183"/>
      <c r="I470" s="182"/>
      <c r="J470" s="205"/>
      <c r="K470" s="184"/>
      <c r="L470" s="185"/>
      <c r="M470" s="184"/>
      <c r="N470" s="186"/>
      <c r="O470" s="183"/>
      <c r="P470" s="183"/>
      <c r="Q470" s="183"/>
      <c r="R470" s="184"/>
      <c r="S470" s="184"/>
      <c r="U470" s="62"/>
    </row>
    <row r="471" spans="1:21" x14ac:dyDescent="0.45">
      <c r="A471" s="181"/>
      <c r="B471" s="181"/>
      <c r="C471" s="181"/>
      <c r="D471" s="181"/>
      <c r="E471" s="181"/>
      <c r="F471" s="181"/>
      <c r="G471" s="182"/>
      <c r="H471" s="183"/>
      <c r="I471" s="182"/>
      <c r="J471" s="205"/>
      <c r="K471" s="184"/>
      <c r="L471" s="185"/>
      <c r="M471" s="184"/>
      <c r="N471" s="186"/>
      <c r="O471" s="183"/>
      <c r="P471" s="183"/>
      <c r="Q471" s="183"/>
      <c r="R471" s="184"/>
      <c r="S471" s="184"/>
      <c r="U471" s="62"/>
    </row>
    <row r="472" spans="1:21" x14ac:dyDescent="0.45">
      <c r="A472" s="181"/>
      <c r="B472" s="181"/>
      <c r="C472" s="181"/>
      <c r="D472" s="181"/>
      <c r="E472" s="181"/>
      <c r="F472" s="181"/>
      <c r="G472" s="182"/>
      <c r="H472" s="183"/>
      <c r="I472" s="182"/>
      <c r="J472" s="205"/>
      <c r="K472" s="184"/>
      <c r="L472" s="185"/>
      <c r="M472" s="184"/>
      <c r="N472" s="186"/>
      <c r="O472" s="183"/>
      <c r="P472" s="183"/>
      <c r="Q472" s="183"/>
      <c r="R472" s="184"/>
      <c r="S472" s="184"/>
      <c r="U472" s="62"/>
    </row>
    <row r="473" spans="1:21" x14ac:dyDescent="0.45">
      <c r="A473" s="181"/>
      <c r="B473" s="181"/>
      <c r="C473" s="181"/>
      <c r="D473" s="181"/>
      <c r="E473" s="181"/>
      <c r="F473" s="181"/>
      <c r="G473" s="182"/>
      <c r="H473" s="183"/>
      <c r="I473" s="182"/>
      <c r="J473" s="205"/>
      <c r="K473" s="184"/>
      <c r="L473" s="185"/>
      <c r="M473" s="184"/>
      <c r="N473" s="186"/>
      <c r="O473" s="183"/>
      <c r="P473" s="183"/>
      <c r="Q473" s="183"/>
      <c r="R473" s="184"/>
      <c r="S473" s="184"/>
      <c r="U473" s="62"/>
    </row>
    <row r="474" spans="1:21" x14ac:dyDescent="0.45">
      <c r="A474" s="181"/>
      <c r="B474" s="181"/>
      <c r="C474" s="181"/>
      <c r="D474" s="181"/>
      <c r="E474" s="181"/>
      <c r="F474" s="181"/>
      <c r="G474" s="182"/>
      <c r="H474" s="183"/>
      <c r="I474" s="182"/>
      <c r="J474" s="205"/>
      <c r="K474" s="184"/>
      <c r="L474" s="185"/>
      <c r="M474" s="184"/>
      <c r="N474" s="186"/>
      <c r="O474" s="183"/>
      <c r="P474" s="183"/>
      <c r="Q474" s="183"/>
      <c r="R474" s="184"/>
      <c r="S474" s="184"/>
      <c r="U474" s="62"/>
    </row>
    <row r="475" spans="1:21" x14ac:dyDescent="0.45">
      <c r="A475" s="181"/>
      <c r="B475" s="181"/>
      <c r="C475" s="181"/>
      <c r="D475" s="181"/>
      <c r="E475" s="181"/>
      <c r="F475" s="181"/>
      <c r="G475" s="182"/>
      <c r="H475" s="183"/>
      <c r="I475" s="182"/>
      <c r="J475" s="205"/>
      <c r="K475" s="184"/>
      <c r="L475" s="185"/>
      <c r="M475" s="184"/>
      <c r="N475" s="186"/>
      <c r="O475" s="183"/>
      <c r="P475" s="183"/>
      <c r="Q475" s="183"/>
      <c r="R475" s="184"/>
      <c r="S475" s="184"/>
      <c r="U475" s="62"/>
    </row>
    <row r="476" spans="1:21" x14ac:dyDescent="0.45">
      <c r="A476" s="181"/>
      <c r="B476" s="181"/>
      <c r="C476" s="181"/>
      <c r="D476" s="181"/>
      <c r="E476" s="181"/>
      <c r="F476" s="181"/>
      <c r="G476" s="182"/>
      <c r="H476" s="183"/>
      <c r="I476" s="182"/>
      <c r="J476" s="205"/>
      <c r="K476" s="184"/>
      <c r="L476" s="185"/>
      <c r="M476" s="184"/>
      <c r="N476" s="186"/>
      <c r="O476" s="183"/>
      <c r="P476" s="183"/>
      <c r="Q476" s="183"/>
      <c r="R476" s="184"/>
      <c r="S476" s="184"/>
      <c r="U476" s="62"/>
    </row>
    <row r="477" spans="1:21" x14ac:dyDescent="0.45">
      <c r="A477" s="181"/>
      <c r="B477" s="181"/>
      <c r="C477" s="181"/>
      <c r="D477" s="181"/>
      <c r="E477" s="181"/>
      <c r="F477" s="181"/>
      <c r="G477" s="182"/>
      <c r="H477" s="183"/>
      <c r="I477" s="182"/>
      <c r="J477" s="205"/>
      <c r="K477" s="184"/>
      <c r="L477" s="185"/>
      <c r="M477" s="184"/>
      <c r="N477" s="186"/>
      <c r="O477" s="183"/>
      <c r="P477" s="183"/>
      <c r="Q477" s="183"/>
      <c r="R477" s="184"/>
      <c r="S477" s="184"/>
      <c r="U477" s="62"/>
    </row>
    <row r="478" spans="1:21" x14ac:dyDescent="0.45">
      <c r="A478" s="181"/>
      <c r="B478" s="181"/>
      <c r="C478" s="181"/>
      <c r="D478" s="181"/>
      <c r="E478" s="181"/>
      <c r="F478" s="181"/>
      <c r="G478" s="182"/>
      <c r="H478" s="183"/>
      <c r="I478" s="182"/>
      <c r="J478" s="205"/>
      <c r="K478" s="184"/>
      <c r="L478" s="185"/>
      <c r="M478" s="184"/>
      <c r="N478" s="186"/>
      <c r="O478" s="183"/>
      <c r="P478" s="183"/>
      <c r="Q478" s="183"/>
      <c r="R478" s="184"/>
      <c r="S478" s="184"/>
      <c r="U478" s="62"/>
    </row>
    <row r="479" spans="1:21" x14ac:dyDescent="0.45">
      <c r="A479" s="181"/>
      <c r="B479" s="181"/>
      <c r="C479" s="181"/>
      <c r="D479" s="181"/>
      <c r="E479" s="181"/>
      <c r="F479" s="181"/>
      <c r="G479" s="182"/>
      <c r="H479" s="183"/>
      <c r="I479" s="182"/>
      <c r="J479" s="205"/>
      <c r="K479" s="184"/>
      <c r="L479" s="185"/>
      <c r="M479" s="184"/>
      <c r="N479" s="186"/>
      <c r="O479" s="183"/>
      <c r="P479" s="183"/>
      <c r="Q479" s="183"/>
      <c r="R479" s="184"/>
      <c r="S479" s="184"/>
      <c r="U479" s="62"/>
    </row>
    <row r="480" spans="1:21" x14ac:dyDescent="0.45">
      <c r="A480" s="181"/>
      <c r="B480" s="181"/>
      <c r="C480" s="181"/>
      <c r="D480" s="181"/>
      <c r="E480" s="181"/>
      <c r="F480" s="181"/>
      <c r="G480" s="182"/>
      <c r="H480" s="183"/>
      <c r="I480" s="182"/>
      <c r="J480" s="205"/>
      <c r="K480" s="184"/>
      <c r="L480" s="185"/>
      <c r="M480" s="184"/>
      <c r="N480" s="186"/>
      <c r="O480" s="183"/>
      <c r="P480" s="183"/>
      <c r="Q480" s="183"/>
      <c r="R480" s="184"/>
      <c r="S480" s="184"/>
      <c r="U480" s="62"/>
    </row>
    <row r="481" spans="1:21" x14ac:dyDescent="0.45">
      <c r="A481" s="181"/>
      <c r="B481" s="181"/>
      <c r="C481" s="181"/>
      <c r="D481" s="181"/>
      <c r="E481" s="181"/>
      <c r="F481" s="181"/>
      <c r="G481" s="182"/>
      <c r="H481" s="183"/>
      <c r="I481" s="182"/>
      <c r="J481" s="205"/>
      <c r="K481" s="184"/>
      <c r="L481" s="185"/>
      <c r="M481" s="184"/>
      <c r="N481" s="186"/>
      <c r="O481" s="183"/>
      <c r="P481" s="183"/>
      <c r="Q481" s="183"/>
      <c r="R481" s="184"/>
      <c r="S481" s="184"/>
      <c r="U481" s="62"/>
    </row>
    <row r="482" spans="1:21" x14ac:dyDescent="0.45">
      <c r="A482" s="181"/>
      <c r="B482" s="181"/>
      <c r="C482" s="181"/>
      <c r="D482" s="181"/>
      <c r="E482" s="181"/>
      <c r="F482" s="181"/>
      <c r="G482" s="182"/>
      <c r="H482" s="183"/>
      <c r="I482" s="182"/>
      <c r="J482" s="205"/>
      <c r="K482" s="184"/>
      <c r="L482" s="185"/>
      <c r="M482" s="184"/>
      <c r="N482" s="186"/>
      <c r="O482" s="183"/>
      <c r="P482" s="183"/>
      <c r="Q482" s="183"/>
      <c r="R482" s="184"/>
      <c r="S482" s="184"/>
      <c r="U482" s="62"/>
    </row>
    <row r="483" spans="1:21" x14ac:dyDescent="0.45">
      <c r="A483" s="181"/>
      <c r="B483" s="181"/>
      <c r="C483" s="181"/>
      <c r="D483" s="181"/>
      <c r="E483" s="181"/>
      <c r="F483" s="181"/>
      <c r="G483" s="182"/>
      <c r="H483" s="183"/>
      <c r="I483" s="182"/>
      <c r="J483" s="205"/>
      <c r="K483" s="184"/>
      <c r="L483" s="185"/>
      <c r="M483" s="184"/>
      <c r="N483" s="186"/>
      <c r="O483" s="183"/>
      <c r="P483" s="183"/>
      <c r="Q483" s="183"/>
      <c r="R483" s="184"/>
      <c r="S483" s="184"/>
      <c r="U483" s="62"/>
    </row>
    <row r="484" spans="1:21" x14ac:dyDescent="0.45">
      <c r="A484" s="181"/>
      <c r="B484" s="181"/>
      <c r="C484" s="181"/>
      <c r="D484" s="181"/>
      <c r="E484" s="181"/>
      <c r="F484" s="181"/>
      <c r="G484" s="182"/>
      <c r="H484" s="183"/>
      <c r="I484" s="182"/>
      <c r="J484" s="205"/>
      <c r="K484" s="184"/>
      <c r="L484" s="185"/>
      <c r="M484" s="184"/>
      <c r="N484" s="186"/>
      <c r="O484" s="183"/>
      <c r="P484" s="183"/>
      <c r="Q484" s="183"/>
      <c r="R484" s="184"/>
      <c r="S484" s="184"/>
      <c r="U484" s="62"/>
    </row>
    <row r="485" spans="1:21" x14ac:dyDescent="0.45">
      <c r="A485" s="181"/>
      <c r="B485" s="181"/>
      <c r="C485" s="181"/>
      <c r="D485" s="181"/>
      <c r="E485" s="181"/>
      <c r="F485" s="181"/>
      <c r="G485" s="182"/>
      <c r="H485" s="183"/>
      <c r="I485" s="182"/>
      <c r="J485" s="205"/>
      <c r="K485" s="184"/>
      <c r="L485" s="185"/>
      <c r="M485" s="184"/>
      <c r="N485" s="186"/>
      <c r="O485" s="183"/>
      <c r="P485" s="183"/>
      <c r="Q485" s="183"/>
      <c r="R485" s="184"/>
      <c r="S485" s="184"/>
      <c r="U485" s="62"/>
    </row>
    <row r="486" spans="1:21" x14ac:dyDescent="0.45">
      <c r="A486" s="181"/>
      <c r="B486" s="181"/>
      <c r="C486" s="181"/>
      <c r="D486" s="181"/>
      <c r="E486" s="181"/>
      <c r="F486" s="181"/>
      <c r="G486" s="182"/>
      <c r="H486" s="183"/>
      <c r="I486" s="182"/>
      <c r="J486" s="205"/>
      <c r="K486" s="184"/>
      <c r="L486" s="185"/>
      <c r="M486" s="184"/>
      <c r="N486" s="186"/>
      <c r="O486" s="183"/>
      <c r="P486" s="183"/>
      <c r="Q486" s="183"/>
      <c r="R486" s="184"/>
      <c r="S486" s="184"/>
      <c r="U486" s="62"/>
    </row>
    <row r="487" spans="1:21" x14ac:dyDescent="0.45">
      <c r="A487" s="181"/>
      <c r="B487" s="181"/>
      <c r="C487" s="181"/>
      <c r="D487" s="181"/>
      <c r="E487" s="181"/>
      <c r="F487" s="181"/>
      <c r="G487" s="182"/>
      <c r="H487" s="183"/>
      <c r="I487" s="182"/>
      <c r="J487" s="205"/>
      <c r="K487" s="184"/>
      <c r="L487" s="185"/>
      <c r="M487" s="184"/>
      <c r="N487" s="186"/>
      <c r="O487" s="183"/>
      <c r="P487" s="183"/>
      <c r="Q487" s="183"/>
      <c r="R487" s="184"/>
      <c r="S487" s="184"/>
      <c r="U487" s="62"/>
    </row>
    <row r="488" spans="1:21" x14ac:dyDescent="0.45">
      <c r="A488" s="181"/>
      <c r="B488" s="181"/>
      <c r="C488" s="181"/>
      <c r="D488" s="181"/>
      <c r="E488" s="181"/>
      <c r="F488" s="181"/>
      <c r="G488" s="182"/>
      <c r="H488" s="183"/>
      <c r="I488" s="182"/>
      <c r="J488" s="205"/>
      <c r="K488" s="184"/>
      <c r="L488" s="185"/>
      <c r="M488" s="184"/>
      <c r="N488" s="186"/>
      <c r="O488" s="183"/>
      <c r="P488" s="183"/>
      <c r="Q488" s="183"/>
      <c r="R488" s="184"/>
      <c r="S488" s="184"/>
      <c r="U488" s="62"/>
    </row>
    <row r="489" spans="1:21" x14ac:dyDescent="0.45">
      <c r="A489" s="181"/>
      <c r="B489" s="181"/>
      <c r="C489" s="181"/>
      <c r="D489" s="181"/>
      <c r="E489" s="181"/>
      <c r="F489" s="181"/>
      <c r="G489" s="182"/>
      <c r="H489" s="183"/>
      <c r="I489" s="182"/>
      <c r="J489" s="205"/>
      <c r="K489" s="184"/>
      <c r="L489" s="185"/>
      <c r="M489" s="184"/>
      <c r="N489" s="186"/>
      <c r="O489" s="183"/>
      <c r="P489" s="183"/>
      <c r="Q489" s="183"/>
      <c r="R489" s="184"/>
      <c r="S489" s="184"/>
      <c r="U489" s="62"/>
    </row>
    <row r="490" spans="1:21" x14ac:dyDescent="0.45">
      <c r="A490" s="181"/>
      <c r="B490" s="181"/>
      <c r="C490" s="181"/>
      <c r="D490" s="181"/>
      <c r="E490" s="181"/>
      <c r="F490" s="181"/>
      <c r="G490" s="182"/>
      <c r="H490" s="183"/>
      <c r="I490" s="182"/>
      <c r="J490" s="205"/>
      <c r="K490" s="184"/>
      <c r="L490" s="185"/>
      <c r="M490" s="184"/>
      <c r="N490" s="186"/>
      <c r="O490" s="183"/>
      <c r="P490" s="183"/>
      <c r="Q490" s="183"/>
      <c r="R490" s="184"/>
      <c r="S490" s="184"/>
      <c r="U490" s="62"/>
    </row>
    <row r="491" spans="1:21" x14ac:dyDescent="0.45">
      <c r="A491" s="181"/>
      <c r="B491" s="181"/>
      <c r="C491" s="181"/>
      <c r="D491" s="181"/>
      <c r="E491" s="181"/>
      <c r="F491" s="181"/>
      <c r="G491" s="182"/>
      <c r="H491" s="183"/>
      <c r="I491" s="182"/>
      <c r="J491" s="205"/>
      <c r="K491" s="184"/>
      <c r="L491" s="185"/>
      <c r="M491" s="184"/>
      <c r="N491" s="186"/>
      <c r="O491" s="183"/>
      <c r="P491" s="183"/>
      <c r="Q491" s="183"/>
      <c r="R491" s="184"/>
      <c r="S491" s="184"/>
      <c r="U491" s="62"/>
    </row>
    <row r="492" spans="1:21" x14ac:dyDescent="0.45">
      <c r="A492" s="181"/>
      <c r="B492" s="181"/>
      <c r="C492" s="181"/>
      <c r="D492" s="181"/>
      <c r="E492" s="181"/>
      <c r="F492" s="181"/>
      <c r="G492" s="182"/>
      <c r="H492" s="183"/>
      <c r="I492" s="182"/>
      <c r="J492" s="205"/>
      <c r="K492" s="184"/>
      <c r="L492" s="185"/>
      <c r="M492" s="184"/>
      <c r="N492" s="186"/>
      <c r="O492" s="183"/>
      <c r="P492" s="183"/>
      <c r="Q492" s="183"/>
      <c r="R492" s="184"/>
      <c r="S492" s="184"/>
      <c r="U492" s="62"/>
    </row>
    <row r="493" spans="1:21" x14ac:dyDescent="0.45">
      <c r="A493" s="181"/>
      <c r="B493" s="181"/>
      <c r="C493" s="181"/>
      <c r="D493" s="181"/>
      <c r="E493" s="181"/>
      <c r="F493" s="181"/>
      <c r="G493" s="182"/>
      <c r="H493" s="183"/>
      <c r="I493" s="182"/>
      <c r="J493" s="205"/>
      <c r="K493" s="184"/>
      <c r="L493" s="185"/>
      <c r="M493" s="184"/>
      <c r="N493" s="186"/>
      <c r="O493" s="183"/>
      <c r="P493" s="183"/>
      <c r="Q493" s="183"/>
      <c r="R493" s="184"/>
      <c r="S493" s="184"/>
      <c r="U493" s="62"/>
    </row>
    <row r="494" spans="1:21" x14ac:dyDescent="0.45">
      <c r="A494" s="181"/>
      <c r="B494" s="181"/>
      <c r="C494" s="181"/>
      <c r="D494" s="181"/>
      <c r="E494" s="181"/>
      <c r="F494" s="181"/>
      <c r="G494" s="182"/>
      <c r="H494" s="183"/>
      <c r="I494" s="182"/>
      <c r="J494" s="205"/>
      <c r="K494" s="184"/>
      <c r="L494" s="185"/>
      <c r="M494" s="184"/>
      <c r="N494" s="186"/>
      <c r="O494" s="183"/>
      <c r="P494" s="183"/>
      <c r="Q494" s="183"/>
      <c r="R494" s="184"/>
      <c r="S494" s="184"/>
      <c r="U494" s="62"/>
    </row>
    <row r="495" spans="1:21" x14ac:dyDescent="0.45">
      <c r="A495" s="181"/>
      <c r="B495" s="181"/>
      <c r="C495" s="181"/>
      <c r="D495" s="181"/>
      <c r="E495" s="181"/>
      <c r="F495" s="181"/>
      <c r="G495" s="182"/>
      <c r="H495" s="183"/>
      <c r="I495" s="182"/>
      <c r="J495" s="205"/>
      <c r="K495" s="184"/>
      <c r="L495" s="185"/>
      <c r="M495" s="184"/>
      <c r="N495" s="186"/>
      <c r="O495" s="183"/>
      <c r="P495" s="183"/>
      <c r="Q495" s="183"/>
      <c r="R495" s="184"/>
      <c r="S495" s="184"/>
      <c r="U495" s="62"/>
    </row>
    <row r="496" spans="1:21" x14ac:dyDescent="0.45">
      <c r="A496" s="181"/>
      <c r="B496" s="181"/>
      <c r="C496" s="181"/>
      <c r="D496" s="181"/>
      <c r="E496" s="181"/>
      <c r="F496" s="181"/>
      <c r="G496" s="182"/>
      <c r="H496" s="183"/>
      <c r="I496" s="182"/>
      <c r="J496" s="205"/>
      <c r="K496" s="184"/>
      <c r="L496" s="185"/>
      <c r="M496" s="184"/>
      <c r="N496" s="186"/>
      <c r="O496" s="183"/>
      <c r="P496" s="183"/>
      <c r="Q496" s="183"/>
      <c r="R496" s="184"/>
      <c r="S496" s="184"/>
      <c r="U496" s="62"/>
    </row>
    <row r="497" spans="1:21" x14ac:dyDescent="0.45">
      <c r="A497" s="181"/>
      <c r="B497" s="181"/>
      <c r="C497" s="181"/>
      <c r="D497" s="181"/>
      <c r="E497" s="181"/>
      <c r="F497" s="181"/>
      <c r="G497" s="182"/>
      <c r="H497" s="183"/>
      <c r="I497" s="182"/>
      <c r="J497" s="205"/>
      <c r="K497" s="184"/>
      <c r="L497" s="185"/>
      <c r="M497" s="184"/>
      <c r="N497" s="186"/>
      <c r="O497" s="183"/>
      <c r="P497" s="183"/>
      <c r="Q497" s="183"/>
      <c r="R497" s="184"/>
      <c r="S497" s="184"/>
      <c r="U497" s="62"/>
    </row>
    <row r="498" spans="1:21" x14ac:dyDescent="0.45">
      <c r="A498" s="181"/>
      <c r="B498" s="181"/>
      <c r="C498" s="181"/>
      <c r="D498" s="181"/>
      <c r="E498" s="181"/>
      <c r="F498" s="181"/>
      <c r="G498" s="182"/>
      <c r="H498" s="183"/>
      <c r="I498" s="182"/>
      <c r="J498" s="205"/>
      <c r="K498" s="184"/>
      <c r="L498" s="185"/>
      <c r="M498" s="184"/>
      <c r="N498" s="186"/>
      <c r="O498" s="183"/>
      <c r="P498" s="183"/>
      <c r="Q498" s="183"/>
      <c r="R498" s="184"/>
      <c r="S498" s="184"/>
      <c r="U498" s="62"/>
    </row>
    <row r="499" spans="1:21" x14ac:dyDescent="0.45">
      <c r="A499" s="181"/>
      <c r="B499" s="181"/>
      <c r="C499" s="181"/>
      <c r="D499" s="181"/>
      <c r="E499" s="181"/>
      <c r="F499" s="181"/>
      <c r="G499" s="182"/>
      <c r="H499" s="183"/>
      <c r="I499" s="182"/>
      <c r="J499" s="205"/>
      <c r="K499" s="184"/>
      <c r="L499" s="185"/>
      <c r="M499" s="184"/>
      <c r="N499" s="186"/>
      <c r="O499" s="183"/>
      <c r="P499" s="183"/>
      <c r="Q499" s="183"/>
      <c r="R499" s="184"/>
      <c r="S499" s="184"/>
      <c r="U499" s="62"/>
    </row>
    <row r="500" spans="1:21" x14ac:dyDescent="0.45">
      <c r="A500" s="181"/>
      <c r="B500" s="181"/>
      <c r="C500" s="181"/>
      <c r="D500" s="181"/>
      <c r="E500" s="181"/>
      <c r="F500" s="181"/>
      <c r="G500" s="182"/>
      <c r="H500" s="183"/>
      <c r="I500" s="182"/>
      <c r="J500" s="205"/>
      <c r="K500" s="184"/>
      <c r="L500" s="185"/>
      <c r="M500" s="184"/>
      <c r="N500" s="186"/>
      <c r="O500" s="183"/>
      <c r="P500" s="183"/>
      <c r="Q500" s="183"/>
      <c r="R500" s="184"/>
      <c r="S500" s="184"/>
      <c r="U500" s="62"/>
    </row>
    <row r="501" spans="1:21" x14ac:dyDescent="0.45">
      <c r="A501" s="181"/>
      <c r="B501" s="181"/>
      <c r="C501" s="181"/>
      <c r="D501" s="181"/>
      <c r="E501" s="181"/>
      <c r="F501" s="181"/>
      <c r="G501" s="182"/>
      <c r="H501" s="183"/>
      <c r="I501" s="182"/>
      <c r="J501" s="205"/>
      <c r="K501" s="184"/>
      <c r="L501" s="185"/>
      <c r="M501" s="184"/>
      <c r="N501" s="186"/>
      <c r="O501" s="183"/>
      <c r="P501" s="183"/>
      <c r="Q501" s="183"/>
      <c r="R501" s="184"/>
      <c r="S501" s="184"/>
      <c r="U501" s="62"/>
    </row>
    <row r="502" spans="1:21" x14ac:dyDescent="0.45">
      <c r="A502" s="181"/>
      <c r="B502" s="181"/>
      <c r="C502" s="181"/>
      <c r="D502" s="181"/>
      <c r="E502" s="181"/>
      <c r="F502" s="181"/>
      <c r="G502" s="182"/>
      <c r="H502" s="183"/>
      <c r="I502" s="182"/>
      <c r="J502" s="205"/>
      <c r="K502" s="184"/>
      <c r="L502" s="185"/>
      <c r="M502" s="184"/>
      <c r="N502" s="186"/>
      <c r="O502" s="183"/>
      <c r="P502" s="183"/>
      <c r="Q502" s="183"/>
      <c r="R502" s="184"/>
      <c r="S502" s="184"/>
      <c r="U502" s="62"/>
    </row>
    <row r="503" spans="1:21" x14ac:dyDescent="0.45">
      <c r="A503" s="181"/>
      <c r="B503" s="181"/>
      <c r="C503" s="181"/>
      <c r="D503" s="181"/>
      <c r="E503" s="181"/>
      <c r="F503" s="181"/>
      <c r="G503" s="182"/>
      <c r="H503" s="183"/>
      <c r="I503" s="182"/>
      <c r="J503" s="205"/>
      <c r="K503" s="184"/>
      <c r="L503" s="185"/>
      <c r="M503" s="184"/>
      <c r="N503" s="186"/>
      <c r="O503" s="183"/>
      <c r="P503" s="183"/>
      <c r="Q503" s="183"/>
      <c r="R503" s="184"/>
      <c r="S503" s="184"/>
      <c r="U503" s="62"/>
    </row>
    <row r="504" spans="1:21" x14ac:dyDescent="0.45">
      <c r="A504" s="181"/>
      <c r="B504" s="181"/>
      <c r="C504" s="181"/>
      <c r="D504" s="181"/>
      <c r="E504" s="181"/>
      <c r="F504" s="181"/>
      <c r="G504" s="182"/>
      <c r="H504" s="183"/>
      <c r="I504" s="182"/>
      <c r="J504" s="205"/>
      <c r="K504" s="184"/>
      <c r="L504" s="185"/>
      <c r="M504" s="184"/>
      <c r="N504" s="186"/>
      <c r="O504" s="183"/>
      <c r="P504" s="183"/>
      <c r="Q504" s="183"/>
      <c r="R504" s="184"/>
      <c r="S504" s="184"/>
      <c r="U504" s="62"/>
    </row>
    <row r="505" spans="1:21" x14ac:dyDescent="0.45">
      <c r="A505" s="181"/>
      <c r="B505" s="181"/>
      <c r="C505" s="181"/>
      <c r="D505" s="181"/>
      <c r="E505" s="181"/>
      <c r="F505" s="181"/>
      <c r="G505" s="182"/>
      <c r="H505" s="183"/>
      <c r="I505" s="182"/>
      <c r="J505" s="205"/>
      <c r="K505" s="184"/>
      <c r="L505" s="185"/>
      <c r="M505" s="184"/>
      <c r="N505" s="186"/>
      <c r="O505" s="183"/>
      <c r="P505" s="183"/>
      <c r="Q505" s="183"/>
      <c r="R505" s="184"/>
      <c r="S505" s="184"/>
      <c r="U505" s="62"/>
    </row>
    <row r="506" spans="1:21" x14ac:dyDescent="0.45">
      <c r="A506" s="181"/>
      <c r="B506" s="181"/>
      <c r="C506" s="181"/>
      <c r="D506" s="181"/>
      <c r="E506" s="181"/>
      <c r="F506" s="181"/>
      <c r="G506" s="182"/>
      <c r="H506" s="183"/>
      <c r="I506" s="182"/>
      <c r="J506" s="205"/>
      <c r="K506" s="184"/>
      <c r="L506" s="185"/>
      <c r="M506" s="184"/>
      <c r="N506" s="186"/>
      <c r="O506" s="183"/>
      <c r="P506" s="183"/>
      <c r="Q506" s="183"/>
      <c r="R506" s="184"/>
      <c r="S506" s="184"/>
      <c r="U506" s="62"/>
    </row>
    <row r="507" spans="1:21" x14ac:dyDescent="0.45">
      <c r="A507" s="181"/>
      <c r="B507" s="181"/>
      <c r="C507" s="181"/>
      <c r="D507" s="181"/>
      <c r="E507" s="181"/>
      <c r="F507" s="181"/>
      <c r="G507" s="182"/>
      <c r="H507" s="183"/>
      <c r="I507" s="182"/>
      <c r="J507" s="205"/>
      <c r="K507" s="184"/>
      <c r="L507" s="185"/>
      <c r="M507" s="184"/>
      <c r="N507" s="186"/>
      <c r="O507" s="183"/>
      <c r="P507" s="183"/>
      <c r="Q507" s="183"/>
      <c r="R507" s="184"/>
      <c r="S507" s="184"/>
      <c r="U507" s="62"/>
    </row>
    <row r="508" spans="1:21" x14ac:dyDescent="0.45">
      <c r="J508" s="15"/>
    </row>
  </sheetData>
  <sheetProtection selectLockedCells="1"/>
  <mergeCells count="1">
    <mergeCell ref="A1:T1"/>
  </mergeCells>
  <conditionalFormatting sqref="A7:T507">
    <cfRule type="expression" dxfId="5" priority="1">
      <formula>$S7="Validé"</formula>
    </cfRule>
    <cfRule type="expression" dxfId="4" priority="3">
      <formula>$S7="Refusé"</formula>
    </cfRule>
    <cfRule type="expression" dxfId="3" priority="4">
      <formula>MOD(ROW(),2)=0</formula>
    </cfRule>
  </conditionalFormatting>
  <printOptions horizontalCentered="1"/>
  <pageMargins left="0.39370078740157477" right="0.39370078740157477" top="0.98425196850393704" bottom="0.39370078740157477" header="0.39370078740157477" footer="0.3"/>
  <pageSetup paperSize="9" scale="43" fitToHeight="0" orientation="landscape" horizontalDpi="0" verticalDpi="0" r:id="rId1"/>
  <headerFooter>
    <oddHeader>&amp;CRAPPORT TMA&amp;RMO : TOUS</oddHeader>
    <oddFooter>&amp;CDocument généré le 21/04/2026&amp;RPage &amp;P /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536C2B-EA64-4F12-944D-2C80D789B6A0}">
          <x14:formula1>
            <xm:f>REF_LOTS!A2:A100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7861E-815B-4C8A-89A1-AA89C09BD140}">
  <sheetPr codeName="Feuil13">
    <tabColor theme="9" tint="0.79998168889431442"/>
    <pageSetUpPr fitToPage="1"/>
  </sheetPr>
  <dimension ref="A1:U507"/>
  <sheetViews>
    <sheetView workbookViewId="0">
      <selection activeCell="B3" sqref="B3"/>
    </sheetView>
  </sheetViews>
  <sheetFormatPr baseColWidth="10" defaultRowHeight="14.25" x14ac:dyDescent="0.45"/>
  <cols>
    <col min="1" max="1" width="11.86328125" style="5" customWidth="1"/>
    <col min="2" max="2" width="17.73046875" style="5" customWidth="1"/>
    <col min="3" max="3" width="10.6640625" style="5"/>
    <col min="4" max="4" width="32.796875" style="5" customWidth="1"/>
    <col min="5" max="5" width="19.33203125" style="5" customWidth="1"/>
    <col min="6" max="6" width="56.53125" style="5" customWidth="1"/>
    <col min="7" max="7" width="15.19921875" style="28" customWidth="1"/>
    <col min="8" max="8" width="15.46484375" style="5" customWidth="1"/>
    <col min="9" max="9" width="14" style="5" customWidth="1"/>
    <col min="10" max="10" width="10.6640625" style="5"/>
    <col min="11" max="11" width="13.59765625" style="5" customWidth="1"/>
    <col min="12" max="12" width="30.1328125" style="5" customWidth="1"/>
    <col min="13" max="21" width="10.6640625" style="5" hidden="1" customWidth="1"/>
    <col min="22" max="26" width="10.6640625" style="5" customWidth="1"/>
    <col min="27" max="16384" width="10.6640625" style="5"/>
  </cols>
  <sheetData>
    <row r="1" spans="1:21" ht="44.25" customHeight="1" thickBot="1" x14ac:dyDescent="0.5">
      <c r="A1" s="453" t="s">
        <v>154</v>
      </c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63"/>
    </row>
    <row r="3" spans="1:21" x14ac:dyDescent="0.45">
      <c r="A3" s="10" t="s">
        <v>118</v>
      </c>
      <c r="B3" s="38" t="s">
        <v>111</v>
      </c>
      <c r="C3" s="11" t="s">
        <v>69</v>
      </c>
      <c r="D3" s="12">
        <f ca="1">TODAY()</f>
        <v>46133</v>
      </c>
    </row>
    <row r="4" spans="1:21" ht="28.5" x14ac:dyDescent="0.45">
      <c r="A4" s="10" t="s">
        <v>113</v>
      </c>
      <c r="B4" s="31" t="str">
        <f>Suivi_TMA!C5</f>
        <v>Résidence LES JOLIETTES</v>
      </c>
      <c r="C4" s="11" t="s">
        <v>72</v>
      </c>
      <c r="D4" s="10" t="str">
        <f>Suivi_TMA!C7</f>
        <v>CIBOURE (64500)</v>
      </c>
    </row>
    <row r="5" spans="1:21" ht="14.65" thickBot="1" x14ac:dyDescent="0.5"/>
    <row r="6" spans="1:21" s="15" customFormat="1" ht="47.65" thickBot="1" x14ac:dyDescent="0.5">
      <c r="A6" s="339" t="s">
        <v>0</v>
      </c>
      <c r="B6" s="338" t="s">
        <v>92</v>
      </c>
      <c r="C6" s="338" t="s">
        <v>93</v>
      </c>
      <c r="D6" s="338" t="s">
        <v>120</v>
      </c>
      <c r="E6" s="338" t="s">
        <v>95</v>
      </c>
      <c r="F6" s="338" t="s">
        <v>96</v>
      </c>
      <c r="G6" s="290" t="s">
        <v>121</v>
      </c>
      <c r="H6" s="290" t="s">
        <v>98</v>
      </c>
      <c r="I6" s="290" t="s">
        <v>100</v>
      </c>
      <c r="J6" s="338" t="s">
        <v>91</v>
      </c>
      <c r="K6" s="338" t="s">
        <v>134</v>
      </c>
      <c r="L6" s="340" t="s">
        <v>272</v>
      </c>
      <c r="M6" s="351"/>
      <c r="N6" s="29"/>
      <c r="O6" s="26"/>
      <c r="P6" s="26"/>
      <c r="Q6" s="26"/>
      <c r="R6" s="25"/>
      <c r="S6" s="27"/>
      <c r="T6" s="14"/>
    </row>
    <row r="7" spans="1:21" ht="24" customHeight="1" x14ac:dyDescent="0.45">
      <c r="A7" s="284">
        <v>1</v>
      </c>
      <c r="B7" s="247" t="s">
        <v>13</v>
      </c>
      <c r="C7" s="247" t="s">
        <v>25</v>
      </c>
      <c r="D7" s="247" t="s">
        <v>206</v>
      </c>
      <c r="E7" s="247" t="s">
        <v>14</v>
      </c>
      <c r="F7" s="247" t="s">
        <v>207</v>
      </c>
      <c r="G7" s="280">
        <v>45708</v>
      </c>
      <c r="H7" s="243">
        <v>45709</v>
      </c>
      <c r="I7" s="280" t="s">
        <v>109</v>
      </c>
      <c r="J7" s="244" t="s">
        <v>20</v>
      </c>
      <c r="K7" s="244"/>
      <c r="L7" s="353"/>
      <c r="M7" s="352"/>
      <c r="N7" s="59"/>
      <c r="O7" s="60"/>
      <c r="P7" s="60"/>
      <c r="Q7" s="60"/>
      <c r="R7" s="58"/>
      <c r="S7" s="56"/>
      <c r="T7" s="61"/>
      <c r="U7" s="62"/>
    </row>
    <row r="8" spans="1:21" ht="24" customHeight="1" x14ac:dyDescent="0.45">
      <c r="A8" s="284">
        <v>2</v>
      </c>
      <c r="B8" s="247" t="s">
        <v>22</v>
      </c>
      <c r="C8" s="247" t="s">
        <v>27</v>
      </c>
      <c r="D8" s="247" t="s">
        <v>210</v>
      </c>
      <c r="E8" s="247" t="s">
        <v>19</v>
      </c>
      <c r="F8" s="247" t="s">
        <v>211</v>
      </c>
      <c r="G8" s="280">
        <v>45713</v>
      </c>
      <c r="H8" s="243">
        <v>45715</v>
      </c>
      <c r="I8" s="280" t="s">
        <v>163</v>
      </c>
      <c r="J8" s="244" t="s">
        <v>16</v>
      </c>
      <c r="K8" s="244" t="s">
        <v>202</v>
      </c>
      <c r="L8" s="353"/>
      <c r="M8" s="352"/>
      <c r="N8" s="59"/>
      <c r="O8" s="60"/>
      <c r="P8" s="60"/>
      <c r="Q8" s="60"/>
      <c r="R8" s="58"/>
      <c r="S8" s="56"/>
      <c r="T8" s="61"/>
      <c r="U8" s="62"/>
    </row>
    <row r="9" spans="1:21" ht="24" customHeight="1" x14ac:dyDescent="0.45">
      <c r="A9" s="284">
        <v>3</v>
      </c>
      <c r="B9" s="247" t="s">
        <v>22</v>
      </c>
      <c r="C9" s="247" t="s">
        <v>27</v>
      </c>
      <c r="D9" s="247" t="s">
        <v>210</v>
      </c>
      <c r="E9" s="247" t="s">
        <v>217</v>
      </c>
      <c r="F9" s="247" t="s">
        <v>218</v>
      </c>
      <c r="G9" s="280">
        <v>45713</v>
      </c>
      <c r="H9" s="243">
        <v>45715</v>
      </c>
      <c r="I9" s="280" t="s">
        <v>109</v>
      </c>
      <c r="J9" s="244" t="s">
        <v>133</v>
      </c>
      <c r="K9" s="244"/>
      <c r="L9" s="353"/>
      <c r="M9" s="352"/>
      <c r="N9" s="59"/>
      <c r="O9" s="60"/>
      <c r="P9" s="60"/>
      <c r="Q9" s="60"/>
      <c r="R9" s="58"/>
      <c r="S9" s="56"/>
      <c r="T9" s="61"/>
      <c r="U9" s="62"/>
    </row>
    <row r="10" spans="1:21" ht="24" customHeight="1" x14ac:dyDescent="0.45">
      <c r="A10" s="284">
        <v>4</v>
      </c>
      <c r="B10" s="247" t="s">
        <v>22</v>
      </c>
      <c r="C10" s="247" t="s">
        <v>27</v>
      </c>
      <c r="D10" s="247" t="s">
        <v>210</v>
      </c>
      <c r="E10" s="247" t="s">
        <v>54</v>
      </c>
      <c r="F10" s="247" t="s">
        <v>246</v>
      </c>
      <c r="G10" s="280">
        <v>45713</v>
      </c>
      <c r="H10" s="243">
        <v>45715</v>
      </c>
      <c r="I10" s="280" t="s">
        <v>109</v>
      </c>
      <c r="J10" s="244" t="s">
        <v>133</v>
      </c>
      <c r="K10" s="244"/>
      <c r="L10" s="353"/>
      <c r="M10" s="352"/>
      <c r="N10" s="59"/>
      <c r="O10" s="60"/>
      <c r="P10" s="60"/>
      <c r="Q10" s="60"/>
      <c r="R10" s="58"/>
      <c r="S10" s="56"/>
      <c r="T10" s="61"/>
      <c r="U10" s="62"/>
    </row>
    <row r="11" spans="1:21" ht="24" customHeight="1" x14ac:dyDescent="0.45">
      <c r="A11" s="284">
        <v>5</v>
      </c>
      <c r="B11" s="247" t="s">
        <v>22</v>
      </c>
      <c r="C11" s="247" t="s">
        <v>27</v>
      </c>
      <c r="D11" s="247" t="s">
        <v>210</v>
      </c>
      <c r="E11" s="247" t="s">
        <v>217</v>
      </c>
      <c r="F11" s="247" t="s">
        <v>250</v>
      </c>
      <c r="G11" s="280">
        <v>45713</v>
      </c>
      <c r="H11" s="243">
        <v>45715</v>
      </c>
      <c r="I11" s="280" t="s">
        <v>108</v>
      </c>
      <c r="J11" s="244" t="s">
        <v>16</v>
      </c>
      <c r="K11" s="244" t="s">
        <v>197</v>
      </c>
      <c r="L11" s="353"/>
      <c r="M11" s="352"/>
      <c r="N11" s="59"/>
      <c r="O11" s="60"/>
      <c r="P11" s="60"/>
      <c r="Q11" s="60"/>
      <c r="R11" s="58"/>
      <c r="S11" s="56"/>
      <c r="T11" s="61"/>
      <c r="U11" s="62"/>
    </row>
    <row r="12" spans="1:21" ht="24" customHeight="1" x14ac:dyDescent="0.45">
      <c r="A12" s="284">
        <v>6</v>
      </c>
      <c r="B12" s="247" t="s">
        <v>119</v>
      </c>
      <c r="C12" s="247" t="s">
        <v>26</v>
      </c>
      <c r="D12" s="247" t="s">
        <v>252</v>
      </c>
      <c r="E12" s="247" t="s">
        <v>53</v>
      </c>
      <c r="F12" s="247" t="s">
        <v>253</v>
      </c>
      <c r="G12" s="280">
        <v>45710</v>
      </c>
      <c r="H12" s="243">
        <v>45715</v>
      </c>
      <c r="I12" s="280" t="s">
        <v>109</v>
      </c>
      <c r="J12" s="244" t="s">
        <v>133</v>
      </c>
      <c r="K12" s="244"/>
      <c r="L12" s="353"/>
      <c r="M12" s="352"/>
      <c r="N12" s="59"/>
      <c r="O12" s="60"/>
      <c r="P12" s="60"/>
      <c r="Q12" s="60"/>
      <c r="R12" s="58"/>
      <c r="S12" s="56"/>
      <c r="T12" s="61"/>
      <c r="U12" s="62"/>
    </row>
    <row r="13" spans="1:21" ht="28.5" x14ac:dyDescent="0.45">
      <c r="A13" s="284">
        <v>7</v>
      </c>
      <c r="B13" s="247" t="s">
        <v>255</v>
      </c>
      <c r="C13" s="247" t="s">
        <v>25</v>
      </c>
      <c r="D13" s="247" t="s">
        <v>256</v>
      </c>
      <c r="E13" s="247" t="s">
        <v>217</v>
      </c>
      <c r="F13" s="247" t="s">
        <v>257</v>
      </c>
      <c r="G13" s="280">
        <v>45771</v>
      </c>
      <c r="H13" s="243">
        <v>45772</v>
      </c>
      <c r="I13" s="280" t="s">
        <v>108</v>
      </c>
      <c r="J13" s="244" t="s">
        <v>114</v>
      </c>
      <c r="K13" s="244"/>
      <c r="L13" s="353" t="s">
        <v>259</v>
      </c>
      <c r="M13" s="352"/>
      <c r="N13" s="59"/>
      <c r="O13" s="60"/>
      <c r="P13" s="60"/>
      <c r="Q13" s="60"/>
      <c r="R13" s="58"/>
      <c r="S13" s="56"/>
      <c r="T13" s="61"/>
      <c r="U13" s="62"/>
    </row>
    <row r="14" spans="1:21" ht="28.5" x14ac:dyDescent="0.45">
      <c r="A14" s="284">
        <v>8</v>
      </c>
      <c r="B14" s="247" t="s">
        <v>260</v>
      </c>
      <c r="C14" s="247" t="s">
        <v>26</v>
      </c>
      <c r="D14" s="247" t="s">
        <v>261</v>
      </c>
      <c r="E14" s="247" t="s">
        <v>217</v>
      </c>
      <c r="F14" s="247" t="s">
        <v>262</v>
      </c>
      <c r="G14" s="280">
        <v>45896</v>
      </c>
      <c r="H14" s="243">
        <v>45896</v>
      </c>
      <c r="I14" s="280" t="s">
        <v>109</v>
      </c>
      <c r="J14" s="244" t="s">
        <v>20</v>
      </c>
      <c r="K14" s="244"/>
      <c r="L14" s="353"/>
      <c r="M14" s="352"/>
      <c r="N14" s="59"/>
      <c r="O14" s="60"/>
      <c r="P14" s="60"/>
      <c r="Q14" s="60"/>
      <c r="R14" s="58"/>
      <c r="S14" s="56"/>
      <c r="T14" s="61"/>
      <c r="U14" s="62"/>
    </row>
    <row r="15" spans="1:21" ht="24" customHeight="1" x14ac:dyDescent="0.45">
      <c r="A15" s="284">
        <v>9</v>
      </c>
      <c r="B15" s="247" t="s">
        <v>263</v>
      </c>
      <c r="C15" s="247" t="s">
        <v>27</v>
      </c>
      <c r="D15" s="247" t="s">
        <v>264</v>
      </c>
      <c r="E15" s="247" t="s">
        <v>54</v>
      </c>
      <c r="F15" s="247" t="s">
        <v>246</v>
      </c>
      <c r="G15" s="280">
        <v>45744</v>
      </c>
      <c r="H15" s="243">
        <v>45745</v>
      </c>
      <c r="I15" s="280" t="s">
        <v>163</v>
      </c>
      <c r="J15" s="244" t="s">
        <v>16</v>
      </c>
      <c r="K15" s="244" t="s">
        <v>199</v>
      </c>
      <c r="L15" s="353"/>
      <c r="M15" s="352"/>
      <c r="N15" s="59"/>
      <c r="O15" s="60"/>
      <c r="P15" s="60"/>
      <c r="Q15" s="60"/>
      <c r="R15" s="58"/>
      <c r="S15" s="56"/>
      <c r="T15" s="61"/>
      <c r="U15" s="62"/>
    </row>
    <row r="16" spans="1:21" ht="24" customHeight="1" x14ac:dyDescent="0.45">
      <c r="A16" s="284">
        <v>10</v>
      </c>
      <c r="B16" s="247" t="s">
        <v>263</v>
      </c>
      <c r="C16" s="247" t="s">
        <v>27</v>
      </c>
      <c r="D16" s="247" t="s">
        <v>264</v>
      </c>
      <c r="E16" s="247" t="s">
        <v>265</v>
      </c>
      <c r="F16" s="247" t="s">
        <v>266</v>
      </c>
      <c r="G16" s="280">
        <v>45744</v>
      </c>
      <c r="H16" s="243">
        <v>45745</v>
      </c>
      <c r="I16" s="280" t="s">
        <v>109</v>
      </c>
      <c r="J16" s="244" t="s">
        <v>133</v>
      </c>
      <c r="K16" s="244"/>
      <c r="L16" s="353"/>
      <c r="M16" s="352"/>
      <c r="N16" s="59"/>
      <c r="O16" s="60"/>
      <c r="P16" s="60"/>
      <c r="Q16" s="60"/>
      <c r="R16" s="58"/>
      <c r="S16" s="56"/>
      <c r="T16" s="61"/>
      <c r="U16" s="62"/>
    </row>
    <row r="17" spans="1:21" ht="28.5" x14ac:dyDescent="0.45">
      <c r="A17" s="284">
        <v>11</v>
      </c>
      <c r="B17" s="247" t="s">
        <v>24</v>
      </c>
      <c r="C17" s="247" t="s">
        <v>25</v>
      </c>
      <c r="D17" s="247" t="s">
        <v>268</v>
      </c>
      <c r="E17" s="247" t="s">
        <v>217</v>
      </c>
      <c r="F17" s="247" t="s">
        <v>269</v>
      </c>
      <c r="G17" s="280">
        <v>45956</v>
      </c>
      <c r="H17" s="243">
        <v>45956</v>
      </c>
      <c r="I17" s="280" t="s">
        <v>109</v>
      </c>
      <c r="J17" s="244" t="s">
        <v>133</v>
      </c>
      <c r="K17" s="244"/>
      <c r="L17" s="353"/>
      <c r="M17" s="352"/>
      <c r="N17" s="59"/>
      <c r="O17" s="60"/>
      <c r="P17" s="60"/>
      <c r="Q17" s="60"/>
      <c r="R17" s="58"/>
      <c r="S17" s="56"/>
      <c r="T17" s="61"/>
      <c r="U17" s="62"/>
    </row>
    <row r="18" spans="1:21" ht="24" customHeight="1" thickBot="1" x14ac:dyDescent="0.5">
      <c r="A18" s="350">
        <v>12</v>
      </c>
      <c r="B18" s="346" t="s">
        <v>18</v>
      </c>
      <c r="C18" s="346" t="s">
        <v>26</v>
      </c>
      <c r="D18" s="346" t="s">
        <v>273</v>
      </c>
      <c r="E18" s="346" t="s">
        <v>217</v>
      </c>
      <c r="F18" s="346" t="s">
        <v>279</v>
      </c>
      <c r="G18" s="347">
        <v>45956</v>
      </c>
      <c r="H18" s="348">
        <v>45957</v>
      </c>
      <c r="I18" s="347" t="s">
        <v>109</v>
      </c>
      <c r="J18" s="349" t="s">
        <v>20</v>
      </c>
      <c r="K18" s="349"/>
      <c r="L18" s="354"/>
      <c r="M18" s="352"/>
      <c r="N18" s="59"/>
      <c r="O18" s="60"/>
      <c r="P18" s="60"/>
      <c r="Q18" s="60"/>
      <c r="R18" s="58"/>
      <c r="S18" s="56"/>
      <c r="T18" s="61"/>
      <c r="U18" s="62"/>
    </row>
    <row r="19" spans="1:21" x14ac:dyDescent="0.45">
      <c r="A19" s="192"/>
      <c r="B19" s="193"/>
      <c r="C19" s="193"/>
      <c r="D19" s="193"/>
      <c r="E19" s="193"/>
      <c r="F19" s="193"/>
      <c r="G19" s="194"/>
      <c r="H19" s="107"/>
      <c r="I19" s="194"/>
      <c r="J19" s="108"/>
      <c r="K19" s="108"/>
      <c r="L19" s="283"/>
      <c r="M19" s="58"/>
      <c r="N19" s="59"/>
      <c r="O19" s="60"/>
      <c r="P19" s="60"/>
      <c r="Q19" s="60"/>
      <c r="R19" s="58"/>
      <c r="S19" s="56"/>
      <c r="T19" s="61"/>
      <c r="U19" s="62"/>
    </row>
    <row r="20" spans="1:21" x14ac:dyDescent="0.45">
      <c r="A20" s="52"/>
      <c r="B20" s="63"/>
      <c r="C20" s="63"/>
      <c r="D20" s="63"/>
      <c r="E20" s="63"/>
      <c r="F20" s="63"/>
      <c r="G20" s="64"/>
      <c r="H20" s="60"/>
      <c r="I20" s="64"/>
      <c r="J20" s="58"/>
      <c r="K20" s="58"/>
      <c r="L20" s="57"/>
      <c r="M20" s="58"/>
      <c r="N20" s="59"/>
      <c r="O20" s="60"/>
      <c r="P20" s="60"/>
      <c r="Q20" s="60"/>
      <c r="R20" s="58"/>
      <c r="S20" s="56"/>
      <c r="T20" s="61"/>
      <c r="U20" s="62"/>
    </row>
    <row r="21" spans="1:21" x14ac:dyDescent="0.45">
      <c r="A21" s="52"/>
      <c r="B21" s="63"/>
      <c r="C21" s="63"/>
      <c r="D21" s="63"/>
      <c r="E21" s="63"/>
      <c r="F21" s="63"/>
      <c r="G21" s="64"/>
      <c r="H21" s="60"/>
      <c r="I21" s="64"/>
      <c r="J21" s="58"/>
      <c r="K21" s="58"/>
      <c r="L21" s="57"/>
      <c r="M21" s="58"/>
      <c r="N21" s="59"/>
      <c r="O21" s="60"/>
      <c r="P21" s="60"/>
      <c r="Q21" s="60"/>
      <c r="R21" s="58"/>
      <c r="S21" s="56"/>
      <c r="T21" s="61"/>
      <c r="U21" s="62"/>
    </row>
    <row r="22" spans="1:21" x14ac:dyDescent="0.45">
      <c r="A22" s="52"/>
      <c r="B22" s="63"/>
      <c r="C22" s="63"/>
      <c r="D22" s="63"/>
      <c r="E22" s="63"/>
      <c r="F22" s="63"/>
      <c r="G22" s="64"/>
      <c r="H22" s="60"/>
      <c r="I22" s="64"/>
      <c r="J22" s="58"/>
      <c r="K22" s="58"/>
      <c r="L22" s="57"/>
      <c r="M22" s="58"/>
      <c r="N22" s="59"/>
      <c r="O22" s="60"/>
      <c r="P22" s="60"/>
      <c r="Q22" s="60"/>
      <c r="R22" s="58"/>
      <c r="S22" s="56"/>
      <c r="T22" s="61"/>
      <c r="U22" s="62"/>
    </row>
    <row r="23" spans="1:21" x14ac:dyDescent="0.45">
      <c r="A23" s="52"/>
      <c r="B23" s="63"/>
      <c r="C23" s="63"/>
      <c r="D23" s="63"/>
      <c r="E23" s="63"/>
      <c r="F23" s="63"/>
      <c r="G23" s="64"/>
      <c r="H23" s="60"/>
      <c r="I23" s="64"/>
      <c r="J23" s="58"/>
      <c r="K23" s="58"/>
      <c r="L23" s="57"/>
      <c r="M23" s="58"/>
      <c r="N23" s="59"/>
      <c r="O23" s="60"/>
      <c r="P23" s="60"/>
      <c r="Q23" s="60"/>
      <c r="R23" s="58"/>
      <c r="S23" s="56"/>
      <c r="T23" s="61"/>
      <c r="U23" s="62"/>
    </row>
    <row r="24" spans="1:21" x14ac:dyDescent="0.45">
      <c r="A24" s="52"/>
      <c r="B24" s="63"/>
      <c r="C24" s="63"/>
      <c r="D24" s="63"/>
      <c r="E24" s="63"/>
      <c r="F24" s="63"/>
      <c r="G24" s="64"/>
      <c r="H24" s="60"/>
      <c r="I24" s="64"/>
      <c r="J24" s="58"/>
      <c r="K24" s="58"/>
      <c r="L24" s="57"/>
      <c r="M24" s="58"/>
      <c r="N24" s="59"/>
      <c r="O24" s="60"/>
      <c r="P24" s="60"/>
      <c r="Q24" s="60"/>
      <c r="R24" s="58"/>
      <c r="S24" s="56"/>
      <c r="T24" s="61"/>
      <c r="U24" s="62"/>
    </row>
    <row r="25" spans="1:21" x14ac:dyDescent="0.45">
      <c r="A25" s="52"/>
      <c r="B25" s="63"/>
      <c r="C25" s="63"/>
      <c r="D25" s="63"/>
      <c r="E25" s="63"/>
      <c r="F25" s="63"/>
      <c r="G25" s="64"/>
      <c r="H25" s="60"/>
      <c r="I25" s="64"/>
      <c r="J25" s="58"/>
      <c r="K25" s="58"/>
      <c r="L25" s="57"/>
      <c r="M25" s="58"/>
      <c r="N25" s="59"/>
      <c r="O25" s="60"/>
      <c r="P25" s="60"/>
      <c r="Q25" s="60"/>
      <c r="R25" s="58"/>
      <c r="S25" s="56"/>
      <c r="T25" s="61"/>
      <c r="U25" s="62"/>
    </row>
    <row r="26" spans="1:21" x14ac:dyDescent="0.45">
      <c r="A26" s="52"/>
      <c r="B26" s="63"/>
      <c r="C26" s="63"/>
      <c r="D26" s="63"/>
      <c r="E26" s="63"/>
      <c r="F26" s="63"/>
      <c r="G26" s="64"/>
      <c r="H26" s="60"/>
      <c r="I26" s="64"/>
      <c r="J26" s="58"/>
      <c r="K26" s="58"/>
      <c r="L26" s="57"/>
      <c r="M26" s="58"/>
      <c r="N26" s="59"/>
      <c r="O26" s="60"/>
      <c r="P26" s="60"/>
      <c r="Q26" s="60"/>
      <c r="R26" s="58"/>
      <c r="S26" s="56"/>
      <c r="T26" s="61"/>
      <c r="U26" s="62"/>
    </row>
    <row r="27" spans="1:21" x14ac:dyDescent="0.45">
      <c r="A27" s="52"/>
      <c r="B27" s="63"/>
      <c r="C27" s="63"/>
      <c r="D27" s="63"/>
      <c r="E27" s="63"/>
      <c r="F27" s="63"/>
      <c r="G27" s="64"/>
      <c r="H27" s="60"/>
      <c r="I27" s="64"/>
      <c r="J27" s="58"/>
      <c r="K27" s="58"/>
      <c r="L27" s="57"/>
      <c r="M27" s="58"/>
      <c r="N27" s="59"/>
      <c r="O27" s="60"/>
      <c r="P27" s="60"/>
      <c r="Q27" s="60"/>
      <c r="R27" s="58"/>
      <c r="S27" s="56"/>
      <c r="T27" s="61"/>
      <c r="U27" s="62"/>
    </row>
    <row r="28" spans="1:21" x14ac:dyDescent="0.45">
      <c r="A28" s="52"/>
      <c r="B28" s="63"/>
      <c r="C28" s="63"/>
      <c r="D28" s="63"/>
      <c r="E28" s="63"/>
      <c r="F28" s="63"/>
      <c r="G28" s="64"/>
      <c r="H28" s="60"/>
      <c r="I28" s="64"/>
      <c r="J28" s="58"/>
      <c r="K28" s="58"/>
      <c r="L28" s="57"/>
      <c r="M28" s="58"/>
      <c r="N28" s="59"/>
      <c r="O28" s="60"/>
      <c r="P28" s="60"/>
      <c r="Q28" s="60"/>
      <c r="R28" s="58"/>
      <c r="S28" s="56"/>
      <c r="T28" s="61"/>
      <c r="U28" s="62"/>
    </row>
    <row r="29" spans="1:21" x14ac:dyDescent="0.45">
      <c r="A29" s="52"/>
      <c r="B29" s="63"/>
      <c r="C29" s="63"/>
      <c r="D29" s="63"/>
      <c r="E29" s="63"/>
      <c r="F29" s="63"/>
      <c r="G29" s="64"/>
      <c r="H29" s="60"/>
      <c r="I29" s="64"/>
      <c r="J29" s="58"/>
      <c r="K29" s="58"/>
      <c r="L29" s="57"/>
      <c r="M29" s="58"/>
      <c r="N29" s="59"/>
      <c r="O29" s="60"/>
      <c r="P29" s="60"/>
      <c r="Q29" s="60"/>
      <c r="R29" s="58"/>
      <c r="S29" s="56"/>
      <c r="T29" s="61"/>
      <c r="U29" s="62"/>
    </row>
    <row r="30" spans="1:21" x14ac:dyDescent="0.45">
      <c r="A30" s="52"/>
      <c r="B30" s="63"/>
      <c r="C30" s="63"/>
      <c r="D30" s="63"/>
      <c r="E30" s="63"/>
      <c r="F30" s="63"/>
      <c r="G30" s="64"/>
      <c r="H30" s="60"/>
      <c r="I30" s="64"/>
      <c r="J30" s="58"/>
      <c r="K30" s="58"/>
      <c r="L30" s="57"/>
      <c r="M30" s="58"/>
      <c r="N30" s="59"/>
      <c r="O30" s="60"/>
      <c r="P30" s="60"/>
      <c r="Q30" s="60"/>
      <c r="R30" s="58"/>
      <c r="S30" s="56"/>
      <c r="T30" s="61"/>
      <c r="U30" s="62"/>
    </row>
    <row r="31" spans="1:21" x14ac:dyDescent="0.45">
      <c r="A31" s="52"/>
      <c r="B31" s="63"/>
      <c r="C31" s="63"/>
      <c r="D31" s="63"/>
      <c r="E31" s="63"/>
      <c r="F31" s="63"/>
      <c r="G31" s="64"/>
      <c r="H31" s="60"/>
      <c r="I31" s="64"/>
      <c r="J31" s="58"/>
      <c r="K31" s="58"/>
      <c r="L31" s="57"/>
      <c r="M31" s="58"/>
      <c r="N31" s="59"/>
      <c r="O31" s="60"/>
      <c r="P31" s="60"/>
      <c r="Q31" s="60"/>
      <c r="R31" s="58"/>
      <c r="S31" s="56"/>
      <c r="T31" s="61"/>
      <c r="U31" s="62"/>
    </row>
    <row r="32" spans="1:21" x14ac:dyDescent="0.45">
      <c r="A32" s="52"/>
      <c r="B32" s="63"/>
      <c r="C32" s="63"/>
      <c r="D32" s="63"/>
      <c r="E32" s="63"/>
      <c r="F32" s="63"/>
      <c r="G32" s="64"/>
      <c r="H32" s="60"/>
      <c r="I32" s="64"/>
      <c r="J32" s="58"/>
      <c r="K32" s="58"/>
      <c r="L32" s="57"/>
      <c r="M32" s="58"/>
      <c r="N32" s="59"/>
      <c r="O32" s="60"/>
      <c r="P32" s="60"/>
      <c r="Q32" s="60"/>
      <c r="R32" s="58"/>
      <c r="S32" s="56"/>
      <c r="T32" s="61"/>
      <c r="U32" s="62"/>
    </row>
    <row r="33" spans="1:21" x14ac:dyDescent="0.45">
      <c r="A33" s="52"/>
      <c r="B33" s="63"/>
      <c r="C33" s="63"/>
      <c r="D33" s="63"/>
      <c r="E33" s="63"/>
      <c r="F33" s="63"/>
      <c r="G33" s="64"/>
      <c r="H33" s="60"/>
      <c r="I33" s="64"/>
      <c r="J33" s="58"/>
      <c r="K33" s="58"/>
      <c r="L33" s="57"/>
      <c r="M33" s="58"/>
      <c r="N33" s="59"/>
      <c r="O33" s="60"/>
      <c r="P33" s="60"/>
      <c r="Q33" s="60"/>
      <c r="R33" s="58"/>
      <c r="S33" s="56"/>
      <c r="T33" s="61"/>
      <c r="U33" s="62"/>
    </row>
    <row r="34" spans="1:21" x14ac:dyDescent="0.45">
      <c r="A34" s="52"/>
      <c r="B34" s="63"/>
      <c r="C34" s="63"/>
      <c r="D34" s="63"/>
      <c r="E34" s="63"/>
      <c r="F34" s="63"/>
      <c r="G34" s="64"/>
      <c r="H34" s="60"/>
      <c r="I34" s="64"/>
      <c r="J34" s="58"/>
      <c r="K34" s="58"/>
      <c r="L34" s="57"/>
      <c r="M34" s="58"/>
      <c r="N34" s="59"/>
      <c r="O34" s="60"/>
      <c r="P34" s="60"/>
      <c r="Q34" s="60"/>
      <c r="R34" s="58"/>
      <c r="S34" s="56"/>
      <c r="T34" s="61"/>
      <c r="U34" s="62"/>
    </row>
    <row r="35" spans="1:21" x14ac:dyDescent="0.45">
      <c r="A35" s="52"/>
      <c r="B35" s="63"/>
      <c r="C35" s="63"/>
      <c r="D35" s="63"/>
      <c r="E35" s="63"/>
      <c r="F35" s="63"/>
      <c r="G35" s="64"/>
      <c r="H35" s="60"/>
      <c r="I35" s="64"/>
      <c r="J35" s="58"/>
      <c r="K35" s="58"/>
      <c r="L35" s="57"/>
      <c r="M35" s="58"/>
      <c r="N35" s="59"/>
      <c r="O35" s="60"/>
      <c r="P35" s="60"/>
      <c r="Q35" s="60"/>
      <c r="R35" s="58"/>
      <c r="S35" s="56"/>
      <c r="T35" s="61"/>
      <c r="U35" s="62"/>
    </row>
    <row r="36" spans="1:21" x14ac:dyDescent="0.45">
      <c r="A36" s="52"/>
      <c r="B36" s="63"/>
      <c r="C36" s="63"/>
      <c r="D36" s="63"/>
      <c r="E36" s="63"/>
      <c r="F36" s="63"/>
      <c r="G36" s="64"/>
      <c r="H36" s="60"/>
      <c r="I36" s="64"/>
      <c r="J36" s="58"/>
      <c r="K36" s="58"/>
      <c r="L36" s="57"/>
      <c r="M36" s="58"/>
      <c r="N36" s="59"/>
      <c r="O36" s="60"/>
      <c r="P36" s="60"/>
      <c r="Q36" s="60"/>
      <c r="R36" s="58"/>
      <c r="S36" s="56"/>
      <c r="T36" s="61"/>
      <c r="U36" s="62"/>
    </row>
    <row r="37" spans="1:21" x14ac:dyDescent="0.45">
      <c r="A37" s="52"/>
      <c r="B37" s="63"/>
      <c r="C37" s="63"/>
      <c r="D37" s="63"/>
      <c r="E37" s="63"/>
      <c r="F37" s="63"/>
      <c r="G37" s="64"/>
      <c r="H37" s="60"/>
      <c r="I37" s="64"/>
      <c r="J37" s="58"/>
      <c r="K37" s="58"/>
      <c r="L37" s="57"/>
      <c r="M37" s="58"/>
      <c r="N37" s="59"/>
      <c r="O37" s="60"/>
      <c r="P37" s="60"/>
      <c r="Q37" s="60"/>
      <c r="R37" s="58"/>
      <c r="S37" s="56"/>
      <c r="T37" s="61"/>
      <c r="U37" s="62"/>
    </row>
    <row r="38" spans="1:21" x14ac:dyDescent="0.45">
      <c r="A38" s="52"/>
      <c r="B38" s="63"/>
      <c r="C38" s="63"/>
      <c r="D38" s="63"/>
      <c r="E38" s="63"/>
      <c r="F38" s="63"/>
      <c r="G38" s="64"/>
      <c r="H38" s="60"/>
      <c r="I38" s="64"/>
      <c r="J38" s="58"/>
      <c r="K38" s="58"/>
      <c r="L38" s="57"/>
      <c r="M38" s="58"/>
      <c r="N38" s="59"/>
      <c r="O38" s="60"/>
      <c r="P38" s="60"/>
      <c r="Q38" s="60"/>
      <c r="R38" s="58"/>
      <c r="S38" s="56"/>
      <c r="T38" s="61"/>
      <c r="U38" s="62"/>
    </row>
    <row r="39" spans="1:21" x14ac:dyDescent="0.45">
      <c r="A39" s="52"/>
      <c r="B39" s="63"/>
      <c r="C39" s="63"/>
      <c r="D39" s="63"/>
      <c r="E39" s="63"/>
      <c r="F39" s="63"/>
      <c r="G39" s="64"/>
      <c r="H39" s="60"/>
      <c r="I39" s="64"/>
      <c r="J39" s="58"/>
      <c r="K39" s="58"/>
      <c r="L39" s="57"/>
      <c r="M39" s="58"/>
      <c r="N39" s="59"/>
      <c r="O39" s="60"/>
      <c r="P39" s="60"/>
      <c r="Q39" s="60"/>
      <c r="R39" s="58"/>
      <c r="S39" s="56"/>
      <c r="T39" s="61"/>
      <c r="U39" s="62"/>
    </row>
    <row r="40" spans="1:21" x14ac:dyDescent="0.45">
      <c r="A40" s="52"/>
      <c r="B40" s="63"/>
      <c r="C40" s="63"/>
      <c r="D40" s="63"/>
      <c r="E40" s="63"/>
      <c r="F40" s="63"/>
      <c r="G40" s="64"/>
      <c r="H40" s="60"/>
      <c r="I40" s="64"/>
      <c r="J40" s="58"/>
      <c r="K40" s="58"/>
      <c r="L40" s="57"/>
      <c r="M40" s="58"/>
      <c r="N40" s="59"/>
      <c r="O40" s="60"/>
      <c r="P40" s="60"/>
      <c r="Q40" s="60"/>
      <c r="R40" s="58"/>
      <c r="S40" s="56"/>
      <c r="T40" s="61"/>
      <c r="U40" s="62"/>
    </row>
    <row r="41" spans="1:21" x14ac:dyDescent="0.45">
      <c r="A41" s="52"/>
      <c r="B41" s="63"/>
      <c r="C41" s="63"/>
      <c r="D41" s="63"/>
      <c r="E41" s="63"/>
      <c r="F41" s="63"/>
      <c r="G41" s="64"/>
      <c r="H41" s="60"/>
      <c r="I41" s="64"/>
      <c r="J41" s="58"/>
      <c r="K41" s="58"/>
      <c r="L41" s="57"/>
      <c r="M41" s="58"/>
      <c r="N41" s="59"/>
      <c r="O41" s="60"/>
      <c r="P41" s="60"/>
      <c r="Q41" s="60"/>
      <c r="R41" s="58"/>
      <c r="S41" s="56"/>
      <c r="T41" s="61"/>
      <c r="U41" s="62"/>
    </row>
    <row r="42" spans="1:21" x14ac:dyDescent="0.45">
      <c r="A42" s="52"/>
      <c r="B42" s="63"/>
      <c r="C42" s="63"/>
      <c r="D42" s="63"/>
      <c r="E42" s="63"/>
      <c r="F42" s="63"/>
      <c r="G42" s="64"/>
      <c r="H42" s="60"/>
      <c r="I42" s="64"/>
      <c r="J42" s="58"/>
      <c r="K42" s="58"/>
      <c r="L42" s="57"/>
      <c r="M42" s="58"/>
      <c r="N42" s="59"/>
      <c r="O42" s="60"/>
      <c r="P42" s="60"/>
      <c r="Q42" s="60"/>
      <c r="R42" s="58"/>
      <c r="S42" s="56"/>
      <c r="T42" s="61"/>
      <c r="U42" s="62"/>
    </row>
    <row r="43" spans="1:21" x14ac:dyDescent="0.45">
      <c r="A43" s="52"/>
      <c r="B43" s="63"/>
      <c r="C43" s="63"/>
      <c r="D43" s="63"/>
      <c r="E43" s="63"/>
      <c r="F43" s="63"/>
      <c r="G43" s="64"/>
      <c r="H43" s="60"/>
      <c r="I43" s="64"/>
      <c r="J43" s="58"/>
      <c r="K43" s="58"/>
      <c r="L43" s="57"/>
      <c r="M43" s="58"/>
      <c r="N43" s="59"/>
      <c r="O43" s="60"/>
      <c r="P43" s="60"/>
      <c r="Q43" s="60"/>
      <c r="R43" s="58"/>
      <c r="S43" s="56"/>
      <c r="T43" s="61"/>
      <c r="U43" s="62"/>
    </row>
    <row r="44" spans="1:21" x14ac:dyDescent="0.45">
      <c r="A44" s="52"/>
      <c r="B44" s="63"/>
      <c r="C44" s="63"/>
      <c r="D44" s="63"/>
      <c r="E44" s="63"/>
      <c r="F44" s="63"/>
      <c r="G44" s="64"/>
      <c r="H44" s="60"/>
      <c r="I44" s="64"/>
      <c r="J44" s="58"/>
      <c r="K44" s="58"/>
      <c r="L44" s="57"/>
      <c r="M44" s="58"/>
      <c r="N44" s="59"/>
      <c r="O44" s="60"/>
      <c r="P44" s="60"/>
      <c r="Q44" s="60"/>
      <c r="R44" s="58"/>
      <c r="S44" s="56"/>
      <c r="T44" s="61"/>
      <c r="U44" s="62"/>
    </row>
    <row r="45" spans="1:21" x14ac:dyDescent="0.45">
      <c r="A45" s="52"/>
      <c r="B45" s="63"/>
      <c r="C45" s="63"/>
      <c r="D45" s="63"/>
      <c r="E45" s="63"/>
      <c r="F45" s="63"/>
      <c r="G45" s="64"/>
      <c r="H45" s="60"/>
      <c r="I45" s="64"/>
      <c r="J45" s="58"/>
      <c r="K45" s="58"/>
      <c r="L45" s="57"/>
      <c r="M45" s="58"/>
      <c r="N45" s="59"/>
      <c r="O45" s="60"/>
      <c r="P45" s="60"/>
      <c r="Q45" s="60"/>
      <c r="R45" s="58"/>
      <c r="S45" s="56"/>
      <c r="T45" s="61"/>
      <c r="U45" s="62"/>
    </row>
    <row r="46" spans="1:21" x14ac:dyDescent="0.45">
      <c r="A46" s="52"/>
      <c r="B46" s="63"/>
      <c r="C46" s="63"/>
      <c r="D46" s="63"/>
      <c r="E46" s="63"/>
      <c r="F46" s="63"/>
      <c r="G46" s="64"/>
      <c r="H46" s="60"/>
      <c r="I46" s="64"/>
      <c r="J46" s="58"/>
      <c r="K46" s="58"/>
      <c r="L46" s="57"/>
      <c r="M46" s="58"/>
      <c r="N46" s="59"/>
      <c r="O46" s="60"/>
      <c r="P46" s="60"/>
      <c r="Q46" s="60"/>
      <c r="R46" s="58"/>
      <c r="S46" s="56"/>
      <c r="T46" s="61"/>
      <c r="U46" s="62"/>
    </row>
    <row r="47" spans="1:21" x14ac:dyDescent="0.45">
      <c r="A47" s="52"/>
      <c r="B47" s="63"/>
      <c r="C47" s="63"/>
      <c r="D47" s="63"/>
      <c r="E47" s="63"/>
      <c r="F47" s="63"/>
      <c r="G47" s="64"/>
      <c r="H47" s="60"/>
      <c r="I47" s="64"/>
      <c r="J47" s="58"/>
      <c r="K47" s="58"/>
      <c r="L47" s="57"/>
      <c r="M47" s="58"/>
      <c r="N47" s="59"/>
      <c r="O47" s="60"/>
      <c r="P47" s="60"/>
      <c r="Q47" s="60"/>
      <c r="R47" s="58"/>
      <c r="S47" s="56"/>
      <c r="T47" s="61"/>
      <c r="U47" s="62"/>
    </row>
    <row r="48" spans="1:21" x14ac:dyDescent="0.45">
      <c r="A48" s="52"/>
      <c r="B48" s="63"/>
      <c r="C48" s="63"/>
      <c r="D48" s="63"/>
      <c r="E48" s="63"/>
      <c r="F48" s="63"/>
      <c r="G48" s="64"/>
      <c r="H48" s="60"/>
      <c r="I48" s="64"/>
      <c r="J48" s="58"/>
      <c r="K48" s="58"/>
      <c r="L48" s="57"/>
      <c r="M48" s="58"/>
      <c r="N48" s="59"/>
      <c r="O48" s="60"/>
      <c r="P48" s="60"/>
      <c r="Q48" s="60"/>
      <c r="R48" s="58"/>
      <c r="S48" s="56"/>
      <c r="T48" s="61"/>
      <c r="U48" s="62"/>
    </row>
    <row r="49" spans="1:21" x14ac:dyDescent="0.45">
      <c r="A49" s="52"/>
      <c r="B49" s="63"/>
      <c r="C49" s="63"/>
      <c r="D49" s="63"/>
      <c r="E49" s="63"/>
      <c r="F49" s="63"/>
      <c r="G49" s="64"/>
      <c r="H49" s="60"/>
      <c r="I49" s="64"/>
      <c r="J49" s="58"/>
      <c r="K49" s="58"/>
      <c r="L49" s="57"/>
      <c r="M49" s="58"/>
      <c r="N49" s="59"/>
      <c r="O49" s="60"/>
      <c r="P49" s="60"/>
      <c r="Q49" s="60"/>
      <c r="R49" s="58"/>
      <c r="S49" s="56"/>
      <c r="T49" s="61"/>
      <c r="U49" s="62"/>
    </row>
    <row r="50" spans="1:21" x14ac:dyDescent="0.45">
      <c r="A50" s="52"/>
      <c r="B50" s="63"/>
      <c r="C50" s="63"/>
      <c r="D50" s="63"/>
      <c r="E50" s="63"/>
      <c r="F50" s="63"/>
      <c r="G50" s="64"/>
      <c r="H50" s="60"/>
      <c r="I50" s="64"/>
      <c r="J50" s="58"/>
      <c r="K50" s="58"/>
      <c r="L50" s="57"/>
      <c r="M50" s="58"/>
      <c r="N50" s="59"/>
      <c r="O50" s="60"/>
      <c r="P50" s="60"/>
      <c r="Q50" s="60"/>
      <c r="R50" s="58"/>
      <c r="S50" s="56"/>
      <c r="T50" s="61"/>
      <c r="U50" s="62"/>
    </row>
    <row r="51" spans="1:21" x14ac:dyDescent="0.45">
      <c r="A51" s="52"/>
      <c r="B51" s="63"/>
      <c r="C51" s="63"/>
      <c r="D51" s="63"/>
      <c r="E51" s="63"/>
      <c r="F51" s="63"/>
      <c r="G51" s="64"/>
      <c r="H51" s="60"/>
      <c r="I51" s="64"/>
      <c r="J51" s="58"/>
      <c r="K51" s="58"/>
      <c r="L51" s="57"/>
      <c r="M51" s="58"/>
      <c r="N51" s="59"/>
      <c r="O51" s="60"/>
      <c r="P51" s="60"/>
      <c r="Q51" s="60"/>
      <c r="R51" s="58"/>
      <c r="S51" s="56"/>
      <c r="T51" s="61"/>
      <c r="U51" s="62"/>
    </row>
    <row r="52" spans="1:21" x14ac:dyDescent="0.45">
      <c r="A52" s="52"/>
      <c r="B52" s="63"/>
      <c r="C52" s="63"/>
      <c r="D52" s="63"/>
      <c r="E52" s="63"/>
      <c r="F52" s="63"/>
      <c r="G52" s="64"/>
      <c r="H52" s="60"/>
      <c r="I52" s="64"/>
      <c r="J52" s="58"/>
      <c r="K52" s="58"/>
      <c r="L52" s="57"/>
      <c r="M52" s="58"/>
      <c r="N52" s="59"/>
      <c r="O52" s="60"/>
      <c r="P52" s="60"/>
      <c r="Q52" s="60"/>
      <c r="R52" s="58"/>
      <c r="S52" s="56"/>
      <c r="T52" s="61"/>
      <c r="U52" s="62"/>
    </row>
    <row r="53" spans="1:21" x14ac:dyDescent="0.45">
      <c r="A53" s="52"/>
      <c r="B53" s="63"/>
      <c r="C53" s="63"/>
      <c r="D53" s="63"/>
      <c r="E53" s="63"/>
      <c r="F53" s="63"/>
      <c r="G53" s="64"/>
      <c r="H53" s="60"/>
      <c r="I53" s="64"/>
      <c r="J53" s="58"/>
      <c r="K53" s="58"/>
      <c r="L53" s="57"/>
      <c r="M53" s="58"/>
      <c r="N53" s="59"/>
      <c r="O53" s="60"/>
      <c r="P53" s="60"/>
      <c r="Q53" s="60"/>
      <c r="R53" s="58"/>
      <c r="S53" s="56"/>
      <c r="T53" s="61"/>
      <c r="U53" s="62"/>
    </row>
    <row r="54" spans="1:21" x14ac:dyDescent="0.45">
      <c r="A54" s="52"/>
      <c r="B54" s="63"/>
      <c r="C54" s="63"/>
      <c r="D54" s="63"/>
      <c r="E54" s="63"/>
      <c r="F54" s="63"/>
      <c r="G54" s="64"/>
      <c r="H54" s="60"/>
      <c r="I54" s="64"/>
      <c r="J54" s="58"/>
      <c r="K54" s="58"/>
      <c r="L54" s="57"/>
      <c r="M54" s="58"/>
      <c r="N54" s="59"/>
      <c r="O54" s="60"/>
      <c r="P54" s="60"/>
      <c r="Q54" s="60"/>
      <c r="R54" s="58"/>
      <c r="S54" s="56"/>
      <c r="T54" s="61"/>
      <c r="U54" s="62"/>
    </row>
    <row r="55" spans="1:21" x14ac:dyDescent="0.45">
      <c r="A55" s="52"/>
      <c r="B55" s="63"/>
      <c r="C55" s="63"/>
      <c r="D55" s="63"/>
      <c r="E55" s="63"/>
      <c r="F55" s="63"/>
      <c r="G55" s="64"/>
      <c r="H55" s="60"/>
      <c r="I55" s="64"/>
      <c r="J55" s="58"/>
      <c r="K55" s="58"/>
      <c r="L55" s="57"/>
      <c r="M55" s="58"/>
      <c r="N55" s="59"/>
      <c r="O55" s="60"/>
      <c r="P55" s="60"/>
      <c r="Q55" s="60"/>
      <c r="R55" s="58"/>
      <c r="S55" s="56"/>
      <c r="T55" s="61"/>
      <c r="U55" s="62"/>
    </row>
    <row r="56" spans="1:21" x14ac:dyDescent="0.45">
      <c r="A56" s="52"/>
      <c r="B56" s="63"/>
      <c r="C56" s="63"/>
      <c r="D56" s="63"/>
      <c r="E56" s="63"/>
      <c r="F56" s="63"/>
      <c r="G56" s="64"/>
      <c r="H56" s="60"/>
      <c r="I56" s="64"/>
      <c r="J56" s="58"/>
      <c r="K56" s="58"/>
      <c r="L56" s="57"/>
      <c r="M56" s="58"/>
      <c r="N56" s="59"/>
      <c r="O56" s="60"/>
      <c r="P56" s="60"/>
      <c r="Q56" s="60"/>
      <c r="R56" s="58"/>
      <c r="S56" s="56"/>
      <c r="T56" s="61"/>
      <c r="U56" s="62"/>
    </row>
    <row r="57" spans="1:21" x14ac:dyDescent="0.45">
      <c r="A57" s="52"/>
      <c r="B57" s="63"/>
      <c r="C57" s="63"/>
      <c r="D57" s="63"/>
      <c r="E57" s="63"/>
      <c r="F57" s="63"/>
      <c r="G57" s="64"/>
      <c r="H57" s="60"/>
      <c r="I57" s="64"/>
      <c r="J57" s="58"/>
      <c r="K57" s="58"/>
      <c r="L57" s="57"/>
      <c r="M57" s="58"/>
      <c r="N57" s="59"/>
      <c r="O57" s="60"/>
      <c r="P57" s="60"/>
      <c r="Q57" s="60"/>
      <c r="R57" s="58"/>
      <c r="S57" s="56"/>
      <c r="T57" s="61"/>
      <c r="U57" s="62"/>
    </row>
    <row r="58" spans="1:21" x14ac:dyDescent="0.45">
      <c r="A58" s="52"/>
      <c r="B58" s="63"/>
      <c r="C58" s="63"/>
      <c r="D58" s="63"/>
      <c r="E58" s="63"/>
      <c r="F58" s="63"/>
      <c r="G58" s="64"/>
      <c r="H58" s="60"/>
      <c r="I58" s="64"/>
      <c r="J58" s="58"/>
      <c r="K58" s="58"/>
      <c r="L58" s="57"/>
      <c r="M58" s="58"/>
      <c r="N58" s="59"/>
      <c r="O58" s="60"/>
      <c r="P58" s="60"/>
      <c r="Q58" s="60"/>
      <c r="R58" s="58"/>
      <c r="S58" s="56"/>
      <c r="T58" s="61"/>
      <c r="U58" s="62"/>
    </row>
    <row r="59" spans="1:21" x14ac:dyDescent="0.45">
      <c r="A59" s="52"/>
      <c r="B59" s="63"/>
      <c r="C59" s="63"/>
      <c r="D59" s="63"/>
      <c r="E59" s="63"/>
      <c r="F59" s="63"/>
      <c r="G59" s="64"/>
      <c r="H59" s="60"/>
      <c r="I59" s="64"/>
      <c r="J59" s="58"/>
      <c r="K59" s="58"/>
      <c r="L59" s="57"/>
      <c r="M59" s="58"/>
      <c r="N59" s="59"/>
      <c r="O59" s="60"/>
      <c r="P59" s="60"/>
      <c r="Q59" s="60"/>
      <c r="R59" s="58"/>
      <c r="S59" s="56"/>
      <c r="T59" s="61"/>
      <c r="U59" s="62"/>
    </row>
    <row r="60" spans="1:21" x14ac:dyDescent="0.45">
      <c r="A60" s="52"/>
      <c r="B60" s="63"/>
      <c r="C60" s="63"/>
      <c r="D60" s="63"/>
      <c r="E60" s="63"/>
      <c r="F60" s="63"/>
      <c r="G60" s="64"/>
      <c r="H60" s="60"/>
      <c r="I60" s="64"/>
      <c r="J60" s="58"/>
      <c r="K60" s="58"/>
      <c r="L60" s="57"/>
      <c r="M60" s="58"/>
      <c r="N60" s="59"/>
      <c r="O60" s="60"/>
      <c r="P60" s="60"/>
      <c r="Q60" s="60"/>
      <c r="R60" s="58"/>
      <c r="S60" s="56"/>
      <c r="T60" s="61"/>
      <c r="U60" s="62"/>
    </row>
    <row r="61" spans="1:21" x14ac:dyDescent="0.45">
      <c r="A61" s="52"/>
      <c r="B61" s="63"/>
      <c r="C61" s="63"/>
      <c r="D61" s="63"/>
      <c r="E61" s="63"/>
      <c r="F61" s="63"/>
      <c r="G61" s="64"/>
      <c r="H61" s="60"/>
      <c r="I61" s="64"/>
      <c r="J61" s="58"/>
      <c r="K61" s="58"/>
      <c r="L61" s="57"/>
      <c r="M61" s="58"/>
      <c r="N61" s="59"/>
      <c r="O61" s="60"/>
      <c r="P61" s="60"/>
      <c r="Q61" s="60"/>
      <c r="R61" s="58"/>
      <c r="S61" s="56"/>
      <c r="T61" s="61"/>
      <c r="U61" s="62"/>
    </row>
    <row r="62" spans="1:21" x14ac:dyDescent="0.45">
      <c r="A62" s="52"/>
      <c r="B62" s="63"/>
      <c r="C62" s="63"/>
      <c r="D62" s="63"/>
      <c r="E62" s="63"/>
      <c r="F62" s="63"/>
      <c r="G62" s="64"/>
      <c r="H62" s="60"/>
      <c r="I62" s="64"/>
      <c r="J62" s="58"/>
      <c r="K62" s="58"/>
      <c r="L62" s="57"/>
      <c r="M62" s="58"/>
      <c r="N62" s="59"/>
      <c r="O62" s="60"/>
      <c r="P62" s="60"/>
      <c r="Q62" s="60"/>
      <c r="R62" s="58"/>
      <c r="S62" s="56"/>
      <c r="T62" s="61"/>
      <c r="U62" s="62"/>
    </row>
    <row r="63" spans="1:21" x14ac:dyDescent="0.45">
      <c r="A63" s="52"/>
      <c r="B63" s="63"/>
      <c r="C63" s="63"/>
      <c r="D63" s="63"/>
      <c r="E63" s="63"/>
      <c r="F63" s="63"/>
      <c r="G63" s="64"/>
      <c r="H63" s="60"/>
      <c r="I63" s="64"/>
      <c r="J63" s="58"/>
      <c r="K63" s="58"/>
      <c r="L63" s="57"/>
      <c r="M63" s="58"/>
      <c r="N63" s="59"/>
      <c r="O63" s="60"/>
      <c r="P63" s="60"/>
      <c r="Q63" s="60"/>
      <c r="R63" s="58"/>
      <c r="S63" s="56"/>
      <c r="T63" s="61"/>
      <c r="U63" s="62"/>
    </row>
    <row r="64" spans="1:21" x14ac:dyDescent="0.45">
      <c r="A64" s="52"/>
      <c r="B64" s="63"/>
      <c r="C64" s="63"/>
      <c r="D64" s="63"/>
      <c r="E64" s="63"/>
      <c r="F64" s="63"/>
      <c r="G64" s="64"/>
      <c r="H64" s="60"/>
      <c r="I64" s="64"/>
      <c r="J64" s="58"/>
      <c r="K64" s="58"/>
      <c r="L64" s="57"/>
      <c r="M64" s="58"/>
      <c r="N64" s="59"/>
      <c r="O64" s="60"/>
      <c r="P64" s="60"/>
      <c r="Q64" s="60"/>
      <c r="R64" s="58"/>
      <c r="S64" s="56"/>
      <c r="T64" s="61"/>
      <c r="U64" s="62"/>
    </row>
    <row r="65" spans="1:21" x14ac:dyDescent="0.45">
      <c r="A65" s="52"/>
      <c r="B65" s="63"/>
      <c r="C65" s="63"/>
      <c r="D65" s="63"/>
      <c r="E65" s="63"/>
      <c r="F65" s="63"/>
      <c r="G65" s="64"/>
      <c r="H65" s="60"/>
      <c r="I65" s="64"/>
      <c r="J65" s="58"/>
      <c r="K65" s="58"/>
      <c r="L65" s="57"/>
      <c r="M65" s="58"/>
      <c r="N65" s="59"/>
      <c r="O65" s="60"/>
      <c r="P65" s="60"/>
      <c r="Q65" s="60"/>
      <c r="R65" s="58"/>
      <c r="S65" s="56"/>
      <c r="T65" s="61"/>
      <c r="U65" s="62"/>
    </row>
    <row r="66" spans="1:21" x14ac:dyDescent="0.45">
      <c r="A66" s="52"/>
      <c r="B66" s="63"/>
      <c r="C66" s="63"/>
      <c r="D66" s="63"/>
      <c r="E66" s="63"/>
      <c r="F66" s="63"/>
      <c r="G66" s="64"/>
      <c r="H66" s="60"/>
      <c r="I66" s="64"/>
      <c r="J66" s="58"/>
      <c r="K66" s="58"/>
      <c r="L66" s="57"/>
      <c r="M66" s="58"/>
      <c r="N66" s="59"/>
      <c r="O66" s="60"/>
      <c r="P66" s="60"/>
      <c r="Q66" s="60"/>
      <c r="R66" s="58"/>
      <c r="S66" s="56"/>
      <c r="T66" s="61"/>
      <c r="U66" s="62"/>
    </row>
    <row r="67" spans="1:21" x14ac:dyDescent="0.45">
      <c r="A67" s="52"/>
      <c r="B67" s="63"/>
      <c r="C67" s="63"/>
      <c r="D67" s="63"/>
      <c r="E67" s="63"/>
      <c r="F67" s="63"/>
      <c r="G67" s="64"/>
      <c r="H67" s="60"/>
      <c r="I67" s="64"/>
      <c r="J67" s="58"/>
      <c r="K67" s="58"/>
      <c r="L67" s="57"/>
      <c r="M67" s="58"/>
      <c r="N67" s="59"/>
      <c r="O67" s="60"/>
      <c r="P67" s="60"/>
      <c r="Q67" s="60"/>
      <c r="R67" s="58"/>
      <c r="S67" s="56"/>
      <c r="T67" s="61"/>
      <c r="U67" s="62"/>
    </row>
    <row r="68" spans="1:21" x14ac:dyDescent="0.45">
      <c r="A68" s="52"/>
      <c r="B68" s="63"/>
      <c r="C68" s="63"/>
      <c r="D68" s="63"/>
      <c r="E68" s="63"/>
      <c r="F68" s="63"/>
      <c r="G68" s="64"/>
      <c r="H68" s="60"/>
      <c r="I68" s="64"/>
      <c r="J68" s="58"/>
      <c r="K68" s="58"/>
      <c r="L68" s="57"/>
      <c r="M68" s="58"/>
      <c r="N68" s="59"/>
      <c r="O68" s="60"/>
      <c r="P68" s="60"/>
      <c r="Q68" s="60"/>
      <c r="R68" s="58"/>
      <c r="S68" s="56"/>
      <c r="T68" s="61"/>
      <c r="U68" s="62"/>
    </row>
    <row r="69" spans="1:21" x14ac:dyDescent="0.45">
      <c r="A69" s="52"/>
      <c r="B69" s="63"/>
      <c r="C69" s="63"/>
      <c r="D69" s="63"/>
      <c r="E69" s="63"/>
      <c r="F69" s="63"/>
      <c r="G69" s="64"/>
      <c r="H69" s="60"/>
      <c r="I69" s="64"/>
      <c r="J69" s="58"/>
      <c r="K69" s="58"/>
      <c r="L69" s="57"/>
      <c r="M69" s="58"/>
      <c r="N69" s="59"/>
      <c r="O69" s="60"/>
      <c r="P69" s="60"/>
      <c r="Q69" s="60"/>
      <c r="R69" s="58"/>
      <c r="S69" s="56"/>
      <c r="T69" s="61"/>
      <c r="U69" s="62"/>
    </row>
    <row r="70" spans="1:21" x14ac:dyDescent="0.45">
      <c r="A70" s="52"/>
      <c r="B70" s="63"/>
      <c r="C70" s="63"/>
      <c r="D70" s="63"/>
      <c r="E70" s="63"/>
      <c r="F70" s="63"/>
      <c r="G70" s="64"/>
      <c r="H70" s="60"/>
      <c r="I70" s="64"/>
      <c r="J70" s="58"/>
      <c r="K70" s="58"/>
      <c r="L70" s="57"/>
      <c r="M70" s="58"/>
      <c r="N70" s="59"/>
      <c r="O70" s="60"/>
      <c r="P70" s="60"/>
      <c r="Q70" s="60"/>
      <c r="R70" s="58"/>
      <c r="S70" s="56"/>
      <c r="T70" s="61"/>
      <c r="U70" s="62"/>
    </row>
    <row r="71" spans="1:21" x14ac:dyDescent="0.45">
      <c r="A71" s="52"/>
      <c r="B71" s="63"/>
      <c r="C71" s="63"/>
      <c r="D71" s="63"/>
      <c r="E71" s="63"/>
      <c r="F71" s="63"/>
      <c r="G71" s="64"/>
      <c r="H71" s="60"/>
      <c r="I71" s="64"/>
      <c r="J71" s="58"/>
      <c r="K71" s="58"/>
      <c r="L71" s="57"/>
      <c r="M71" s="58"/>
      <c r="N71" s="59"/>
      <c r="O71" s="60"/>
      <c r="P71" s="60"/>
      <c r="Q71" s="60"/>
      <c r="R71" s="58"/>
      <c r="S71" s="56"/>
      <c r="T71" s="61"/>
      <c r="U71" s="62"/>
    </row>
    <row r="72" spans="1:21" x14ac:dyDescent="0.45">
      <c r="A72" s="52"/>
      <c r="B72" s="63"/>
      <c r="C72" s="63"/>
      <c r="D72" s="63"/>
      <c r="E72" s="63"/>
      <c r="F72" s="63"/>
      <c r="G72" s="64"/>
      <c r="H72" s="60"/>
      <c r="I72" s="64"/>
      <c r="J72" s="58"/>
      <c r="K72" s="58"/>
      <c r="L72" s="57"/>
      <c r="M72" s="58"/>
      <c r="N72" s="59"/>
      <c r="O72" s="60"/>
      <c r="P72" s="60"/>
      <c r="Q72" s="60"/>
      <c r="R72" s="58"/>
      <c r="S72" s="56"/>
      <c r="T72" s="61"/>
      <c r="U72" s="62"/>
    </row>
    <row r="73" spans="1:21" x14ac:dyDescent="0.45">
      <c r="A73" s="52"/>
      <c r="B73" s="63"/>
      <c r="C73" s="63"/>
      <c r="D73" s="63"/>
      <c r="E73" s="63"/>
      <c r="F73" s="63"/>
      <c r="G73" s="64"/>
      <c r="H73" s="60"/>
      <c r="I73" s="64"/>
      <c r="J73" s="58"/>
      <c r="K73" s="58"/>
      <c r="L73" s="57"/>
      <c r="M73" s="58"/>
      <c r="N73" s="59"/>
      <c r="O73" s="60"/>
      <c r="P73" s="60"/>
      <c r="Q73" s="60"/>
      <c r="R73" s="58"/>
      <c r="S73" s="56"/>
      <c r="T73" s="61"/>
      <c r="U73" s="62"/>
    </row>
    <row r="74" spans="1:21" x14ac:dyDescent="0.45">
      <c r="A74" s="52"/>
      <c r="B74" s="63"/>
      <c r="C74" s="63"/>
      <c r="D74" s="63"/>
      <c r="E74" s="63"/>
      <c r="F74" s="63"/>
      <c r="G74" s="64"/>
      <c r="H74" s="60"/>
      <c r="I74" s="64"/>
      <c r="J74" s="58"/>
      <c r="K74" s="58"/>
      <c r="L74" s="57"/>
      <c r="M74" s="58"/>
      <c r="N74" s="59"/>
      <c r="O74" s="60"/>
      <c r="P74" s="60"/>
      <c r="Q74" s="60"/>
      <c r="R74" s="58"/>
      <c r="S74" s="56"/>
      <c r="T74" s="61"/>
      <c r="U74" s="62"/>
    </row>
    <row r="75" spans="1:21" x14ac:dyDescent="0.45">
      <c r="A75" s="52"/>
      <c r="B75" s="63"/>
      <c r="C75" s="63"/>
      <c r="D75" s="63"/>
      <c r="E75" s="63"/>
      <c r="F75" s="63"/>
      <c r="G75" s="64"/>
      <c r="H75" s="60"/>
      <c r="I75" s="64"/>
      <c r="J75" s="58"/>
      <c r="K75" s="58"/>
      <c r="L75" s="57"/>
      <c r="M75" s="58"/>
      <c r="N75" s="59"/>
      <c r="O75" s="60"/>
      <c r="P75" s="60"/>
      <c r="Q75" s="60"/>
      <c r="R75" s="58"/>
      <c r="S75" s="56"/>
      <c r="T75" s="61"/>
      <c r="U75" s="62"/>
    </row>
    <row r="76" spans="1:21" x14ac:dyDescent="0.45">
      <c r="A76" s="52"/>
      <c r="B76" s="63"/>
      <c r="C76" s="63"/>
      <c r="D76" s="63"/>
      <c r="E76" s="63"/>
      <c r="F76" s="63"/>
      <c r="G76" s="64"/>
      <c r="H76" s="60"/>
      <c r="I76" s="64"/>
      <c r="J76" s="58"/>
      <c r="K76" s="58"/>
      <c r="L76" s="57"/>
      <c r="M76" s="58"/>
      <c r="N76" s="59"/>
      <c r="O76" s="60"/>
      <c r="P76" s="60"/>
      <c r="Q76" s="60"/>
      <c r="R76" s="58"/>
      <c r="S76" s="56"/>
      <c r="T76" s="61"/>
      <c r="U76" s="62"/>
    </row>
    <row r="77" spans="1:21" x14ac:dyDescent="0.45">
      <c r="A77" s="52"/>
      <c r="B77" s="63"/>
      <c r="C77" s="63"/>
      <c r="D77" s="63"/>
      <c r="E77" s="63"/>
      <c r="F77" s="63"/>
      <c r="G77" s="64"/>
      <c r="H77" s="60"/>
      <c r="I77" s="64"/>
      <c r="J77" s="58"/>
      <c r="K77" s="58"/>
      <c r="L77" s="57"/>
      <c r="M77" s="58"/>
      <c r="N77" s="59"/>
      <c r="O77" s="60"/>
      <c r="P77" s="60"/>
      <c r="Q77" s="60"/>
      <c r="R77" s="58"/>
      <c r="S77" s="56"/>
      <c r="T77" s="61"/>
      <c r="U77" s="62"/>
    </row>
    <row r="78" spans="1:21" x14ac:dyDescent="0.45">
      <c r="A78" s="52"/>
      <c r="B78" s="63"/>
      <c r="C78" s="63"/>
      <c r="D78" s="63"/>
      <c r="E78" s="63"/>
      <c r="F78" s="63"/>
      <c r="G78" s="64"/>
      <c r="H78" s="60"/>
      <c r="I78" s="64"/>
      <c r="J78" s="58"/>
      <c r="K78" s="58"/>
      <c r="L78" s="57"/>
      <c r="M78" s="58"/>
      <c r="N78" s="59"/>
      <c r="O78" s="60"/>
      <c r="P78" s="60"/>
      <c r="Q78" s="60"/>
      <c r="R78" s="58"/>
      <c r="S78" s="56"/>
      <c r="T78" s="61"/>
      <c r="U78" s="62"/>
    </row>
    <row r="79" spans="1:21" x14ac:dyDescent="0.45">
      <c r="A79" s="52"/>
      <c r="B79" s="63"/>
      <c r="C79" s="63"/>
      <c r="D79" s="63"/>
      <c r="E79" s="63"/>
      <c r="F79" s="63"/>
      <c r="G79" s="64"/>
      <c r="H79" s="60"/>
      <c r="I79" s="64"/>
      <c r="J79" s="58"/>
      <c r="K79" s="58"/>
      <c r="L79" s="57"/>
      <c r="M79" s="58"/>
      <c r="N79" s="59"/>
      <c r="O79" s="60"/>
      <c r="P79" s="60"/>
      <c r="Q79" s="60"/>
      <c r="R79" s="58"/>
      <c r="S79" s="56"/>
      <c r="T79" s="61"/>
      <c r="U79" s="62"/>
    </row>
    <row r="80" spans="1:21" x14ac:dyDescent="0.45">
      <c r="A80" s="52"/>
      <c r="B80" s="63"/>
      <c r="C80" s="63"/>
      <c r="D80" s="63"/>
      <c r="E80" s="63"/>
      <c r="F80" s="63"/>
      <c r="G80" s="64"/>
      <c r="H80" s="60"/>
      <c r="I80" s="64"/>
      <c r="J80" s="58"/>
      <c r="K80" s="58"/>
      <c r="L80" s="57"/>
      <c r="M80" s="58"/>
      <c r="N80" s="59"/>
      <c r="O80" s="60"/>
      <c r="P80" s="60"/>
      <c r="Q80" s="60"/>
      <c r="R80" s="58"/>
      <c r="S80" s="56"/>
      <c r="T80" s="61"/>
      <c r="U80" s="62"/>
    </row>
    <row r="81" spans="1:21" x14ac:dyDescent="0.45">
      <c r="A81" s="52"/>
      <c r="B81" s="63"/>
      <c r="C81" s="63"/>
      <c r="D81" s="63"/>
      <c r="E81" s="63"/>
      <c r="F81" s="63"/>
      <c r="G81" s="64"/>
      <c r="H81" s="60"/>
      <c r="I81" s="64"/>
      <c r="J81" s="58"/>
      <c r="K81" s="58"/>
      <c r="L81" s="57"/>
      <c r="M81" s="58"/>
      <c r="N81" s="59"/>
      <c r="O81" s="60"/>
      <c r="P81" s="60"/>
      <c r="Q81" s="60"/>
      <c r="R81" s="58"/>
      <c r="S81" s="56"/>
      <c r="T81" s="61"/>
      <c r="U81" s="62"/>
    </row>
    <row r="82" spans="1:21" x14ac:dyDescent="0.45">
      <c r="A82" s="52"/>
      <c r="B82" s="63"/>
      <c r="C82" s="63"/>
      <c r="D82" s="63"/>
      <c r="E82" s="63"/>
      <c r="F82" s="63"/>
      <c r="G82" s="64"/>
      <c r="H82" s="60"/>
      <c r="I82" s="64"/>
      <c r="J82" s="58"/>
      <c r="K82" s="58"/>
      <c r="L82" s="57"/>
      <c r="M82" s="58"/>
      <c r="N82" s="59"/>
      <c r="O82" s="60"/>
      <c r="P82" s="60"/>
      <c r="Q82" s="60"/>
      <c r="R82" s="58"/>
      <c r="S82" s="56"/>
      <c r="T82" s="61"/>
      <c r="U82" s="62"/>
    </row>
    <row r="83" spans="1:21" x14ac:dyDescent="0.45">
      <c r="A83" s="52"/>
      <c r="B83" s="63"/>
      <c r="C83" s="63"/>
      <c r="D83" s="63"/>
      <c r="E83" s="63"/>
      <c r="F83" s="63"/>
      <c r="G83" s="64"/>
      <c r="H83" s="60"/>
      <c r="I83" s="64"/>
      <c r="J83" s="58"/>
      <c r="K83" s="58"/>
      <c r="L83" s="57"/>
      <c r="M83" s="58"/>
      <c r="N83" s="59"/>
      <c r="O83" s="60"/>
      <c r="P83" s="60"/>
      <c r="Q83" s="60"/>
      <c r="R83" s="58"/>
      <c r="S83" s="56"/>
      <c r="T83" s="61"/>
      <c r="U83" s="62"/>
    </row>
    <row r="84" spans="1:21" x14ac:dyDescent="0.45">
      <c r="A84" s="52"/>
      <c r="B84" s="63"/>
      <c r="C84" s="63"/>
      <c r="D84" s="63"/>
      <c r="E84" s="63"/>
      <c r="F84" s="63"/>
      <c r="G84" s="64"/>
      <c r="H84" s="60"/>
      <c r="I84" s="64"/>
      <c r="J84" s="58"/>
      <c r="K84" s="58"/>
      <c r="L84" s="57"/>
      <c r="M84" s="58"/>
      <c r="N84" s="59"/>
      <c r="O84" s="60"/>
      <c r="P84" s="60"/>
      <c r="Q84" s="60"/>
      <c r="R84" s="58"/>
      <c r="S84" s="56"/>
      <c r="T84" s="61"/>
      <c r="U84" s="62"/>
    </row>
    <row r="85" spans="1:21" x14ac:dyDescent="0.45">
      <c r="A85" s="52"/>
      <c r="B85" s="63"/>
      <c r="C85" s="63"/>
      <c r="D85" s="63"/>
      <c r="E85" s="63"/>
      <c r="F85" s="63"/>
      <c r="G85" s="64"/>
      <c r="H85" s="60"/>
      <c r="I85" s="64"/>
      <c r="J85" s="58"/>
      <c r="K85" s="58"/>
      <c r="L85" s="57"/>
      <c r="M85" s="58"/>
      <c r="N85" s="59"/>
      <c r="O85" s="60"/>
      <c r="P85" s="60"/>
      <c r="Q85" s="60"/>
      <c r="R85" s="58"/>
      <c r="S85" s="56"/>
      <c r="T85" s="61"/>
      <c r="U85" s="62"/>
    </row>
    <row r="86" spans="1:21" x14ac:dyDescent="0.45">
      <c r="A86" s="52"/>
      <c r="B86" s="63"/>
      <c r="C86" s="63"/>
      <c r="D86" s="63"/>
      <c r="E86" s="63"/>
      <c r="F86" s="63"/>
      <c r="G86" s="64"/>
      <c r="H86" s="60"/>
      <c r="I86" s="64"/>
      <c r="J86" s="58"/>
      <c r="K86" s="58"/>
      <c r="L86" s="57"/>
      <c r="M86" s="58"/>
      <c r="N86" s="59"/>
      <c r="O86" s="60"/>
      <c r="P86" s="60"/>
      <c r="Q86" s="60"/>
      <c r="R86" s="58"/>
      <c r="S86" s="56"/>
      <c r="T86" s="61"/>
      <c r="U86" s="62"/>
    </row>
    <row r="87" spans="1:21" x14ac:dyDescent="0.45">
      <c r="A87" s="52"/>
      <c r="B87" s="63"/>
      <c r="C87" s="63"/>
      <c r="D87" s="63"/>
      <c r="E87" s="63"/>
      <c r="F87" s="63"/>
      <c r="G87" s="64"/>
      <c r="H87" s="60"/>
      <c r="I87" s="64"/>
      <c r="J87" s="58"/>
      <c r="K87" s="58"/>
      <c r="L87" s="57"/>
      <c r="M87" s="58"/>
      <c r="N87" s="59"/>
      <c r="O87" s="60"/>
      <c r="P87" s="60"/>
      <c r="Q87" s="60"/>
      <c r="R87" s="58"/>
      <c r="S87" s="56"/>
      <c r="T87" s="61"/>
      <c r="U87" s="62"/>
    </row>
    <row r="88" spans="1:21" x14ac:dyDescent="0.45">
      <c r="A88" s="52"/>
      <c r="B88" s="63"/>
      <c r="C88" s="63"/>
      <c r="D88" s="63"/>
      <c r="E88" s="63"/>
      <c r="F88" s="63"/>
      <c r="G88" s="64"/>
      <c r="H88" s="60"/>
      <c r="I88" s="64"/>
      <c r="J88" s="58"/>
      <c r="K88" s="58"/>
      <c r="L88" s="57"/>
      <c r="M88" s="58"/>
      <c r="N88" s="59"/>
      <c r="O88" s="60"/>
      <c r="P88" s="60"/>
      <c r="Q88" s="60"/>
      <c r="R88" s="58"/>
      <c r="S88" s="56"/>
      <c r="T88" s="61"/>
      <c r="U88" s="62"/>
    </row>
    <row r="89" spans="1:21" x14ac:dyDescent="0.45">
      <c r="A89" s="52"/>
      <c r="B89" s="63"/>
      <c r="C89" s="63"/>
      <c r="D89" s="63"/>
      <c r="E89" s="63"/>
      <c r="F89" s="63"/>
      <c r="G89" s="64"/>
      <c r="H89" s="60"/>
      <c r="I89" s="64"/>
      <c r="J89" s="58"/>
      <c r="K89" s="58"/>
      <c r="L89" s="57"/>
      <c r="M89" s="58"/>
      <c r="N89" s="59"/>
      <c r="O89" s="60"/>
      <c r="P89" s="60"/>
      <c r="Q89" s="60"/>
      <c r="R89" s="58"/>
      <c r="S89" s="56"/>
      <c r="T89" s="61"/>
      <c r="U89" s="62"/>
    </row>
    <row r="90" spans="1:21" x14ac:dyDescent="0.45">
      <c r="A90" s="52"/>
      <c r="B90" s="63"/>
      <c r="C90" s="63"/>
      <c r="D90" s="63"/>
      <c r="E90" s="63"/>
      <c r="F90" s="63"/>
      <c r="G90" s="64"/>
      <c r="H90" s="60"/>
      <c r="I90" s="64"/>
      <c r="J90" s="58"/>
      <c r="K90" s="58"/>
      <c r="L90" s="57"/>
      <c r="M90" s="58"/>
      <c r="N90" s="59"/>
      <c r="O90" s="60"/>
      <c r="P90" s="60"/>
      <c r="Q90" s="60"/>
      <c r="R90" s="58"/>
      <c r="S90" s="56"/>
      <c r="T90" s="61"/>
      <c r="U90" s="62"/>
    </row>
    <row r="91" spans="1:21" x14ac:dyDescent="0.45">
      <c r="A91" s="52"/>
      <c r="B91" s="63"/>
      <c r="C91" s="63"/>
      <c r="D91" s="63"/>
      <c r="E91" s="63"/>
      <c r="F91" s="63"/>
      <c r="G91" s="64"/>
      <c r="H91" s="60"/>
      <c r="I91" s="64"/>
      <c r="J91" s="58"/>
      <c r="K91" s="58"/>
      <c r="L91" s="57"/>
      <c r="M91" s="58"/>
      <c r="N91" s="59"/>
      <c r="O91" s="60"/>
      <c r="P91" s="60"/>
      <c r="Q91" s="60"/>
      <c r="R91" s="58"/>
      <c r="S91" s="56"/>
      <c r="T91" s="61"/>
      <c r="U91" s="62"/>
    </row>
    <row r="92" spans="1:21" x14ac:dyDescent="0.45">
      <c r="A92" s="52"/>
      <c r="B92" s="63"/>
      <c r="C92" s="63"/>
      <c r="D92" s="63"/>
      <c r="E92" s="63"/>
      <c r="F92" s="63"/>
      <c r="G92" s="64"/>
      <c r="H92" s="60"/>
      <c r="I92" s="64"/>
      <c r="J92" s="58"/>
      <c r="K92" s="58"/>
      <c r="L92" s="57"/>
      <c r="M92" s="58"/>
      <c r="N92" s="59"/>
      <c r="O92" s="60"/>
      <c r="P92" s="60"/>
      <c r="Q92" s="60"/>
      <c r="R92" s="58"/>
      <c r="S92" s="56"/>
      <c r="T92" s="61"/>
      <c r="U92" s="62"/>
    </row>
    <row r="93" spans="1:21" x14ac:dyDescent="0.45">
      <c r="A93" s="52"/>
      <c r="B93" s="63"/>
      <c r="C93" s="63"/>
      <c r="D93" s="63"/>
      <c r="E93" s="63"/>
      <c r="F93" s="63"/>
      <c r="G93" s="64"/>
      <c r="H93" s="60"/>
      <c r="I93" s="64"/>
      <c r="J93" s="58"/>
      <c r="K93" s="58"/>
      <c r="L93" s="57"/>
      <c r="M93" s="58"/>
      <c r="N93" s="59"/>
      <c r="O93" s="60"/>
      <c r="P93" s="60"/>
      <c r="Q93" s="60"/>
      <c r="R93" s="58"/>
      <c r="S93" s="56"/>
      <c r="T93" s="61"/>
      <c r="U93" s="62"/>
    </row>
    <row r="94" spans="1:21" x14ac:dyDescent="0.45">
      <c r="A94" s="52"/>
      <c r="B94" s="63"/>
      <c r="C94" s="63"/>
      <c r="D94" s="63"/>
      <c r="E94" s="63"/>
      <c r="F94" s="63"/>
      <c r="G94" s="64"/>
      <c r="H94" s="60"/>
      <c r="I94" s="64"/>
      <c r="J94" s="58"/>
      <c r="K94" s="58"/>
      <c r="L94" s="57"/>
      <c r="M94" s="58"/>
      <c r="N94" s="59"/>
      <c r="O94" s="60"/>
      <c r="P94" s="60"/>
      <c r="Q94" s="60"/>
      <c r="R94" s="58"/>
      <c r="S94" s="56"/>
      <c r="T94" s="61"/>
      <c r="U94" s="62"/>
    </row>
    <row r="95" spans="1:21" x14ac:dyDescent="0.45">
      <c r="A95" s="52"/>
      <c r="B95" s="63"/>
      <c r="C95" s="63"/>
      <c r="D95" s="63"/>
      <c r="E95" s="63"/>
      <c r="F95" s="63"/>
      <c r="G95" s="64"/>
      <c r="H95" s="60"/>
      <c r="I95" s="64"/>
      <c r="J95" s="58"/>
      <c r="K95" s="58"/>
      <c r="L95" s="57"/>
      <c r="M95" s="58"/>
      <c r="N95" s="59"/>
      <c r="O95" s="60"/>
      <c r="P95" s="60"/>
      <c r="Q95" s="60"/>
      <c r="R95" s="58"/>
      <c r="S95" s="56"/>
      <c r="T95" s="61"/>
      <c r="U95" s="62"/>
    </row>
    <row r="96" spans="1:21" x14ac:dyDescent="0.45">
      <c r="A96" s="52"/>
      <c r="B96" s="63"/>
      <c r="C96" s="63"/>
      <c r="D96" s="63"/>
      <c r="E96" s="63"/>
      <c r="F96" s="63"/>
      <c r="G96" s="64"/>
      <c r="H96" s="60"/>
      <c r="I96" s="64"/>
      <c r="J96" s="58"/>
      <c r="K96" s="58"/>
      <c r="L96" s="57"/>
      <c r="M96" s="58"/>
      <c r="N96" s="59"/>
      <c r="O96" s="60"/>
      <c r="P96" s="60"/>
      <c r="Q96" s="60"/>
      <c r="R96" s="58"/>
      <c r="S96" s="56"/>
      <c r="T96" s="61"/>
      <c r="U96" s="62"/>
    </row>
    <row r="97" spans="1:21" x14ac:dyDescent="0.45">
      <c r="A97" s="52"/>
      <c r="B97" s="63"/>
      <c r="C97" s="63"/>
      <c r="D97" s="63"/>
      <c r="E97" s="63"/>
      <c r="F97" s="63"/>
      <c r="G97" s="64"/>
      <c r="H97" s="60"/>
      <c r="I97" s="64"/>
      <c r="J97" s="58"/>
      <c r="K97" s="58"/>
      <c r="L97" s="57"/>
      <c r="M97" s="58"/>
      <c r="N97" s="59"/>
      <c r="O97" s="60"/>
      <c r="P97" s="60"/>
      <c r="Q97" s="60"/>
      <c r="R97" s="58"/>
      <c r="S97" s="56"/>
      <c r="T97" s="61"/>
      <c r="U97" s="62"/>
    </row>
    <row r="98" spans="1:21" x14ac:dyDescent="0.45">
      <c r="A98" s="52"/>
      <c r="B98" s="63"/>
      <c r="C98" s="63"/>
      <c r="D98" s="63"/>
      <c r="E98" s="63"/>
      <c r="F98" s="63"/>
      <c r="G98" s="64"/>
      <c r="H98" s="60"/>
      <c r="I98" s="64"/>
      <c r="J98" s="58"/>
      <c r="K98" s="58"/>
      <c r="L98" s="57"/>
      <c r="M98" s="58"/>
      <c r="N98" s="59"/>
      <c r="O98" s="60"/>
      <c r="P98" s="60"/>
      <c r="Q98" s="60"/>
      <c r="R98" s="58"/>
      <c r="S98" s="56"/>
      <c r="T98" s="61"/>
      <c r="U98" s="62"/>
    </row>
    <row r="99" spans="1:21" x14ac:dyDescent="0.45">
      <c r="A99" s="52"/>
      <c r="B99" s="63"/>
      <c r="C99" s="63"/>
      <c r="D99" s="63"/>
      <c r="E99" s="63"/>
      <c r="F99" s="63"/>
      <c r="G99" s="64"/>
      <c r="H99" s="60"/>
      <c r="I99" s="64"/>
      <c r="J99" s="58"/>
      <c r="K99" s="58"/>
      <c r="L99" s="57"/>
      <c r="M99" s="58"/>
      <c r="N99" s="59"/>
      <c r="O99" s="60"/>
      <c r="P99" s="60"/>
      <c r="Q99" s="60"/>
      <c r="R99" s="58"/>
      <c r="S99" s="56"/>
      <c r="T99" s="61"/>
      <c r="U99" s="62"/>
    </row>
    <row r="100" spans="1:21" x14ac:dyDescent="0.45">
      <c r="A100" s="52"/>
      <c r="B100" s="63"/>
      <c r="C100" s="63"/>
      <c r="D100" s="63"/>
      <c r="E100" s="63"/>
      <c r="F100" s="63"/>
      <c r="G100" s="64"/>
      <c r="H100" s="60"/>
      <c r="I100" s="64"/>
      <c r="J100" s="58"/>
      <c r="K100" s="58"/>
      <c r="L100" s="57"/>
      <c r="M100" s="58"/>
      <c r="N100" s="59"/>
      <c r="O100" s="60"/>
      <c r="P100" s="60"/>
      <c r="Q100" s="60"/>
      <c r="R100" s="58"/>
      <c r="S100" s="56"/>
      <c r="T100" s="61"/>
      <c r="U100" s="62"/>
    </row>
    <row r="101" spans="1:21" x14ac:dyDescent="0.45">
      <c r="A101" s="52"/>
      <c r="B101" s="63"/>
      <c r="C101" s="63"/>
      <c r="D101" s="63"/>
      <c r="E101" s="63"/>
      <c r="F101" s="63"/>
      <c r="G101" s="64"/>
      <c r="H101" s="60"/>
      <c r="I101" s="64"/>
      <c r="J101" s="58"/>
      <c r="K101" s="58"/>
      <c r="L101" s="57"/>
      <c r="M101" s="58"/>
      <c r="N101" s="59"/>
      <c r="O101" s="60"/>
      <c r="P101" s="60"/>
      <c r="Q101" s="60"/>
      <c r="R101" s="58"/>
      <c r="S101" s="56"/>
      <c r="T101" s="61"/>
      <c r="U101" s="62"/>
    </row>
    <row r="102" spans="1:21" x14ac:dyDescent="0.45">
      <c r="A102" s="52"/>
      <c r="B102" s="63"/>
      <c r="C102" s="63"/>
      <c r="D102" s="63"/>
      <c r="E102" s="63"/>
      <c r="F102" s="63"/>
      <c r="G102" s="64"/>
      <c r="H102" s="60"/>
      <c r="I102" s="64"/>
      <c r="J102" s="58"/>
      <c r="K102" s="58"/>
      <c r="L102" s="57"/>
      <c r="M102" s="58"/>
      <c r="N102" s="59"/>
      <c r="O102" s="60"/>
      <c r="P102" s="60"/>
      <c r="Q102" s="60"/>
      <c r="R102" s="58"/>
      <c r="S102" s="56"/>
      <c r="T102" s="61"/>
      <c r="U102" s="62"/>
    </row>
    <row r="103" spans="1:21" x14ac:dyDescent="0.45">
      <c r="A103" s="52"/>
      <c r="B103" s="63"/>
      <c r="C103" s="63"/>
      <c r="D103" s="63"/>
      <c r="E103" s="63"/>
      <c r="F103" s="63"/>
      <c r="G103" s="64"/>
      <c r="H103" s="60"/>
      <c r="I103" s="64"/>
      <c r="J103" s="58"/>
      <c r="K103" s="58"/>
      <c r="L103" s="57"/>
      <c r="M103" s="58"/>
      <c r="N103" s="59"/>
      <c r="O103" s="60"/>
      <c r="P103" s="60"/>
      <c r="Q103" s="60"/>
      <c r="R103" s="58"/>
      <c r="S103" s="56"/>
      <c r="T103" s="61"/>
      <c r="U103" s="62"/>
    </row>
    <row r="104" spans="1:21" x14ac:dyDescent="0.45">
      <c r="A104" s="52"/>
      <c r="B104" s="63"/>
      <c r="C104" s="63"/>
      <c r="D104" s="63"/>
      <c r="E104" s="63"/>
      <c r="F104" s="63"/>
      <c r="G104" s="64"/>
      <c r="H104" s="60"/>
      <c r="I104" s="64"/>
      <c r="J104" s="58"/>
      <c r="K104" s="58"/>
      <c r="L104" s="57"/>
      <c r="M104" s="58"/>
      <c r="N104" s="59"/>
      <c r="O104" s="60"/>
      <c r="P104" s="60"/>
      <c r="Q104" s="60"/>
      <c r="R104" s="58"/>
      <c r="S104" s="56"/>
      <c r="T104" s="61"/>
      <c r="U104" s="62"/>
    </row>
    <row r="105" spans="1:21" x14ac:dyDescent="0.45">
      <c r="A105" s="52"/>
      <c r="B105" s="63"/>
      <c r="C105" s="63"/>
      <c r="D105" s="63"/>
      <c r="E105" s="63"/>
      <c r="F105" s="63"/>
      <c r="G105" s="64"/>
      <c r="H105" s="60"/>
      <c r="I105" s="64"/>
      <c r="J105" s="58"/>
      <c r="K105" s="58"/>
      <c r="L105" s="57"/>
      <c r="M105" s="58"/>
      <c r="N105" s="59"/>
      <c r="O105" s="60"/>
      <c r="P105" s="60"/>
      <c r="Q105" s="60"/>
      <c r="R105" s="58"/>
      <c r="S105" s="56"/>
      <c r="T105" s="61"/>
      <c r="U105" s="62"/>
    </row>
    <row r="106" spans="1:21" x14ac:dyDescent="0.45">
      <c r="A106" s="52"/>
      <c r="B106" s="63"/>
      <c r="C106" s="63"/>
      <c r="D106" s="63"/>
      <c r="E106" s="63"/>
      <c r="F106" s="63"/>
      <c r="G106" s="64"/>
      <c r="H106" s="60"/>
      <c r="I106" s="64"/>
      <c r="J106" s="58"/>
      <c r="K106" s="58"/>
      <c r="L106" s="57"/>
      <c r="M106" s="58"/>
      <c r="N106" s="59"/>
      <c r="O106" s="60"/>
      <c r="P106" s="60"/>
      <c r="Q106" s="60"/>
      <c r="R106" s="58"/>
      <c r="S106" s="56"/>
      <c r="T106" s="61"/>
      <c r="U106" s="62"/>
    </row>
    <row r="107" spans="1:21" x14ac:dyDescent="0.45">
      <c r="A107" s="52"/>
      <c r="B107" s="63"/>
      <c r="C107" s="63"/>
      <c r="D107" s="63"/>
      <c r="E107" s="63"/>
      <c r="F107" s="63"/>
      <c r="G107" s="64"/>
      <c r="H107" s="60"/>
      <c r="I107" s="64"/>
      <c r="J107" s="58"/>
      <c r="K107" s="58"/>
      <c r="L107" s="57"/>
      <c r="M107" s="58"/>
      <c r="N107" s="59"/>
      <c r="O107" s="60"/>
      <c r="P107" s="60"/>
      <c r="Q107" s="60"/>
      <c r="R107" s="58"/>
      <c r="S107" s="56"/>
      <c r="T107" s="61"/>
      <c r="U107" s="62"/>
    </row>
    <row r="108" spans="1:21" x14ac:dyDescent="0.45">
      <c r="A108" s="52"/>
      <c r="B108" s="63"/>
      <c r="C108" s="63"/>
      <c r="D108" s="63"/>
      <c r="E108" s="63"/>
      <c r="F108" s="63"/>
      <c r="G108" s="64"/>
      <c r="H108" s="60"/>
      <c r="I108" s="64"/>
      <c r="J108" s="58"/>
      <c r="K108" s="58"/>
      <c r="L108" s="57"/>
      <c r="M108" s="58"/>
      <c r="N108" s="59"/>
      <c r="O108" s="60"/>
      <c r="P108" s="60"/>
      <c r="Q108" s="60"/>
      <c r="R108" s="58"/>
      <c r="S108" s="56"/>
      <c r="T108" s="61"/>
      <c r="U108" s="62"/>
    </row>
    <row r="109" spans="1:21" x14ac:dyDescent="0.45">
      <c r="A109" s="52"/>
      <c r="B109" s="63"/>
      <c r="C109" s="63"/>
      <c r="D109" s="63"/>
      <c r="E109" s="63"/>
      <c r="F109" s="63"/>
      <c r="G109" s="64"/>
      <c r="H109" s="60"/>
      <c r="I109" s="64"/>
      <c r="J109" s="58"/>
      <c r="K109" s="58"/>
      <c r="L109" s="57"/>
      <c r="M109" s="58"/>
      <c r="N109" s="59"/>
      <c r="O109" s="60"/>
      <c r="P109" s="60"/>
      <c r="Q109" s="60"/>
      <c r="R109" s="58"/>
      <c r="S109" s="56"/>
      <c r="T109" s="61"/>
      <c r="U109" s="62"/>
    </row>
    <row r="110" spans="1:21" x14ac:dyDescent="0.45">
      <c r="A110" s="52"/>
      <c r="B110" s="63"/>
      <c r="C110" s="63"/>
      <c r="D110" s="63"/>
      <c r="E110" s="63"/>
      <c r="F110" s="63"/>
      <c r="G110" s="64"/>
      <c r="H110" s="60"/>
      <c r="I110" s="64"/>
      <c r="J110" s="58"/>
      <c r="K110" s="58"/>
      <c r="L110" s="57"/>
      <c r="M110" s="58"/>
      <c r="N110" s="59"/>
      <c r="O110" s="60"/>
      <c r="P110" s="60"/>
      <c r="Q110" s="60"/>
      <c r="R110" s="58"/>
      <c r="S110" s="56"/>
      <c r="T110" s="61"/>
      <c r="U110" s="62"/>
    </row>
    <row r="111" spans="1:21" x14ac:dyDescent="0.45">
      <c r="A111" s="52"/>
      <c r="B111" s="63"/>
      <c r="C111" s="63"/>
      <c r="D111" s="63"/>
      <c r="E111" s="63"/>
      <c r="F111" s="63"/>
      <c r="G111" s="64"/>
      <c r="H111" s="60"/>
      <c r="I111" s="64"/>
      <c r="J111" s="58"/>
      <c r="K111" s="58"/>
      <c r="L111" s="57"/>
      <c r="M111" s="58"/>
      <c r="N111" s="59"/>
      <c r="O111" s="60"/>
      <c r="P111" s="60"/>
      <c r="Q111" s="60"/>
      <c r="R111" s="58"/>
      <c r="S111" s="56"/>
      <c r="T111" s="61"/>
      <c r="U111" s="62"/>
    </row>
    <row r="112" spans="1:21" x14ac:dyDescent="0.45">
      <c r="A112" s="52"/>
      <c r="B112" s="63"/>
      <c r="C112" s="63"/>
      <c r="D112" s="63"/>
      <c r="E112" s="63"/>
      <c r="F112" s="63"/>
      <c r="G112" s="64"/>
      <c r="H112" s="60"/>
      <c r="I112" s="64"/>
      <c r="J112" s="58"/>
      <c r="K112" s="58"/>
      <c r="L112" s="57"/>
      <c r="M112" s="58"/>
      <c r="N112" s="59"/>
      <c r="O112" s="60"/>
      <c r="P112" s="60"/>
      <c r="Q112" s="60"/>
      <c r="R112" s="58"/>
      <c r="S112" s="56"/>
      <c r="T112" s="61"/>
      <c r="U112" s="62"/>
    </row>
    <row r="113" spans="1:21" x14ac:dyDescent="0.45">
      <c r="A113" s="52"/>
      <c r="B113" s="63"/>
      <c r="C113" s="63"/>
      <c r="D113" s="63"/>
      <c r="E113" s="63"/>
      <c r="F113" s="63"/>
      <c r="G113" s="64"/>
      <c r="H113" s="60"/>
      <c r="I113" s="64"/>
      <c r="J113" s="58"/>
      <c r="K113" s="58"/>
      <c r="L113" s="57"/>
      <c r="M113" s="58"/>
      <c r="N113" s="59"/>
      <c r="O113" s="60"/>
      <c r="P113" s="60"/>
      <c r="Q113" s="60"/>
      <c r="R113" s="58"/>
      <c r="S113" s="56"/>
      <c r="T113" s="61"/>
      <c r="U113" s="62"/>
    </row>
    <row r="114" spans="1:21" x14ac:dyDescent="0.45">
      <c r="A114" s="52"/>
      <c r="B114" s="63"/>
      <c r="C114" s="63"/>
      <c r="D114" s="63"/>
      <c r="E114" s="63"/>
      <c r="F114" s="63"/>
      <c r="G114" s="64"/>
      <c r="H114" s="60"/>
      <c r="I114" s="64"/>
      <c r="J114" s="58"/>
      <c r="K114" s="58"/>
      <c r="L114" s="57"/>
      <c r="M114" s="58"/>
      <c r="N114" s="59"/>
      <c r="O114" s="60"/>
      <c r="P114" s="60"/>
      <c r="Q114" s="60"/>
      <c r="R114" s="58"/>
      <c r="S114" s="56"/>
      <c r="T114" s="61"/>
      <c r="U114" s="62"/>
    </row>
    <row r="115" spans="1:21" x14ac:dyDescent="0.45">
      <c r="A115" s="52"/>
      <c r="B115" s="63"/>
      <c r="C115" s="63"/>
      <c r="D115" s="63"/>
      <c r="E115" s="63"/>
      <c r="F115" s="63"/>
      <c r="G115" s="64"/>
      <c r="H115" s="60"/>
      <c r="I115" s="64"/>
      <c r="J115" s="58"/>
      <c r="K115" s="58"/>
      <c r="L115" s="57"/>
      <c r="M115" s="58"/>
      <c r="N115" s="59"/>
      <c r="O115" s="60"/>
      <c r="P115" s="60"/>
      <c r="Q115" s="60"/>
      <c r="R115" s="58"/>
      <c r="S115" s="56"/>
      <c r="T115" s="61"/>
      <c r="U115" s="62"/>
    </row>
    <row r="116" spans="1:21" x14ac:dyDescent="0.45">
      <c r="A116" s="52"/>
      <c r="B116" s="63"/>
      <c r="C116" s="63"/>
      <c r="D116" s="63"/>
      <c r="E116" s="63"/>
      <c r="F116" s="63"/>
      <c r="G116" s="64"/>
      <c r="H116" s="60"/>
      <c r="I116" s="64"/>
      <c r="J116" s="58"/>
      <c r="K116" s="58"/>
      <c r="L116" s="57"/>
      <c r="M116" s="58"/>
      <c r="N116" s="59"/>
      <c r="O116" s="60"/>
      <c r="P116" s="60"/>
      <c r="Q116" s="60"/>
      <c r="R116" s="58"/>
      <c r="S116" s="56"/>
      <c r="T116" s="61"/>
      <c r="U116" s="62"/>
    </row>
    <row r="117" spans="1:21" x14ac:dyDescent="0.45">
      <c r="A117" s="52"/>
      <c r="B117" s="63"/>
      <c r="C117" s="63"/>
      <c r="D117" s="63"/>
      <c r="E117" s="63"/>
      <c r="F117" s="63"/>
      <c r="G117" s="64"/>
      <c r="H117" s="60"/>
      <c r="I117" s="64"/>
      <c r="J117" s="58"/>
      <c r="K117" s="58"/>
      <c r="L117" s="57"/>
      <c r="M117" s="58"/>
      <c r="N117" s="59"/>
      <c r="O117" s="60"/>
      <c r="P117" s="60"/>
      <c r="Q117" s="60"/>
      <c r="R117" s="58"/>
      <c r="S117" s="56"/>
      <c r="T117" s="61"/>
      <c r="U117" s="62"/>
    </row>
    <row r="118" spans="1:21" x14ac:dyDescent="0.45">
      <c r="A118" s="52"/>
      <c r="B118" s="63"/>
      <c r="C118" s="63"/>
      <c r="D118" s="63"/>
      <c r="E118" s="63"/>
      <c r="F118" s="63"/>
      <c r="G118" s="64"/>
      <c r="H118" s="60"/>
      <c r="I118" s="64"/>
      <c r="J118" s="58"/>
      <c r="K118" s="58"/>
      <c r="L118" s="57"/>
      <c r="M118" s="58"/>
      <c r="N118" s="59"/>
      <c r="O118" s="60"/>
      <c r="P118" s="60"/>
      <c r="Q118" s="60"/>
      <c r="R118" s="58"/>
      <c r="S118" s="56"/>
      <c r="T118" s="61"/>
      <c r="U118" s="62"/>
    </row>
    <row r="119" spans="1:21" x14ac:dyDescent="0.45">
      <c r="A119" s="52"/>
      <c r="B119" s="63"/>
      <c r="C119" s="63"/>
      <c r="D119" s="63"/>
      <c r="E119" s="63"/>
      <c r="F119" s="63"/>
      <c r="G119" s="64"/>
      <c r="H119" s="60"/>
      <c r="I119" s="64"/>
      <c r="J119" s="58"/>
      <c r="K119" s="58"/>
      <c r="L119" s="57"/>
      <c r="M119" s="58"/>
      <c r="N119" s="59"/>
      <c r="O119" s="60"/>
      <c r="P119" s="60"/>
      <c r="Q119" s="60"/>
      <c r="R119" s="58"/>
      <c r="S119" s="56"/>
      <c r="T119" s="61"/>
      <c r="U119" s="62"/>
    </row>
    <row r="120" spans="1:21" x14ac:dyDescent="0.45">
      <c r="A120" s="52"/>
      <c r="B120" s="63"/>
      <c r="C120" s="63"/>
      <c r="D120" s="63"/>
      <c r="E120" s="63"/>
      <c r="F120" s="63"/>
      <c r="G120" s="64"/>
      <c r="H120" s="60"/>
      <c r="I120" s="64"/>
      <c r="J120" s="58"/>
      <c r="K120" s="58"/>
      <c r="L120" s="57"/>
      <c r="M120" s="58"/>
      <c r="N120" s="59"/>
      <c r="O120" s="60"/>
      <c r="P120" s="60"/>
      <c r="Q120" s="60"/>
      <c r="R120" s="58"/>
      <c r="S120" s="56"/>
      <c r="T120" s="61"/>
      <c r="U120" s="62"/>
    </row>
    <row r="121" spans="1:21" x14ac:dyDescent="0.45">
      <c r="A121" s="52"/>
      <c r="B121" s="63"/>
      <c r="C121" s="63"/>
      <c r="D121" s="63"/>
      <c r="E121" s="63"/>
      <c r="F121" s="63"/>
      <c r="G121" s="64"/>
      <c r="H121" s="60"/>
      <c r="I121" s="64"/>
      <c r="J121" s="58"/>
      <c r="K121" s="58"/>
      <c r="L121" s="57"/>
      <c r="M121" s="58"/>
      <c r="N121" s="59"/>
      <c r="O121" s="60"/>
      <c r="P121" s="60"/>
      <c r="Q121" s="60"/>
      <c r="R121" s="58"/>
      <c r="S121" s="56"/>
      <c r="T121" s="61"/>
      <c r="U121" s="62"/>
    </row>
    <row r="122" spans="1:21" x14ac:dyDescent="0.45">
      <c r="A122" s="52"/>
      <c r="B122" s="63"/>
      <c r="C122" s="63"/>
      <c r="D122" s="63"/>
      <c r="E122" s="63"/>
      <c r="F122" s="63"/>
      <c r="G122" s="64"/>
      <c r="H122" s="60"/>
      <c r="I122" s="64"/>
      <c r="J122" s="58"/>
      <c r="K122" s="58"/>
      <c r="L122" s="57"/>
      <c r="M122" s="58"/>
      <c r="N122" s="59"/>
      <c r="O122" s="60"/>
      <c r="P122" s="60"/>
      <c r="Q122" s="60"/>
      <c r="R122" s="58"/>
      <c r="S122" s="56"/>
      <c r="T122" s="61"/>
      <c r="U122" s="62"/>
    </row>
    <row r="123" spans="1:21" x14ac:dyDescent="0.45">
      <c r="A123" s="52"/>
      <c r="B123" s="63"/>
      <c r="C123" s="63"/>
      <c r="D123" s="63"/>
      <c r="E123" s="63"/>
      <c r="F123" s="63"/>
      <c r="G123" s="64"/>
      <c r="H123" s="60"/>
      <c r="I123" s="64"/>
      <c r="J123" s="58"/>
      <c r="K123" s="58"/>
      <c r="L123" s="57"/>
      <c r="M123" s="58"/>
      <c r="N123" s="59"/>
      <c r="O123" s="60"/>
      <c r="P123" s="60"/>
      <c r="Q123" s="60"/>
      <c r="R123" s="58"/>
      <c r="S123" s="56"/>
      <c r="T123" s="61"/>
      <c r="U123" s="62"/>
    </row>
    <row r="124" spans="1:21" x14ac:dyDescent="0.45">
      <c r="A124" s="52"/>
      <c r="B124" s="63"/>
      <c r="C124" s="63"/>
      <c r="D124" s="63"/>
      <c r="E124" s="63"/>
      <c r="F124" s="63"/>
      <c r="G124" s="64"/>
      <c r="H124" s="60"/>
      <c r="I124" s="64"/>
      <c r="J124" s="58"/>
      <c r="K124" s="58"/>
      <c r="L124" s="57"/>
      <c r="M124" s="58"/>
      <c r="N124" s="59"/>
      <c r="O124" s="60"/>
      <c r="P124" s="60"/>
      <c r="Q124" s="60"/>
      <c r="R124" s="58"/>
      <c r="S124" s="56"/>
      <c r="T124" s="61"/>
      <c r="U124" s="62"/>
    </row>
    <row r="125" spans="1:21" x14ac:dyDescent="0.45">
      <c r="A125" s="52"/>
      <c r="B125" s="63"/>
      <c r="C125" s="63"/>
      <c r="D125" s="63"/>
      <c r="E125" s="63"/>
      <c r="F125" s="63"/>
      <c r="G125" s="64"/>
      <c r="H125" s="60"/>
      <c r="I125" s="64"/>
      <c r="J125" s="58"/>
      <c r="K125" s="58"/>
      <c r="L125" s="57"/>
      <c r="M125" s="58"/>
      <c r="N125" s="59"/>
      <c r="O125" s="60"/>
      <c r="P125" s="60"/>
      <c r="Q125" s="60"/>
      <c r="R125" s="58"/>
      <c r="S125" s="56"/>
      <c r="T125" s="61"/>
      <c r="U125" s="62"/>
    </row>
    <row r="126" spans="1:21" x14ac:dyDescent="0.45">
      <c r="A126" s="52"/>
      <c r="B126" s="63"/>
      <c r="C126" s="63"/>
      <c r="D126" s="63"/>
      <c r="E126" s="63"/>
      <c r="F126" s="63"/>
      <c r="G126" s="64"/>
      <c r="H126" s="60"/>
      <c r="I126" s="64"/>
      <c r="J126" s="58"/>
      <c r="K126" s="58"/>
      <c r="L126" s="57"/>
      <c r="M126" s="58"/>
      <c r="N126" s="59"/>
      <c r="O126" s="60"/>
      <c r="P126" s="60"/>
      <c r="Q126" s="60"/>
      <c r="R126" s="58"/>
      <c r="S126" s="56"/>
      <c r="T126" s="61"/>
      <c r="U126" s="62"/>
    </row>
    <row r="127" spans="1:21" x14ac:dyDescent="0.45">
      <c r="A127" s="52"/>
      <c r="B127" s="63"/>
      <c r="C127" s="63"/>
      <c r="D127" s="63"/>
      <c r="E127" s="63"/>
      <c r="F127" s="63"/>
      <c r="G127" s="64"/>
      <c r="H127" s="60"/>
      <c r="I127" s="64"/>
      <c r="J127" s="58"/>
      <c r="K127" s="58"/>
      <c r="L127" s="57"/>
      <c r="M127" s="58"/>
      <c r="N127" s="59"/>
      <c r="O127" s="60"/>
      <c r="P127" s="60"/>
      <c r="Q127" s="60"/>
      <c r="R127" s="58"/>
      <c r="S127" s="56"/>
      <c r="T127" s="61"/>
      <c r="U127" s="62"/>
    </row>
    <row r="128" spans="1:21" x14ac:dyDescent="0.45">
      <c r="A128" s="52"/>
      <c r="B128" s="63"/>
      <c r="C128" s="63"/>
      <c r="D128" s="63"/>
      <c r="E128" s="63"/>
      <c r="F128" s="63"/>
      <c r="G128" s="64"/>
      <c r="H128" s="60"/>
      <c r="I128" s="64"/>
      <c r="J128" s="58"/>
      <c r="K128" s="58"/>
      <c r="L128" s="57"/>
      <c r="M128" s="58"/>
      <c r="N128" s="59"/>
      <c r="O128" s="60"/>
      <c r="P128" s="60"/>
      <c r="Q128" s="60"/>
      <c r="R128" s="58"/>
      <c r="S128" s="56"/>
      <c r="T128" s="61"/>
      <c r="U128" s="62"/>
    </row>
    <row r="129" spans="1:21" x14ac:dyDescent="0.45">
      <c r="A129" s="52"/>
      <c r="B129" s="63"/>
      <c r="C129" s="63"/>
      <c r="D129" s="63"/>
      <c r="E129" s="63"/>
      <c r="F129" s="63"/>
      <c r="G129" s="64"/>
      <c r="H129" s="60"/>
      <c r="I129" s="64"/>
      <c r="J129" s="58"/>
      <c r="K129" s="58"/>
      <c r="L129" s="57"/>
      <c r="M129" s="58"/>
      <c r="N129" s="59"/>
      <c r="O129" s="60"/>
      <c r="P129" s="60"/>
      <c r="Q129" s="60"/>
      <c r="R129" s="58"/>
      <c r="S129" s="56"/>
      <c r="T129" s="61"/>
      <c r="U129" s="62"/>
    </row>
    <row r="130" spans="1:21" x14ac:dyDescent="0.45">
      <c r="A130" s="52"/>
      <c r="B130" s="63"/>
      <c r="C130" s="63"/>
      <c r="D130" s="63"/>
      <c r="E130" s="63"/>
      <c r="F130" s="63"/>
      <c r="G130" s="64"/>
      <c r="H130" s="60"/>
      <c r="I130" s="64"/>
      <c r="J130" s="58"/>
      <c r="K130" s="58"/>
      <c r="L130" s="57"/>
      <c r="M130" s="58"/>
      <c r="N130" s="59"/>
      <c r="O130" s="60"/>
      <c r="P130" s="60"/>
      <c r="Q130" s="60"/>
      <c r="R130" s="58"/>
      <c r="S130" s="56"/>
      <c r="T130" s="61"/>
      <c r="U130" s="62"/>
    </row>
    <row r="131" spans="1:21" x14ac:dyDescent="0.45">
      <c r="A131" s="52"/>
      <c r="B131" s="63"/>
      <c r="C131" s="63"/>
      <c r="D131" s="63"/>
      <c r="E131" s="63"/>
      <c r="F131" s="63"/>
      <c r="G131" s="64"/>
      <c r="H131" s="60"/>
      <c r="I131" s="64"/>
      <c r="J131" s="58"/>
      <c r="K131" s="58"/>
      <c r="L131" s="57"/>
      <c r="M131" s="58"/>
      <c r="N131" s="59"/>
      <c r="O131" s="60"/>
      <c r="P131" s="60"/>
      <c r="Q131" s="60"/>
      <c r="R131" s="58"/>
      <c r="S131" s="56"/>
      <c r="T131" s="61"/>
      <c r="U131" s="62"/>
    </row>
    <row r="132" spans="1:21" x14ac:dyDescent="0.45">
      <c r="A132" s="52"/>
      <c r="B132" s="63"/>
      <c r="C132" s="63"/>
      <c r="D132" s="63"/>
      <c r="E132" s="63"/>
      <c r="F132" s="63"/>
      <c r="G132" s="64"/>
      <c r="H132" s="60"/>
      <c r="I132" s="64"/>
      <c r="J132" s="58"/>
      <c r="K132" s="58"/>
      <c r="L132" s="57"/>
      <c r="M132" s="58"/>
      <c r="N132" s="59"/>
      <c r="O132" s="60"/>
      <c r="P132" s="60"/>
      <c r="Q132" s="60"/>
      <c r="R132" s="58"/>
      <c r="S132" s="56"/>
      <c r="T132" s="61"/>
      <c r="U132" s="62"/>
    </row>
    <row r="133" spans="1:21" x14ac:dyDescent="0.45">
      <c r="A133" s="52"/>
      <c r="B133" s="63"/>
      <c r="C133" s="63"/>
      <c r="D133" s="63"/>
      <c r="E133" s="63"/>
      <c r="F133" s="63"/>
      <c r="G133" s="64"/>
      <c r="H133" s="60"/>
      <c r="I133" s="64"/>
      <c r="J133" s="58"/>
      <c r="K133" s="58"/>
      <c r="L133" s="57"/>
      <c r="M133" s="58"/>
      <c r="N133" s="59"/>
      <c r="O133" s="60"/>
      <c r="P133" s="60"/>
      <c r="Q133" s="60"/>
      <c r="R133" s="58"/>
      <c r="S133" s="56"/>
      <c r="T133" s="61"/>
      <c r="U133" s="62"/>
    </row>
    <row r="134" spans="1:21" x14ac:dyDescent="0.45">
      <c r="A134" s="52"/>
      <c r="B134" s="63"/>
      <c r="C134" s="63"/>
      <c r="D134" s="63"/>
      <c r="E134" s="63"/>
      <c r="F134" s="63"/>
      <c r="G134" s="64"/>
      <c r="H134" s="60"/>
      <c r="I134" s="64"/>
      <c r="J134" s="58"/>
      <c r="K134" s="58"/>
      <c r="L134" s="57"/>
      <c r="M134" s="58"/>
      <c r="N134" s="59"/>
      <c r="O134" s="60"/>
      <c r="P134" s="60"/>
      <c r="Q134" s="60"/>
      <c r="R134" s="58"/>
      <c r="S134" s="56"/>
      <c r="T134" s="61"/>
      <c r="U134" s="62"/>
    </row>
    <row r="135" spans="1:21" x14ac:dyDescent="0.45">
      <c r="A135" s="52"/>
      <c r="B135" s="63"/>
      <c r="C135" s="63"/>
      <c r="D135" s="63"/>
      <c r="E135" s="63"/>
      <c r="F135" s="63"/>
      <c r="G135" s="64"/>
      <c r="H135" s="60"/>
      <c r="I135" s="64"/>
      <c r="J135" s="58"/>
      <c r="K135" s="58"/>
      <c r="L135" s="57"/>
      <c r="M135" s="58"/>
      <c r="N135" s="59"/>
      <c r="O135" s="60"/>
      <c r="P135" s="60"/>
      <c r="Q135" s="60"/>
      <c r="R135" s="58"/>
      <c r="S135" s="56"/>
      <c r="T135" s="61"/>
      <c r="U135" s="62"/>
    </row>
    <row r="136" spans="1:21" x14ac:dyDescent="0.45">
      <c r="A136" s="52"/>
      <c r="B136" s="63"/>
      <c r="C136" s="63"/>
      <c r="D136" s="63"/>
      <c r="E136" s="63"/>
      <c r="F136" s="63"/>
      <c r="G136" s="64"/>
      <c r="H136" s="60"/>
      <c r="I136" s="64"/>
      <c r="J136" s="58"/>
      <c r="K136" s="58"/>
      <c r="L136" s="57"/>
      <c r="M136" s="58"/>
      <c r="N136" s="59"/>
      <c r="O136" s="60"/>
      <c r="P136" s="60"/>
      <c r="Q136" s="60"/>
      <c r="R136" s="58"/>
      <c r="S136" s="56"/>
      <c r="T136" s="61"/>
      <c r="U136" s="62"/>
    </row>
    <row r="137" spans="1:21" x14ac:dyDescent="0.45">
      <c r="A137" s="52"/>
      <c r="B137" s="63"/>
      <c r="C137" s="63"/>
      <c r="D137" s="63"/>
      <c r="E137" s="63"/>
      <c r="F137" s="63"/>
      <c r="G137" s="64"/>
      <c r="H137" s="60"/>
      <c r="I137" s="64"/>
      <c r="J137" s="58"/>
      <c r="K137" s="58"/>
      <c r="L137" s="57"/>
      <c r="M137" s="58"/>
      <c r="N137" s="59"/>
      <c r="O137" s="60"/>
      <c r="P137" s="60"/>
      <c r="Q137" s="60"/>
      <c r="R137" s="58"/>
      <c r="S137" s="56"/>
      <c r="T137" s="61"/>
      <c r="U137" s="62"/>
    </row>
    <row r="138" spans="1:21" x14ac:dyDescent="0.45">
      <c r="A138" s="52"/>
      <c r="B138" s="63"/>
      <c r="C138" s="63"/>
      <c r="D138" s="63"/>
      <c r="E138" s="63"/>
      <c r="F138" s="63"/>
      <c r="G138" s="64"/>
      <c r="H138" s="60"/>
      <c r="I138" s="64"/>
      <c r="J138" s="58"/>
      <c r="K138" s="58"/>
      <c r="L138" s="57"/>
      <c r="M138" s="58"/>
      <c r="N138" s="59"/>
      <c r="O138" s="60"/>
      <c r="P138" s="60"/>
      <c r="Q138" s="60"/>
      <c r="R138" s="58"/>
      <c r="S138" s="56"/>
      <c r="T138" s="61"/>
      <c r="U138" s="62"/>
    </row>
    <row r="139" spans="1:21" x14ac:dyDescent="0.45">
      <c r="A139" s="52"/>
      <c r="B139" s="63"/>
      <c r="C139" s="63"/>
      <c r="D139" s="63"/>
      <c r="E139" s="63"/>
      <c r="F139" s="63"/>
      <c r="G139" s="64"/>
      <c r="H139" s="60"/>
      <c r="I139" s="64"/>
      <c r="J139" s="58"/>
      <c r="K139" s="58"/>
      <c r="L139" s="57"/>
      <c r="M139" s="58"/>
      <c r="N139" s="59"/>
      <c r="O139" s="60"/>
      <c r="P139" s="60"/>
      <c r="Q139" s="60"/>
      <c r="R139" s="58"/>
      <c r="S139" s="56"/>
      <c r="T139" s="61"/>
      <c r="U139" s="62"/>
    </row>
    <row r="140" spans="1:21" x14ac:dyDescent="0.45">
      <c r="A140" s="52"/>
      <c r="B140" s="63"/>
      <c r="C140" s="63"/>
      <c r="D140" s="63"/>
      <c r="E140" s="63"/>
      <c r="F140" s="63"/>
      <c r="G140" s="64"/>
      <c r="H140" s="60"/>
      <c r="I140" s="64"/>
      <c r="J140" s="58"/>
      <c r="K140" s="58"/>
      <c r="L140" s="57"/>
      <c r="M140" s="58"/>
      <c r="N140" s="59"/>
      <c r="O140" s="60"/>
      <c r="P140" s="60"/>
      <c r="Q140" s="60"/>
      <c r="R140" s="58"/>
      <c r="S140" s="56"/>
      <c r="T140" s="61"/>
      <c r="U140" s="62"/>
    </row>
    <row r="141" spans="1:21" x14ac:dyDescent="0.45">
      <c r="A141" s="52"/>
      <c r="B141" s="63"/>
      <c r="C141" s="63"/>
      <c r="D141" s="63"/>
      <c r="E141" s="63"/>
      <c r="F141" s="63"/>
      <c r="G141" s="64"/>
      <c r="H141" s="60"/>
      <c r="I141" s="64"/>
      <c r="J141" s="58"/>
      <c r="K141" s="58"/>
      <c r="L141" s="57"/>
      <c r="M141" s="58"/>
      <c r="N141" s="59"/>
      <c r="O141" s="60"/>
      <c r="P141" s="60"/>
      <c r="Q141" s="60"/>
      <c r="R141" s="58"/>
      <c r="S141" s="56"/>
      <c r="T141" s="61"/>
      <c r="U141" s="62"/>
    </row>
    <row r="142" spans="1:21" x14ac:dyDescent="0.45">
      <c r="A142" s="52"/>
      <c r="B142" s="63"/>
      <c r="C142" s="63"/>
      <c r="D142" s="63"/>
      <c r="E142" s="63"/>
      <c r="F142" s="63"/>
      <c r="G142" s="64"/>
      <c r="H142" s="60"/>
      <c r="I142" s="64"/>
      <c r="J142" s="58"/>
      <c r="K142" s="58"/>
      <c r="L142" s="57"/>
      <c r="M142" s="58"/>
      <c r="N142" s="59"/>
      <c r="O142" s="60"/>
      <c r="P142" s="60"/>
      <c r="Q142" s="60"/>
      <c r="R142" s="58"/>
      <c r="S142" s="56"/>
      <c r="T142" s="61"/>
      <c r="U142" s="62"/>
    </row>
    <row r="143" spans="1:21" x14ac:dyDescent="0.45">
      <c r="A143" s="52"/>
      <c r="B143" s="63"/>
      <c r="C143" s="63"/>
      <c r="D143" s="63"/>
      <c r="E143" s="63"/>
      <c r="F143" s="63"/>
      <c r="G143" s="64"/>
      <c r="H143" s="60"/>
      <c r="I143" s="64"/>
      <c r="J143" s="58"/>
      <c r="K143" s="58"/>
      <c r="L143" s="57"/>
      <c r="M143" s="58"/>
      <c r="N143" s="59"/>
      <c r="O143" s="60"/>
      <c r="P143" s="60"/>
      <c r="Q143" s="60"/>
      <c r="R143" s="58"/>
      <c r="S143" s="56"/>
      <c r="T143" s="61"/>
      <c r="U143" s="62"/>
    </row>
    <row r="144" spans="1:21" x14ac:dyDescent="0.45">
      <c r="A144" s="52"/>
      <c r="B144" s="63"/>
      <c r="C144" s="63"/>
      <c r="D144" s="63"/>
      <c r="E144" s="63"/>
      <c r="F144" s="63"/>
      <c r="G144" s="64"/>
      <c r="H144" s="60"/>
      <c r="I144" s="64"/>
      <c r="J144" s="58"/>
      <c r="K144" s="58"/>
      <c r="L144" s="57"/>
      <c r="M144" s="58"/>
      <c r="N144" s="59"/>
      <c r="O144" s="60"/>
      <c r="P144" s="60"/>
      <c r="Q144" s="60"/>
      <c r="R144" s="58"/>
      <c r="S144" s="56"/>
      <c r="T144" s="61"/>
      <c r="U144" s="62"/>
    </row>
    <row r="145" spans="1:21" x14ac:dyDescent="0.45">
      <c r="A145" s="52"/>
      <c r="B145" s="63"/>
      <c r="C145" s="63"/>
      <c r="D145" s="63"/>
      <c r="E145" s="63"/>
      <c r="F145" s="63"/>
      <c r="G145" s="64"/>
      <c r="H145" s="60"/>
      <c r="I145" s="64"/>
      <c r="J145" s="58"/>
      <c r="K145" s="58"/>
      <c r="L145" s="57"/>
      <c r="M145" s="58"/>
      <c r="N145" s="59"/>
      <c r="O145" s="60"/>
      <c r="P145" s="60"/>
      <c r="Q145" s="60"/>
      <c r="R145" s="58"/>
      <c r="S145" s="56"/>
      <c r="T145" s="61"/>
      <c r="U145" s="62"/>
    </row>
    <row r="146" spans="1:21" x14ac:dyDescent="0.45">
      <c r="A146" s="52"/>
      <c r="B146" s="63"/>
      <c r="C146" s="63"/>
      <c r="D146" s="63"/>
      <c r="E146" s="63"/>
      <c r="F146" s="63"/>
      <c r="G146" s="64"/>
      <c r="H146" s="60"/>
      <c r="I146" s="64"/>
      <c r="J146" s="58"/>
      <c r="K146" s="58"/>
      <c r="L146" s="57"/>
      <c r="M146" s="58"/>
      <c r="N146" s="59"/>
      <c r="O146" s="60"/>
      <c r="P146" s="60"/>
      <c r="Q146" s="60"/>
      <c r="R146" s="58"/>
      <c r="S146" s="56"/>
      <c r="T146" s="61"/>
      <c r="U146" s="62"/>
    </row>
    <row r="147" spans="1:21" x14ac:dyDescent="0.45">
      <c r="A147" s="52"/>
      <c r="B147" s="63"/>
      <c r="C147" s="63"/>
      <c r="D147" s="63"/>
      <c r="E147" s="63"/>
      <c r="F147" s="63"/>
      <c r="G147" s="64"/>
      <c r="H147" s="60"/>
      <c r="I147" s="64"/>
      <c r="J147" s="58"/>
      <c r="K147" s="58"/>
      <c r="L147" s="57"/>
      <c r="M147" s="58"/>
      <c r="N147" s="59"/>
      <c r="O147" s="60"/>
      <c r="P147" s="60"/>
      <c r="Q147" s="60"/>
      <c r="R147" s="58"/>
      <c r="S147" s="56"/>
      <c r="T147" s="61"/>
      <c r="U147" s="62"/>
    </row>
    <row r="148" spans="1:21" x14ac:dyDescent="0.45">
      <c r="A148" s="52"/>
      <c r="B148" s="63"/>
      <c r="C148" s="63"/>
      <c r="D148" s="63"/>
      <c r="E148" s="63"/>
      <c r="F148" s="63"/>
      <c r="G148" s="64"/>
      <c r="H148" s="60"/>
      <c r="I148" s="64"/>
      <c r="J148" s="58"/>
      <c r="K148" s="58"/>
      <c r="L148" s="57"/>
      <c r="M148" s="58"/>
      <c r="N148" s="59"/>
      <c r="O148" s="60"/>
      <c r="P148" s="60"/>
      <c r="Q148" s="60"/>
      <c r="R148" s="58"/>
      <c r="S148" s="56"/>
      <c r="T148" s="61"/>
      <c r="U148" s="62"/>
    </row>
    <row r="149" spans="1:21" x14ac:dyDescent="0.45">
      <c r="A149" s="52"/>
      <c r="B149" s="63"/>
      <c r="C149" s="63"/>
      <c r="D149" s="63"/>
      <c r="E149" s="63"/>
      <c r="F149" s="63"/>
      <c r="G149" s="64"/>
      <c r="H149" s="60"/>
      <c r="I149" s="64"/>
      <c r="J149" s="58"/>
      <c r="K149" s="58"/>
      <c r="L149" s="57"/>
      <c r="M149" s="58"/>
      <c r="N149" s="59"/>
      <c r="O149" s="60"/>
      <c r="P149" s="60"/>
      <c r="Q149" s="60"/>
      <c r="R149" s="58"/>
      <c r="S149" s="56"/>
      <c r="T149" s="61"/>
      <c r="U149" s="62"/>
    </row>
    <row r="150" spans="1:21" x14ac:dyDescent="0.45">
      <c r="A150" s="52"/>
      <c r="B150" s="63"/>
      <c r="C150" s="63"/>
      <c r="D150" s="63"/>
      <c r="E150" s="63"/>
      <c r="F150" s="63"/>
      <c r="G150" s="64"/>
      <c r="H150" s="60"/>
      <c r="I150" s="64"/>
      <c r="J150" s="58"/>
      <c r="K150" s="58"/>
      <c r="L150" s="57"/>
      <c r="M150" s="58"/>
      <c r="N150" s="59"/>
      <c r="O150" s="60"/>
      <c r="P150" s="60"/>
      <c r="Q150" s="60"/>
      <c r="R150" s="58"/>
      <c r="S150" s="56"/>
      <c r="T150" s="61"/>
      <c r="U150" s="62"/>
    </row>
    <row r="151" spans="1:21" x14ac:dyDescent="0.45">
      <c r="A151" s="52"/>
      <c r="B151" s="63"/>
      <c r="C151" s="63"/>
      <c r="D151" s="63"/>
      <c r="E151" s="63"/>
      <c r="F151" s="63"/>
      <c r="G151" s="64"/>
      <c r="H151" s="60"/>
      <c r="I151" s="64"/>
      <c r="J151" s="58"/>
      <c r="K151" s="58"/>
      <c r="L151" s="57"/>
      <c r="M151" s="58"/>
      <c r="N151" s="59"/>
      <c r="O151" s="60"/>
      <c r="P151" s="60"/>
      <c r="Q151" s="60"/>
      <c r="R151" s="58"/>
      <c r="S151" s="56"/>
      <c r="T151" s="61"/>
      <c r="U151" s="62"/>
    </row>
    <row r="152" spans="1:21" x14ac:dyDescent="0.45">
      <c r="A152" s="52"/>
      <c r="B152" s="63"/>
      <c r="C152" s="63"/>
      <c r="D152" s="63"/>
      <c r="E152" s="63"/>
      <c r="F152" s="63"/>
      <c r="G152" s="64"/>
      <c r="H152" s="60"/>
      <c r="I152" s="64"/>
      <c r="J152" s="58"/>
      <c r="K152" s="58"/>
      <c r="L152" s="57"/>
      <c r="M152" s="58"/>
      <c r="N152" s="59"/>
      <c r="O152" s="60"/>
      <c r="P152" s="60"/>
      <c r="Q152" s="60"/>
      <c r="R152" s="58"/>
      <c r="S152" s="56"/>
      <c r="T152" s="61"/>
      <c r="U152" s="62"/>
    </row>
    <row r="153" spans="1:21" x14ac:dyDescent="0.45">
      <c r="A153" s="52"/>
      <c r="B153" s="63"/>
      <c r="C153" s="63"/>
      <c r="D153" s="63"/>
      <c r="E153" s="63"/>
      <c r="F153" s="63"/>
      <c r="G153" s="64"/>
      <c r="H153" s="60"/>
      <c r="I153" s="64"/>
      <c r="J153" s="58"/>
      <c r="K153" s="58"/>
      <c r="L153" s="57"/>
      <c r="M153" s="58"/>
      <c r="N153" s="59"/>
      <c r="O153" s="60"/>
      <c r="P153" s="60"/>
      <c r="Q153" s="60"/>
      <c r="R153" s="58"/>
      <c r="S153" s="56"/>
      <c r="T153" s="61"/>
      <c r="U153" s="62"/>
    </row>
    <row r="154" spans="1:21" x14ac:dyDescent="0.45">
      <c r="A154" s="52"/>
      <c r="B154" s="63"/>
      <c r="C154" s="63"/>
      <c r="D154" s="63"/>
      <c r="E154" s="63"/>
      <c r="F154" s="63"/>
      <c r="G154" s="64"/>
      <c r="H154" s="60"/>
      <c r="I154" s="64"/>
      <c r="J154" s="58"/>
      <c r="K154" s="58"/>
      <c r="L154" s="57"/>
      <c r="M154" s="58"/>
      <c r="N154" s="59"/>
      <c r="O154" s="60"/>
      <c r="P154" s="60"/>
      <c r="Q154" s="60"/>
      <c r="R154" s="58"/>
      <c r="S154" s="56"/>
      <c r="T154" s="61"/>
      <c r="U154" s="62"/>
    </row>
    <row r="155" spans="1:21" x14ac:dyDescent="0.45">
      <c r="A155" s="52"/>
      <c r="B155" s="63"/>
      <c r="C155" s="63"/>
      <c r="D155" s="63"/>
      <c r="E155" s="63"/>
      <c r="F155" s="63"/>
      <c r="G155" s="64"/>
      <c r="H155" s="60"/>
      <c r="I155" s="64"/>
      <c r="J155" s="58"/>
      <c r="K155" s="58"/>
      <c r="L155" s="57"/>
      <c r="M155" s="58"/>
      <c r="N155" s="59"/>
      <c r="O155" s="60"/>
      <c r="P155" s="60"/>
      <c r="Q155" s="60"/>
      <c r="R155" s="58"/>
      <c r="S155" s="56"/>
      <c r="T155" s="61"/>
      <c r="U155" s="62"/>
    </row>
    <row r="156" spans="1:21" x14ac:dyDescent="0.45">
      <c r="A156" s="52"/>
      <c r="B156" s="63"/>
      <c r="C156" s="63"/>
      <c r="D156" s="63"/>
      <c r="E156" s="63"/>
      <c r="F156" s="63"/>
      <c r="G156" s="64"/>
      <c r="H156" s="60"/>
      <c r="I156" s="64"/>
      <c r="J156" s="58"/>
      <c r="K156" s="58"/>
      <c r="L156" s="57"/>
      <c r="M156" s="58"/>
      <c r="N156" s="59"/>
      <c r="O156" s="60"/>
      <c r="P156" s="60"/>
      <c r="Q156" s="60"/>
      <c r="R156" s="58"/>
      <c r="S156" s="56"/>
      <c r="T156" s="61"/>
      <c r="U156" s="62"/>
    </row>
    <row r="157" spans="1:21" x14ac:dyDescent="0.45">
      <c r="A157" s="52"/>
      <c r="B157" s="63"/>
      <c r="C157" s="63"/>
      <c r="D157" s="63"/>
      <c r="E157" s="63"/>
      <c r="F157" s="63"/>
      <c r="G157" s="64"/>
      <c r="H157" s="60"/>
      <c r="I157" s="64"/>
      <c r="J157" s="58"/>
      <c r="K157" s="58"/>
      <c r="L157" s="57"/>
      <c r="M157" s="58"/>
      <c r="N157" s="59"/>
      <c r="O157" s="60"/>
      <c r="P157" s="60"/>
      <c r="Q157" s="60"/>
      <c r="R157" s="58"/>
      <c r="S157" s="56"/>
      <c r="T157" s="61"/>
      <c r="U157" s="62"/>
    </row>
    <row r="158" spans="1:21" x14ac:dyDescent="0.45">
      <c r="A158" s="52"/>
      <c r="B158" s="63"/>
      <c r="C158" s="63"/>
      <c r="D158" s="63"/>
      <c r="E158" s="63"/>
      <c r="F158" s="63"/>
      <c r="G158" s="64"/>
      <c r="H158" s="60"/>
      <c r="I158" s="64"/>
      <c r="J158" s="58"/>
      <c r="K158" s="58"/>
      <c r="L158" s="57"/>
      <c r="M158" s="58"/>
      <c r="N158" s="59"/>
      <c r="O158" s="60"/>
      <c r="P158" s="60"/>
      <c r="Q158" s="60"/>
      <c r="R158" s="58"/>
      <c r="S158" s="56"/>
      <c r="T158" s="61"/>
      <c r="U158" s="62"/>
    </row>
    <row r="159" spans="1:21" x14ac:dyDescent="0.45">
      <c r="A159" s="52"/>
      <c r="B159" s="63"/>
      <c r="C159" s="63"/>
      <c r="D159" s="63"/>
      <c r="E159" s="63"/>
      <c r="F159" s="63"/>
      <c r="G159" s="64"/>
      <c r="H159" s="60"/>
      <c r="I159" s="64"/>
      <c r="J159" s="58"/>
      <c r="K159" s="58"/>
      <c r="L159" s="57"/>
      <c r="M159" s="58"/>
      <c r="N159" s="59"/>
      <c r="O159" s="60"/>
      <c r="P159" s="60"/>
      <c r="Q159" s="60"/>
      <c r="R159" s="58"/>
      <c r="S159" s="56"/>
      <c r="T159" s="61"/>
      <c r="U159" s="62"/>
    </row>
    <row r="160" spans="1:21" x14ac:dyDescent="0.45">
      <c r="A160" s="52"/>
      <c r="B160" s="63"/>
      <c r="C160" s="63"/>
      <c r="D160" s="63"/>
      <c r="E160" s="63"/>
      <c r="F160" s="63"/>
      <c r="G160" s="64"/>
      <c r="H160" s="60"/>
      <c r="I160" s="64"/>
      <c r="J160" s="58"/>
      <c r="K160" s="58"/>
      <c r="L160" s="57"/>
      <c r="M160" s="58"/>
      <c r="N160" s="59"/>
      <c r="O160" s="60"/>
      <c r="P160" s="60"/>
      <c r="Q160" s="60"/>
      <c r="R160" s="58"/>
      <c r="S160" s="56"/>
      <c r="T160" s="61"/>
      <c r="U160" s="62"/>
    </row>
    <row r="161" spans="1:21" x14ac:dyDescent="0.45">
      <c r="A161" s="52"/>
      <c r="B161" s="63"/>
      <c r="C161" s="63"/>
      <c r="D161" s="63"/>
      <c r="E161" s="63"/>
      <c r="F161" s="63"/>
      <c r="G161" s="64"/>
      <c r="H161" s="60"/>
      <c r="I161" s="64"/>
      <c r="J161" s="58"/>
      <c r="K161" s="58"/>
      <c r="L161" s="57"/>
      <c r="M161" s="58"/>
      <c r="N161" s="59"/>
      <c r="O161" s="60"/>
      <c r="P161" s="60"/>
      <c r="Q161" s="60"/>
      <c r="R161" s="58"/>
      <c r="S161" s="56"/>
      <c r="T161" s="61"/>
      <c r="U161" s="62"/>
    </row>
    <row r="162" spans="1:21" x14ac:dyDescent="0.45">
      <c r="A162" s="52"/>
      <c r="B162" s="63"/>
      <c r="C162" s="63"/>
      <c r="D162" s="63"/>
      <c r="E162" s="63"/>
      <c r="F162" s="63"/>
      <c r="G162" s="64"/>
      <c r="H162" s="60"/>
      <c r="I162" s="64"/>
      <c r="J162" s="58"/>
      <c r="K162" s="58"/>
      <c r="L162" s="57"/>
      <c r="M162" s="58"/>
      <c r="N162" s="59"/>
      <c r="O162" s="60"/>
      <c r="P162" s="60"/>
      <c r="Q162" s="60"/>
      <c r="R162" s="58"/>
      <c r="S162" s="56"/>
      <c r="T162" s="61"/>
      <c r="U162" s="62"/>
    </row>
    <row r="163" spans="1:21" x14ac:dyDescent="0.45">
      <c r="A163" s="52"/>
      <c r="B163" s="63"/>
      <c r="C163" s="63"/>
      <c r="D163" s="63"/>
      <c r="E163" s="63"/>
      <c r="F163" s="63"/>
      <c r="G163" s="64"/>
      <c r="H163" s="60"/>
      <c r="I163" s="64"/>
      <c r="J163" s="58"/>
      <c r="K163" s="58"/>
      <c r="L163" s="57"/>
      <c r="M163" s="58"/>
      <c r="N163" s="59"/>
      <c r="O163" s="60"/>
      <c r="P163" s="60"/>
      <c r="Q163" s="60"/>
      <c r="R163" s="58"/>
      <c r="S163" s="56"/>
      <c r="T163" s="61"/>
      <c r="U163" s="62"/>
    </row>
    <row r="164" spans="1:21" x14ac:dyDescent="0.45">
      <c r="A164" s="52"/>
      <c r="B164" s="63"/>
      <c r="C164" s="63"/>
      <c r="D164" s="63"/>
      <c r="E164" s="63"/>
      <c r="F164" s="63"/>
      <c r="G164" s="64"/>
      <c r="H164" s="60"/>
      <c r="I164" s="64"/>
      <c r="J164" s="58"/>
      <c r="K164" s="58"/>
      <c r="L164" s="57"/>
      <c r="M164" s="58"/>
      <c r="N164" s="59"/>
      <c r="O164" s="60"/>
      <c r="P164" s="60"/>
      <c r="Q164" s="60"/>
      <c r="R164" s="58"/>
      <c r="S164" s="56"/>
      <c r="T164" s="61"/>
      <c r="U164" s="62"/>
    </row>
    <row r="165" spans="1:21" x14ac:dyDescent="0.45">
      <c r="A165" s="52"/>
      <c r="B165" s="63"/>
      <c r="C165" s="63"/>
      <c r="D165" s="63"/>
      <c r="E165" s="63"/>
      <c r="F165" s="63"/>
      <c r="G165" s="64"/>
      <c r="H165" s="60"/>
      <c r="I165" s="64"/>
      <c r="J165" s="58"/>
      <c r="K165" s="58"/>
      <c r="L165" s="57"/>
      <c r="M165" s="58"/>
      <c r="N165" s="59"/>
      <c r="O165" s="60"/>
      <c r="P165" s="60"/>
      <c r="Q165" s="60"/>
      <c r="R165" s="58"/>
      <c r="S165" s="56"/>
      <c r="T165" s="61"/>
      <c r="U165" s="62"/>
    </row>
    <row r="166" spans="1:21" x14ac:dyDescent="0.45">
      <c r="A166" s="52"/>
      <c r="B166" s="63"/>
      <c r="C166" s="63"/>
      <c r="D166" s="63"/>
      <c r="E166" s="63"/>
      <c r="F166" s="63"/>
      <c r="G166" s="64"/>
      <c r="H166" s="60"/>
      <c r="I166" s="64"/>
      <c r="J166" s="58"/>
      <c r="K166" s="58"/>
      <c r="L166" s="57"/>
      <c r="M166" s="58"/>
      <c r="N166" s="59"/>
      <c r="O166" s="60"/>
      <c r="P166" s="60"/>
      <c r="Q166" s="60"/>
      <c r="R166" s="58"/>
      <c r="S166" s="56"/>
      <c r="T166" s="61"/>
      <c r="U166" s="62"/>
    </row>
    <row r="167" spans="1:21" x14ac:dyDescent="0.45">
      <c r="A167" s="52"/>
      <c r="B167" s="63"/>
      <c r="C167" s="63"/>
      <c r="D167" s="63"/>
      <c r="E167" s="63"/>
      <c r="F167" s="63"/>
      <c r="G167" s="64"/>
      <c r="H167" s="60"/>
      <c r="I167" s="64"/>
      <c r="J167" s="58"/>
      <c r="K167" s="58"/>
      <c r="L167" s="57"/>
      <c r="M167" s="58"/>
      <c r="N167" s="59"/>
      <c r="O167" s="60"/>
      <c r="P167" s="60"/>
      <c r="Q167" s="60"/>
      <c r="R167" s="58"/>
      <c r="S167" s="56"/>
      <c r="T167" s="61"/>
      <c r="U167" s="62"/>
    </row>
    <row r="168" spans="1:21" x14ac:dyDescent="0.45">
      <c r="A168" s="52"/>
      <c r="B168" s="63"/>
      <c r="C168" s="63"/>
      <c r="D168" s="63"/>
      <c r="E168" s="63"/>
      <c r="F168" s="63"/>
      <c r="G168" s="64"/>
      <c r="H168" s="60"/>
      <c r="I168" s="64"/>
      <c r="J168" s="58"/>
      <c r="K168" s="58"/>
      <c r="L168" s="57"/>
      <c r="M168" s="58"/>
      <c r="N168" s="59"/>
      <c r="O168" s="60"/>
      <c r="P168" s="60"/>
      <c r="Q168" s="60"/>
      <c r="R168" s="58"/>
      <c r="S168" s="56"/>
      <c r="T168" s="61"/>
      <c r="U168" s="62"/>
    </row>
    <row r="169" spans="1:21" x14ac:dyDescent="0.45">
      <c r="A169" s="52"/>
      <c r="B169" s="63"/>
      <c r="C169" s="63"/>
      <c r="D169" s="63"/>
      <c r="E169" s="63"/>
      <c r="F169" s="63"/>
      <c r="G169" s="64"/>
      <c r="H169" s="60"/>
      <c r="I169" s="64"/>
      <c r="J169" s="58"/>
      <c r="K169" s="58"/>
      <c r="L169" s="57"/>
      <c r="M169" s="58"/>
      <c r="N169" s="59"/>
      <c r="O169" s="60"/>
      <c r="P169" s="60"/>
      <c r="Q169" s="60"/>
      <c r="R169" s="58"/>
      <c r="S169" s="56"/>
      <c r="T169" s="61"/>
      <c r="U169" s="62"/>
    </row>
    <row r="170" spans="1:21" x14ac:dyDescent="0.45">
      <c r="A170" s="52"/>
      <c r="B170" s="63"/>
      <c r="C170" s="63"/>
      <c r="D170" s="63"/>
      <c r="E170" s="63"/>
      <c r="F170" s="63"/>
      <c r="G170" s="64"/>
      <c r="H170" s="60"/>
      <c r="I170" s="64"/>
      <c r="J170" s="58"/>
      <c r="K170" s="58"/>
      <c r="L170" s="57"/>
      <c r="M170" s="58"/>
      <c r="N170" s="59"/>
      <c r="O170" s="60"/>
      <c r="P170" s="60"/>
      <c r="Q170" s="60"/>
      <c r="R170" s="58"/>
      <c r="S170" s="56"/>
      <c r="T170" s="61"/>
      <c r="U170" s="62"/>
    </row>
    <row r="171" spans="1:21" x14ac:dyDescent="0.45">
      <c r="A171" s="52"/>
      <c r="B171" s="63"/>
      <c r="C171" s="63"/>
      <c r="D171" s="63"/>
      <c r="E171" s="63"/>
      <c r="F171" s="63"/>
      <c r="G171" s="64"/>
      <c r="H171" s="60"/>
      <c r="I171" s="64"/>
      <c r="J171" s="58"/>
      <c r="K171" s="58"/>
      <c r="L171" s="57"/>
      <c r="M171" s="58"/>
      <c r="N171" s="59"/>
      <c r="O171" s="60"/>
      <c r="P171" s="60"/>
      <c r="Q171" s="60"/>
      <c r="R171" s="58"/>
      <c r="S171" s="56"/>
      <c r="T171" s="61"/>
      <c r="U171" s="62"/>
    </row>
    <row r="172" spans="1:21" x14ac:dyDescent="0.45">
      <c r="A172" s="52"/>
      <c r="B172" s="63"/>
      <c r="C172" s="63"/>
      <c r="D172" s="63"/>
      <c r="E172" s="63"/>
      <c r="F172" s="63"/>
      <c r="G172" s="64"/>
      <c r="H172" s="60"/>
      <c r="I172" s="64"/>
      <c r="J172" s="58"/>
      <c r="K172" s="58"/>
      <c r="L172" s="57"/>
      <c r="M172" s="58"/>
      <c r="N172" s="59"/>
      <c r="O172" s="60"/>
      <c r="P172" s="60"/>
      <c r="Q172" s="60"/>
      <c r="R172" s="58"/>
      <c r="S172" s="56"/>
      <c r="T172" s="61"/>
      <c r="U172" s="62"/>
    </row>
    <row r="173" spans="1:21" x14ac:dyDescent="0.45">
      <c r="A173" s="52"/>
      <c r="B173" s="63"/>
      <c r="C173" s="63"/>
      <c r="D173" s="63"/>
      <c r="E173" s="63"/>
      <c r="F173" s="63"/>
      <c r="G173" s="64"/>
      <c r="H173" s="60"/>
      <c r="I173" s="64"/>
      <c r="J173" s="58"/>
      <c r="K173" s="58"/>
      <c r="L173" s="57"/>
      <c r="M173" s="58"/>
      <c r="N173" s="59"/>
      <c r="O173" s="60"/>
      <c r="P173" s="60"/>
      <c r="Q173" s="60"/>
      <c r="R173" s="58"/>
      <c r="S173" s="56"/>
      <c r="T173" s="61"/>
      <c r="U173" s="62"/>
    </row>
    <row r="174" spans="1:21" x14ac:dyDescent="0.45">
      <c r="A174" s="52"/>
      <c r="B174" s="63"/>
      <c r="C174" s="63"/>
      <c r="D174" s="63"/>
      <c r="E174" s="63"/>
      <c r="F174" s="63"/>
      <c r="G174" s="64"/>
      <c r="H174" s="60"/>
      <c r="I174" s="64"/>
      <c r="J174" s="58"/>
      <c r="K174" s="58"/>
      <c r="L174" s="57"/>
      <c r="M174" s="58"/>
      <c r="N174" s="59"/>
      <c r="O174" s="60"/>
      <c r="P174" s="60"/>
      <c r="Q174" s="60"/>
      <c r="R174" s="58"/>
      <c r="S174" s="56"/>
      <c r="T174" s="61"/>
      <c r="U174" s="62"/>
    </row>
    <row r="175" spans="1:21" x14ac:dyDescent="0.45">
      <c r="A175" s="52"/>
      <c r="B175" s="63"/>
      <c r="C175" s="63"/>
      <c r="D175" s="63"/>
      <c r="E175" s="63"/>
      <c r="F175" s="63"/>
      <c r="G175" s="64"/>
      <c r="H175" s="60"/>
      <c r="I175" s="64"/>
      <c r="J175" s="58"/>
      <c r="K175" s="58"/>
      <c r="L175" s="57"/>
      <c r="M175" s="58"/>
      <c r="N175" s="59"/>
      <c r="O175" s="60"/>
      <c r="P175" s="60"/>
      <c r="Q175" s="60"/>
      <c r="R175" s="58"/>
      <c r="S175" s="56"/>
      <c r="T175" s="61"/>
      <c r="U175" s="62"/>
    </row>
    <row r="176" spans="1:21" x14ac:dyDescent="0.45">
      <c r="A176" s="52"/>
      <c r="B176" s="63"/>
      <c r="C176" s="63"/>
      <c r="D176" s="63"/>
      <c r="E176" s="63"/>
      <c r="F176" s="63"/>
      <c r="G176" s="64"/>
      <c r="H176" s="60"/>
      <c r="I176" s="64"/>
      <c r="J176" s="58"/>
      <c r="K176" s="58"/>
      <c r="L176" s="57"/>
      <c r="M176" s="58"/>
      <c r="N176" s="59"/>
      <c r="O176" s="60"/>
      <c r="P176" s="60"/>
      <c r="Q176" s="60"/>
      <c r="R176" s="58"/>
      <c r="S176" s="56"/>
      <c r="T176" s="61"/>
      <c r="U176" s="62"/>
    </row>
    <row r="177" spans="1:21" x14ac:dyDescent="0.45">
      <c r="A177" s="52"/>
      <c r="B177" s="63"/>
      <c r="C177" s="63"/>
      <c r="D177" s="63"/>
      <c r="E177" s="63"/>
      <c r="F177" s="63"/>
      <c r="G177" s="64"/>
      <c r="H177" s="60"/>
      <c r="I177" s="64"/>
      <c r="J177" s="58"/>
      <c r="K177" s="58"/>
      <c r="L177" s="57"/>
      <c r="M177" s="58"/>
      <c r="N177" s="59"/>
      <c r="O177" s="60"/>
      <c r="P177" s="60"/>
      <c r="Q177" s="60"/>
      <c r="R177" s="58"/>
      <c r="S177" s="56"/>
      <c r="T177" s="61"/>
      <c r="U177" s="62"/>
    </row>
    <row r="178" spans="1:21" x14ac:dyDescent="0.45">
      <c r="A178" s="52"/>
      <c r="B178" s="63"/>
      <c r="C178" s="63"/>
      <c r="D178" s="63"/>
      <c r="E178" s="63"/>
      <c r="F178" s="63"/>
      <c r="G178" s="64"/>
      <c r="H178" s="60"/>
      <c r="I178" s="64"/>
      <c r="J178" s="58"/>
      <c r="K178" s="58"/>
      <c r="L178" s="57"/>
      <c r="M178" s="58"/>
      <c r="N178" s="59"/>
      <c r="O178" s="60"/>
      <c r="P178" s="60"/>
      <c r="Q178" s="60"/>
      <c r="R178" s="58"/>
      <c r="S178" s="56"/>
      <c r="T178" s="61"/>
      <c r="U178" s="62"/>
    </row>
    <row r="179" spans="1:21" x14ac:dyDescent="0.45">
      <c r="A179" s="52"/>
      <c r="B179" s="63"/>
      <c r="C179" s="63"/>
      <c r="D179" s="63"/>
      <c r="E179" s="63"/>
      <c r="F179" s="63"/>
      <c r="G179" s="64"/>
      <c r="H179" s="60"/>
      <c r="I179" s="64"/>
      <c r="J179" s="58"/>
      <c r="K179" s="58"/>
      <c r="L179" s="57"/>
      <c r="M179" s="58"/>
      <c r="N179" s="59"/>
      <c r="O179" s="60"/>
      <c r="P179" s="60"/>
      <c r="Q179" s="60"/>
      <c r="R179" s="58"/>
      <c r="S179" s="56"/>
      <c r="T179" s="61"/>
      <c r="U179" s="62"/>
    </row>
    <row r="180" spans="1:21" x14ac:dyDescent="0.45">
      <c r="A180" s="52"/>
      <c r="B180" s="63"/>
      <c r="C180" s="63"/>
      <c r="D180" s="63"/>
      <c r="E180" s="63"/>
      <c r="F180" s="63"/>
      <c r="G180" s="64"/>
      <c r="H180" s="60"/>
      <c r="I180" s="64"/>
      <c r="J180" s="58"/>
      <c r="K180" s="58"/>
      <c r="L180" s="57"/>
      <c r="M180" s="58"/>
      <c r="N180" s="59"/>
      <c r="O180" s="60"/>
      <c r="P180" s="60"/>
      <c r="Q180" s="60"/>
      <c r="R180" s="58"/>
      <c r="S180" s="56"/>
      <c r="T180" s="61"/>
      <c r="U180" s="62"/>
    </row>
    <row r="181" spans="1:21" x14ac:dyDescent="0.45">
      <c r="A181" s="52"/>
      <c r="B181" s="63"/>
      <c r="C181" s="63"/>
      <c r="D181" s="63"/>
      <c r="E181" s="63"/>
      <c r="F181" s="63"/>
      <c r="G181" s="64"/>
      <c r="H181" s="60"/>
      <c r="I181" s="64"/>
      <c r="J181" s="58"/>
      <c r="K181" s="58"/>
      <c r="L181" s="57"/>
      <c r="M181" s="58"/>
      <c r="N181" s="59"/>
      <c r="O181" s="60"/>
      <c r="P181" s="60"/>
      <c r="Q181" s="60"/>
      <c r="R181" s="58"/>
      <c r="S181" s="56"/>
      <c r="T181" s="61"/>
      <c r="U181" s="62"/>
    </row>
    <row r="182" spans="1:21" x14ac:dyDescent="0.45">
      <c r="A182" s="52"/>
      <c r="B182" s="63"/>
      <c r="C182" s="63"/>
      <c r="D182" s="63"/>
      <c r="E182" s="63"/>
      <c r="F182" s="63"/>
      <c r="G182" s="64"/>
      <c r="H182" s="60"/>
      <c r="I182" s="64"/>
      <c r="J182" s="58"/>
      <c r="K182" s="58"/>
      <c r="L182" s="57"/>
      <c r="M182" s="58"/>
      <c r="N182" s="59"/>
      <c r="O182" s="60"/>
      <c r="P182" s="60"/>
      <c r="Q182" s="60"/>
      <c r="R182" s="58"/>
      <c r="S182" s="56"/>
      <c r="T182" s="61"/>
      <c r="U182" s="62"/>
    </row>
    <row r="183" spans="1:21" x14ac:dyDescent="0.45">
      <c r="A183" s="52"/>
      <c r="B183" s="63"/>
      <c r="C183" s="63"/>
      <c r="D183" s="63"/>
      <c r="E183" s="63"/>
      <c r="F183" s="63"/>
      <c r="G183" s="64"/>
      <c r="H183" s="60"/>
      <c r="I183" s="64"/>
      <c r="J183" s="58"/>
      <c r="K183" s="58"/>
      <c r="L183" s="57"/>
      <c r="M183" s="58"/>
      <c r="N183" s="59"/>
      <c r="O183" s="60"/>
      <c r="P183" s="60"/>
      <c r="Q183" s="60"/>
      <c r="R183" s="58"/>
      <c r="S183" s="56"/>
      <c r="T183" s="61"/>
      <c r="U183" s="62"/>
    </row>
    <row r="184" spans="1:21" x14ac:dyDescent="0.45">
      <c r="A184" s="52"/>
      <c r="B184" s="63"/>
      <c r="C184" s="63"/>
      <c r="D184" s="63"/>
      <c r="E184" s="63"/>
      <c r="F184" s="63"/>
      <c r="G184" s="64"/>
      <c r="H184" s="60"/>
      <c r="I184" s="64"/>
      <c r="J184" s="58"/>
      <c r="K184" s="58"/>
      <c r="L184" s="57"/>
      <c r="M184" s="58"/>
      <c r="N184" s="59"/>
      <c r="O184" s="60"/>
      <c r="P184" s="60"/>
      <c r="Q184" s="60"/>
      <c r="R184" s="58"/>
      <c r="S184" s="56"/>
      <c r="T184" s="61"/>
      <c r="U184" s="62"/>
    </row>
    <row r="185" spans="1:21" x14ac:dyDescent="0.45">
      <c r="A185" s="52"/>
      <c r="B185" s="63"/>
      <c r="C185" s="63"/>
      <c r="D185" s="63"/>
      <c r="E185" s="63"/>
      <c r="F185" s="63"/>
      <c r="G185" s="64"/>
      <c r="H185" s="60"/>
      <c r="I185" s="64"/>
      <c r="J185" s="58"/>
      <c r="K185" s="58"/>
      <c r="L185" s="57"/>
      <c r="M185" s="58"/>
      <c r="N185" s="59"/>
      <c r="O185" s="60"/>
      <c r="P185" s="60"/>
      <c r="Q185" s="60"/>
      <c r="R185" s="58"/>
      <c r="S185" s="56"/>
      <c r="T185" s="61"/>
      <c r="U185" s="62"/>
    </row>
    <row r="186" spans="1:21" x14ac:dyDescent="0.45">
      <c r="A186" s="52"/>
      <c r="B186" s="63"/>
      <c r="C186" s="63"/>
      <c r="D186" s="63"/>
      <c r="E186" s="63"/>
      <c r="F186" s="63"/>
      <c r="G186" s="64"/>
      <c r="H186" s="60"/>
      <c r="I186" s="64"/>
      <c r="J186" s="58"/>
      <c r="K186" s="58"/>
      <c r="L186" s="57"/>
      <c r="M186" s="58"/>
      <c r="N186" s="59"/>
      <c r="O186" s="60"/>
      <c r="P186" s="60"/>
      <c r="Q186" s="60"/>
      <c r="R186" s="58"/>
      <c r="S186" s="56"/>
      <c r="T186" s="61"/>
      <c r="U186" s="62"/>
    </row>
    <row r="187" spans="1:21" x14ac:dyDescent="0.45">
      <c r="A187" s="52"/>
      <c r="B187" s="63"/>
      <c r="C187" s="63"/>
      <c r="D187" s="63"/>
      <c r="E187" s="63"/>
      <c r="F187" s="63"/>
      <c r="G187" s="64"/>
      <c r="H187" s="60"/>
      <c r="I187" s="64"/>
      <c r="J187" s="58"/>
      <c r="K187" s="58"/>
      <c r="L187" s="57"/>
      <c r="M187" s="58"/>
      <c r="N187" s="59"/>
      <c r="O187" s="60"/>
      <c r="P187" s="60"/>
      <c r="Q187" s="60"/>
      <c r="R187" s="58"/>
      <c r="S187" s="56"/>
      <c r="T187" s="61"/>
      <c r="U187" s="62"/>
    </row>
    <row r="188" spans="1:21" x14ac:dyDescent="0.45">
      <c r="A188" s="52"/>
      <c r="B188" s="63"/>
      <c r="C188" s="63"/>
      <c r="D188" s="63"/>
      <c r="E188" s="63"/>
      <c r="F188" s="63"/>
      <c r="G188" s="64"/>
      <c r="H188" s="60"/>
      <c r="I188" s="64"/>
      <c r="J188" s="58"/>
      <c r="K188" s="58"/>
      <c r="L188" s="57"/>
      <c r="M188" s="58"/>
      <c r="N188" s="59"/>
      <c r="O188" s="60"/>
      <c r="P188" s="60"/>
      <c r="Q188" s="60"/>
      <c r="R188" s="58"/>
      <c r="S188" s="56"/>
      <c r="T188" s="61"/>
      <c r="U188" s="62"/>
    </row>
    <row r="189" spans="1:21" x14ac:dyDescent="0.45">
      <c r="A189" s="52"/>
      <c r="B189" s="63"/>
      <c r="C189" s="63"/>
      <c r="D189" s="63"/>
      <c r="E189" s="63"/>
      <c r="F189" s="63"/>
      <c r="G189" s="64"/>
      <c r="H189" s="60"/>
      <c r="I189" s="64"/>
      <c r="J189" s="58"/>
      <c r="K189" s="58"/>
      <c r="L189" s="57"/>
      <c r="M189" s="58"/>
      <c r="N189" s="59"/>
      <c r="O189" s="60"/>
      <c r="P189" s="60"/>
      <c r="Q189" s="60"/>
      <c r="R189" s="58"/>
      <c r="S189" s="56"/>
      <c r="T189" s="61"/>
      <c r="U189" s="62"/>
    </row>
    <row r="190" spans="1:21" x14ac:dyDescent="0.45">
      <c r="A190" s="52"/>
      <c r="B190" s="63"/>
      <c r="C190" s="63"/>
      <c r="D190" s="63"/>
      <c r="E190" s="63"/>
      <c r="F190" s="63"/>
      <c r="G190" s="64"/>
      <c r="H190" s="60"/>
      <c r="I190" s="64"/>
      <c r="J190" s="58"/>
      <c r="K190" s="58"/>
      <c r="L190" s="57"/>
      <c r="M190" s="58"/>
      <c r="N190" s="59"/>
      <c r="O190" s="60"/>
      <c r="P190" s="60"/>
      <c r="Q190" s="60"/>
      <c r="R190" s="58"/>
      <c r="S190" s="56"/>
      <c r="T190" s="61"/>
      <c r="U190" s="62"/>
    </row>
    <row r="191" spans="1:21" x14ac:dyDescent="0.45">
      <c r="A191" s="52"/>
      <c r="B191" s="63"/>
      <c r="C191" s="63"/>
      <c r="D191" s="63"/>
      <c r="E191" s="63"/>
      <c r="F191" s="63"/>
      <c r="G191" s="64"/>
      <c r="H191" s="60"/>
      <c r="I191" s="64"/>
      <c r="J191" s="58"/>
      <c r="K191" s="58"/>
      <c r="L191" s="57"/>
      <c r="M191" s="58"/>
      <c r="N191" s="59"/>
      <c r="O191" s="60"/>
      <c r="P191" s="60"/>
      <c r="Q191" s="60"/>
      <c r="R191" s="58"/>
      <c r="S191" s="56"/>
      <c r="T191" s="61"/>
      <c r="U191" s="62"/>
    </row>
    <row r="192" spans="1:21" x14ac:dyDescent="0.45">
      <c r="A192" s="52"/>
      <c r="B192" s="63"/>
      <c r="C192" s="63"/>
      <c r="D192" s="63"/>
      <c r="E192" s="63"/>
      <c r="F192" s="63"/>
      <c r="G192" s="64"/>
      <c r="H192" s="60"/>
      <c r="I192" s="64"/>
      <c r="J192" s="58"/>
      <c r="K192" s="58"/>
      <c r="L192" s="57"/>
      <c r="M192" s="58"/>
      <c r="N192" s="59"/>
      <c r="O192" s="60"/>
      <c r="P192" s="60"/>
      <c r="Q192" s="60"/>
      <c r="R192" s="58"/>
      <c r="S192" s="56"/>
      <c r="T192" s="61"/>
      <c r="U192" s="62"/>
    </row>
    <row r="193" spans="1:21" x14ac:dyDescent="0.45">
      <c r="A193" s="52"/>
      <c r="B193" s="63"/>
      <c r="C193" s="63"/>
      <c r="D193" s="63"/>
      <c r="E193" s="63"/>
      <c r="F193" s="63"/>
      <c r="G193" s="64"/>
      <c r="H193" s="60"/>
      <c r="I193" s="64"/>
      <c r="J193" s="58"/>
      <c r="K193" s="58"/>
      <c r="L193" s="57"/>
      <c r="M193" s="58"/>
      <c r="N193" s="59"/>
      <c r="O193" s="60"/>
      <c r="P193" s="60"/>
      <c r="Q193" s="60"/>
      <c r="R193" s="58"/>
      <c r="S193" s="56"/>
      <c r="T193" s="61"/>
      <c r="U193" s="62"/>
    </row>
    <row r="194" spans="1:21" x14ac:dyDescent="0.45">
      <c r="A194" s="52"/>
      <c r="B194" s="63"/>
      <c r="C194" s="63"/>
      <c r="D194" s="63"/>
      <c r="E194" s="63"/>
      <c r="F194" s="63"/>
      <c r="G194" s="64"/>
      <c r="H194" s="60"/>
      <c r="I194" s="64"/>
      <c r="J194" s="58"/>
      <c r="K194" s="58"/>
      <c r="L194" s="57"/>
      <c r="M194" s="58"/>
      <c r="N194" s="59"/>
      <c r="O194" s="60"/>
      <c r="P194" s="60"/>
      <c r="Q194" s="60"/>
      <c r="R194" s="58"/>
      <c r="S194" s="56"/>
      <c r="T194" s="61"/>
      <c r="U194" s="62"/>
    </row>
    <row r="195" spans="1:21" x14ac:dyDescent="0.45">
      <c r="A195" s="52"/>
      <c r="B195" s="63"/>
      <c r="C195" s="63"/>
      <c r="D195" s="63"/>
      <c r="E195" s="63"/>
      <c r="F195" s="63"/>
      <c r="G195" s="64"/>
      <c r="H195" s="60"/>
      <c r="I195" s="64"/>
      <c r="J195" s="58"/>
      <c r="K195" s="58"/>
      <c r="L195" s="57"/>
      <c r="M195" s="58"/>
      <c r="N195" s="59"/>
      <c r="O195" s="60"/>
      <c r="P195" s="60"/>
      <c r="Q195" s="60"/>
      <c r="R195" s="58"/>
      <c r="S195" s="56"/>
      <c r="T195" s="61"/>
      <c r="U195" s="62"/>
    </row>
    <row r="196" spans="1:21" x14ac:dyDescent="0.45">
      <c r="A196" s="52"/>
      <c r="B196" s="63"/>
      <c r="C196" s="63"/>
      <c r="D196" s="63"/>
      <c r="E196" s="63"/>
      <c r="F196" s="63"/>
      <c r="G196" s="64"/>
      <c r="H196" s="60"/>
      <c r="I196" s="64"/>
      <c r="J196" s="58"/>
      <c r="K196" s="58"/>
      <c r="L196" s="57"/>
      <c r="M196" s="58"/>
      <c r="N196" s="59"/>
      <c r="O196" s="60"/>
      <c r="P196" s="60"/>
      <c r="Q196" s="60"/>
      <c r="R196" s="58"/>
      <c r="S196" s="56"/>
      <c r="T196" s="61"/>
      <c r="U196" s="62"/>
    </row>
    <row r="197" spans="1:21" x14ac:dyDescent="0.45">
      <c r="A197" s="52"/>
      <c r="B197" s="63"/>
      <c r="C197" s="63"/>
      <c r="D197" s="63"/>
      <c r="E197" s="63"/>
      <c r="F197" s="63"/>
      <c r="G197" s="64"/>
      <c r="H197" s="60"/>
      <c r="I197" s="64"/>
      <c r="J197" s="58"/>
      <c r="K197" s="58"/>
      <c r="L197" s="57"/>
      <c r="M197" s="58"/>
      <c r="N197" s="59"/>
      <c r="O197" s="60"/>
      <c r="P197" s="60"/>
      <c r="Q197" s="60"/>
      <c r="R197" s="58"/>
      <c r="S197" s="56"/>
      <c r="T197" s="61"/>
      <c r="U197" s="62"/>
    </row>
    <row r="198" spans="1:21" x14ac:dyDescent="0.45">
      <c r="A198" s="52"/>
      <c r="B198" s="63"/>
      <c r="C198" s="63"/>
      <c r="D198" s="63"/>
      <c r="E198" s="63"/>
      <c r="F198" s="63"/>
      <c r="G198" s="64"/>
      <c r="H198" s="60"/>
      <c r="I198" s="64"/>
      <c r="J198" s="58"/>
      <c r="K198" s="58"/>
      <c r="L198" s="57"/>
      <c r="M198" s="58"/>
      <c r="N198" s="59"/>
      <c r="O198" s="60"/>
      <c r="P198" s="60"/>
      <c r="Q198" s="60"/>
      <c r="R198" s="58"/>
      <c r="S198" s="56"/>
      <c r="T198" s="61"/>
      <c r="U198" s="62"/>
    </row>
    <row r="199" spans="1:21" x14ac:dyDescent="0.45">
      <c r="A199" s="52"/>
      <c r="B199" s="63"/>
      <c r="C199" s="63"/>
      <c r="D199" s="63"/>
      <c r="E199" s="63"/>
      <c r="F199" s="63"/>
      <c r="G199" s="64"/>
      <c r="H199" s="60"/>
      <c r="I199" s="64"/>
      <c r="J199" s="58"/>
      <c r="K199" s="58"/>
      <c r="L199" s="57"/>
      <c r="M199" s="58"/>
      <c r="N199" s="59"/>
      <c r="O199" s="60"/>
      <c r="P199" s="60"/>
      <c r="Q199" s="60"/>
      <c r="R199" s="58"/>
      <c r="S199" s="56"/>
      <c r="T199" s="61"/>
      <c r="U199" s="62"/>
    </row>
    <row r="200" spans="1:21" x14ac:dyDescent="0.45">
      <c r="A200" s="52"/>
      <c r="B200" s="63"/>
      <c r="C200" s="63"/>
      <c r="D200" s="63"/>
      <c r="E200" s="63"/>
      <c r="F200" s="63"/>
      <c r="G200" s="64"/>
      <c r="H200" s="60"/>
      <c r="I200" s="64"/>
      <c r="J200" s="58"/>
      <c r="K200" s="58"/>
      <c r="L200" s="57"/>
      <c r="M200" s="58"/>
      <c r="N200" s="59"/>
      <c r="O200" s="60"/>
      <c r="P200" s="60"/>
      <c r="Q200" s="60"/>
      <c r="R200" s="58"/>
      <c r="S200" s="56"/>
      <c r="T200" s="61"/>
      <c r="U200" s="62"/>
    </row>
    <row r="201" spans="1:21" x14ac:dyDescent="0.45">
      <c r="A201" s="52"/>
      <c r="B201" s="63"/>
      <c r="C201" s="63"/>
      <c r="D201" s="63"/>
      <c r="E201" s="63"/>
      <c r="F201" s="63"/>
      <c r="G201" s="64"/>
      <c r="H201" s="60"/>
      <c r="I201" s="64"/>
      <c r="J201" s="58"/>
      <c r="K201" s="58"/>
      <c r="L201" s="57"/>
      <c r="M201" s="58"/>
      <c r="N201" s="59"/>
      <c r="O201" s="60"/>
      <c r="P201" s="60"/>
      <c r="Q201" s="60"/>
      <c r="R201" s="58"/>
      <c r="S201" s="56"/>
      <c r="T201" s="61"/>
      <c r="U201" s="62"/>
    </row>
    <row r="202" spans="1:21" x14ac:dyDescent="0.45">
      <c r="A202" s="52"/>
      <c r="B202" s="63"/>
      <c r="C202" s="63"/>
      <c r="D202" s="63"/>
      <c r="E202" s="63"/>
      <c r="F202" s="63"/>
      <c r="G202" s="64"/>
      <c r="H202" s="60"/>
      <c r="I202" s="64"/>
      <c r="J202" s="58"/>
      <c r="K202" s="58"/>
      <c r="L202" s="57"/>
      <c r="M202" s="58"/>
      <c r="N202" s="59"/>
      <c r="O202" s="60"/>
      <c r="P202" s="60"/>
      <c r="Q202" s="60"/>
      <c r="R202" s="58"/>
      <c r="S202" s="56"/>
      <c r="T202" s="61"/>
      <c r="U202" s="62"/>
    </row>
    <row r="203" spans="1:21" x14ac:dyDescent="0.45">
      <c r="A203" s="52"/>
      <c r="B203" s="63"/>
      <c r="C203" s="63"/>
      <c r="D203" s="63"/>
      <c r="E203" s="63"/>
      <c r="F203" s="63"/>
      <c r="G203" s="64"/>
      <c r="H203" s="60"/>
      <c r="I203" s="64"/>
      <c r="J203" s="58"/>
      <c r="K203" s="58"/>
      <c r="L203" s="57"/>
      <c r="M203" s="58"/>
      <c r="N203" s="59"/>
      <c r="O203" s="60"/>
      <c r="P203" s="60"/>
      <c r="Q203" s="60"/>
      <c r="R203" s="58"/>
      <c r="S203" s="56"/>
      <c r="T203" s="61"/>
      <c r="U203" s="62"/>
    </row>
    <row r="204" spans="1:21" x14ac:dyDescent="0.45">
      <c r="A204" s="52"/>
      <c r="B204" s="63"/>
      <c r="C204" s="63"/>
      <c r="D204" s="63"/>
      <c r="E204" s="63"/>
      <c r="F204" s="63"/>
      <c r="G204" s="64"/>
      <c r="H204" s="60"/>
      <c r="I204" s="64"/>
      <c r="J204" s="58"/>
      <c r="K204" s="58"/>
      <c r="L204" s="57"/>
      <c r="M204" s="58"/>
      <c r="N204" s="59"/>
      <c r="O204" s="60"/>
      <c r="P204" s="60"/>
      <c r="Q204" s="60"/>
      <c r="R204" s="58"/>
      <c r="S204" s="56"/>
      <c r="T204" s="61"/>
      <c r="U204" s="62"/>
    </row>
    <row r="205" spans="1:21" x14ac:dyDescent="0.45">
      <c r="A205" s="52"/>
      <c r="B205" s="63"/>
      <c r="C205" s="63"/>
      <c r="D205" s="63"/>
      <c r="E205" s="63"/>
      <c r="F205" s="63"/>
      <c r="G205" s="64"/>
      <c r="H205" s="60"/>
      <c r="I205" s="64"/>
      <c r="J205" s="58"/>
      <c r="K205" s="58"/>
      <c r="L205" s="57"/>
      <c r="M205" s="58"/>
      <c r="N205" s="59"/>
      <c r="O205" s="60"/>
      <c r="P205" s="60"/>
      <c r="Q205" s="60"/>
      <c r="R205" s="58"/>
      <c r="S205" s="56"/>
      <c r="T205" s="61"/>
      <c r="U205" s="62"/>
    </row>
    <row r="206" spans="1:21" x14ac:dyDescent="0.45">
      <c r="A206" s="52"/>
      <c r="B206" s="63"/>
      <c r="C206" s="63"/>
      <c r="D206" s="63"/>
      <c r="E206" s="63"/>
      <c r="F206" s="63"/>
      <c r="G206" s="64"/>
      <c r="H206" s="60"/>
      <c r="I206" s="64"/>
      <c r="J206" s="58"/>
      <c r="K206" s="58"/>
      <c r="L206" s="57"/>
      <c r="M206" s="58"/>
      <c r="N206" s="59"/>
      <c r="O206" s="60"/>
      <c r="P206" s="60"/>
      <c r="Q206" s="60"/>
      <c r="R206" s="58"/>
      <c r="S206" s="56"/>
      <c r="T206" s="61"/>
      <c r="U206" s="62"/>
    </row>
    <row r="207" spans="1:21" x14ac:dyDescent="0.45">
      <c r="A207" s="52"/>
      <c r="B207" s="63"/>
      <c r="C207" s="63"/>
      <c r="D207" s="63"/>
      <c r="E207" s="63"/>
      <c r="F207" s="63"/>
      <c r="G207" s="64"/>
      <c r="H207" s="60"/>
      <c r="I207" s="64"/>
      <c r="J207" s="58"/>
      <c r="K207" s="58"/>
      <c r="L207" s="57"/>
      <c r="M207" s="58"/>
      <c r="N207" s="59"/>
      <c r="O207" s="60"/>
      <c r="P207" s="60"/>
      <c r="Q207" s="60"/>
      <c r="R207" s="58"/>
      <c r="S207" s="56"/>
      <c r="T207" s="61"/>
      <c r="U207" s="62"/>
    </row>
    <row r="208" spans="1:21" x14ac:dyDescent="0.45">
      <c r="A208" s="52"/>
      <c r="B208" s="63"/>
      <c r="C208" s="63"/>
      <c r="D208" s="63"/>
      <c r="E208" s="63"/>
      <c r="F208" s="63"/>
      <c r="G208" s="64"/>
      <c r="H208" s="60"/>
      <c r="I208" s="64"/>
      <c r="J208" s="58"/>
      <c r="K208" s="58"/>
      <c r="L208" s="57"/>
      <c r="M208" s="58"/>
      <c r="N208" s="59"/>
      <c r="O208" s="60"/>
      <c r="P208" s="60"/>
      <c r="Q208" s="60"/>
      <c r="R208" s="58"/>
      <c r="S208" s="56"/>
      <c r="T208" s="61"/>
      <c r="U208" s="62"/>
    </row>
    <row r="209" spans="1:21" x14ac:dyDescent="0.45">
      <c r="A209" s="52"/>
      <c r="B209" s="63"/>
      <c r="C209" s="63"/>
      <c r="D209" s="63"/>
      <c r="E209" s="63"/>
      <c r="F209" s="63"/>
      <c r="G209" s="64"/>
      <c r="H209" s="60"/>
      <c r="I209" s="64"/>
      <c r="J209" s="58"/>
      <c r="K209" s="58"/>
      <c r="L209" s="57"/>
      <c r="M209" s="58"/>
      <c r="N209" s="59"/>
      <c r="O209" s="60"/>
      <c r="P209" s="60"/>
      <c r="Q209" s="60"/>
      <c r="R209" s="58"/>
      <c r="S209" s="56"/>
      <c r="T209" s="61"/>
      <c r="U209" s="62"/>
    </row>
    <row r="210" spans="1:21" x14ac:dyDescent="0.45">
      <c r="A210" s="52"/>
      <c r="B210" s="63"/>
      <c r="C210" s="63"/>
      <c r="D210" s="63"/>
      <c r="E210" s="63"/>
      <c r="F210" s="63"/>
      <c r="G210" s="64"/>
      <c r="H210" s="60"/>
      <c r="I210" s="64"/>
      <c r="J210" s="58"/>
      <c r="K210" s="58"/>
      <c r="L210" s="57"/>
      <c r="M210" s="58"/>
      <c r="N210" s="59"/>
      <c r="O210" s="60"/>
      <c r="P210" s="60"/>
      <c r="Q210" s="60"/>
      <c r="R210" s="58"/>
      <c r="S210" s="56"/>
      <c r="T210" s="61"/>
      <c r="U210" s="62"/>
    </row>
    <row r="211" spans="1:21" x14ac:dyDescent="0.45">
      <c r="A211" s="52"/>
      <c r="B211" s="63"/>
      <c r="C211" s="63"/>
      <c r="D211" s="63"/>
      <c r="E211" s="63"/>
      <c r="F211" s="63"/>
      <c r="G211" s="64"/>
      <c r="H211" s="60"/>
      <c r="I211" s="64"/>
      <c r="J211" s="58"/>
      <c r="K211" s="58"/>
      <c r="L211" s="57"/>
      <c r="M211" s="58"/>
      <c r="N211" s="59"/>
      <c r="O211" s="60"/>
      <c r="P211" s="60"/>
      <c r="Q211" s="60"/>
      <c r="R211" s="58"/>
      <c r="S211" s="56"/>
      <c r="T211" s="61"/>
      <c r="U211" s="62"/>
    </row>
    <row r="212" spans="1:21" x14ac:dyDescent="0.45">
      <c r="A212" s="52"/>
      <c r="B212" s="63"/>
      <c r="C212" s="63"/>
      <c r="D212" s="63"/>
      <c r="E212" s="63"/>
      <c r="F212" s="63"/>
      <c r="G212" s="64"/>
      <c r="H212" s="60"/>
      <c r="I212" s="64"/>
      <c r="J212" s="58"/>
      <c r="K212" s="58"/>
      <c r="L212" s="57"/>
      <c r="M212" s="58"/>
      <c r="N212" s="59"/>
      <c r="O212" s="60"/>
      <c r="P212" s="60"/>
      <c r="Q212" s="60"/>
      <c r="R212" s="58"/>
      <c r="S212" s="56"/>
      <c r="T212" s="61"/>
      <c r="U212" s="62"/>
    </row>
    <row r="213" spans="1:21" x14ac:dyDescent="0.45">
      <c r="A213" s="52"/>
      <c r="B213" s="63"/>
      <c r="C213" s="63"/>
      <c r="D213" s="63"/>
      <c r="E213" s="63"/>
      <c r="F213" s="63"/>
      <c r="G213" s="64"/>
      <c r="H213" s="60"/>
      <c r="I213" s="64"/>
      <c r="J213" s="58"/>
      <c r="K213" s="58"/>
      <c r="L213" s="57"/>
      <c r="M213" s="58"/>
      <c r="N213" s="59"/>
      <c r="O213" s="60"/>
      <c r="P213" s="60"/>
      <c r="Q213" s="60"/>
      <c r="R213" s="58"/>
      <c r="S213" s="56"/>
      <c r="T213" s="61"/>
      <c r="U213" s="62"/>
    </row>
    <row r="214" spans="1:21" x14ac:dyDescent="0.45">
      <c r="A214" s="52"/>
      <c r="B214" s="63"/>
      <c r="C214" s="63"/>
      <c r="D214" s="63"/>
      <c r="E214" s="63"/>
      <c r="F214" s="63"/>
      <c r="G214" s="64"/>
      <c r="H214" s="60"/>
      <c r="I214" s="64"/>
      <c r="J214" s="58"/>
      <c r="K214" s="58"/>
      <c r="L214" s="57"/>
      <c r="M214" s="58"/>
      <c r="N214" s="59"/>
      <c r="O214" s="60"/>
      <c r="P214" s="60"/>
      <c r="Q214" s="60"/>
      <c r="R214" s="58"/>
      <c r="S214" s="56"/>
      <c r="T214" s="61"/>
      <c r="U214" s="62"/>
    </row>
    <row r="215" spans="1:21" x14ac:dyDescent="0.45">
      <c r="A215" s="52"/>
      <c r="B215" s="63"/>
      <c r="C215" s="63"/>
      <c r="D215" s="63"/>
      <c r="E215" s="63"/>
      <c r="F215" s="63"/>
      <c r="G215" s="64"/>
      <c r="H215" s="60"/>
      <c r="I215" s="64"/>
      <c r="J215" s="58"/>
      <c r="K215" s="58"/>
      <c r="L215" s="57"/>
      <c r="M215" s="58"/>
      <c r="N215" s="59"/>
      <c r="O215" s="60"/>
      <c r="P215" s="60"/>
      <c r="Q215" s="60"/>
      <c r="R215" s="58"/>
      <c r="S215" s="56"/>
      <c r="T215" s="61"/>
      <c r="U215" s="62"/>
    </row>
    <row r="216" spans="1:21" x14ac:dyDescent="0.45">
      <c r="A216" s="52"/>
      <c r="B216" s="63"/>
      <c r="C216" s="63"/>
      <c r="D216" s="63"/>
      <c r="E216" s="63"/>
      <c r="F216" s="63"/>
      <c r="G216" s="64"/>
      <c r="H216" s="60"/>
      <c r="I216" s="64"/>
      <c r="J216" s="58"/>
      <c r="K216" s="58"/>
      <c r="L216" s="57"/>
      <c r="M216" s="58"/>
      <c r="N216" s="59"/>
      <c r="O216" s="60"/>
      <c r="P216" s="60"/>
      <c r="Q216" s="60"/>
      <c r="R216" s="58"/>
      <c r="S216" s="56"/>
      <c r="T216" s="61"/>
      <c r="U216" s="62"/>
    </row>
    <row r="217" spans="1:21" x14ac:dyDescent="0.45">
      <c r="A217" s="52"/>
      <c r="B217" s="63"/>
      <c r="C217" s="63"/>
      <c r="D217" s="63"/>
      <c r="E217" s="63"/>
      <c r="F217" s="63"/>
      <c r="G217" s="64"/>
      <c r="H217" s="60"/>
      <c r="I217" s="64"/>
      <c r="J217" s="58"/>
      <c r="K217" s="58"/>
      <c r="L217" s="57"/>
      <c r="M217" s="58"/>
      <c r="N217" s="59"/>
      <c r="O217" s="60"/>
      <c r="P217" s="60"/>
      <c r="Q217" s="60"/>
      <c r="R217" s="58"/>
      <c r="S217" s="56"/>
      <c r="T217" s="61"/>
      <c r="U217" s="62"/>
    </row>
    <row r="218" spans="1:21" x14ac:dyDescent="0.45">
      <c r="A218" s="52"/>
      <c r="B218" s="63"/>
      <c r="C218" s="63"/>
      <c r="D218" s="63"/>
      <c r="E218" s="63"/>
      <c r="F218" s="63"/>
      <c r="G218" s="64"/>
      <c r="H218" s="60"/>
      <c r="I218" s="64"/>
      <c r="J218" s="58"/>
      <c r="K218" s="58"/>
      <c r="L218" s="57"/>
      <c r="M218" s="58"/>
      <c r="N218" s="59"/>
      <c r="O218" s="60"/>
      <c r="P218" s="60"/>
      <c r="Q218" s="60"/>
      <c r="R218" s="58"/>
      <c r="S218" s="56"/>
      <c r="T218" s="61"/>
      <c r="U218" s="62"/>
    </row>
    <row r="219" spans="1:21" x14ac:dyDescent="0.45">
      <c r="A219" s="52"/>
      <c r="B219" s="63"/>
      <c r="C219" s="63"/>
      <c r="D219" s="63"/>
      <c r="E219" s="63"/>
      <c r="F219" s="63"/>
      <c r="G219" s="64"/>
      <c r="H219" s="60"/>
      <c r="I219" s="64"/>
      <c r="J219" s="58"/>
      <c r="K219" s="58"/>
      <c r="L219" s="57"/>
      <c r="M219" s="58"/>
      <c r="N219" s="59"/>
      <c r="O219" s="60"/>
      <c r="P219" s="60"/>
      <c r="Q219" s="60"/>
      <c r="R219" s="58"/>
      <c r="S219" s="56"/>
      <c r="T219" s="61"/>
      <c r="U219" s="62"/>
    </row>
    <row r="220" spans="1:21" x14ac:dyDescent="0.45">
      <c r="A220" s="52"/>
      <c r="B220" s="63"/>
      <c r="C220" s="63"/>
      <c r="D220" s="63"/>
      <c r="E220" s="63"/>
      <c r="F220" s="63"/>
      <c r="G220" s="64"/>
      <c r="H220" s="60"/>
      <c r="I220" s="64"/>
      <c r="J220" s="58"/>
      <c r="K220" s="58"/>
      <c r="L220" s="57"/>
      <c r="M220" s="58"/>
      <c r="N220" s="59"/>
      <c r="O220" s="60"/>
      <c r="P220" s="60"/>
      <c r="Q220" s="60"/>
      <c r="R220" s="58"/>
      <c r="S220" s="56"/>
      <c r="T220" s="61"/>
      <c r="U220" s="62"/>
    </row>
    <row r="221" spans="1:21" x14ac:dyDescent="0.45">
      <c r="A221" s="52"/>
      <c r="B221" s="63"/>
      <c r="C221" s="63"/>
      <c r="D221" s="63"/>
      <c r="E221" s="63"/>
      <c r="F221" s="63"/>
      <c r="G221" s="64"/>
      <c r="H221" s="60"/>
      <c r="I221" s="64"/>
      <c r="J221" s="58"/>
      <c r="K221" s="58"/>
      <c r="L221" s="57"/>
      <c r="M221" s="58"/>
      <c r="N221" s="59"/>
      <c r="O221" s="60"/>
      <c r="P221" s="60"/>
      <c r="Q221" s="60"/>
      <c r="R221" s="58"/>
      <c r="S221" s="56"/>
      <c r="T221" s="61"/>
      <c r="U221" s="62"/>
    </row>
    <row r="222" spans="1:21" x14ac:dyDescent="0.45">
      <c r="A222" s="52"/>
      <c r="B222" s="63"/>
      <c r="C222" s="63"/>
      <c r="D222" s="63"/>
      <c r="E222" s="63"/>
      <c r="F222" s="63"/>
      <c r="G222" s="64"/>
      <c r="H222" s="60"/>
      <c r="I222" s="64"/>
      <c r="J222" s="58"/>
      <c r="K222" s="58"/>
      <c r="L222" s="57"/>
      <c r="M222" s="58"/>
      <c r="N222" s="59"/>
      <c r="O222" s="60"/>
      <c r="P222" s="60"/>
      <c r="Q222" s="60"/>
      <c r="R222" s="58"/>
      <c r="S222" s="56"/>
      <c r="T222" s="61"/>
      <c r="U222" s="62"/>
    </row>
    <row r="223" spans="1:21" x14ac:dyDescent="0.45">
      <c r="A223" s="52"/>
      <c r="B223" s="63"/>
      <c r="C223" s="63"/>
      <c r="D223" s="63"/>
      <c r="E223" s="63"/>
      <c r="F223" s="63"/>
      <c r="G223" s="64"/>
      <c r="H223" s="60"/>
      <c r="I223" s="64"/>
      <c r="J223" s="58"/>
      <c r="K223" s="58"/>
      <c r="L223" s="57"/>
      <c r="M223" s="58"/>
      <c r="N223" s="59"/>
      <c r="O223" s="60"/>
      <c r="P223" s="60"/>
      <c r="Q223" s="60"/>
      <c r="R223" s="58"/>
      <c r="S223" s="56"/>
      <c r="T223" s="61"/>
      <c r="U223" s="62"/>
    </row>
    <row r="224" spans="1:21" x14ac:dyDescent="0.45">
      <c r="A224" s="52"/>
      <c r="B224" s="63"/>
      <c r="C224" s="63"/>
      <c r="D224" s="63"/>
      <c r="E224" s="63"/>
      <c r="F224" s="63"/>
      <c r="G224" s="64"/>
      <c r="H224" s="60"/>
      <c r="I224" s="64"/>
      <c r="J224" s="58"/>
      <c r="K224" s="58"/>
      <c r="L224" s="57"/>
      <c r="M224" s="58"/>
      <c r="N224" s="59"/>
      <c r="O224" s="60"/>
      <c r="P224" s="60"/>
      <c r="Q224" s="60"/>
      <c r="R224" s="58"/>
      <c r="S224" s="56"/>
      <c r="T224" s="61"/>
      <c r="U224" s="62"/>
    </row>
    <row r="225" spans="1:21" x14ac:dyDescent="0.45">
      <c r="A225" s="52"/>
      <c r="B225" s="63"/>
      <c r="C225" s="63"/>
      <c r="D225" s="63"/>
      <c r="E225" s="63"/>
      <c r="F225" s="63"/>
      <c r="G225" s="64"/>
      <c r="H225" s="60"/>
      <c r="I225" s="64"/>
      <c r="J225" s="58"/>
      <c r="K225" s="58"/>
      <c r="L225" s="57"/>
      <c r="M225" s="58"/>
      <c r="N225" s="59"/>
      <c r="O225" s="60"/>
      <c r="P225" s="60"/>
      <c r="Q225" s="60"/>
      <c r="R225" s="58"/>
      <c r="S225" s="56"/>
      <c r="T225" s="61"/>
      <c r="U225" s="62"/>
    </row>
    <row r="226" spans="1:21" x14ac:dyDescent="0.45">
      <c r="A226" s="52"/>
      <c r="B226" s="63"/>
      <c r="C226" s="63"/>
      <c r="D226" s="63"/>
      <c r="E226" s="63"/>
      <c r="F226" s="63"/>
      <c r="G226" s="64"/>
      <c r="H226" s="60"/>
      <c r="I226" s="64"/>
      <c r="J226" s="58"/>
      <c r="K226" s="58"/>
      <c r="L226" s="57"/>
      <c r="M226" s="58"/>
      <c r="N226" s="59"/>
      <c r="O226" s="60"/>
      <c r="P226" s="60"/>
      <c r="Q226" s="60"/>
      <c r="R226" s="58"/>
      <c r="S226" s="56"/>
      <c r="T226" s="61"/>
      <c r="U226" s="62"/>
    </row>
    <row r="227" spans="1:21" x14ac:dyDescent="0.45">
      <c r="A227" s="52"/>
      <c r="B227" s="63"/>
      <c r="C227" s="63"/>
      <c r="D227" s="63"/>
      <c r="E227" s="63"/>
      <c r="F227" s="63"/>
      <c r="G227" s="64"/>
      <c r="H227" s="60"/>
      <c r="I227" s="64"/>
      <c r="J227" s="58"/>
      <c r="K227" s="58"/>
      <c r="L227" s="57"/>
      <c r="M227" s="58"/>
      <c r="N227" s="59"/>
      <c r="O227" s="60"/>
      <c r="P227" s="60"/>
      <c r="Q227" s="60"/>
      <c r="R227" s="58"/>
      <c r="S227" s="56"/>
      <c r="T227" s="61"/>
      <c r="U227" s="62"/>
    </row>
    <row r="228" spans="1:21" x14ac:dyDescent="0.45">
      <c r="A228" s="52"/>
      <c r="B228" s="63"/>
      <c r="C228" s="63"/>
      <c r="D228" s="63"/>
      <c r="E228" s="63"/>
      <c r="F228" s="63"/>
      <c r="G228" s="64"/>
      <c r="H228" s="60"/>
      <c r="I228" s="64"/>
      <c r="J228" s="58"/>
      <c r="K228" s="58"/>
      <c r="L228" s="57"/>
      <c r="M228" s="58"/>
      <c r="N228" s="59"/>
      <c r="O228" s="60"/>
      <c r="P228" s="60"/>
      <c r="Q228" s="60"/>
      <c r="R228" s="58"/>
      <c r="S228" s="56"/>
      <c r="T228" s="61"/>
      <c r="U228" s="62"/>
    </row>
    <row r="229" spans="1:21" x14ac:dyDescent="0.45">
      <c r="A229" s="52"/>
      <c r="B229" s="63"/>
      <c r="C229" s="63"/>
      <c r="D229" s="63"/>
      <c r="E229" s="63"/>
      <c r="F229" s="63"/>
      <c r="G229" s="64"/>
      <c r="H229" s="60"/>
      <c r="I229" s="64"/>
      <c r="J229" s="58"/>
      <c r="K229" s="58"/>
      <c r="L229" s="57"/>
      <c r="M229" s="58"/>
      <c r="N229" s="59"/>
      <c r="O229" s="60"/>
      <c r="P229" s="60"/>
      <c r="Q229" s="60"/>
      <c r="R229" s="58"/>
      <c r="S229" s="56"/>
      <c r="T229" s="61"/>
      <c r="U229" s="62"/>
    </row>
    <row r="230" spans="1:21" x14ac:dyDescent="0.45">
      <c r="A230" s="52"/>
      <c r="B230" s="63"/>
      <c r="C230" s="63"/>
      <c r="D230" s="63"/>
      <c r="E230" s="63"/>
      <c r="F230" s="63"/>
      <c r="G230" s="64"/>
      <c r="H230" s="60"/>
      <c r="I230" s="64"/>
      <c r="J230" s="58"/>
      <c r="K230" s="58"/>
      <c r="L230" s="57"/>
      <c r="M230" s="58"/>
      <c r="N230" s="59"/>
      <c r="O230" s="60"/>
      <c r="P230" s="60"/>
      <c r="Q230" s="60"/>
      <c r="R230" s="58"/>
      <c r="S230" s="56"/>
      <c r="T230" s="61"/>
      <c r="U230" s="62"/>
    </row>
    <row r="231" spans="1:21" x14ac:dyDescent="0.45">
      <c r="A231" s="52"/>
      <c r="B231" s="63"/>
      <c r="C231" s="63"/>
      <c r="D231" s="63"/>
      <c r="E231" s="63"/>
      <c r="F231" s="63"/>
      <c r="G231" s="64"/>
      <c r="H231" s="60"/>
      <c r="I231" s="64"/>
      <c r="J231" s="58"/>
      <c r="K231" s="58"/>
      <c r="L231" s="57"/>
      <c r="M231" s="58"/>
      <c r="N231" s="59"/>
      <c r="O231" s="60"/>
      <c r="P231" s="60"/>
      <c r="Q231" s="60"/>
      <c r="R231" s="58"/>
      <c r="S231" s="56"/>
      <c r="T231" s="61"/>
      <c r="U231" s="62"/>
    </row>
    <row r="232" spans="1:21" x14ac:dyDescent="0.45">
      <c r="A232" s="52"/>
      <c r="B232" s="63"/>
      <c r="C232" s="63"/>
      <c r="D232" s="63"/>
      <c r="E232" s="63"/>
      <c r="F232" s="63"/>
      <c r="G232" s="64"/>
      <c r="H232" s="60"/>
      <c r="I232" s="64"/>
      <c r="J232" s="58"/>
      <c r="K232" s="58"/>
      <c r="L232" s="57"/>
      <c r="M232" s="58"/>
      <c r="N232" s="59"/>
      <c r="O232" s="60"/>
      <c r="P232" s="60"/>
      <c r="Q232" s="60"/>
      <c r="R232" s="58"/>
      <c r="S232" s="56"/>
      <c r="T232" s="61"/>
      <c r="U232" s="62"/>
    </row>
    <row r="233" spans="1:21" x14ac:dyDescent="0.45">
      <c r="A233" s="52"/>
      <c r="B233" s="63"/>
      <c r="C233" s="63"/>
      <c r="D233" s="63"/>
      <c r="E233" s="63"/>
      <c r="F233" s="63"/>
      <c r="G233" s="64"/>
      <c r="H233" s="60"/>
      <c r="I233" s="64"/>
      <c r="J233" s="58"/>
      <c r="K233" s="58"/>
      <c r="L233" s="57"/>
      <c r="M233" s="58"/>
      <c r="N233" s="59"/>
      <c r="O233" s="60"/>
      <c r="P233" s="60"/>
      <c r="Q233" s="60"/>
      <c r="R233" s="58"/>
      <c r="S233" s="56"/>
      <c r="T233" s="61"/>
      <c r="U233" s="62"/>
    </row>
    <row r="234" spans="1:21" x14ac:dyDescent="0.45">
      <c r="A234" s="52"/>
      <c r="B234" s="63"/>
      <c r="C234" s="63"/>
      <c r="D234" s="63"/>
      <c r="E234" s="63"/>
      <c r="F234" s="63"/>
      <c r="G234" s="64"/>
      <c r="H234" s="60"/>
      <c r="I234" s="64"/>
      <c r="J234" s="58"/>
      <c r="K234" s="58"/>
      <c r="L234" s="57"/>
      <c r="M234" s="58"/>
      <c r="N234" s="59"/>
      <c r="O234" s="60"/>
      <c r="P234" s="60"/>
      <c r="Q234" s="60"/>
      <c r="R234" s="58"/>
      <c r="S234" s="56"/>
      <c r="T234" s="61"/>
      <c r="U234" s="62"/>
    </row>
    <row r="235" spans="1:21" x14ac:dyDescent="0.45">
      <c r="A235" s="52"/>
      <c r="B235" s="63"/>
      <c r="C235" s="63"/>
      <c r="D235" s="63"/>
      <c r="E235" s="63"/>
      <c r="F235" s="63"/>
      <c r="G235" s="64"/>
      <c r="H235" s="60"/>
      <c r="I235" s="64"/>
      <c r="J235" s="58"/>
      <c r="K235" s="58"/>
      <c r="L235" s="57"/>
      <c r="M235" s="58"/>
      <c r="N235" s="59"/>
      <c r="O235" s="60"/>
      <c r="P235" s="60"/>
      <c r="Q235" s="60"/>
      <c r="R235" s="58"/>
      <c r="S235" s="56"/>
      <c r="T235" s="61"/>
      <c r="U235" s="62"/>
    </row>
    <row r="236" spans="1:21" x14ac:dyDescent="0.45">
      <c r="A236" s="52"/>
      <c r="B236" s="63"/>
      <c r="C236" s="63"/>
      <c r="D236" s="63"/>
      <c r="E236" s="63"/>
      <c r="F236" s="63"/>
      <c r="G236" s="64"/>
      <c r="H236" s="60"/>
      <c r="I236" s="64"/>
      <c r="J236" s="58"/>
      <c r="K236" s="58"/>
      <c r="L236" s="57"/>
      <c r="M236" s="58"/>
      <c r="N236" s="59"/>
      <c r="O236" s="60"/>
      <c r="P236" s="60"/>
      <c r="Q236" s="60"/>
      <c r="R236" s="58"/>
      <c r="S236" s="56"/>
      <c r="T236" s="61"/>
      <c r="U236" s="62"/>
    </row>
    <row r="237" spans="1:21" x14ac:dyDescent="0.45">
      <c r="A237" s="52"/>
      <c r="B237" s="63"/>
      <c r="C237" s="63"/>
      <c r="D237" s="63"/>
      <c r="E237" s="63"/>
      <c r="F237" s="63"/>
      <c r="G237" s="64"/>
      <c r="H237" s="60"/>
      <c r="I237" s="64"/>
      <c r="J237" s="58"/>
      <c r="K237" s="58"/>
      <c r="L237" s="57"/>
      <c r="M237" s="58"/>
      <c r="N237" s="59"/>
      <c r="O237" s="60"/>
      <c r="P237" s="60"/>
      <c r="Q237" s="60"/>
      <c r="R237" s="58"/>
      <c r="S237" s="56"/>
      <c r="T237" s="61"/>
      <c r="U237" s="62"/>
    </row>
    <row r="238" spans="1:21" x14ac:dyDescent="0.45">
      <c r="A238" s="52"/>
      <c r="B238" s="63"/>
      <c r="C238" s="63"/>
      <c r="D238" s="63"/>
      <c r="E238" s="63"/>
      <c r="F238" s="63"/>
      <c r="G238" s="64"/>
      <c r="H238" s="60"/>
      <c r="I238" s="64"/>
      <c r="J238" s="58"/>
      <c r="K238" s="58"/>
      <c r="L238" s="57"/>
      <c r="M238" s="58"/>
      <c r="N238" s="59"/>
      <c r="O238" s="60"/>
      <c r="P238" s="60"/>
      <c r="Q238" s="60"/>
      <c r="R238" s="58"/>
      <c r="S238" s="56"/>
      <c r="T238" s="61"/>
      <c r="U238" s="62"/>
    </row>
    <row r="239" spans="1:21" x14ac:dyDescent="0.45">
      <c r="A239" s="52"/>
      <c r="B239" s="63"/>
      <c r="C239" s="63"/>
      <c r="D239" s="63"/>
      <c r="E239" s="63"/>
      <c r="F239" s="63"/>
      <c r="G239" s="64"/>
      <c r="H239" s="60"/>
      <c r="I239" s="64"/>
      <c r="J239" s="58"/>
      <c r="K239" s="58"/>
      <c r="L239" s="57"/>
      <c r="M239" s="58"/>
      <c r="N239" s="59"/>
      <c r="O239" s="60"/>
      <c r="P239" s="60"/>
      <c r="Q239" s="60"/>
      <c r="R239" s="58"/>
      <c r="S239" s="56"/>
      <c r="T239" s="61"/>
      <c r="U239" s="62"/>
    </row>
    <row r="240" spans="1:21" x14ac:dyDescent="0.45">
      <c r="A240" s="52"/>
      <c r="B240" s="63"/>
      <c r="C240" s="63"/>
      <c r="D240" s="63"/>
      <c r="E240" s="63"/>
      <c r="F240" s="63"/>
      <c r="G240" s="64"/>
      <c r="H240" s="60"/>
      <c r="I240" s="64"/>
      <c r="J240" s="58"/>
      <c r="K240" s="58"/>
      <c r="L240" s="57"/>
      <c r="M240" s="58"/>
      <c r="N240" s="59"/>
      <c r="O240" s="60"/>
      <c r="P240" s="60"/>
      <c r="Q240" s="60"/>
      <c r="R240" s="58"/>
      <c r="S240" s="56"/>
      <c r="T240" s="61"/>
      <c r="U240" s="62"/>
    </row>
    <row r="241" spans="1:21" x14ac:dyDescent="0.45">
      <c r="A241" s="52"/>
      <c r="B241" s="63"/>
      <c r="C241" s="63"/>
      <c r="D241" s="63"/>
      <c r="E241" s="63"/>
      <c r="F241" s="63"/>
      <c r="G241" s="64"/>
      <c r="H241" s="60"/>
      <c r="I241" s="64"/>
      <c r="J241" s="58"/>
      <c r="K241" s="58"/>
      <c r="L241" s="57"/>
      <c r="M241" s="58"/>
      <c r="N241" s="59"/>
      <c r="O241" s="60"/>
      <c r="P241" s="60"/>
      <c r="Q241" s="60"/>
      <c r="R241" s="58"/>
      <c r="S241" s="56"/>
      <c r="T241" s="61"/>
      <c r="U241" s="62"/>
    </row>
    <row r="242" spans="1:21" x14ac:dyDescent="0.45">
      <c r="A242" s="52"/>
      <c r="B242" s="63"/>
      <c r="C242" s="63"/>
      <c r="D242" s="63"/>
      <c r="E242" s="63"/>
      <c r="F242" s="63"/>
      <c r="G242" s="64"/>
      <c r="H242" s="60"/>
      <c r="I242" s="64"/>
      <c r="J242" s="58"/>
      <c r="K242" s="58"/>
      <c r="L242" s="57"/>
      <c r="M242" s="58"/>
      <c r="N242" s="59"/>
      <c r="O242" s="60"/>
      <c r="P242" s="60"/>
      <c r="Q242" s="60"/>
      <c r="R242" s="58"/>
      <c r="S242" s="56"/>
      <c r="T242" s="61"/>
      <c r="U242" s="62"/>
    </row>
    <row r="243" spans="1:21" x14ac:dyDescent="0.45">
      <c r="A243" s="52"/>
      <c r="B243" s="63"/>
      <c r="C243" s="63"/>
      <c r="D243" s="63"/>
      <c r="E243" s="63"/>
      <c r="F243" s="63"/>
      <c r="G243" s="64"/>
      <c r="H243" s="60"/>
      <c r="I243" s="64"/>
      <c r="J243" s="58"/>
      <c r="K243" s="58"/>
      <c r="L243" s="57"/>
      <c r="M243" s="58"/>
      <c r="N243" s="59"/>
      <c r="O243" s="60"/>
      <c r="P243" s="60"/>
      <c r="Q243" s="60"/>
      <c r="R243" s="58"/>
      <c r="S243" s="56"/>
      <c r="T243" s="61"/>
      <c r="U243" s="62"/>
    </row>
    <row r="244" spans="1:21" x14ac:dyDescent="0.45">
      <c r="A244" s="52"/>
      <c r="B244" s="63"/>
      <c r="C244" s="63"/>
      <c r="D244" s="63"/>
      <c r="E244" s="63"/>
      <c r="F244" s="63"/>
      <c r="G244" s="64"/>
      <c r="H244" s="60"/>
      <c r="I244" s="64"/>
      <c r="J244" s="58"/>
      <c r="K244" s="58"/>
      <c r="L244" s="57"/>
      <c r="M244" s="58"/>
      <c r="N244" s="59"/>
      <c r="O244" s="60"/>
      <c r="P244" s="60"/>
      <c r="Q244" s="60"/>
      <c r="R244" s="58"/>
      <c r="S244" s="56"/>
      <c r="T244" s="61"/>
      <c r="U244" s="62"/>
    </row>
    <row r="245" spans="1:21" x14ac:dyDescent="0.45">
      <c r="A245" s="52"/>
      <c r="B245" s="63"/>
      <c r="C245" s="63"/>
      <c r="D245" s="63"/>
      <c r="E245" s="63"/>
      <c r="F245" s="63"/>
      <c r="G245" s="64"/>
      <c r="H245" s="60"/>
      <c r="I245" s="64"/>
      <c r="J245" s="58"/>
      <c r="K245" s="58"/>
      <c r="L245" s="57"/>
      <c r="M245" s="58"/>
      <c r="N245" s="59"/>
      <c r="O245" s="60"/>
      <c r="P245" s="60"/>
      <c r="Q245" s="60"/>
      <c r="R245" s="58"/>
      <c r="S245" s="56"/>
      <c r="T245" s="61"/>
      <c r="U245" s="62"/>
    </row>
    <row r="246" spans="1:21" x14ac:dyDescent="0.45">
      <c r="A246" s="52"/>
      <c r="B246" s="63"/>
      <c r="C246" s="63"/>
      <c r="D246" s="63"/>
      <c r="E246" s="63"/>
      <c r="F246" s="63"/>
      <c r="G246" s="64"/>
      <c r="H246" s="60"/>
      <c r="I246" s="64"/>
      <c r="J246" s="58"/>
      <c r="K246" s="58"/>
      <c r="L246" s="57"/>
      <c r="M246" s="58"/>
      <c r="N246" s="59"/>
      <c r="O246" s="60"/>
      <c r="P246" s="60"/>
      <c r="Q246" s="60"/>
      <c r="R246" s="58"/>
      <c r="S246" s="56"/>
      <c r="T246" s="61"/>
      <c r="U246" s="62"/>
    </row>
    <row r="247" spans="1:21" x14ac:dyDescent="0.45">
      <c r="A247" s="52"/>
      <c r="B247" s="63"/>
      <c r="C247" s="63"/>
      <c r="D247" s="63"/>
      <c r="E247" s="63"/>
      <c r="F247" s="63"/>
      <c r="G247" s="64"/>
      <c r="H247" s="60"/>
      <c r="I247" s="64"/>
      <c r="J247" s="58"/>
      <c r="K247" s="58"/>
      <c r="L247" s="57"/>
      <c r="M247" s="58"/>
      <c r="N247" s="59"/>
      <c r="O247" s="60"/>
      <c r="P247" s="60"/>
      <c r="Q247" s="60"/>
      <c r="R247" s="58"/>
      <c r="S247" s="56"/>
      <c r="T247" s="61"/>
      <c r="U247" s="62"/>
    </row>
    <row r="248" spans="1:21" x14ac:dyDescent="0.45">
      <c r="A248" s="52"/>
      <c r="B248" s="63"/>
      <c r="C248" s="63"/>
      <c r="D248" s="63"/>
      <c r="E248" s="63"/>
      <c r="F248" s="63"/>
      <c r="G248" s="64"/>
      <c r="H248" s="60"/>
      <c r="I248" s="64"/>
      <c r="J248" s="58"/>
      <c r="K248" s="58"/>
      <c r="L248" s="57"/>
      <c r="M248" s="58"/>
      <c r="N248" s="59"/>
      <c r="O248" s="60"/>
      <c r="P248" s="60"/>
      <c r="Q248" s="60"/>
      <c r="R248" s="58"/>
      <c r="S248" s="56"/>
      <c r="T248" s="61"/>
      <c r="U248" s="62"/>
    </row>
    <row r="249" spans="1:21" x14ac:dyDescent="0.45">
      <c r="A249" s="52"/>
      <c r="B249" s="63"/>
      <c r="C249" s="63"/>
      <c r="D249" s="63"/>
      <c r="E249" s="63"/>
      <c r="F249" s="63"/>
      <c r="G249" s="64"/>
      <c r="H249" s="60"/>
      <c r="I249" s="64"/>
      <c r="J249" s="58"/>
      <c r="K249" s="58"/>
      <c r="L249" s="57"/>
      <c r="M249" s="58"/>
      <c r="N249" s="59"/>
      <c r="O249" s="60"/>
      <c r="P249" s="60"/>
      <c r="Q249" s="60"/>
      <c r="R249" s="58"/>
      <c r="S249" s="56"/>
      <c r="T249" s="61"/>
      <c r="U249" s="62"/>
    </row>
    <row r="250" spans="1:21" x14ac:dyDescent="0.45">
      <c r="A250" s="52"/>
      <c r="B250" s="63"/>
      <c r="C250" s="63"/>
      <c r="D250" s="63"/>
      <c r="E250" s="63"/>
      <c r="F250" s="63"/>
      <c r="G250" s="64"/>
      <c r="H250" s="60"/>
      <c r="I250" s="64"/>
      <c r="J250" s="58"/>
      <c r="K250" s="58"/>
      <c r="L250" s="57"/>
      <c r="M250" s="58"/>
      <c r="N250" s="59"/>
      <c r="O250" s="60"/>
      <c r="P250" s="60"/>
      <c r="Q250" s="60"/>
      <c r="R250" s="58"/>
      <c r="S250" s="56"/>
      <c r="T250" s="61"/>
      <c r="U250" s="62"/>
    </row>
    <row r="251" spans="1:21" x14ac:dyDescent="0.45">
      <c r="A251" s="52"/>
      <c r="B251" s="63"/>
      <c r="C251" s="63"/>
      <c r="D251" s="63"/>
      <c r="E251" s="63"/>
      <c r="F251" s="63"/>
      <c r="G251" s="64"/>
      <c r="H251" s="60"/>
      <c r="I251" s="64"/>
      <c r="J251" s="58"/>
      <c r="K251" s="58"/>
      <c r="L251" s="57"/>
      <c r="M251" s="58"/>
      <c r="N251" s="59"/>
      <c r="O251" s="60"/>
      <c r="P251" s="60"/>
      <c r="Q251" s="60"/>
      <c r="R251" s="58"/>
      <c r="S251" s="56"/>
      <c r="T251" s="61"/>
      <c r="U251" s="62"/>
    </row>
    <row r="252" spans="1:21" x14ac:dyDescent="0.45">
      <c r="A252" s="52"/>
      <c r="B252" s="63"/>
      <c r="C252" s="63"/>
      <c r="D252" s="63"/>
      <c r="E252" s="63"/>
      <c r="F252" s="63"/>
      <c r="G252" s="64"/>
      <c r="H252" s="60"/>
      <c r="I252" s="64"/>
      <c r="J252" s="58"/>
      <c r="K252" s="58"/>
      <c r="L252" s="57"/>
      <c r="M252" s="58"/>
      <c r="N252" s="59"/>
      <c r="O252" s="60"/>
      <c r="P252" s="60"/>
      <c r="Q252" s="60"/>
      <c r="R252" s="58"/>
      <c r="S252" s="56"/>
      <c r="T252" s="61"/>
      <c r="U252" s="62"/>
    </row>
    <row r="253" spans="1:21" x14ac:dyDescent="0.45">
      <c r="A253" s="52"/>
      <c r="B253" s="63"/>
      <c r="C253" s="63"/>
      <c r="D253" s="63"/>
      <c r="E253" s="63"/>
      <c r="F253" s="63"/>
      <c r="G253" s="64"/>
      <c r="H253" s="60"/>
      <c r="I253" s="64"/>
      <c r="J253" s="58"/>
      <c r="K253" s="58"/>
      <c r="L253" s="57"/>
      <c r="M253" s="58"/>
      <c r="N253" s="59"/>
      <c r="O253" s="60"/>
      <c r="P253" s="60"/>
      <c r="Q253" s="60"/>
      <c r="R253" s="58"/>
      <c r="S253" s="56"/>
      <c r="T253" s="61"/>
      <c r="U253" s="62"/>
    </row>
    <row r="254" spans="1:21" x14ac:dyDescent="0.45">
      <c r="A254" s="52"/>
      <c r="B254" s="63"/>
      <c r="C254" s="63"/>
      <c r="D254" s="63"/>
      <c r="E254" s="63"/>
      <c r="F254" s="63"/>
      <c r="G254" s="64"/>
      <c r="H254" s="60"/>
      <c r="I254" s="64"/>
      <c r="J254" s="58"/>
      <c r="K254" s="58"/>
      <c r="L254" s="57"/>
      <c r="M254" s="58"/>
      <c r="N254" s="59"/>
      <c r="O254" s="60"/>
      <c r="P254" s="60"/>
      <c r="Q254" s="60"/>
      <c r="R254" s="58"/>
      <c r="S254" s="56"/>
      <c r="T254" s="61"/>
      <c r="U254" s="62"/>
    </row>
    <row r="255" spans="1:21" x14ac:dyDescent="0.45">
      <c r="A255" s="52"/>
      <c r="B255" s="63"/>
      <c r="C255" s="63"/>
      <c r="D255" s="63"/>
      <c r="E255" s="63"/>
      <c r="F255" s="63"/>
      <c r="G255" s="64"/>
      <c r="H255" s="60"/>
      <c r="I255" s="64"/>
      <c r="J255" s="58"/>
      <c r="K255" s="58"/>
      <c r="L255" s="57"/>
      <c r="M255" s="58"/>
      <c r="N255" s="59"/>
      <c r="O255" s="60"/>
      <c r="P255" s="60"/>
      <c r="Q255" s="60"/>
      <c r="R255" s="58"/>
      <c r="S255" s="56"/>
      <c r="T255" s="61"/>
      <c r="U255" s="62"/>
    </row>
    <row r="256" spans="1:21" x14ac:dyDescent="0.45">
      <c r="A256" s="52"/>
      <c r="B256" s="63"/>
      <c r="C256" s="63"/>
      <c r="D256" s="63"/>
      <c r="E256" s="63"/>
      <c r="F256" s="63"/>
      <c r="G256" s="64"/>
      <c r="H256" s="60"/>
      <c r="I256" s="64"/>
      <c r="J256" s="58"/>
      <c r="K256" s="58"/>
      <c r="L256" s="57"/>
      <c r="M256" s="58"/>
      <c r="N256" s="59"/>
      <c r="O256" s="60"/>
      <c r="P256" s="60"/>
      <c r="Q256" s="60"/>
      <c r="R256" s="58"/>
      <c r="S256" s="56"/>
      <c r="T256" s="61"/>
      <c r="U256" s="62"/>
    </row>
    <row r="257" spans="1:21" x14ac:dyDescent="0.45">
      <c r="A257" s="52"/>
      <c r="B257" s="63"/>
      <c r="C257" s="63"/>
      <c r="D257" s="63"/>
      <c r="E257" s="63"/>
      <c r="F257" s="63"/>
      <c r="G257" s="64"/>
      <c r="H257" s="60"/>
      <c r="I257" s="64"/>
      <c r="J257" s="58"/>
      <c r="K257" s="58"/>
      <c r="L257" s="57"/>
      <c r="M257" s="58"/>
      <c r="N257" s="59"/>
      <c r="O257" s="60"/>
      <c r="P257" s="60"/>
      <c r="Q257" s="60"/>
      <c r="R257" s="58"/>
      <c r="S257" s="56"/>
      <c r="T257" s="61"/>
      <c r="U257" s="62"/>
    </row>
    <row r="258" spans="1:21" x14ac:dyDescent="0.45">
      <c r="A258" s="52"/>
      <c r="B258" s="63"/>
      <c r="C258" s="63"/>
      <c r="D258" s="63"/>
      <c r="E258" s="63"/>
      <c r="F258" s="63"/>
      <c r="G258" s="64"/>
      <c r="H258" s="60"/>
      <c r="I258" s="64"/>
      <c r="J258" s="58"/>
      <c r="K258" s="58"/>
      <c r="L258" s="57"/>
      <c r="M258" s="58"/>
      <c r="N258" s="59"/>
      <c r="O258" s="60"/>
      <c r="P258" s="60"/>
      <c r="Q258" s="60"/>
      <c r="R258" s="58"/>
      <c r="S258" s="56"/>
      <c r="T258" s="61"/>
      <c r="U258" s="62"/>
    </row>
    <row r="259" spans="1:21" x14ac:dyDescent="0.45">
      <c r="A259" s="52"/>
      <c r="B259" s="63"/>
      <c r="C259" s="63"/>
      <c r="D259" s="63"/>
      <c r="E259" s="63"/>
      <c r="F259" s="63"/>
      <c r="G259" s="64"/>
      <c r="H259" s="60"/>
      <c r="I259" s="64"/>
      <c r="J259" s="58"/>
      <c r="K259" s="58"/>
      <c r="L259" s="57"/>
      <c r="M259" s="58"/>
      <c r="N259" s="59"/>
      <c r="O259" s="60"/>
      <c r="P259" s="60"/>
      <c r="Q259" s="60"/>
      <c r="R259" s="58"/>
      <c r="S259" s="56"/>
      <c r="T259" s="61"/>
      <c r="U259" s="62"/>
    </row>
    <row r="260" spans="1:21" x14ac:dyDescent="0.45">
      <c r="A260" s="52"/>
      <c r="B260" s="63"/>
      <c r="C260" s="63"/>
      <c r="D260" s="63"/>
      <c r="E260" s="63"/>
      <c r="F260" s="63"/>
      <c r="G260" s="64"/>
      <c r="H260" s="60"/>
      <c r="I260" s="64"/>
      <c r="J260" s="58"/>
      <c r="K260" s="58"/>
      <c r="L260" s="57"/>
      <c r="M260" s="58"/>
      <c r="N260" s="59"/>
      <c r="O260" s="60"/>
      <c r="P260" s="60"/>
      <c r="Q260" s="60"/>
      <c r="R260" s="58"/>
      <c r="S260" s="56"/>
      <c r="T260" s="61"/>
      <c r="U260" s="62"/>
    </row>
    <row r="261" spans="1:21" x14ac:dyDescent="0.45">
      <c r="A261" s="52"/>
      <c r="B261" s="63"/>
      <c r="C261" s="63"/>
      <c r="D261" s="63"/>
      <c r="E261" s="63"/>
      <c r="F261" s="63"/>
      <c r="G261" s="64"/>
      <c r="H261" s="60"/>
      <c r="I261" s="64"/>
      <c r="J261" s="58"/>
      <c r="K261" s="58"/>
      <c r="L261" s="57"/>
      <c r="M261" s="58"/>
      <c r="N261" s="59"/>
      <c r="O261" s="60"/>
      <c r="P261" s="60"/>
      <c r="Q261" s="60"/>
      <c r="R261" s="58"/>
      <c r="S261" s="56"/>
      <c r="T261" s="61"/>
      <c r="U261" s="62"/>
    </row>
    <row r="262" spans="1:21" x14ac:dyDescent="0.45">
      <c r="A262" s="52"/>
      <c r="B262" s="63"/>
      <c r="C262" s="63"/>
      <c r="D262" s="63"/>
      <c r="E262" s="63"/>
      <c r="F262" s="63"/>
      <c r="G262" s="64"/>
      <c r="H262" s="60"/>
      <c r="I262" s="64"/>
      <c r="J262" s="58"/>
      <c r="K262" s="58"/>
      <c r="L262" s="57"/>
      <c r="M262" s="58"/>
      <c r="N262" s="59"/>
      <c r="O262" s="60"/>
      <c r="P262" s="60"/>
      <c r="Q262" s="60"/>
      <c r="R262" s="58"/>
      <c r="S262" s="56"/>
      <c r="T262" s="61"/>
      <c r="U262" s="62"/>
    </row>
    <row r="263" spans="1:21" x14ac:dyDescent="0.45">
      <c r="A263" s="52"/>
      <c r="B263" s="63"/>
      <c r="C263" s="63"/>
      <c r="D263" s="63"/>
      <c r="E263" s="63"/>
      <c r="F263" s="63"/>
      <c r="G263" s="64"/>
      <c r="H263" s="60"/>
      <c r="I263" s="64"/>
      <c r="J263" s="58"/>
      <c r="K263" s="58"/>
      <c r="L263" s="57"/>
      <c r="M263" s="58"/>
      <c r="N263" s="59"/>
      <c r="O263" s="60"/>
      <c r="P263" s="60"/>
      <c r="Q263" s="60"/>
      <c r="R263" s="58"/>
      <c r="S263" s="56"/>
      <c r="T263" s="61"/>
      <c r="U263" s="62"/>
    </row>
    <row r="264" spans="1:21" x14ac:dyDescent="0.45">
      <c r="A264" s="52"/>
      <c r="B264" s="63"/>
      <c r="C264" s="63"/>
      <c r="D264" s="63"/>
      <c r="E264" s="63"/>
      <c r="F264" s="63"/>
      <c r="G264" s="64"/>
      <c r="H264" s="60"/>
      <c r="I264" s="64"/>
      <c r="J264" s="58"/>
      <c r="K264" s="58"/>
      <c r="L264" s="57"/>
      <c r="M264" s="58"/>
      <c r="N264" s="59"/>
      <c r="O264" s="60"/>
      <c r="P264" s="60"/>
      <c r="Q264" s="60"/>
      <c r="R264" s="58"/>
      <c r="S264" s="56"/>
      <c r="T264" s="61"/>
      <c r="U264" s="62"/>
    </row>
    <row r="265" spans="1:21" x14ac:dyDescent="0.45">
      <c r="A265" s="52"/>
      <c r="B265" s="63"/>
      <c r="C265" s="63"/>
      <c r="D265" s="63"/>
      <c r="E265" s="63"/>
      <c r="F265" s="63"/>
      <c r="G265" s="64"/>
      <c r="H265" s="60"/>
      <c r="I265" s="64"/>
      <c r="J265" s="58"/>
      <c r="K265" s="58"/>
      <c r="L265" s="57"/>
      <c r="M265" s="58"/>
      <c r="N265" s="59"/>
      <c r="O265" s="60"/>
      <c r="P265" s="60"/>
      <c r="Q265" s="60"/>
      <c r="R265" s="58"/>
      <c r="S265" s="56"/>
      <c r="T265" s="61"/>
      <c r="U265" s="62"/>
    </row>
    <row r="266" spans="1:21" x14ac:dyDescent="0.45">
      <c r="A266" s="52"/>
      <c r="B266" s="63"/>
      <c r="C266" s="63"/>
      <c r="D266" s="63"/>
      <c r="E266" s="63"/>
      <c r="F266" s="63"/>
      <c r="G266" s="64"/>
      <c r="H266" s="60"/>
      <c r="I266" s="64"/>
      <c r="J266" s="58"/>
      <c r="K266" s="58"/>
      <c r="L266" s="57"/>
      <c r="M266" s="58"/>
      <c r="N266" s="59"/>
      <c r="O266" s="60"/>
      <c r="P266" s="60"/>
      <c r="Q266" s="60"/>
      <c r="R266" s="58"/>
      <c r="S266" s="56"/>
      <c r="T266" s="61"/>
      <c r="U266" s="62"/>
    </row>
    <row r="267" spans="1:21" x14ac:dyDescent="0.45">
      <c r="A267" s="52"/>
      <c r="B267" s="63"/>
      <c r="C267" s="63"/>
      <c r="D267" s="63"/>
      <c r="E267" s="63"/>
      <c r="F267" s="63"/>
      <c r="G267" s="64"/>
      <c r="H267" s="60"/>
      <c r="I267" s="64"/>
      <c r="J267" s="58"/>
      <c r="K267" s="58"/>
      <c r="L267" s="57"/>
      <c r="M267" s="58"/>
      <c r="N267" s="59"/>
      <c r="O267" s="60"/>
      <c r="P267" s="60"/>
      <c r="Q267" s="60"/>
      <c r="R267" s="58"/>
      <c r="S267" s="56"/>
      <c r="T267" s="61"/>
      <c r="U267" s="62"/>
    </row>
    <row r="268" spans="1:21" x14ac:dyDescent="0.45">
      <c r="A268" s="52"/>
      <c r="B268" s="63"/>
      <c r="C268" s="63"/>
      <c r="D268" s="63"/>
      <c r="E268" s="63"/>
      <c r="F268" s="63"/>
      <c r="G268" s="64"/>
      <c r="H268" s="60"/>
      <c r="I268" s="64"/>
      <c r="J268" s="58"/>
      <c r="K268" s="58"/>
      <c r="L268" s="57"/>
      <c r="M268" s="58"/>
      <c r="N268" s="59"/>
      <c r="O268" s="60"/>
      <c r="P268" s="60"/>
      <c r="Q268" s="60"/>
      <c r="R268" s="58"/>
      <c r="S268" s="56"/>
      <c r="T268" s="61"/>
      <c r="U268" s="62"/>
    </row>
    <row r="269" spans="1:21" x14ac:dyDescent="0.45">
      <c r="A269" s="52"/>
      <c r="B269" s="63"/>
      <c r="C269" s="63"/>
      <c r="D269" s="63"/>
      <c r="E269" s="63"/>
      <c r="F269" s="63"/>
      <c r="G269" s="64"/>
      <c r="H269" s="60"/>
      <c r="I269" s="64"/>
      <c r="J269" s="58"/>
      <c r="K269" s="58"/>
      <c r="L269" s="57"/>
      <c r="M269" s="58"/>
      <c r="N269" s="59"/>
      <c r="O269" s="60"/>
      <c r="P269" s="60"/>
      <c r="Q269" s="60"/>
      <c r="R269" s="58"/>
      <c r="S269" s="56"/>
      <c r="T269" s="61"/>
      <c r="U269" s="62"/>
    </row>
    <row r="270" spans="1:21" x14ac:dyDescent="0.45">
      <c r="A270" s="52"/>
      <c r="B270" s="63"/>
      <c r="C270" s="63"/>
      <c r="D270" s="63"/>
      <c r="E270" s="63"/>
      <c r="F270" s="63"/>
      <c r="G270" s="64"/>
      <c r="H270" s="60"/>
      <c r="I270" s="64"/>
      <c r="J270" s="58"/>
      <c r="K270" s="58"/>
      <c r="L270" s="57"/>
      <c r="M270" s="58"/>
      <c r="N270" s="59"/>
      <c r="O270" s="60"/>
      <c r="P270" s="60"/>
      <c r="Q270" s="60"/>
      <c r="R270" s="58"/>
      <c r="S270" s="56"/>
      <c r="T270" s="61"/>
      <c r="U270" s="62"/>
    </row>
    <row r="271" spans="1:21" x14ac:dyDescent="0.45">
      <c r="A271" s="52"/>
      <c r="B271" s="63"/>
      <c r="C271" s="63"/>
      <c r="D271" s="63"/>
      <c r="E271" s="63"/>
      <c r="F271" s="63"/>
      <c r="G271" s="64"/>
      <c r="H271" s="60"/>
      <c r="I271" s="64"/>
      <c r="J271" s="58"/>
      <c r="K271" s="58"/>
      <c r="L271" s="57"/>
      <c r="M271" s="58"/>
      <c r="N271" s="59"/>
      <c r="O271" s="60"/>
      <c r="P271" s="60"/>
      <c r="Q271" s="60"/>
      <c r="R271" s="58"/>
      <c r="S271" s="56"/>
      <c r="T271" s="61"/>
      <c r="U271" s="62"/>
    </row>
    <row r="272" spans="1:21" x14ac:dyDescent="0.45">
      <c r="A272" s="52"/>
      <c r="B272" s="63"/>
      <c r="C272" s="63"/>
      <c r="D272" s="63"/>
      <c r="E272" s="63"/>
      <c r="F272" s="63"/>
      <c r="G272" s="64"/>
      <c r="H272" s="60"/>
      <c r="I272" s="64"/>
      <c r="J272" s="58"/>
      <c r="K272" s="58"/>
      <c r="L272" s="57"/>
      <c r="M272" s="58"/>
      <c r="N272" s="59"/>
      <c r="O272" s="60"/>
      <c r="P272" s="60"/>
      <c r="Q272" s="60"/>
      <c r="R272" s="58"/>
      <c r="S272" s="56"/>
      <c r="T272" s="61"/>
      <c r="U272" s="62"/>
    </row>
    <row r="273" spans="1:21" x14ac:dyDescent="0.45">
      <c r="A273" s="52"/>
      <c r="B273" s="63"/>
      <c r="C273" s="63"/>
      <c r="D273" s="63"/>
      <c r="E273" s="63"/>
      <c r="F273" s="63"/>
      <c r="G273" s="64"/>
      <c r="H273" s="60"/>
      <c r="I273" s="64"/>
      <c r="J273" s="58"/>
      <c r="K273" s="58"/>
      <c r="L273" s="57"/>
      <c r="M273" s="58"/>
      <c r="N273" s="59"/>
      <c r="O273" s="60"/>
      <c r="P273" s="60"/>
      <c r="Q273" s="60"/>
      <c r="R273" s="58"/>
      <c r="S273" s="56"/>
      <c r="T273" s="61"/>
      <c r="U273" s="62"/>
    </row>
    <row r="274" spans="1:21" x14ac:dyDescent="0.45">
      <c r="A274" s="52"/>
      <c r="B274" s="63"/>
      <c r="C274" s="63"/>
      <c r="D274" s="63"/>
      <c r="E274" s="63"/>
      <c r="F274" s="63"/>
      <c r="G274" s="64"/>
      <c r="H274" s="60"/>
      <c r="I274" s="64"/>
      <c r="J274" s="58"/>
      <c r="K274" s="58"/>
      <c r="L274" s="57"/>
      <c r="M274" s="58"/>
      <c r="N274" s="59"/>
      <c r="O274" s="60"/>
      <c r="P274" s="60"/>
      <c r="Q274" s="60"/>
      <c r="R274" s="58"/>
      <c r="S274" s="56"/>
      <c r="T274" s="61"/>
      <c r="U274" s="62"/>
    </row>
    <row r="275" spans="1:21" x14ac:dyDescent="0.45">
      <c r="A275" s="52"/>
      <c r="B275" s="63"/>
      <c r="C275" s="63"/>
      <c r="D275" s="63"/>
      <c r="E275" s="63"/>
      <c r="F275" s="63"/>
      <c r="G275" s="64"/>
      <c r="H275" s="60"/>
      <c r="I275" s="64"/>
      <c r="J275" s="58"/>
      <c r="K275" s="58"/>
      <c r="L275" s="57"/>
      <c r="M275" s="58"/>
      <c r="N275" s="59"/>
      <c r="O275" s="60"/>
      <c r="P275" s="60"/>
      <c r="Q275" s="60"/>
      <c r="R275" s="58"/>
      <c r="S275" s="56"/>
      <c r="T275" s="61"/>
      <c r="U275" s="62"/>
    </row>
    <row r="276" spans="1:21" x14ac:dyDescent="0.45">
      <c r="A276" s="52"/>
      <c r="B276" s="63"/>
      <c r="C276" s="63"/>
      <c r="D276" s="63"/>
      <c r="E276" s="63"/>
      <c r="F276" s="63"/>
      <c r="G276" s="64"/>
      <c r="H276" s="60"/>
      <c r="I276" s="64"/>
      <c r="J276" s="58"/>
      <c r="K276" s="58"/>
      <c r="L276" s="57"/>
      <c r="M276" s="58"/>
      <c r="N276" s="59"/>
      <c r="O276" s="60"/>
      <c r="P276" s="60"/>
      <c r="Q276" s="60"/>
      <c r="R276" s="58"/>
      <c r="S276" s="56"/>
      <c r="T276" s="61"/>
      <c r="U276" s="62"/>
    </row>
    <row r="277" spans="1:21" x14ac:dyDescent="0.45">
      <c r="A277" s="52"/>
      <c r="B277" s="63"/>
      <c r="C277" s="63"/>
      <c r="D277" s="63"/>
      <c r="E277" s="63"/>
      <c r="F277" s="63"/>
      <c r="G277" s="64"/>
      <c r="H277" s="60"/>
      <c r="I277" s="64"/>
      <c r="J277" s="58"/>
      <c r="K277" s="58"/>
      <c r="L277" s="57"/>
      <c r="M277" s="58"/>
      <c r="N277" s="59"/>
      <c r="O277" s="60"/>
      <c r="P277" s="60"/>
      <c r="Q277" s="60"/>
      <c r="R277" s="58"/>
      <c r="S277" s="56"/>
      <c r="T277" s="61"/>
      <c r="U277" s="62"/>
    </row>
    <row r="278" spans="1:21" x14ac:dyDescent="0.45">
      <c r="A278" s="52"/>
      <c r="B278" s="63"/>
      <c r="C278" s="63"/>
      <c r="D278" s="63"/>
      <c r="E278" s="63"/>
      <c r="F278" s="63"/>
      <c r="G278" s="64"/>
      <c r="H278" s="60"/>
      <c r="I278" s="64"/>
      <c r="J278" s="58"/>
      <c r="K278" s="58"/>
      <c r="L278" s="57"/>
      <c r="M278" s="58"/>
      <c r="N278" s="59"/>
      <c r="O278" s="60"/>
      <c r="P278" s="60"/>
      <c r="Q278" s="60"/>
      <c r="R278" s="58"/>
      <c r="S278" s="56"/>
      <c r="T278" s="61"/>
      <c r="U278" s="62"/>
    </row>
    <row r="279" spans="1:21" x14ac:dyDescent="0.45">
      <c r="A279" s="52"/>
      <c r="B279" s="63"/>
      <c r="C279" s="63"/>
      <c r="D279" s="63"/>
      <c r="E279" s="63"/>
      <c r="F279" s="63"/>
      <c r="G279" s="64"/>
      <c r="H279" s="60"/>
      <c r="I279" s="64"/>
      <c r="J279" s="58"/>
      <c r="K279" s="58"/>
      <c r="L279" s="57"/>
      <c r="M279" s="58"/>
      <c r="N279" s="59"/>
      <c r="O279" s="60"/>
      <c r="P279" s="60"/>
      <c r="Q279" s="60"/>
      <c r="R279" s="58"/>
      <c r="S279" s="56"/>
      <c r="T279" s="61"/>
      <c r="U279" s="62"/>
    </row>
    <row r="280" spans="1:21" x14ac:dyDescent="0.45">
      <c r="A280" s="52"/>
      <c r="B280" s="63"/>
      <c r="C280" s="63"/>
      <c r="D280" s="63"/>
      <c r="E280" s="63"/>
      <c r="F280" s="63"/>
      <c r="G280" s="64"/>
      <c r="H280" s="60"/>
      <c r="I280" s="64"/>
      <c r="J280" s="58"/>
      <c r="K280" s="58"/>
      <c r="L280" s="57"/>
      <c r="M280" s="58"/>
      <c r="N280" s="59"/>
      <c r="O280" s="60"/>
      <c r="P280" s="60"/>
      <c r="Q280" s="60"/>
      <c r="R280" s="58"/>
      <c r="S280" s="56"/>
      <c r="T280" s="61"/>
      <c r="U280" s="62"/>
    </row>
    <row r="281" spans="1:21" x14ac:dyDescent="0.45">
      <c r="A281" s="52"/>
      <c r="B281" s="63"/>
      <c r="C281" s="63"/>
      <c r="D281" s="63"/>
      <c r="E281" s="63"/>
      <c r="F281" s="63"/>
      <c r="G281" s="64"/>
      <c r="H281" s="60"/>
      <c r="I281" s="64"/>
      <c r="J281" s="58"/>
      <c r="K281" s="58"/>
      <c r="L281" s="57"/>
      <c r="M281" s="58"/>
      <c r="N281" s="59"/>
      <c r="O281" s="60"/>
      <c r="P281" s="60"/>
      <c r="Q281" s="60"/>
      <c r="R281" s="58"/>
      <c r="S281" s="56"/>
      <c r="T281" s="61"/>
      <c r="U281" s="62"/>
    </row>
    <row r="282" spans="1:21" x14ac:dyDescent="0.45">
      <c r="A282" s="52"/>
      <c r="B282" s="63"/>
      <c r="C282" s="63"/>
      <c r="D282" s="63"/>
      <c r="E282" s="63"/>
      <c r="F282" s="63"/>
      <c r="G282" s="64"/>
      <c r="H282" s="60"/>
      <c r="I282" s="64"/>
      <c r="J282" s="58"/>
      <c r="K282" s="58"/>
      <c r="L282" s="57"/>
      <c r="M282" s="58"/>
      <c r="N282" s="59"/>
      <c r="O282" s="60"/>
      <c r="P282" s="60"/>
      <c r="Q282" s="60"/>
      <c r="R282" s="58"/>
      <c r="S282" s="56"/>
      <c r="T282" s="61"/>
      <c r="U282" s="62"/>
    </row>
    <row r="283" spans="1:21" x14ac:dyDescent="0.45">
      <c r="A283" s="52"/>
      <c r="B283" s="63"/>
      <c r="C283" s="63"/>
      <c r="D283" s="63"/>
      <c r="E283" s="63"/>
      <c r="F283" s="63"/>
      <c r="G283" s="64"/>
      <c r="H283" s="60"/>
      <c r="I283" s="64"/>
      <c r="J283" s="58"/>
      <c r="K283" s="58"/>
      <c r="L283" s="57"/>
      <c r="M283" s="58"/>
      <c r="N283" s="59"/>
      <c r="O283" s="60"/>
      <c r="P283" s="60"/>
      <c r="Q283" s="60"/>
      <c r="R283" s="58"/>
      <c r="S283" s="56"/>
      <c r="T283" s="61"/>
      <c r="U283" s="62"/>
    </row>
    <row r="284" spans="1:21" x14ac:dyDescent="0.45">
      <c r="A284" s="52"/>
      <c r="B284" s="63"/>
      <c r="C284" s="63"/>
      <c r="D284" s="63"/>
      <c r="E284" s="63"/>
      <c r="F284" s="63"/>
      <c r="G284" s="64"/>
      <c r="H284" s="60"/>
      <c r="I284" s="64"/>
      <c r="J284" s="58"/>
      <c r="K284" s="58"/>
      <c r="L284" s="57"/>
      <c r="M284" s="58"/>
      <c r="N284" s="59"/>
      <c r="O284" s="60"/>
      <c r="P284" s="60"/>
      <c r="Q284" s="60"/>
      <c r="R284" s="58"/>
      <c r="S284" s="56"/>
      <c r="T284" s="61"/>
      <c r="U284" s="62"/>
    </row>
    <row r="285" spans="1:21" x14ac:dyDescent="0.45">
      <c r="A285" s="52"/>
      <c r="B285" s="63"/>
      <c r="C285" s="63"/>
      <c r="D285" s="63"/>
      <c r="E285" s="63"/>
      <c r="F285" s="63"/>
      <c r="G285" s="64"/>
      <c r="H285" s="60"/>
      <c r="I285" s="64"/>
      <c r="J285" s="58"/>
      <c r="K285" s="58"/>
      <c r="L285" s="57"/>
      <c r="M285" s="58"/>
      <c r="N285" s="59"/>
      <c r="O285" s="60"/>
      <c r="P285" s="60"/>
      <c r="Q285" s="60"/>
      <c r="R285" s="58"/>
      <c r="S285" s="56"/>
      <c r="T285" s="61"/>
      <c r="U285" s="62"/>
    </row>
    <row r="286" spans="1:21" x14ac:dyDescent="0.45">
      <c r="A286" s="52"/>
      <c r="B286" s="63"/>
      <c r="C286" s="63"/>
      <c r="D286" s="63"/>
      <c r="E286" s="63"/>
      <c r="F286" s="63"/>
      <c r="G286" s="64"/>
      <c r="H286" s="60"/>
      <c r="I286" s="64"/>
      <c r="J286" s="58"/>
      <c r="K286" s="58"/>
      <c r="L286" s="57"/>
      <c r="M286" s="58"/>
      <c r="N286" s="59"/>
      <c r="O286" s="60"/>
      <c r="P286" s="60"/>
      <c r="Q286" s="60"/>
      <c r="R286" s="58"/>
      <c r="S286" s="56"/>
      <c r="T286" s="61"/>
      <c r="U286" s="62"/>
    </row>
    <row r="287" spans="1:21" x14ac:dyDescent="0.45">
      <c r="A287" s="52"/>
      <c r="B287" s="63"/>
      <c r="C287" s="63"/>
      <c r="D287" s="63"/>
      <c r="E287" s="63"/>
      <c r="F287" s="63"/>
      <c r="G287" s="64"/>
      <c r="H287" s="60"/>
      <c r="I287" s="64"/>
      <c r="J287" s="58"/>
      <c r="K287" s="58"/>
      <c r="L287" s="57"/>
      <c r="M287" s="58"/>
      <c r="N287" s="59"/>
      <c r="O287" s="60"/>
      <c r="P287" s="60"/>
      <c r="Q287" s="60"/>
      <c r="R287" s="58"/>
      <c r="S287" s="56"/>
      <c r="T287" s="61"/>
      <c r="U287" s="62"/>
    </row>
    <row r="288" spans="1:21" x14ac:dyDescent="0.45">
      <c r="A288" s="52"/>
      <c r="B288" s="63"/>
      <c r="C288" s="63"/>
      <c r="D288" s="63"/>
      <c r="E288" s="63"/>
      <c r="F288" s="63"/>
      <c r="G288" s="64"/>
      <c r="H288" s="60"/>
      <c r="I288" s="64"/>
      <c r="J288" s="58"/>
      <c r="K288" s="58"/>
      <c r="L288" s="57"/>
      <c r="M288" s="58"/>
      <c r="N288" s="59"/>
      <c r="O288" s="60"/>
      <c r="P288" s="60"/>
      <c r="Q288" s="60"/>
      <c r="R288" s="58"/>
      <c r="S288" s="56"/>
      <c r="T288" s="61"/>
      <c r="U288" s="62"/>
    </row>
    <row r="289" spans="1:21" x14ac:dyDescent="0.45">
      <c r="A289" s="52"/>
      <c r="B289" s="63"/>
      <c r="C289" s="63"/>
      <c r="D289" s="63"/>
      <c r="E289" s="63"/>
      <c r="F289" s="63"/>
      <c r="G289" s="64"/>
      <c r="H289" s="60"/>
      <c r="I289" s="64"/>
      <c r="J289" s="58"/>
      <c r="K289" s="58"/>
      <c r="L289" s="57"/>
      <c r="M289" s="58"/>
      <c r="N289" s="59"/>
      <c r="O289" s="60"/>
      <c r="P289" s="60"/>
      <c r="Q289" s="60"/>
      <c r="R289" s="58"/>
      <c r="S289" s="56"/>
      <c r="T289" s="61"/>
      <c r="U289" s="62"/>
    </row>
    <row r="290" spans="1:21" x14ac:dyDescent="0.45">
      <c r="A290" s="52"/>
      <c r="B290" s="63"/>
      <c r="C290" s="63"/>
      <c r="D290" s="63"/>
      <c r="E290" s="63"/>
      <c r="F290" s="63"/>
      <c r="G290" s="64"/>
      <c r="H290" s="60"/>
      <c r="I290" s="64"/>
      <c r="J290" s="58"/>
      <c r="K290" s="58"/>
      <c r="L290" s="57"/>
      <c r="M290" s="58"/>
      <c r="N290" s="59"/>
      <c r="O290" s="60"/>
      <c r="P290" s="60"/>
      <c r="Q290" s="60"/>
      <c r="R290" s="58"/>
      <c r="S290" s="56"/>
      <c r="T290" s="61"/>
      <c r="U290" s="62"/>
    </row>
    <row r="291" spans="1:21" x14ac:dyDescent="0.45">
      <c r="A291" s="52"/>
      <c r="B291" s="63"/>
      <c r="C291" s="63"/>
      <c r="D291" s="63"/>
      <c r="E291" s="63"/>
      <c r="F291" s="63"/>
      <c r="G291" s="64"/>
      <c r="H291" s="60"/>
      <c r="I291" s="64"/>
      <c r="J291" s="58"/>
      <c r="K291" s="58"/>
      <c r="L291" s="57"/>
      <c r="M291" s="58"/>
      <c r="N291" s="59"/>
      <c r="O291" s="60"/>
      <c r="P291" s="60"/>
      <c r="Q291" s="60"/>
      <c r="R291" s="58"/>
      <c r="S291" s="56"/>
      <c r="T291" s="61"/>
      <c r="U291" s="62"/>
    </row>
    <row r="292" spans="1:21" x14ac:dyDescent="0.45">
      <c r="A292" s="52"/>
      <c r="B292" s="63"/>
      <c r="C292" s="63"/>
      <c r="D292" s="63"/>
      <c r="E292" s="63"/>
      <c r="F292" s="63"/>
      <c r="G292" s="64"/>
      <c r="H292" s="60"/>
      <c r="I292" s="64"/>
      <c r="J292" s="58"/>
      <c r="K292" s="58"/>
      <c r="L292" s="57"/>
      <c r="M292" s="58"/>
      <c r="N292" s="59"/>
      <c r="O292" s="60"/>
      <c r="P292" s="60"/>
      <c r="Q292" s="60"/>
      <c r="R292" s="58"/>
      <c r="S292" s="56"/>
      <c r="T292" s="61"/>
      <c r="U292" s="62"/>
    </row>
    <row r="293" spans="1:21" x14ac:dyDescent="0.45">
      <c r="A293" s="52"/>
      <c r="B293" s="63"/>
      <c r="C293" s="63"/>
      <c r="D293" s="63"/>
      <c r="E293" s="63"/>
      <c r="F293" s="63"/>
      <c r="G293" s="64"/>
      <c r="H293" s="60"/>
      <c r="I293" s="64"/>
      <c r="J293" s="58"/>
      <c r="K293" s="58"/>
      <c r="L293" s="57"/>
      <c r="M293" s="58"/>
      <c r="N293" s="59"/>
      <c r="O293" s="60"/>
      <c r="P293" s="60"/>
      <c r="Q293" s="60"/>
      <c r="R293" s="58"/>
      <c r="S293" s="56"/>
      <c r="T293" s="61"/>
      <c r="U293" s="62"/>
    </row>
    <row r="294" spans="1:21" x14ac:dyDescent="0.45">
      <c r="A294" s="52"/>
      <c r="B294" s="63"/>
      <c r="C294" s="63"/>
      <c r="D294" s="63"/>
      <c r="E294" s="63"/>
      <c r="F294" s="63"/>
      <c r="G294" s="64"/>
      <c r="H294" s="60"/>
      <c r="I294" s="64"/>
      <c r="J294" s="58"/>
      <c r="K294" s="58"/>
      <c r="L294" s="57"/>
      <c r="M294" s="58"/>
      <c r="N294" s="59"/>
      <c r="O294" s="60"/>
      <c r="P294" s="60"/>
      <c r="Q294" s="60"/>
      <c r="R294" s="58"/>
      <c r="S294" s="56"/>
      <c r="T294" s="61"/>
      <c r="U294" s="62"/>
    </row>
    <row r="295" spans="1:21" x14ac:dyDescent="0.45">
      <c r="A295" s="52"/>
      <c r="B295" s="63"/>
      <c r="C295" s="63"/>
      <c r="D295" s="63"/>
      <c r="E295" s="63"/>
      <c r="F295" s="63"/>
      <c r="G295" s="64"/>
      <c r="H295" s="60"/>
      <c r="I295" s="64"/>
      <c r="J295" s="58"/>
      <c r="K295" s="58"/>
      <c r="L295" s="57"/>
      <c r="M295" s="58"/>
      <c r="N295" s="59"/>
      <c r="O295" s="60"/>
      <c r="P295" s="60"/>
      <c r="Q295" s="60"/>
      <c r="R295" s="58"/>
      <c r="S295" s="56"/>
      <c r="T295" s="61"/>
      <c r="U295" s="62"/>
    </row>
    <row r="296" spans="1:21" x14ac:dyDescent="0.45">
      <c r="A296" s="52"/>
      <c r="B296" s="63"/>
      <c r="C296" s="63"/>
      <c r="D296" s="63"/>
      <c r="E296" s="63"/>
      <c r="F296" s="63"/>
      <c r="G296" s="64"/>
      <c r="H296" s="60"/>
      <c r="I296" s="64"/>
      <c r="J296" s="58"/>
      <c r="K296" s="58"/>
      <c r="L296" s="57"/>
      <c r="M296" s="58"/>
      <c r="N296" s="59"/>
      <c r="O296" s="60"/>
      <c r="P296" s="60"/>
      <c r="Q296" s="60"/>
      <c r="R296" s="58"/>
      <c r="S296" s="56"/>
      <c r="T296" s="61"/>
      <c r="U296" s="62"/>
    </row>
    <row r="297" spans="1:21" x14ac:dyDescent="0.45">
      <c r="A297" s="52"/>
      <c r="B297" s="63"/>
      <c r="C297" s="63"/>
      <c r="D297" s="63"/>
      <c r="E297" s="63"/>
      <c r="F297" s="63"/>
      <c r="G297" s="64"/>
      <c r="H297" s="60"/>
      <c r="I297" s="64"/>
      <c r="J297" s="58"/>
      <c r="K297" s="58"/>
      <c r="L297" s="57"/>
      <c r="M297" s="58"/>
      <c r="N297" s="59"/>
      <c r="O297" s="60"/>
      <c r="P297" s="60"/>
      <c r="Q297" s="60"/>
      <c r="R297" s="58"/>
      <c r="S297" s="56"/>
      <c r="T297" s="61"/>
      <c r="U297" s="62"/>
    </row>
    <row r="298" spans="1:21" x14ac:dyDescent="0.45">
      <c r="A298" s="52"/>
      <c r="B298" s="63"/>
      <c r="C298" s="63"/>
      <c r="D298" s="63"/>
      <c r="E298" s="63"/>
      <c r="F298" s="63"/>
      <c r="G298" s="64"/>
      <c r="H298" s="60"/>
      <c r="I298" s="64"/>
      <c r="J298" s="58"/>
      <c r="K298" s="58"/>
      <c r="L298" s="57"/>
      <c r="M298" s="58"/>
      <c r="N298" s="59"/>
      <c r="O298" s="60"/>
      <c r="P298" s="60"/>
      <c r="Q298" s="60"/>
      <c r="R298" s="58"/>
      <c r="S298" s="56"/>
      <c r="T298" s="61"/>
      <c r="U298" s="62"/>
    </row>
    <row r="299" spans="1:21" x14ac:dyDescent="0.45">
      <c r="A299" s="52"/>
      <c r="B299" s="63"/>
      <c r="C299" s="63"/>
      <c r="D299" s="63"/>
      <c r="E299" s="63"/>
      <c r="F299" s="63"/>
      <c r="G299" s="64"/>
      <c r="H299" s="60"/>
      <c r="I299" s="64"/>
      <c r="J299" s="58"/>
      <c r="K299" s="58"/>
      <c r="L299" s="57"/>
      <c r="M299" s="58"/>
      <c r="N299" s="59"/>
      <c r="O299" s="60"/>
      <c r="P299" s="60"/>
      <c r="Q299" s="60"/>
      <c r="R299" s="58"/>
      <c r="S299" s="56"/>
      <c r="T299" s="61"/>
      <c r="U299" s="62"/>
    </row>
    <row r="300" spans="1:21" x14ac:dyDescent="0.45">
      <c r="A300" s="52"/>
      <c r="B300" s="63"/>
      <c r="C300" s="63"/>
      <c r="D300" s="63"/>
      <c r="E300" s="63"/>
      <c r="F300" s="63"/>
      <c r="G300" s="64"/>
      <c r="H300" s="60"/>
      <c r="I300" s="64"/>
      <c r="J300" s="58"/>
      <c r="K300" s="58"/>
      <c r="L300" s="57"/>
      <c r="M300" s="58"/>
      <c r="N300" s="59"/>
      <c r="O300" s="60"/>
      <c r="P300" s="60"/>
      <c r="Q300" s="60"/>
      <c r="R300" s="58"/>
      <c r="S300" s="56"/>
      <c r="T300" s="61"/>
      <c r="U300" s="62"/>
    </row>
    <row r="301" spans="1:21" x14ac:dyDescent="0.45">
      <c r="A301" s="52"/>
      <c r="B301" s="63"/>
      <c r="C301" s="63"/>
      <c r="D301" s="63"/>
      <c r="E301" s="63"/>
      <c r="F301" s="63"/>
      <c r="G301" s="64"/>
      <c r="H301" s="60"/>
      <c r="I301" s="64"/>
      <c r="J301" s="58"/>
      <c r="K301" s="58"/>
      <c r="L301" s="57"/>
      <c r="M301" s="58"/>
      <c r="N301" s="59"/>
      <c r="O301" s="60"/>
      <c r="P301" s="60"/>
      <c r="Q301" s="60"/>
      <c r="R301" s="58"/>
      <c r="S301" s="56"/>
      <c r="T301" s="61"/>
      <c r="U301" s="62"/>
    </row>
    <row r="302" spans="1:21" x14ac:dyDescent="0.45">
      <c r="A302" s="52"/>
      <c r="B302" s="63"/>
      <c r="C302" s="63"/>
      <c r="D302" s="63"/>
      <c r="E302" s="63"/>
      <c r="F302" s="63"/>
      <c r="G302" s="64"/>
      <c r="H302" s="60"/>
      <c r="I302" s="64"/>
      <c r="J302" s="58"/>
      <c r="K302" s="58"/>
      <c r="L302" s="57"/>
      <c r="M302" s="58"/>
      <c r="N302" s="59"/>
      <c r="O302" s="60"/>
      <c r="P302" s="60"/>
      <c r="Q302" s="60"/>
      <c r="R302" s="58"/>
      <c r="S302" s="56"/>
      <c r="T302" s="61"/>
      <c r="U302" s="62"/>
    </row>
    <row r="303" spans="1:21" x14ac:dyDescent="0.45">
      <c r="A303" s="52"/>
      <c r="B303" s="63"/>
      <c r="C303" s="63"/>
      <c r="D303" s="63"/>
      <c r="E303" s="63"/>
      <c r="F303" s="63"/>
      <c r="G303" s="64"/>
      <c r="H303" s="60"/>
      <c r="I303" s="64"/>
      <c r="J303" s="58"/>
      <c r="K303" s="58"/>
      <c r="L303" s="57"/>
      <c r="M303" s="58"/>
      <c r="N303" s="59"/>
      <c r="O303" s="60"/>
      <c r="P303" s="60"/>
      <c r="Q303" s="60"/>
      <c r="R303" s="58"/>
      <c r="S303" s="56"/>
      <c r="T303" s="61"/>
      <c r="U303" s="62"/>
    </row>
    <row r="304" spans="1:21" x14ac:dyDescent="0.45">
      <c r="A304" s="52"/>
      <c r="B304" s="63"/>
      <c r="C304" s="63"/>
      <c r="D304" s="63"/>
      <c r="E304" s="63"/>
      <c r="F304" s="63"/>
      <c r="G304" s="64"/>
      <c r="H304" s="60"/>
      <c r="I304" s="64"/>
      <c r="J304" s="58"/>
      <c r="K304" s="58"/>
      <c r="L304" s="57"/>
      <c r="M304" s="58"/>
      <c r="N304" s="59"/>
      <c r="O304" s="60"/>
      <c r="P304" s="60"/>
      <c r="Q304" s="60"/>
      <c r="R304" s="58"/>
      <c r="S304" s="56"/>
      <c r="T304" s="61"/>
      <c r="U304" s="62"/>
    </row>
    <row r="305" spans="1:21" x14ac:dyDescent="0.45">
      <c r="A305" s="52"/>
      <c r="B305" s="63"/>
      <c r="C305" s="63"/>
      <c r="D305" s="63"/>
      <c r="E305" s="63"/>
      <c r="F305" s="63"/>
      <c r="G305" s="64"/>
      <c r="H305" s="60"/>
      <c r="I305" s="64"/>
      <c r="J305" s="58"/>
      <c r="K305" s="58"/>
      <c r="L305" s="57"/>
      <c r="M305" s="58"/>
      <c r="N305" s="59"/>
      <c r="O305" s="60"/>
      <c r="P305" s="60"/>
      <c r="Q305" s="60"/>
      <c r="R305" s="58"/>
      <c r="S305" s="56"/>
      <c r="T305" s="61"/>
      <c r="U305" s="62"/>
    </row>
    <row r="306" spans="1:21" x14ac:dyDescent="0.45">
      <c r="A306" s="52"/>
      <c r="B306" s="63"/>
      <c r="C306" s="63"/>
      <c r="D306" s="63"/>
      <c r="E306" s="63"/>
      <c r="F306" s="63"/>
      <c r="G306" s="64"/>
      <c r="H306" s="60"/>
      <c r="I306" s="64"/>
      <c r="J306" s="58"/>
      <c r="K306" s="58"/>
      <c r="L306" s="57"/>
      <c r="M306" s="58"/>
      <c r="N306" s="59"/>
      <c r="O306" s="60"/>
      <c r="P306" s="60"/>
      <c r="Q306" s="60"/>
      <c r="R306" s="58"/>
      <c r="S306" s="56"/>
      <c r="T306" s="61"/>
      <c r="U306" s="62"/>
    </row>
    <row r="307" spans="1:21" x14ac:dyDescent="0.45">
      <c r="A307" s="52"/>
      <c r="B307" s="63"/>
      <c r="C307" s="63"/>
      <c r="D307" s="63"/>
      <c r="E307" s="63"/>
      <c r="F307" s="63"/>
      <c r="G307" s="64"/>
      <c r="H307" s="60"/>
      <c r="I307" s="64"/>
      <c r="J307" s="58"/>
      <c r="K307" s="58"/>
      <c r="L307" s="57"/>
      <c r="M307" s="58"/>
      <c r="N307" s="59"/>
      <c r="O307" s="60"/>
      <c r="P307" s="60"/>
      <c r="Q307" s="60"/>
      <c r="R307" s="58"/>
      <c r="S307" s="56"/>
      <c r="T307" s="61"/>
      <c r="U307" s="62"/>
    </row>
    <row r="308" spans="1:21" x14ac:dyDescent="0.45">
      <c r="A308" s="52"/>
      <c r="B308" s="63"/>
      <c r="C308" s="63"/>
      <c r="D308" s="63"/>
      <c r="E308" s="63"/>
      <c r="F308" s="63"/>
      <c r="G308" s="64"/>
      <c r="H308" s="60"/>
      <c r="I308" s="64"/>
      <c r="J308" s="58"/>
      <c r="K308" s="58"/>
      <c r="L308" s="57"/>
      <c r="M308" s="58"/>
      <c r="N308" s="59"/>
      <c r="O308" s="60"/>
      <c r="P308" s="60"/>
      <c r="Q308" s="60"/>
      <c r="R308" s="58"/>
      <c r="S308" s="56"/>
      <c r="T308" s="61"/>
      <c r="U308" s="62"/>
    </row>
    <row r="309" spans="1:21" x14ac:dyDescent="0.45">
      <c r="A309" s="52"/>
      <c r="B309" s="63"/>
      <c r="C309" s="63"/>
      <c r="D309" s="63"/>
      <c r="E309" s="63"/>
      <c r="F309" s="63"/>
      <c r="G309" s="64"/>
      <c r="H309" s="60"/>
      <c r="I309" s="64"/>
      <c r="J309" s="58"/>
      <c r="K309" s="58"/>
      <c r="L309" s="57"/>
      <c r="M309" s="58"/>
      <c r="N309" s="59"/>
      <c r="O309" s="60"/>
      <c r="P309" s="60"/>
      <c r="Q309" s="60"/>
      <c r="R309" s="58"/>
      <c r="S309" s="56"/>
      <c r="T309" s="61"/>
      <c r="U309" s="62"/>
    </row>
    <row r="310" spans="1:21" x14ac:dyDescent="0.45">
      <c r="A310" s="52"/>
      <c r="B310" s="63"/>
      <c r="C310" s="63"/>
      <c r="D310" s="63"/>
      <c r="E310" s="63"/>
      <c r="F310" s="63"/>
      <c r="G310" s="64"/>
      <c r="H310" s="60"/>
      <c r="I310" s="64"/>
      <c r="J310" s="58"/>
      <c r="K310" s="58"/>
      <c r="L310" s="57"/>
      <c r="M310" s="58"/>
      <c r="N310" s="59"/>
      <c r="O310" s="60"/>
      <c r="P310" s="60"/>
      <c r="Q310" s="60"/>
      <c r="R310" s="58"/>
      <c r="S310" s="56"/>
      <c r="T310" s="61"/>
      <c r="U310" s="62"/>
    </row>
    <row r="311" spans="1:21" x14ac:dyDescent="0.45">
      <c r="A311" s="52"/>
      <c r="B311" s="63"/>
      <c r="C311" s="63"/>
      <c r="D311" s="63"/>
      <c r="E311" s="63"/>
      <c r="F311" s="63"/>
      <c r="G311" s="64"/>
      <c r="H311" s="60"/>
      <c r="I311" s="64"/>
      <c r="J311" s="58"/>
      <c r="K311" s="58"/>
      <c r="L311" s="57"/>
      <c r="M311" s="58"/>
      <c r="N311" s="59"/>
      <c r="O311" s="60"/>
      <c r="P311" s="60"/>
      <c r="Q311" s="60"/>
      <c r="R311" s="58"/>
      <c r="S311" s="56"/>
      <c r="T311" s="61"/>
      <c r="U311" s="62"/>
    </row>
    <row r="312" spans="1:21" x14ac:dyDescent="0.45">
      <c r="A312" s="52"/>
      <c r="B312" s="63"/>
      <c r="C312" s="63"/>
      <c r="D312" s="63"/>
      <c r="E312" s="63"/>
      <c r="F312" s="63"/>
      <c r="G312" s="64"/>
      <c r="H312" s="60"/>
      <c r="I312" s="64"/>
      <c r="J312" s="58"/>
      <c r="K312" s="58"/>
      <c r="L312" s="57"/>
      <c r="M312" s="58"/>
      <c r="N312" s="59"/>
      <c r="O312" s="60"/>
      <c r="P312" s="60"/>
      <c r="Q312" s="60"/>
      <c r="R312" s="58"/>
      <c r="S312" s="56"/>
      <c r="T312" s="61"/>
      <c r="U312" s="62"/>
    </row>
    <row r="313" spans="1:21" x14ac:dyDescent="0.45">
      <c r="A313" s="52"/>
      <c r="B313" s="63"/>
      <c r="C313" s="63"/>
      <c r="D313" s="63"/>
      <c r="E313" s="63"/>
      <c r="F313" s="63"/>
      <c r="G313" s="64"/>
      <c r="H313" s="60"/>
      <c r="I313" s="64"/>
      <c r="J313" s="58"/>
      <c r="K313" s="58"/>
      <c r="L313" s="57"/>
      <c r="M313" s="58"/>
      <c r="N313" s="59"/>
      <c r="O313" s="60"/>
      <c r="P313" s="60"/>
      <c r="Q313" s="60"/>
      <c r="R313" s="58"/>
      <c r="S313" s="56"/>
      <c r="T313" s="61"/>
      <c r="U313" s="62"/>
    </row>
    <row r="314" spans="1:21" x14ac:dyDescent="0.45">
      <c r="A314" s="52"/>
      <c r="B314" s="63"/>
      <c r="C314" s="63"/>
      <c r="D314" s="63"/>
      <c r="E314" s="63"/>
      <c r="F314" s="63"/>
      <c r="G314" s="64"/>
      <c r="H314" s="60"/>
      <c r="I314" s="64"/>
      <c r="J314" s="58"/>
      <c r="K314" s="58"/>
      <c r="L314" s="57"/>
      <c r="M314" s="58"/>
      <c r="N314" s="59"/>
      <c r="O314" s="60"/>
      <c r="P314" s="60"/>
      <c r="Q314" s="60"/>
      <c r="R314" s="58"/>
      <c r="S314" s="56"/>
      <c r="T314" s="61"/>
      <c r="U314" s="62"/>
    </row>
    <row r="315" spans="1:21" x14ac:dyDescent="0.45">
      <c r="A315" s="52"/>
      <c r="B315" s="63"/>
      <c r="C315" s="63"/>
      <c r="D315" s="63"/>
      <c r="E315" s="63"/>
      <c r="F315" s="63"/>
      <c r="G315" s="64"/>
      <c r="H315" s="60"/>
      <c r="I315" s="64"/>
      <c r="J315" s="58"/>
      <c r="K315" s="58"/>
      <c r="L315" s="57"/>
      <c r="M315" s="58"/>
      <c r="N315" s="59"/>
      <c r="O315" s="60"/>
      <c r="P315" s="60"/>
      <c r="Q315" s="60"/>
      <c r="R315" s="58"/>
      <c r="S315" s="56"/>
      <c r="T315" s="61"/>
      <c r="U315" s="62"/>
    </row>
    <row r="316" spans="1:21" x14ac:dyDescent="0.45">
      <c r="A316" s="52"/>
      <c r="B316" s="63"/>
      <c r="C316" s="63"/>
      <c r="D316" s="63"/>
      <c r="E316" s="63"/>
      <c r="F316" s="63"/>
      <c r="G316" s="64"/>
      <c r="H316" s="60"/>
      <c r="I316" s="64"/>
      <c r="J316" s="58"/>
      <c r="K316" s="58"/>
      <c r="L316" s="57"/>
      <c r="M316" s="58"/>
      <c r="N316" s="59"/>
      <c r="O316" s="60"/>
      <c r="P316" s="60"/>
      <c r="Q316" s="60"/>
      <c r="R316" s="58"/>
      <c r="S316" s="56"/>
      <c r="T316" s="61"/>
      <c r="U316" s="62"/>
    </row>
    <row r="317" spans="1:21" x14ac:dyDescent="0.45">
      <c r="A317" s="52"/>
      <c r="B317" s="63"/>
      <c r="C317" s="63"/>
      <c r="D317" s="63"/>
      <c r="E317" s="63"/>
      <c r="F317" s="63"/>
      <c r="G317" s="64"/>
      <c r="H317" s="60"/>
      <c r="I317" s="64"/>
      <c r="J317" s="58"/>
      <c r="K317" s="58"/>
      <c r="L317" s="57"/>
      <c r="M317" s="58"/>
      <c r="N317" s="59"/>
      <c r="O317" s="60"/>
      <c r="P317" s="60"/>
      <c r="Q317" s="60"/>
      <c r="R317" s="58"/>
      <c r="S317" s="56"/>
      <c r="T317" s="61"/>
      <c r="U317" s="62"/>
    </row>
    <row r="318" spans="1:21" x14ac:dyDescent="0.45">
      <c r="A318" s="52"/>
      <c r="B318" s="63"/>
      <c r="C318" s="63"/>
      <c r="D318" s="63"/>
      <c r="E318" s="63"/>
      <c r="F318" s="63"/>
      <c r="G318" s="64"/>
      <c r="H318" s="60"/>
      <c r="I318" s="64"/>
      <c r="J318" s="58"/>
      <c r="K318" s="58"/>
      <c r="L318" s="57"/>
      <c r="M318" s="58"/>
      <c r="N318" s="59"/>
      <c r="O318" s="60"/>
      <c r="P318" s="60"/>
      <c r="Q318" s="60"/>
      <c r="R318" s="58"/>
      <c r="S318" s="56"/>
      <c r="T318" s="61"/>
      <c r="U318" s="62"/>
    </row>
    <row r="319" spans="1:21" x14ac:dyDescent="0.45">
      <c r="A319" s="52"/>
      <c r="B319" s="63"/>
      <c r="C319" s="63"/>
      <c r="D319" s="63"/>
      <c r="E319" s="63"/>
      <c r="F319" s="63"/>
      <c r="G319" s="64"/>
      <c r="H319" s="60"/>
      <c r="I319" s="64"/>
      <c r="J319" s="58"/>
      <c r="K319" s="58"/>
      <c r="L319" s="57"/>
      <c r="M319" s="58"/>
      <c r="N319" s="59"/>
      <c r="O319" s="60"/>
      <c r="P319" s="60"/>
      <c r="Q319" s="60"/>
      <c r="R319" s="58"/>
      <c r="S319" s="56"/>
      <c r="T319" s="61"/>
      <c r="U319" s="62"/>
    </row>
    <row r="320" spans="1:21" x14ac:dyDescent="0.45">
      <c r="A320" s="52"/>
      <c r="B320" s="63"/>
      <c r="C320" s="63"/>
      <c r="D320" s="63"/>
      <c r="E320" s="63"/>
      <c r="F320" s="63"/>
      <c r="G320" s="64"/>
      <c r="H320" s="60"/>
      <c r="I320" s="64"/>
      <c r="J320" s="58"/>
      <c r="K320" s="58"/>
      <c r="L320" s="57"/>
      <c r="M320" s="58"/>
      <c r="N320" s="59"/>
      <c r="O320" s="60"/>
      <c r="P320" s="60"/>
      <c r="Q320" s="60"/>
      <c r="R320" s="58"/>
      <c r="S320" s="56"/>
      <c r="T320" s="61"/>
      <c r="U320" s="62"/>
    </row>
    <row r="321" spans="1:21" x14ac:dyDescent="0.45">
      <c r="A321" s="52"/>
      <c r="B321" s="63"/>
      <c r="C321" s="63"/>
      <c r="D321" s="63"/>
      <c r="E321" s="63"/>
      <c r="F321" s="63"/>
      <c r="G321" s="64"/>
      <c r="H321" s="60"/>
      <c r="I321" s="64"/>
      <c r="J321" s="58"/>
      <c r="K321" s="58"/>
      <c r="L321" s="57"/>
      <c r="M321" s="58"/>
      <c r="N321" s="59"/>
      <c r="O321" s="60"/>
      <c r="P321" s="60"/>
      <c r="Q321" s="60"/>
      <c r="R321" s="58"/>
      <c r="S321" s="56"/>
      <c r="T321" s="61"/>
      <c r="U321" s="62"/>
    </row>
    <row r="322" spans="1:21" x14ac:dyDescent="0.45">
      <c r="A322" s="52"/>
      <c r="B322" s="63"/>
      <c r="C322" s="63"/>
      <c r="D322" s="63"/>
      <c r="E322" s="63"/>
      <c r="F322" s="63"/>
      <c r="G322" s="64"/>
      <c r="H322" s="60"/>
      <c r="I322" s="64"/>
      <c r="J322" s="58"/>
      <c r="K322" s="58"/>
      <c r="L322" s="57"/>
      <c r="M322" s="58"/>
      <c r="N322" s="59"/>
      <c r="O322" s="60"/>
      <c r="P322" s="60"/>
      <c r="Q322" s="60"/>
      <c r="R322" s="58"/>
      <c r="S322" s="56"/>
      <c r="T322" s="61"/>
      <c r="U322" s="62"/>
    </row>
    <row r="323" spans="1:21" x14ac:dyDescent="0.45">
      <c r="A323" s="52"/>
      <c r="B323" s="63"/>
      <c r="C323" s="63"/>
      <c r="D323" s="63"/>
      <c r="E323" s="63"/>
      <c r="F323" s="63"/>
      <c r="G323" s="64"/>
      <c r="H323" s="60"/>
      <c r="I323" s="64"/>
      <c r="J323" s="58"/>
      <c r="K323" s="58"/>
      <c r="L323" s="57"/>
      <c r="M323" s="58"/>
      <c r="N323" s="59"/>
      <c r="O323" s="60"/>
      <c r="P323" s="60"/>
      <c r="Q323" s="60"/>
      <c r="R323" s="58"/>
      <c r="S323" s="56"/>
      <c r="T323" s="61"/>
      <c r="U323" s="62"/>
    </row>
    <row r="324" spans="1:21" x14ac:dyDescent="0.45">
      <c r="A324" s="52"/>
      <c r="B324" s="63"/>
      <c r="C324" s="63"/>
      <c r="D324" s="63"/>
      <c r="E324" s="63"/>
      <c r="F324" s="63"/>
      <c r="G324" s="64"/>
      <c r="H324" s="60"/>
      <c r="I324" s="64"/>
      <c r="J324" s="58"/>
      <c r="K324" s="58"/>
      <c r="L324" s="57"/>
      <c r="M324" s="58"/>
      <c r="N324" s="59"/>
      <c r="O324" s="60"/>
      <c r="P324" s="60"/>
      <c r="Q324" s="60"/>
      <c r="R324" s="58"/>
      <c r="S324" s="56"/>
      <c r="T324" s="61"/>
      <c r="U324" s="62"/>
    </row>
    <row r="325" spans="1:21" x14ac:dyDescent="0.45">
      <c r="A325" s="52"/>
      <c r="B325" s="63"/>
      <c r="C325" s="63"/>
      <c r="D325" s="63"/>
      <c r="E325" s="63"/>
      <c r="F325" s="63"/>
      <c r="G325" s="64"/>
      <c r="H325" s="60"/>
      <c r="I325" s="64"/>
      <c r="J325" s="58"/>
      <c r="K325" s="58"/>
      <c r="L325" s="57"/>
      <c r="M325" s="58"/>
      <c r="N325" s="59"/>
      <c r="O325" s="60"/>
      <c r="P325" s="60"/>
      <c r="Q325" s="60"/>
      <c r="R325" s="58"/>
      <c r="S325" s="56"/>
      <c r="T325" s="61"/>
      <c r="U325" s="62"/>
    </row>
    <row r="326" spans="1:21" x14ac:dyDescent="0.45">
      <c r="A326" s="52"/>
      <c r="B326" s="63"/>
      <c r="C326" s="63"/>
      <c r="D326" s="63"/>
      <c r="E326" s="63"/>
      <c r="F326" s="63"/>
      <c r="G326" s="64"/>
      <c r="H326" s="60"/>
      <c r="I326" s="64"/>
      <c r="J326" s="58"/>
      <c r="K326" s="58"/>
      <c r="L326" s="57"/>
      <c r="M326" s="58"/>
      <c r="N326" s="59"/>
      <c r="O326" s="60"/>
      <c r="P326" s="60"/>
      <c r="Q326" s="60"/>
      <c r="R326" s="58"/>
      <c r="S326" s="56"/>
      <c r="T326" s="61"/>
      <c r="U326" s="62"/>
    </row>
    <row r="327" spans="1:21" x14ac:dyDescent="0.45">
      <c r="A327" s="52"/>
      <c r="B327" s="63"/>
      <c r="C327" s="63"/>
      <c r="D327" s="63"/>
      <c r="E327" s="63"/>
      <c r="F327" s="63"/>
      <c r="G327" s="64"/>
      <c r="H327" s="60"/>
      <c r="I327" s="64"/>
      <c r="J327" s="58"/>
      <c r="K327" s="58"/>
      <c r="L327" s="57"/>
      <c r="M327" s="58"/>
      <c r="N327" s="59"/>
      <c r="O327" s="60"/>
      <c r="P327" s="60"/>
      <c r="Q327" s="60"/>
      <c r="R327" s="58"/>
      <c r="S327" s="56"/>
      <c r="T327" s="61"/>
      <c r="U327" s="62"/>
    </row>
    <row r="328" spans="1:21" x14ac:dyDescent="0.45">
      <c r="A328" s="52"/>
      <c r="B328" s="63"/>
      <c r="C328" s="63"/>
      <c r="D328" s="63"/>
      <c r="E328" s="63"/>
      <c r="F328" s="63"/>
      <c r="G328" s="64"/>
      <c r="H328" s="60"/>
      <c r="I328" s="64"/>
      <c r="J328" s="58"/>
      <c r="K328" s="58"/>
      <c r="L328" s="57"/>
      <c r="M328" s="58"/>
      <c r="N328" s="59"/>
      <c r="O328" s="60"/>
      <c r="P328" s="60"/>
      <c r="Q328" s="60"/>
      <c r="R328" s="58"/>
      <c r="S328" s="56"/>
      <c r="T328" s="61"/>
      <c r="U328" s="62"/>
    </row>
    <row r="329" spans="1:21" x14ac:dyDescent="0.45">
      <c r="A329" s="52"/>
      <c r="B329" s="63"/>
      <c r="C329" s="63"/>
      <c r="D329" s="63"/>
      <c r="E329" s="63"/>
      <c r="F329" s="63"/>
      <c r="G329" s="64"/>
      <c r="H329" s="60"/>
      <c r="I329" s="64"/>
      <c r="J329" s="58"/>
      <c r="K329" s="58"/>
      <c r="L329" s="57"/>
      <c r="M329" s="58"/>
      <c r="N329" s="59"/>
      <c r="O329" s="60"/>
      <c r="P329" s="60"/>
      <c r="Q329" s="60"/>
      <c r="R329" s="58"/>
      <c r="S329" s="56"/>
      <c r="T329" s="61"/>
      <c r="U329" s="62"/>
    </row>
    <row r="330" spans="1:21" x14ac:dyDescent="0.45">
      <c r="A330" s="52"/>
      <c r="B330" s="63"/>
      <c r="C330" s="63"/>
      <c r="D330" s="63"/>
      <c r="E330" s="63"/>
      <c r="F330" s="63"/>
      <c r="G330" s="64"/>
      <c r="H330" s="60"/>
      <c r="I330" s="64"/>
      <c r="J330" s="58"/>
      <c r="K330" s="58"/>
      <c r="L330" s="57"/>
      <c r="M330" s="58"/>
      <c r="N330" s="59"/>
      <c r="O330" s="60"/>
      <c r="P330" s="60"/>
      <c r="Q330" s="60"/>
      <c r="R330" s="58"/>
      <c r="S330" s="56"/>
      <c r="T330" s="61"/>
      <c r="U330" s="62"/>
    </row>
    <row r="331" spans="1:21" x14ac:dyDescent="0.45">
      <c r="A331" s="52"/>
      <c r="B331" s="63"/>
      <c r="C331" s="63"/>
      <c r="D331" s="63"/>
      <c r="E331" s="63"/>
      <c r="F331" s="63"/>
      <c r="G331" s="64"/>
      <c r="H331" s="60"/>
      <c r="I331" s="64"/>
      <c r="J331" s="58"/>
      <c r="K331" s="58"/>
      <c r="L331" s="57"/>
      <c r="M331" s="58"/>
      <c r="N331" s="59"/>
      <c r="O331" s="60"/>
      <c r="P331" s="60"/>
      <c r="Q331" s="60"/>
      <c r="R331" s="58"/>
      <c r="S331" s="56"/>
      <c r="T331" s="61"/>
      <c r="U331" s="62"/>
    </row>
    <row r="332" spans="1:21" x14ac:dyDescent="0.45">
      <c r="A332" s="52"/>
      <c r="B332" s="63"/>
      <c r="C332" s="63"/>
      <c r="D332" s="63"/>
      <c r="E332" s="63"/>
      <c r="F332" s="63"/>
      <c r="G332" s="64"/>
      <c r="H332" s="60"/>
      <c r="I332" s="64"/>
      <c r="J332" s="58"/>
      <c r="K332" s="58"/>
      <c r="L332" s="57"/>
      <c r="M332" s="58"/>
      <c r="N332" s="59"/>
      <c r="O332" s="60"/>
      <c r="P332" s="60"/>
      <c r="Q332" s="60"/>
      <c r="R332" s="58"/>
      <c r="S332" s="56"/>
      <c r="T332" s="61"/>
      <c r="U332" s="62"/>
    </row>
    <row r="333" spans="1:21" x14ac:dyDescent="0.45">
      <c r="A333" s="52"/>
      <c r="B333" s="63"/>
      <c r="C333" s="63"/>
      <c r="D333" s="63"/>
      <c r="E333" s="63"/>
      <c r="F333" s="63"/>
      <c r="G333" s="64"/>
      <c r="H333" s="60"/>
      <c r="I333" s="64"/>
      <c r="J333" s="58"/>
      <c r="K333" s="58"/>
      <c r="L333" s="57"/>
      <c r="M333" s="58"/>
      <c r="N333" s="59"/>
      <c r="O333" s="60"/>
      <c r="P333" s="60"/>
      <c r="Q333" s="60"/>
      <c r="R333" s="58"/>
      <c r="S333" s="56"/>
      <c r="T333" s="61"/>
      <c r="U333" s="62"/>
    </row>
    <row r="334" spans="1:21" x14ac:dyDescent="0.45">
      <c r="A334" s="52"/>
      <c r="B334" s="63"/>
      <c r="C334" s="63"/>
      <c r="D334" s="63"/>
      <c r="E334" s="63"/>
      <c r="F334" s="63"/>
      <c r="G334" s="64"/>
      <c r="H334" s="60"/>
      <c r="I334" s="64"/>
      <c r="J334" s="58"/>
      <c r="K334" s="58"/>
      <c r="L334" s="57"/>
      <c r="M334" s="58"/>
      <c r="N334" s="59"/>
      <c r="O334" s="60"/>
      <c r="P334" s="60"/>
      <c r="Q334" s="60"/>
      <c r="R334" s="58"/>
      <c r="S334" s="56"/>
      <c r="T334" s="61"/>
      <c r="U334" s="62"/>
    </row>
    <row r="335" spans="1:21" x14ac:dyDescent="0.45">
      <c r="A335" s="52"/>
      <c r="B335" s="63"/>
      <c r="C335" s="63"/>
      <c r="D335" s="63"/>
      <c r="E335" s="63"/>
      <c r="F335" s="63"/>
      <c r="G335" s="64"/>
      <c r="H335" s="60"/>
      <c r="I335" s="64"/>
      <c r="J335" s="58"/>
      <c r="K335" s="58"/>
      <c r="L335" s="57"/>
      <c r="M335" s="58"/>
      <c r="N335" s="59"/>
      <c r="O335" s="60"/>
      <c r="P335" s="60"/>
      <c r="Q335" s="60"/>
      <c r="R335" s="58"/>
      <c r="S335" s="56"/>
      <c r="T335" s="61"/>
      <c r="U335" s="62"/>
    </row>
    <row r="336" spans="1:21" x14ac:dyDescent="0.45">
      <c r="A336" s="52"/>
      <c r="B336" s="63"/>
      <c r="C336" s="63"/>
      <c r="D336" s="63"/>
      <c r="E336" s="63"/>
      <c r="F336" s="63"/>
      <c r="G336" s="64"/>
      <c r="H336" s="60"/>
      <c r="I336" s="64"/>
      <c r="J336" s="58"/>
      <c r="K336" s="58"/>
      <c r="L336" s="57"/>
      <c r="M336" s="58"/>
      <c r="N336" s="59"/>
      <c r="O336" s="60"/>
      <c r="P336" s="60"/>
      <c r="Q336" s="60"/>
      <c r="R336" s="58"/>
      <c r="S336" s="56"/>
      <c r="T336" s="61"/>
      <c r="U336" s="62"/>
    </row>
    <row r="337" spans="1:21" x14ac:dyDescent="0.45">
      <c r="A337" s="52"/>
      <c r="B337" s="63"/>
      <c r="C337" s="63"/>
      <c r="D337" s="63"/>
      <c r="E337" s="63"/>
      <c r="F337" s="63"/>
      <c r="G337" s="64"/>
      <c r="H337" s="60"/>
      <c r="I337" s="64"/>
      <c r="J337" s="58"/>
      <c r="K337" s="58"/>
      <c r="L337" s="57"/>
      <c r="M337" s="58"/>
      <c r="N337" s="59"/>
      <c r="O337" s="60"/>
      <c r="P337" s="60"/>
      <c r="Q337" s="60"/>
      <c r="R337" s="58"/>
      <c r="S337" s="56"/>
      <c r="T337" s="61"/>
      <c r="U337" s="62"/>
    </row>
    <row r="338" spans="1:21" x14ac:dyDescent="0.45">
      <c r="A338" s="52"/>
      <c r="B338" s="63"/>
      <c r="C338" s="63"/>
      <c r="D338" s="63"/>
      <c r="E338" s="63"/>
      <c r="F338" s="63"/>
      <c r="G338" s="64"/>
      <c r="H338" s="60"/>
      <c r="I338" s="64"/>
      <c r="J338" s="58"/>
      <c r="K338" s="58"/>
      <c r="L338" s="57"/>
      <c r="M338" s="58"/>
      <c r="N338" s="59"/>
      <c r="O338" s="60"/>
      <c r="P338" s="60"/>
      <c r="Q338" s="60"/>
      <c r="R338" s="58"/>
      <c r="S338" s="56"/>
      <c r="T338" s="61"/>
      <c r="U338" s="62"/>
    </row>
    <row r="339" spans="1:21" x14ac:dyDescent="0.45">
      <c r="A339" s="52"/>
      <c r="B339" s="63"/>
      <c r="C339" s="63"/>
      <c r="D339" s="63"/>
      <c r="E339" s="63"/>
      <c r="F339" s="63"/>
      <c r="G339" s="64"/>
      <c r="H339" s="60"/>
      <c r="I339" s="64"/>
      <c r="J339" s="58"/>
      <c r="K339" s="58"/>
      <c r="L339" s="57"/>
      <c r="M339" s="58"/>
      <c r="N339" s="59"/>
      <c r="O339" s="60"/>
      <c r="P339" s="60"/>
      <c r="Q339" s="60"/>
      <c r="R339" s="58"/>
      <c r="S339" s="56"/>
      <c r="T339" s="61"/>
      <c r="U339" s="62"/>
    </row>
    <row r="340" spans="1:21" x14ac:dyDescent="0.45">
      <c r="A340" s="52"/>
      <c r="B340" s="63"/>
      <c r="C340" s="63"/>
      <c r="D340" s="63"/>
      <c r="E340" s="63"/>
      <c r="F340" s="63"/>
      <c r="G340" s="64"/>
      <c r="H340" s="60"/>
      <c r="I340" s="64"/>
      <c r="J340" s="58"/>
      <c r="K340" s="58"/>
      <c r="L340" s="57"/>
      <c r="M340" s="58"/>
      <c r="N340" s="59"/>
      <c r="O340" s="60"/>
      <c r="P340" s="60"/>
      <c r="Q340" s="60"/>
      <c r="R340" s="58"/>
      <c r="S340" s="56"/>
      <c r="T340" s="61"/>
      <c r="U340" s="62"/>
    </row>
    <row r="341" spans="1:21" x14ac:dyDescent="0.45">
      <c r="A341" s="52"/>
      <c r="B341" s="63"/>
      <c r="C341" s="63"/>
      <c r="D341" s="63"/>
      <c r="E341" s="63"/>
      <c r="F341" s="63"/>
      <c r="G341" s="64"/>
      <c r="H341" s="60"/>
      <c r="I341" s="64"/>
      <c r="J341" s="58"/>
      <c r="K341" s="58"/>
      <c r="L341" s="57"/>
      <c r="M341" s="58"/>
      <c r="N341" s="59"/>
      <c r="O341" s="60"/>
      <c r="P341" s="60"/>
      <c r="Q341" s="60"/>
      <c r="R341" s="58"/>
      <c r="S341" s="56"/>
      <c r="T341" s="61"/>
      <c r="U341" s="62"/>
    </row>
    <row r="342" spans="1:21" x14ac:dyDescent="0.45">
      <c r="A342" s="52"/>
      <c r="B342" s="63"/>
      <c r="C342" s="63"/>
      <c r="D342" s="63"/>
      <c r="E342" s="63"/>
      <c r="F342" s="63"/>
      <c r="G342" s="64"/>
      <c r="H342" s="60"/>
      <c r="I342" s="64"/>
      <c r="J342" s="58"/>
      <c r="K342" s="58"/>
      <c r="L342" s="57"/>
      <c r="M342" s="58"/>
      <c r="N342" s="59"/>
      <c r="O342" s="60"/>
      <c r="P342" s="60"/>
      <c r="Q342" s="60"/>
      <c r="R342" s="58"/>
      <c r="S342" s="56"/>
      <c r="T342" s="61"/>
      <c r="U342" s="62"/>
    </row>
    <row r="343" spans="1:21" x14ac:dyDescent="0.45">
      <c r="A343" s="52"/>
      <c r="B343" s="63"/>
      <c r="C343" s="63"/>
      <c r="D343" s="63"/>
      <c r="E343" s="63"/>
      <c r="F343" s="63"/>
      <c r="G343" s="64"/>
      <c r="H343" s="60"/>
      <c r="I343" s="64"/>
      <c r="J343" s="58"/>
      <c r="K343" s="58"/>
      <c r="L343" s="57"/>
      <c r="M343" s="58"/>
      <c r="N343" s="59"/>
      <c r="O343" s="60"/>
      <c r="P343" s="60"/>
      <c r="Q343" s="60"/>
      <c r="R343" s="58"/>
      <c r="S343" s="56"/>
      <c r="T343" s="61"/>
      <c r="U343" s="62"/>
    </row>
    <row r="344" spans="1:21" x14ac:dyDescent="0.45">
      <c r="A344" s="52"/>
      <c r="B344" s="63"/>
      <c r="C344" s="63"/>
      <c r="D344" s="63"/>
      <c r="E344" s="63"/>
      <c r="F344" s="63"/>
      <c r="G344" s="64"/>
      <c r="H344" s="60"/>
      <c r="I344" s="64"/>
      <c r="J344" s="58"/>
      <c r="K344" s="58"/>
      <c r="L344" s="57"/>
      <c r="M344" s="58"/>
      <c r="N344" s="59"/>
      <c r="O344" s="60"/>
      <c r="P344" s="60"/>
      <c r="Q344" s="60"/>
      <c r="R344" s="58"/>
      <c r="S344" s="56"/>
      <c r="T344" s="61"/>
      <c r="U344" s="62"/>
    </row>
    <row r="345" spans="1:21" x14ac:dyDescent="0.45">
      <c r="A345" s="52"/>
      <c r="B345" s="63"/>
      <c r="C345" s="63"/>
      <c r="D345" s="63"/>
      <c r="E345" s="63"/>
      <c r="F345" s="63"/>
      <c r="G345" s="64"/>
      <c r="H345" s="60"/>
      <c r="I345" s="64"/>
      <c r="J345" s="58"/>
      <c r="K345" s="58"/>
      <c r="L345" s="57"/>
      <c r="M345" s="58"/>
      <c r="N345" s="59"/>
      <c r="O345" s="60"/>
      <c r="P345" s="60"/>
      <c r="Q345" s="60"/>
      <c r="R345" s="58"/>
      <c r="S345" s="56"/>
      <c r="T345" s="61"/>
      <c r="U345" s="62"/>
    </row>
    <row r="346" spans="1:21" x14ac:dyDescent="0.45">
      <c r="A346" s="52"/>
      <c r="B346" s="63"/>
      <c r="C346" s="63"/>
      <c r="D346" s="63"/>
      <c r="E346" s="63"/>
      <c r="F346" s="63"/>
      <c r="G346" s="64"/>
      <c r="H346" s="60"/>
      <c r="I346" s="64"/>
      <c r="J346" s="58"/>
      <c r="K346" s="58"/>
      <c r="L346" s="57"/>
      <c r="M346" s="58"/>
      <c r="N346" s="59"/>
      <c r="O346" s="60"/>
      <c r="P346" s="60"/>
      <c r="Q346" s="60"/>
      <c r="R346" s="58"/>
      <c r="S346" s="56"/>
      <c r="T346" s="61"/>
      <c r="U346" s="62"/>
    </row>
    <row r="347" spans="1:21" x14ac:dyDescent="0.45">
      <c r="A347" s="52"/>
      <c r="B347" s="63"/>
      <c r="C347" s="63"/>
      <c r="D347" s="63"/>
      <c r="E347" s="63"/>
      <c r="F347" s="63"/>
      <c r="G347" s="64"/>
      <c r="H347" s="60"/>
      <c r="I347" s="64"/>
      <c r="J347" s="58"/>
      <c r="K347" s="58"/>
      <c r="L347" s="57"/>
      <c r="M347" s="58"/>
      <c r="N347" s="59"/>
      <c r="O347" s="60"/>
      <c r="P347" s="60"/>
      <c r="Q347" s="60"/>
      <c r="R347" s="58"/>
      <c r="S347" s="56"/>
      <c r="T347" s="61"/>
      <c r="U347" s="62"/>
    </row>
    <row r="348" spans="1:21" x14ac:dyDescent="0.45">
      <c r="A348" s="52"/>
      <c r="B348" s="63"/>
      <c r="C348" s="63"/>
      <c r="D348" s="63"/>
      <c r="E348" s="63"/>
      <c r="F348" s="63"/>
      <c r="G348" s="64"/>
      <c r="H348" s="60"/>
      <c r="I348" s="64"/>
      <c r="J348" s="58"/>
      <c r="K348" s="58"/>
      <c r="L348" s="57"/>
      <c r="M348" s="58"/>
      <c r="N348" s="59"/>
      <c r="O348" s="60"/>
      <c r="P348" s="60"/>
      <c r="Q348" s="60"/>
      <c r="R348" s="58"/>
      <c r="S348" s="56"/>
      <c r="T348" s="61"/>
      <c r="U348" s="62"/>
    </row>
    <row r="349" spans="1:21" x14ac:dyDescent="0.45">
      <c r="A349" s="52"/>
      <c r="B349" s="63"/>
      <c r="C349" s="63"/>
      <c r="D349" s="63"/>
      <c r="E349" s="63"/>
      <c r="F349" s="63"/>
      <c r="G349" s="64"/>
      <c r="H349" s="60"/>
      <c r="I349" s="64"/>
      <c r="J349" s="58"/>
      <c r="K349" s="58"/>
      <c r="L349" s="57"/>
      <c r="M349" s="58"/>
      <c r="N349" s="59"/>
      <c r="O349" s="60"/>
      <c r="P349" s="60"/>
      <c r="Q349" s="60"/>
      <c r="R349" s="58"/>
      <c r="S349" s="56"/>
      <c r="T349" s="61"/>
      <c r="U349" s="62"/>
    </row>
    <row r="350" spans="1:21" x14ac:dyDescent="0.45">
      <c r="A350" s="52"/>
      <c r="B350" s="63"/>
      <c r="C350" s="63"/>
      <c r="D350" s="63"/>
      <c r="E350" s="63"/>
      <c r="F350" s="63"/>
      <c r="G350" s="64"/>
      <c r="H350" s="60"/>
      <c r="I350" s="64"/>
      <c r="J350" s="58"/>
      <c r="K350" s="58"/>
      <c r="L350" s="57"/>
      <c r="M350" s="58"/>
      <c r="N350" s="59"/>
      <c r="O350" s="60"/>
      <c r="P350" s="60"/>
      <c r="Q350" s="60"/>
      <c r="R350" s="58"/>
      <c r="S350" s="56"/>
      <c r="T350" s="61"/>
      <c r="U350" s="62"/>
    </row>
    <row r="351" spans="1:21" x14ac:dyDescent="0.45">
      <c r="A351" s="52"/>
      <c r="B351" s="63"/>
      <c r="C351" s="63"/>
      <c r="D351" s="63"/>
      <c r="E351" s="63"/>
      <c r="F351" s="63"/>
      <c r="G351" s="64"/>
      <c r="H351" s="60"/>
      <c r="I351" s="64"/>
      <c r="J351" s="58"/>
      <c r="K351" s="58"/>
      <c r="L351" s="57"/>
      <c r="M351" s="58"/>
      <c r="N351" s="59"/>
      <c r="O351" s="60"/>
      <c r="P351" s="60"/>
      <c r="Q351" s="60"/>
      <c r="R351" s="58"/>
      <c r="S351" s="56"/>
      <c r="T351" s="61"/>
      <c r="U351" s="62"/>
    </row>
    <row r="352" spans="1:21" x14ac:dyDescent="0.45">
      <c r="A352" s="52"/>
      <c r="B352" s="63"/>
      <c r="C352" s="63"/>
      <c r="D352" s="63"/>
      <c r="E352" s="63"/>
      <c r="F352" s="63"/>
      <c r="G352" s="64"/>
      <c r="H352" s="60"/>
      <c r="I352" s="64"/>
      <c r="J352" s="58"/>
      <c r="K352" s="58"/>
      <c r="L352" s="57"/>
      <c r="M352" s="58"/>
      <c r="N352" s="59"/>
      <c r="O352" s="60"/>
      <c r="P352" s="60"/>
      <c r="Q352" s="60"/>
      <c r="R352" s="58"/>
      <c r="S352" s="56"/>
      <c r="T352" s="61"/>
      <c r="U352" s="62"/>
    </row>
    <row r="353" spans="1:21" x14ac:dyDescent="0.45">
      <c r="A353" s="52"/>
      <c r="B353" s="63"/>
      <c r="C353" s="63"/>
      <c r="D353" s="63"/>
      <c r="E353" s="63"/>
      <c r="F353" s="63"/>
      <c r="G353" s="64"/>
      <c r="H353" s="60"/>
      <c r="I353" s="64"/>
      <c r="J353" s="58"/>
      <c r="K353" s="58"/>
      <c r="L353" s="57"/>
      <c r="M353" s="58"/>
      <c r="N353" s="59"/>
      <c r="O353" s="60"/>
      <c r="P353" s="60"/>
      <c r="Q353" s="60"/>
      <c r="R353" s="58"/>
      <c r="S353" s="56"/>
      <c r="T353" s="61"/>
      <c r="U353" s="62"/>
    </row>
    <row r="354" spans="1:21" x14ac:dyDescent="0.45">
      <c r="A354" s="52"/>
      <c r="B354" s="63"/>
      <c r="C354" s="63"/>
      <c r="D354" s="63"/>
      <c r="E354" s="63"/>
      <c r="F354" s="63"/>
      <c r="G354" s="64"/>
      <c r="H354" s="60"/>
      <c r="I354" s="64"/>
      <c r="J354" s="58"/>
      <c r="K354" s="58"/>
      <c r="L354" s="57"/>
      <c r="M354" s="58"/>
      <c r="N354" s="59"/>
      <c r="O354" s="60"/>
      <c r="P354" s="60"/>
      <c r="Q354" s="60"/>
      <c r="R354" s="58"/>
      <c r="S354" s="56"/>
      <c r="T354" s="61"/>
      <c r="U354" s="62"/>
    </row>
    <row r="355" spans="1:21" x14ac:dyDescent="0.45">
      <c r="A355" s="52"/>
      <c r="B355" s="63"/>
      <c r="C355" s="63"/>
      <c r="D355" s="63"/>
      <c r="E355" s="63"/>
      <c r="F355" s="63"/>
      <c r="G355" s="64"/>
      <c r="H355" s="60"/>
      <c r="I355" s="64"/>
      <c r="J355" s="58"/>
      <c r="K355" s="58"/>
      <c r="L355" s="57"/>
      <c r="M355" s="58"/>
      <c r="N355" s="59"/>
      <c r="O355" s="60"/>
      <c r="P355" s="60"/>
      <c r="Q355" s="60"/>
      <c r="R355" s="58"/>
      <c r="S355" s="56"/>
      <c r="T355" s="61"/>
      <c r="U355" s="62"/>
    </row>
    <row r="356" spans="1:21" x14ac:dyDescent="0.45">
      <c r="A356" s="52"/>
      <c r="B356" s="63"/>
      <c r="C356" s="63"/>
      <c r="D356" s="63"/>
      <c r="E356" s="63"/>
      <c r="F356" s="63"/>
      <c r="G356" s="64"/>
      <c r="H356" s="60"/>
      <c r="I356" s="64"/>
      <c r="J356" s="58"/>
      <c r="K356" s="58"/>
      <c r="L356" s="57"/>
      <c r="M356" s="58"/>
      <c r="N356" s="59"/>
      <c r="O356" s="60"/>
      <c r="P356" s="60"/>
      <c r="Q356" s="60"/>
      <c r="R356" s="58"/>
      <c r="S356" s="56"/>
      <c r="T356" s="61"/>
      <c r="U356" s="62"/>
    </row>
    <row r="357" spans="1:21" x14ac:dyDescent="0.45">
      <c r="A357" s="52"/>
      <c r="B357" s="63"/>
      <c r="C357" s="63"/>
      <c r="D357" s="63"/>
      <c r="E357" s="63"/>
      <c r="F357" s="63"/>
      <c r="G357" s="64"/>
      <c r="H357" s="60"/>
      <c r="I357" s="64"/>
      <c r="J357" s="58"/>
      <c r="K357" s="58"/>
      <c r="L357" s="57"/>
      <c r="M357" s="58"/>
      <c r="N357" s="59"/>
      <c r="O357" s="60"/>
      <c r="P357" s="60"/>
      <c r="Q357" s="60"/>
      <c r="R357" s="58"/>
      <c r="S357" s="56"/>
      <c r="T357" s="61"/>
      <c r="U357" s="62"/>
    </row>
    <row r="358" spans="1:21" x14ac:dyDescent="0.45">
      <c r="A358" s="52"/>
      <c r="B358" s="63"/>
      <c r="C358" s="63"/>
      <c r="D358" s="63"/>
      <c r="E358" s="63"/>
      <c r="F358" s="63"/>
      <c r="G358" s="64"/>
      <c r="H358" s="60"/>
      <c r="I358" s="64"/>
      <c r="J358" s="58"/>
      <c r="K358" s="58"/>
      <c r="L358" s="57"/>
      <c r="M358" s="58"/>
      <c r="N358" s="59"/>
      <c r="O358" s="60"/>
      <c r="P358" s="60"/>
      <c r="Q358" s="60"/>
      <c r="R358" s="58"/>
      <c r="S358" s="56"/>
      <c r="T358" s="61"/>
      <c r="U358" s="62"/>
    </row>
    <row r="359" spans="1:21" x14ac:dyDescent="0.45">
      <c r="A359" s="52"/>
      <c r="B359" s="63"/>
      <c r="C359" s="63"/>
      <c r="D359" s="63"/>
      <c r="E359" s="63"/>
      <c r="F359" s="63"/>
      <c r="G359" s="64"/>
      <c r="H359" s="60"/>
      <c r="I359" s="64"/>
      <c r="J359" s="58"/>
      <c r="K359" s="58"/>
      <c r="L359" s="57"/>
      <c r="M359" s="58"/>
      <c r="N359" s="59"/>
      <c r="O359" s="60"/>
      <c r="P359" s="60"/>
      <c r="Q359" s="60"/>
      <c r="R359" s="58"/>
      <c r="S359" s="56"/>
      <c r="T359" s="61"/>
      <c r="U359" s="62"/>
    </row>
    <row r="360" spans="1:21" x14ac:dyDescent="0.45">
      <c r="A360" s="52"/>
      <c r="B360" s="63"/>
      <c r="C360" s="63"/>
      <c r="D360" s="63"/>
      <c r="E360" s="63"/>
      <c r="F360" s="63"/>
      <c r="G360" s="64"/>
      <c r="H360" s="60"/>
      <c r="I360" s="64"/>
      <c r="J360" s="58"/>
      <c r="K360" s="58"/>
      <c r="L360" s="57"/>
      <c r="M360" s="58"/>
      <c r="N360" s="59"/>
      <c r="O360" s="60"/>
      <c r="P360" s="60"/>
      <c r="Q360" s="60"/>
      <c r="R360" s="58"/>
      <c r="S360" s="56"/>
      <c r="T360" s="61"/>
      <c r="U360" s="62"/>
    </row>
    <row r="361" spans="1:21" x14ac:dyDescent="0.45">
      <c r="A361" s="52"/>
      <c r="B361" s="63"/>
      <c r="C361" s="63"/>
      <c r="D361" s="63"/>
      <c r="E361" s="63"/>
      <c r="F361" s="63"/>
      <c r="G361" s="64"/>
      <c r="H361" s="60"/>
      <c r="I361" s="64"/>
      <c r="J361" s="58"/>
      <c r="K361" s="58"/>
      <c r="L361" s="57"/>
      <c r="M361" s="58"/>
      <c r="N361" s="59"/>
      <c r="O361" s="60"/>
      <c r="P361" s="60"/>
      <c r="Q361" s="60"/>
      <c r="R361" s="58"/>
      <c r="S361" s="56"/>
      <c r="T361" s="61"/>
      <c r="U361" s="62"/>
    </row>
    <row r="362" spans="1:21" x14ac:dyDescent="0.45">
      <c r="A362" s="52"/>
      <c r="B362" s="63"/>
      <c r="C362" s="63"/>
      <c r="D362" s="63"/>
      <c r="E362" s="63"/>
      <c r="F362" s="63"/>
      <c r="G362" s="64"/>
      <c r="H362" s="60"/>
      <c r="I362" s="64"/>
      <c r="J362" s="58"/>
      <c r="K362" s="58"/>
      <c r="L362" s="57"/>
      <c r="M362" s="58"/>
      <c r="N362" s="59"/>
      <c r="O362" s="60"/>
      <c r="P362" s="60"/>
      <c r="Q362" s="60"/>
      <c r="R362" s="58"/>
      <c r="S362" s="56"/>
      <c r="T362" s="61"/>
      <c r="U362" s="62"/>
    </row>
    <row r="363" spans="1:21" x14ac:dyDescent="0.45">
      <c r="A363" s="52"/>
      <c r="B363" s="63"/>
      <c r="C363" s="63"/>
      <c r="D363" s="63"/>
      <c r="E363" s="63"/>
      <c r="F363" s="63"/>
      <c r="G363" s="64"/>
      <c r="H363" s="60"/>
      <c r="I363" s="64"/>
      <c r="J363" s="58"/>
      <c r="K363" s="58"/>
      <c r="L363" s="57"/>
      <c r="M363" s="58"/>
      <c r="N363" s="59"/>
      <c r="O363" s="60"/>
      <c r="P363" s="60"/>
      <c r="Q363" s="60"/>
      <c r="R363" s="58"/>
      <c r="S363" s="56"/>
      <c r="T363" s="61"/>
      <c r="U363" s="62"/>
    </row>
    <row r="364" spans="1:21" x14ac:dyDescent="0.45">
      <c r="A364" s="52"/>
      <c r="B364" s="63"/>
      <c r="C364" s="63"/>
      <c r="D364" s="63"/>
      <c r="E364" s="63"/>
      <c r="F364" s="63"/>
      <c r="G364" s="64"/>
      <c r="H364" s="60"/>
      <c r="I364" s="64"/>
      <c r="J364" s="58"/>
      <c r="K364" s="58"/>
      <c r="L364" s="57"/>
      <c r="M364" s="58"/>
      <c r="N364" s="59"/>
      <c r="O364" s="60"/>
      <c r="P364" s="60"/>
      <c r="Q364" s="60"/>
      <c r="R364" s="58"/>
      <c r="S364" s="56"/>
      <c r="T364" s="61"/>
      <c r="U364" s="62"/>
    </row>
    <row r="365" spans="1:21" x14ac:dyDescent="0.45">
      <c r="A365" s="52"/>
      <c r="B365" s="63"/>
      <c r="C365" s="63"/>
      <c r="D365" s="63"/>
      <c r="E365" s="63"/>
      <c r="F365" s="63"/>
      <c r="G365" s="64"/>
      <c r="H365" s="60"/>
      <c r="I365" s="64"/>
      <c r="J365" s="58"/>
      <c r="K365" s="58"/>
      <c r="L365" s="57"/>
      <c r="M365" s="58"/>
      <c r="N365" s="59"/>
      <c r="O365" s="60"/>
      <c r="P365" s="60"/>
      <c r="Q365" s="60"/>
      <c r="R365" s="58"/>
      <c r="S365" s="56"/>
      <c r="T365" s="61"/>
      <c r="U365" s="62"/>
    </row>
    <row r="366" spans="1:21" x14ac:dyDescent="0.45">
      <c r="A366" s="52"/>
      <c r="B366" s="63"/>
      <c r="C366" s="63"/>
      <c r="D366" s="63"/>
      <c r="E366" s="63"/>
      <c r="F366" s="63"/>
      <c r="G366" s="64"/>
      <c r="H366" s="60"/>
      <c r="I366" s="64"/>
      <c r="J366" s="58"/>
      <c r="K366" s="58"/>
      <c r="L366" s="57"/>
      <c r="M366" s="58"/>
      <c r="N366" s="59"/>
      <c r="O366" s="60"/>
      <c r="P366" s="60"/>
      <c r="Q366" s="60"/>
      <c r="R366" s="58"/>
      <c r="S366" s="56"/>
      <c r="T366" s="61"/>
      <c r="U366" s="62"/>
    </row>
    <row r="367" spans="1:21" x14ac:dyDescent="0.45">
      <c r="A367" s="52"/>
      <c r="B367" s="63"/>
      <c r="C367" s="63"/>
      <c r="D367" s="63"/>
      <c r="E367" s="63"/>
      <c r="F367" s="63"/>
      <c r="G367" s="64"/>
      <c r="H367" s="60"/>
      <c r="I367" s="64"/>
      <c r="J367" s="58"/>
      <c r="K367" s="58"/>
      <c r="L367" s="57"/>
      <c r="M367" s="58"/>
      <c r="N367" s="59"/>
      <c r="O367" s="60"/>
      <c r="P367" s="60"/>
      <c r="Q367" s="60"/>
      <c r="R367" s="58"/>
      <c r="S367" s="56"/>
      <c r="T367" s="61"/>
      <c r="U367" s="62"/>
    </row>
    <row r="368" spans="1:21" x14ac:dyDescent="0.45">
      <c r="A368" s="52"/>
      <c r="B368" s="63"/>
      <c r="C368" s="63"/>
      <c r="D368" s="63"/>
      <c r="E368" s="63"/>
      <c r="F368" s="63"/>
      <c r="G368" s="64"/>
      <c r="H368" s="60"/>
      <c r="I368" s="64"/>
      <c r="J368" s="58"/>
      <c r="K368" s="58"/>
      <c r="L368" s="57"/>
      <c r="M368" s="58"/>
      <c r="N368" s="59"/>
      <c r="O368" s="60"/>
      <c r="P368" s="60"/>
      <c r="Q368" s="60"/>
      <c r="R368" s="58"/>
      <c r="S368" s="56"/>
      <c r="T368" s="61"/>
      <c r="U368" s="62"/>
    </row>
    <row r="369" spans="1:21" x14ac:dyDescent="0.45">
      <c r="A369" s="52"/>
      <c r="B369" s="63"/>
      <c r="C369" s="63"/>
      <c r="D369" s="63"/>
      <c r="E369" s="63"/>
      <c r="F369" s="63"/>
      <c r="G369" s="64"/>
      <c r="H369" s="60"/>
      <c r="I369" s="64"/>
      <c r="J369" s="58"/>
      <c r="K369" s="58"/>
      <c r="L369" s="57"/>
      <c r="M369" s="58"/>
      <c r="N369" s="59"/>
      <c r="O369" s="60"/>
      <c r="P369" s="60"/>
      <c r="Q369" s="60"/>
      <c r="R369" s="58"/>
      <c r="S369" s="56"/>
      <c r="T369" s="61"/>
      <c r="U369" s="62"/>
    </row>
    <row r="370" spans="1:21" x14ac:dyDescent="0.45">
      <c r="A370" s="52"/>
      <c r="B370" s="63"/>
      <c r="C370" s="63"/>
      <c r="D370" s="63"/>
      <c r="E370" s="63"/>
      <c r="F370" s="63"/>
      <c r="G370" s="64"/>
      <c r="H370" s="60"/>
      <c r="I370" s="64"/>
      <c r="J370" s="58"/>
      <c r="K370" s="58"/>
      <c r="L370" s="57"/>
      <c r="M370" s="58"/>
      <c r="N370" s="59"/>
      <c r="O370" s="60"/>
      <c r="P370" s="60"/>
      <c r="Q370" s="60"/>
      <c r="R370" s="58"/>
      <c r="S370" s="56"/>
      <c r="T370" s="61"/>
      <c r="U370" s="62"/>
    </row>
    <row r="371" spans="1:21" x14ac:dyDescent="0.45">
      <c r="A371" s="52"/>
      <c r="B371" s="63"/>
      <c r="C371" s="63"/>
      <c r="D371" s="63"/>
      <c r="E371" s="63"/>
      <c r="F371" s="63"/>
      <c r="G371" s="64"/>
      <c r="H371" s="60"/>
      <c r="I371" s="64"/>
      <c r="J371" s="58"/>
      <c r="K371" s="58"/>
      <c r="L371" s="57"/>
      <c r="M371" s="58"/>
      <c r="N371" s="59"/>
      <c r="O371" s="60"/>
      <c r="P371" s="60"/>
      <c r="Q371" s="60"/>
      <c r="R371" s="58"/>
      <c r="S371" s="56"/>
      <c r="T371" s="61"/>
      <c r="U371" s="62"/>
    </row>
    <row r="372" spans="1:21" x14ac:dyDescent="0.45">
      <c r="A372" s="52"/>
      <c r="B372" s="63"/>
      <c r="C372" s="63"/>
      <c r="D372" s="63"/>
      <c r="E372" s="63"/>
      <c r="F372" s="63"/>
      <c r="G372" s="64"/>
      <c r="H372" s="60"/>
      <c r="I372" s="64"/>
      <c r="J372" s="58"/>
      <c r="K372" s="58"/>
      <c r="L372" s="57"/>
      <c r="M372" s="58"/>
      <c r="N372" s="59"/>
      <c r="O372" s="60"/>
      <c r="P372" s="60"/>
      <c r="Q372" s="60"/>
      <c r="R372" s="58"/>
      <c r="S372" s="56"/>
      <c r="T372" s="61"/>
      <c r="U372" s="62"/>
    </row>
    <row r="373" spans="1:21" x14ac:dyDescent="0.45">
      <c r="A373" s="52"/>
      <c r="B373" s="63"/>
      <c r="C373" s="63"/>
      <c r="D373" s="63"/>
      <c r="E373" s="63"/>
      <c r="F373" s="63"/>
      <c r="G373" s="64"/>
      <c r="H373" s="60"/>
      <c r="I373" s="64"/>
      <c r="J373" s="58"/>
      <c r="K373" s="58"/>
      <c r="L373" s="57"/>
      <c r="M373" s="58"/>
      <c r="N373" s="59"/>
      <c r="O373" s="60"/>
      <c r="P373" s="60"/>
      <c r="Q373" s="60"/>
      <c r="R373" s="58"/>
      <c r="S373" s="56"/>
      <c r="T373" s="61"/>
      <c r="U373" s="62"/>
    </row>
    <row r="374" spans="1:21" x14ac:dyDescent="0.45">
      <c r="A374" s="52"/>
      <c r="B374" s="63"/>
      <c r="C374" s="63"/>
      <c r="D374" s="63"/>
      <c r="E374" s="63"/>
      <c r="F374" s="63"/>
      <c r="G374" s="64"/>
      <c r="H374" s="60"/>
      <c r="I374" s="64"/>
      <c r="J374" s="58"/>
      <c r="K374" s="58"/>
      <c r="L374" s="57"/>
      <c r="M374" s="58"/>
      <c r="N374" s="59"/>
      <c r="O374" s="60"/>
      <c r="P374" s="60"/>
      <c r="Q374" s="60"/>
      <c r="R374" s="58"/>
      <c r="S374" s="56"/>
      <c r="T374" s="61"/>
      <c r="U374" s="62"/>
    </row>
    <row r="375" spans="1:21" x14ac:dyDescent="0.45">
      <c r="A375" s="52"/>
      <c r="B375" s="63"/>
      <c r="C375" s="63"/>
      <c r="D375" s="63"/>
      <c r="E375" s="63"/>
      <c r="F375" s="63"/>
      <c r="G375" s="64"/>
      <c r="H375" s="60"/>
      <c r="I375" s="64"/>
      <c r="J375" s="58"/>
      <c r="K375" s="58"/>
      <c r="L375" s="57"/>
      <c r="M375" s="58"/>
      <c r="N375" s="59"/>
      <c r="O375" s="60"/>
      <c r="P375" s="60"/>
      <c r="Q375" s="60"/>
      <c r="R375" s="58"/>
      <c r="S375" s="56"/>
      <c r="T375" s="61"/>
      <c r="U375" s="62"/>
    </row>
    <row r="376" spans="1:21" x14ac:dyDescent="0.45">
      <c r="A376" s="52"/>
      <c r="B376" s="63"/>
      <c r="C376" s="63"/>
      <c r="D376" s="63"/>
      <c r="E376" s="63"/>
      <c r="F376" s="63"/>
      <c r="G376" s="64"/>
      <c r="H376" s="60"/>
      <c r="I376" s="64"/>
      <c r="J376" s="58"/>
      <c r="K376" s="58"/>
      <c r="L376" s="57"/>
      <c r="M376" s="58"/>
      <c r="N376" s="59"/>
      <c r="O376" s="60"/>
      <c r="P376" s="60"/>
      <c r="Q376" s="60"/>
      <c r="R376" s="58"/>
      <c r="S376" s="56"/>
      <c r="T376" s="61"/>
      <c r="U376" s="62"/>
    </row>
    <row r="377" spans="1:21" x14ac:dyDescent="0.45">
      <c r="A377" s="52"/>
      <c r="B377" s="63"/>
      <c r="C377" s="63"/>
      <c r="D377" s="63"/>
      <c r="E377" s="63"/>
      <c r="F377" s="63"/>
      <c r="G377" s="64"/>
      <c r="H377" s="60"/>
      <c r="I377" s="64"/>
      <c r="J377" s="58"/>
      <c r="K377" s="58"/>
      <c r="L377" s="57"/>
      <c r="M377" s="58"/>
      <c r="N377" s="59"/>
      <c r="O377" s="60"/>
      <c r="P377" s="60"/>
      <c r="Q377" s="60"/>
      <c r="R377" s="58"/>
      <c r="S377" s="56"/>
      <c r="T377" s="61"/>
      <c r="U377" s="62"/>
    </row>
    <row r="378" spans="1:21" x14ac:dyDescent="0.45">
      <c r="A378" s="52"/>
      <c r="B378" s="63"/>
      <c r="C378" s="63"/>
      <c r="D378" s="63"/>
      <c r="E378" s="63"/>
      <c r="F378" s="63"/>
      <c r="G378" s="64"/>
      <c r="H378" s="60"/>
      <c r="I378" s="64"/>
      <c r="J378" s="58"/>
      <c r="K378" s="58"/>
      <c r="L378" s="57"/>
      <c r="M378" s="58"/>
      <c r="N378" s="59"/>
      <c r="O378" s="60"/>
      <c r="P378" s="60"/>
      <c r="Q378" s="60"/>
      <c r="R378" s="58"/>
      <c r="S378" s="56"/>
      <c r="T378" s="61"/>
      <c r="U378" s="62"/>
    </row>
    <row r="379" spans="1:21" x14ac:dyDescent="0.45">
      <c r="A379" s="52"/>
      <c r="B379" s="63"/>
      <c r="C379" s="63"/>
      <c r="D379" s="63"/>
      <c r="E379" s="63"/>
      <c r="F379" s="63"/>
      <c r="G379" s="64"/>
      <c r="H379" s="60"/>
      <c r="I379" s="64"/>
      <c r="J379" s="58"/>
      <c r="K379" s="58"/>
      <c r="L379" s="57"/>
      <c r="M379" s="58"/>
      <c r="N379" s="59"/>
      <c r="O379" s="60"/>
      <c r="P379" s="60"/>
      <c r="Q379" s="60"/>
      <c r="R379" s="58"/>
      <c r="S379" s="56"/>
      <c r="T379" s="61"/>
      <c r="U379" s="62"/>
    </row>
    <row r="380" spans="1:21" x14ac:dyDescent="0.45">
      <c r="A380" s="52"/>
      <c r="B380" s="63"/>
      <c r="C380" s="63"/>
      <c r="D380" s="63"/>
      <c r="E380" s="63"/>
      <c r="F380" s="63"/>
      <c r="G380" s="64"/>
      <c r="H380" s="60"/>
      <c r="I380" s="64"/>
      <c r="J380" s="58"/>
      <c r="K380" s="58"/>
      <c r="L380" s="57"/>
      <c r="M380" s="58"/>
      <c r="N380" s="59"/>
      <c r="O380" s="60"/>
      <c r="P380" s="60"/>
      <c r="Q380" s="60"/>
      <c r="R380" s="58"/>
      <c r="S380" s="56"/>
      <c r="T380" s="61"/>
      <c r="U380" s="62"/>
    </row>
    <row r="381" spans="1:21" x14ac:dyDescent="0.45">
      <c r="A381" s="52"/>
      <c r="B381" s="63"/>
      <c r="C381" s="63"/>
      <c r="D381" s="63"/>
      <c r="E381" s="63"/>
      <c r="F381" s="63"/>
      <c r="G381" s="64"/>
      <c r="H381" s="60"/>
      <c r="I381" s="64"/>
      <c r="J381" s="58"/>
      <c r="K381" s="58"/>
      <c r="L381" s="57"/>
      <c r="M381" s="58"/>
      <c r="N381" s="59"/>
      <c r="O381" s="60"/>
      <c r="P381" s="60"/>
      <c r="Q381" s="60"/>
      <c r="R381" s="58"/>
      <c r="S381" s="56"/>
      <c r="T381" s="61"/>
      <c r="U381" s="62"/>
    </row>
    <row r="382" spans="1:21" x14ac:dyDescent="0.45">
      <c r="A382" s="52"/>
      <c r="B382" s="63"/>
      <c r="C382" s="63"/>
      <c r="D382" s="63"/>
      <c r="E382" s="63"/>
      <c r="F382" s="63"/>
      <c r="G382" s="64"/>
      <c r="H382" s="60"/>
      <c r="I382" s="64"/>
      <c r="J382" s="58"/>
      <c r="K382" s="58"/>
      <c r="L382" s="57"/>
      <c r="M382" s="58"/>
      <c r="N382" s="59"/>
      <c r="O382" s="60"/>
      <c r="P382" s="60"/>
      <c r="Q382" s="60"/>
      <c r="R382" s="58"/>
      <c r="S382" s="56"/>
      <c r="T382" s="61"/>
      <c r="U382" s="62"/>
    </row>
    <row r="383" spans="1:21" x14ac:dyDescent="0.45">
      <c r="A383" s="52"/>
      <c r="B383" s="63"/>
      <c r="C383" s="63"/>
      <c r="D383" s="63"/>
      <c r="E383" s="63"/>
      <c r="F383" s="63"/>
      <c r="G383" s="64"/>
      <c r="H383" s="60"/>
      <c r="I383" s="64"/>
      <c r="J383" s="58"/>
      <c r="K383" s="58"/>
      <c r="L383" s="57"/>
      <c r="M383" s="58"/>
      <c r="N383" s="59"/>
      <c r="O383" s="60"/>
      <c r="P383" s="60"/>
      <c r="Q383" s="60"/>
      <c r="R383" s="58"/>
      <c r="S383" s="56"/>
      <c r="T383" s="61"/>
      <c r="U383" s="62"/>
    </row>
    <row r="384" spans="1:21" x14ac:dyDescent="0.45">
      <c r="A384" s="52"/>
      <c r="B384" s="63"/>
      <c r="C384" s="63"/>
      <c r="D384" s="63"/>
      <c r="E384" s="63"/>
      <c r="F384" s="63"/>
      <c r="G384" s="64"/>
      <c r="H384" s="60"/>
      <c r="I384" s="64"/>
      <c r="J384" s="58"/>
      <c r="K384" s="58"/>
      <c r="L384" s="57"/>
      <c r="M384" s="58"/>
      <c r="N384" s="59"/>
      <c r="O384" s="60"/>
      <c r="P384" s="60"/>
      <c r="Q384" s="60"/>
      <c r="R384" s="58"/>
      <c r="S384" s="56"/>
      <c r="T384" s="61"/>
      <c r="U384" s="62"/>
    </row>
    <row r="385" spans="1:21" x14ac:dyDescent="0.45">
      <c r="A385" s="52"/>
      <c r="B385" s="63"/>
      <c r="C385" s="63"/>
      <c r="D385" s="63"/>
      <c r="E385" s="63"/>
      <c r="F385" s="63"/>
      <c r="G385" s="64"/>
      <c r="H385" s="60"/>
      <c r="I385" s="64"/>
      <c r="J385" s="58"/>
      <c r="K385" s="58"/>
      <c r="L385" s="57"/>
      <c r="M385" s="58"/>
      <c r="N385" s="59"/>
      <c r="O385" s="60"/>
      <c r="P385" s="60"/>
      <c r="Q385" s="60"/>
      <c r="R385" s="58"/>
      <c r="S385" s="56"/>
      <c r="T385" s="61"/>
      <c r="U385" s="62"/>
    </row>
    <row r="386" spans="1:21" x14ac:dyDescent="0.45">
      <c r="A386" s="52"/>
      <c r="B386" s="63"/>
      <c r="C386" s="63"/>
      <c r="D386" s="63"/>
      <c r="E386" s="63"/>
      <c r="F386" s="63"/>
      <c r="G386" s="64"/>
      <c r="H386" s="60"/>
      <c r="I386" s="64"/>
      <c r="J386" s="58"/>
      <c r="K386" s="58"/>
      <c r="L386" s="57"/>
      <c r="M386" s="58"/>
      <c r="N386" s="59"/>
      <c r="O386" s="60"/>
      <c r="P386" s="60"/>
      <c r="Q386" s="60"/>
      <c r="R386" s="58"/>
      <c r="S386" s="56"/>
      <c r="T386" s="61"/>
      <c r="U386" s="62"/>
    </row>
    <row r="387" spans="1:21" x14ac:dyDescent="0.45">
      <c r="A387" s="52"/>
      <c r="B387" s="63"/>
      <c r="C387" s="63"/>
      <c r="D387" s="63"/>
      <c r="E387" s="63"/>
      <c r="F387" s="63"/>
      <c r="G387" s="64"/>
      <c r="H387" s="60"/>
      <c r="I387" s="64"/>
      <c r="J387" s="58"/>
      <c r="K387" s="58"/>
      <c r="L387" s="57"/>
      <c r="M387" s="58"/>
      <c r="N387" s="59"/>
      <c r="O387" s="60"/>
      <c r="P387" s="60"/>
      <c r="Q387" s="60"/>
      <c r="R387" s="58"/>
      <c r="S387" s="56"/>
      <c r="T387" s="61"/>
      <c r="U387" s="62"/>
    </row>
    <row r="388" spans="1:21" x14ac:dyDescent="0.45">
      <c r="A388" s="52"/>
      <c r="B388" s="63"/>
      <c r="C388" s="63"/>
      <c r="D388" s="63"/>
      <c r="E388" s="63"/>
      <c r="F388" s="63"/>
      <c r="G388" s="64"/>
      <c r="H388" s="60"/>
      <c r="I388" s="64"/>
      <c r="J388" s="58"/>
      <c r="K388" s="58"/>
      <c r="L388" s="57"/>
      <c r="M388" s="58"/>
      <c r="N388" s="59"/>
      <c r="O388" s="60"/>
      <c r="P388" s="60"/>
      <c r="Q388" s="60"/>
      <c r="R388" s="58"/>
      <c r="S388" s="56"/>
      <c r="T388" s="61"/>
      <c r="U388" s="62"/>
    </row>
    <row r="389" spans="1:21" x14ac:dyDescent="0.45">
      <c r="A389" s="52"/>
      <c r="B389" s="63"/>
      <c r="C389" s="63"/>
      <c r="D389" s="63"/>
      <c r="E389" s="63"/>
      <c r="F389" s="63"/>
      <c r="G389" s="64"/>
      <c r="H389" s="60"/>
      <c r="I389" s="64"/>
      <c r="J389" s="58"/>
      <c r="K389" s="58"/>
      <c r="L389" s="57"/>
      <c r="M389" s="58"/>
      <c r="N389" s="59"/>
      <c r="O389" s="60"/>
      <c r="P389" s="60"/>
      <c r="Q389" s="60"/>
      <c r="R389" s="58"/>
      <c r="S389" s="56"/>
      <c r="T389" s="61"/>
      <c r="U389" s="62"/>
    </row>
    <row r="390" spans="1:21" x14ac:dyDescent="0.45">
      <c r="A390" s="52"/>
      <c r="B390" s="63"/>
      <c r="C390" s="63"/>
      <c r="D390" s="63"/>
      <c r="E390" s="63"/>
      <c r="F390" s="63"/>
      <c r="G390" s="64"/>
      <c r="H390" s="60"/>
      <c r="I390" s="64"/>
      <c r="J390" s="58"/>
      <c r="K390" s="58"/>
      <c r="L390" s="57"/>
      <c r="M390" s="58"/>
      <c r="N390" s="59"/>
      <c r="O390" s="60"/>
      <c r="P390" s="60"/>
      <c r="Q390" s="60"/>
      <c r="R390" s="58"/>
      <c r="S390" s="56"/>
      <c r="T390" s="61"/>
      <c r="U390" s="62"/>
    </row>
    <row r="391" spans="1:21" x14ac:dyDescent="0.45">
      <c r="A391" s="52"/>
      <c r="B391" s="63"/>
      <c r="C391" s="63"/>
      <c r="D391" s="63"/>
      <c r="E391" s="63"/>
      <c r="F391" s="63"/>
      <c r="G391" s="64"/>
      <c r="H391" s="60"/>
      <c r="I391" s="64"/>
      <c r="J391" s="58"/>
      <c r="K391" s="58"/>
      <c r="L391" s="57"/>
      <c r="M391" s="58"/>
      <c r="N391" s="59"/>
      <c r="O391" s="60"/>
      <c r="P391" s="60"/>
      <c r="Q391" s="60"/>
      <c r="R391" s="58"/>
      <c r="S391" s="56"/>
      <c r="T391" s="61"/>
      <c r="U391" s="62"/>
    </row>
    <row r="392" spans="1:21" x14ac:dyDescent="0.45">
      <c r="A392" s="52"/>
      <c r="B392" s="63"/>
      <c r="C392" s="63"/>
      <c r="D392" s="63"/>
      <c r="E392" s="63"/>
      <c r="F392" s="63"/>
      <c r="G392" s="64"/>
      <c r="H392" s="60"/>
      <c r="I392" s="64"/>
      <c r="J392" s="58"/>
      <c r="K392" s="58"/>
      <c r="L392" s="57"/>
      <c r="M392" s="58"/>
      <c r="N392" s="59"/>
      <c r="O392" s="60"/>
      <c r="P392" s="60"/>
      <c r="Q392" s="60"/>
      <c r="R392" s="58"/>
      <c r="S392" s="56"/>
      <c r="T392" s="61"/>
      <c r="U392" s="62"/>
    </row>
    <row r="393" spans="1:21" x14ac:dyDescent="0.45">
      <c r="A393" s="52"/>
      <c r="B393" s="63"/>
      <c r="C393" s="63"/>
      <c r="D393" s="63"/>
      <c r="E393" s="63"/>
      <c r="F393" s="63"/>
      <c r="G393" s="64"/>
      <c r="H393" s="60"/>
      <c r="I393" s="64"/>
      <c r="J393" s="58"/>
      <c r="K393" s="58"/>
      <c r="L393" s="57"/>
      <c r="M393" s="58"/>
      <c r="N393" s="59"/>
      <c r="O393" s="60"/>
      <c r="P393" s="60"/>
      <c r="Q393" s="60"/>
      <c r="R393" s="58"/>
      <c r="S393" s="56"/>
      <c r="T393" s="61"/>
      <c r="U393" s="62"/>
    </row>
    <row r="394" spans="1:21" x14ac:dyDescent="0.45">
      <c r="A394" s="52"/>
      <c r="B394" s="63"/>
      <c r="C394" s="63"/>
      <c r="D394" s="63"/>
      <c r="E394" s="63"/>
      <c r="F394" s="63"/>
      <c r="G394" s="64"/>
      <c r="H394" s="60"/>
      <c r="I394" s="64"/>
      <c r="J394" s="58"/>
      <c r="K394" s="58"/>
      <c r="L394" s="57"/>
      <c r="M394" s="58"/>
      <c r="N394" s="59"/>
      <c r="O394" s="60"/>
      <c r="P394" s="60"/>
      <c r="Q394" s="60"/>
      <c r="R394" s="58"/>
      <c r="S394" s="56"/>
      <c r="T394" s="61"/>
      <c r="U394" s="62"/>
    </row>
    <row r="395" spans="1:21" x14ac:dyDescent="0.45">
      <c r="A395" s="52"/>
      <c r="B395" s="63"/>
      <c r="C395" s="63"/>
      <c r="D395" s="63"/>
      <c r="E395" s="63"/>
      <c r="F395" s="63"/>
      <c r="G395" s="64"/>
      <c r="H395" s="60"/>
      <c r="I395" s="64"/>
      <c r="J395" s="58"/>
      <c r="K395" s="58"/>
      <c r="L395" s="57"/>
      <c r="M395" s="58"/>
      <c r="N395" s="59"/>
      <c r="O395" s="60"/>
      <c r="P395" s="60"/>
      <c r="Q395" s="60"/>
      <c r="R395" s="58"/>
      <c r="S395" s="56"/>
      <c r="T395" s="61"/>
      <c r="U395" s="62"/>
    </row>
    <row r="396" spans="1:21" x14ac:dyDescent="0.45">
      <c r="A396" s="52"/>
      <c r="B396" s="63"/>
      <c r="C396" s="63"/>
      <c r="D396" s="63"/>
      <c r="E396" s="63"/>
      <c r="F396" s="63"/>
      <c r="G396" s="64"/>
      <c r="H396" s="60"/>
      <c r="I396" s="64"/>
      <c r="J396" s="58"/>
      <c r="K396" s="58"/>
      <c r="L396" s="57"/>
      <c r="M396" s="58"/>
      <c r="N396" s="59"/>
      <c r="O396" s="60"/>
      <c r="P396" s="60"/>
      <c r="Q396" s="60"/>
      <c r="R396" s="58"/>
      <c r="S396" s="56"/>
      <c r="T396" s="61"/>
      <c r="U396" s="62"/>
    </row>
    <row r="397" spans="1:21" x14ac:dyDescent="0.45">
      <c r="A397" s="52"/>
      <c r="B397" s="63"/>
      <c r="C397" s="63"/>
      <c r="D397" s="63"/>
      <c r="E397" s="63"/>
      <c r="F397" s="63"/>
      <c r="G397" s="64"/>
      <c r="H397" s="60"/>
      <c r="I397" s="64"/>
      <c r="J397" s="58"/>
      <c r="K397" s="58"/>
      <c r="L397" s="57"/>
      <c r="M397" s="58"/>
      <c r="N397" s="59"/>
      <c r="O397" s="60"/>
      <c r="P397" s="60"/>
      <c r="Q397" s="60"/>
      <c r="R397" s="58"/>
      <c r="S397" s="56"/>
      <c r="T397" s="61"/>
      <c r="U397" s="62"/>
    </row>
    <row r="398" spans="1:21" x14ac:dyDescent="0.45">
      <c r="A398" s="52"/>
      <c r="B398" s="63"/>
      <c r="C398" s="63"/>
      <c r="D398" s="63"/>
      <c r="E398" s="63"/>
      <c r="F398" s="63"/>
      <c r="G398" s="64"/>
      <c r="H398" s="60"/>
      <c r="I398" s="64"/>
      <c r="J398" s="58"/>
      <c r="K398" s="58"/>
      <c r="L398" s="57"/>
      <c r="M398" s="58"/>
      <c r="N398" s="59"/>
      <c r="O398" s="60"/>
      <c r="P398" s="60"/>
      <c r="Q398" s="60"/>
      <c r="R398" s="58"/>
      <c r="S398" s="56"/>
      <c r="T398" s="61"/>
      <c r="U398" s="62"/>
    </row>
    <row r="399" spans="1:21" x14ac:dyDescent="0.45">
      <c r="A399" s="52"/>
      <c r="B399" s="63"/>
      <c r="C399" s="63"/>
      <c r="D399" s="63"/>
      <c r="E399" s="63"/>
      <c r="F399" s="63"/>
      <c r="G399" s="64"/>
      <c r="H399" s="60"/>
      <c r="I399" s="64"/>
      <c r="J399" s="58"/>
      <c r="K399" s="58"/>
      <c r="L399" s="57"/>
      <c r="M399" s="58"/>
      <c r="N399" s="59"/>
      <c r="O399" s="60"/>
      <c r="P399" s="60"/>
      <c r="Q399" s="60"/>
      <c r="R399" s="58"/>
      <c r="S399" s="56"/>
      <c r="T399" s="61"/>
      <c r="U399" s="62"/>
    </row>
    <row r="400" spans="1:21" x14ac:dyDescent="0.45">
      <c r="A400" s="52"/>
      <c r="B400" s="63"/>
      <c r="C400" s="63"/>
      <c r="D400" s="63"/>
      <c r="E400" s="63"/>
      <c r="F400" s="63"/>
      <c r="G400" s="64"/>
      <c r="H400" s="60"/>
      <c r="I400" s="64"/>
      <c r="J400" s="58"/>
      <c r="K400" s="58"/>
      <c r="L400" s="57"/>
      <c r="M400" s="58"/>
      <c r="N400" s="59"/>
      <c r="O400" s="60"/>
      <c r="P400" s="60"/>
      <c r="Q400" s="60"/>
      <c r="R400" s="58"/>
      <c r="S400" s="56"/>
      <c r="T400" s="61"/>
      <c r="U400" s="62"/>
    </row>
    <row r="401" spans="1:21" x14ac:dyDescent="0.45">
      <c r="A401" s="52"/>
      <c r="B401" s="63"/>
      <c r="C401" s="63"/>
      <c r="D401" s="63"/>
      <c r="E401" s="63"/>
      <c r="F401" s="63"/>
      <c r="G401" s="64"/>
      <c r="H401" s="60"/>
      <c r="I401" s="64"/>
      <c r="J401" s="58"/>
      <c r="K401" s="58"/>
      <c r="L401" s="57"/>
      <c r="M401" s="58"/>
      <c r="N401" s="59"/>
      <c r="O401" s="60"/>
      <c r="P401" s="60"/>
      <c r="Q401" s="60"/>
      <c r="R401" s="58"/>
      <c r="S401" s="56"/>
      <c r="T401" s="61"/>
      <c r="U401" s="62"/>
    </row>
    <row r="402" spans="1:21" x14ac:dyDescent="0.45">
      <c r="A402" s="52"/>
      <c r="B402" s="63"/>
      <c r="C402" s="63"/>
      <c r="D402" s="63"/>
      <c r="E402" s="63"/>
      <c r="F402" s="63"/>
      <c r="G402" s="64"/>
      <c r="H402" s="60"/>
      <c r="I402" s="64"/>
      <c r="J402" s="58"/>
      <c r="K402" s="58"/>
      <c r="L402" s="57"/>
      <c r="M402" s="58"/>
      <c r="N402" s="59"/>
      <c r="O402" s="60"/>
      <c r="P402" s="60"/>
      <c r="Q402" s="60"/>
      <c r="R402" s="58"/>
      <c r="S402" s="56"/>
      <c r="T402" s="61"/>
      <c r="U402" s="62"/>
    </row>
    <row r="403" spans="1:21" x14ac:dyDescent="0.45">
      <c r="A403" s="52"/>
      <c r="B403" s="63"/>
      <c r="C403" s="63"/>
      <c r="D403" s="63"/>
      <c r="E403" s="63"/>
      <c r="F403" s="63"/>
      <c r="G403" s="64"/>
      <c r="H403" s="60"/>
      <c r="I403" s="64"/>
      <c r="J403" s="58"/>
      <c r="K403" s="58"/>
      <c r="L403" s="57"/>
      <c r="M403" s="58"/>
      <c r="N403" s="59"/>
      <c r="O403" s="60"/>
      <c r="P403" s="60"/>
      <c r="Q403" s="60"/>
      <c r="R403" s="58"/>
      <c r="S403" s="56"/>
      <c r="T403" s="61"/>
      <c r="U403" s="62"/>
    </row>
    <row r="404" spans="1:21" x14ac:dyDescent="0.45">
      <c r="A404" s="52"/>
      <c r="B404" s="63"/>
      <c r="C404" s="63"/>
      <c r="D404" s="63"/>
      <c r="E404" s="63"/>
      <c r="F404" s="63"/>
      <c r="G404" s="64"/>
      <c r="H404" s="60"/>
      <c r="I404" s="64"/>
      <c r="J404" s="58"/>
      <c r="K404" s="58"/>
      <c r="L404" s="57"/>
      <c r="M404" s="58"/>
      <c r="N404" s="59"/>
      <c r="O404" s="60"/>
      <c r="P404" s="60"/>
      <c r="Q404" s="60"/>
      <c r="R404" s="58"/>
      <c r="S404" s="56"/>
      <c r="T404" s="61"/>
      <c r="U404" s="62"/>
    </row>
    <row r="405" spans="1:21" x14ac:dyDescent="0.45">
      <c r="A405" s="52"/>
      <c r="B405" s="63"/>
      <c r="C405" s="63"/>
      <c r="D405" s="63"/>
      <c r="E405" s="63"/>
      <c r="F405" s="63"/>
      <c r="G405" s="64"/>
      <c r="H405" s="60"/>
      <c r="I405" s="64"/>
      <c r="J405" s="58"/>
      <c r="K405" s="58"/>
      <c r="L405" s="57"/>
      <c r="M405" s="58"/>
      <c r="N405" s="59"/>
      <c r="O405" s="60"/>
      <c r="P405" s="60"/>
      <c r="Q405" s="60"/>
      <c r="R405" s="58"/>
      <c r="S405" s="56"/>
      <c r="T405" s="61"/>
      <c r="U405" s="62"/>
    </row>
    <row r="406" spans="1:21" x14ac:dyDescent="0.45">
      <c r="A406" s="52"/>
      <c r="B406" s="63"/>
      <c r="C406" s="63"/>
      <c r="D406" s="63"/>
      <c r="E406" s="63"/>
      <c r="F406" s="63"/>
      <c r="G406" s="64"/>
      <c r="H406" s="60"/>
      <c r="I406" s="64"/>
      <c r="J406" s="58"/>
      <c r="K406" s="58"/>
      <c r="L406" s="57"/>
      <c r="M406" s="58"/>
      <c r="N406" s="59"/>
      <c r="O406" s="60"/>
      <c r="P406" s="60"/>
      <c r="Q406" s="60"/>
      <c r="R406" s="58"/>
      <c r="S406" s="56"/>
      <c r="T406" s="61"/>
      <c r="U406" s="62"/>
    </row>
    <row r="407" spans="1:21" x14ac:dyDescent="0.45">
      <c r="A407" s="52"/>
      <c r="B407" s="63"/>
      <c r="C407" s="63"/>
      <c r="D407" s="63"/>
      <c r="E407" s="63"/>
      <c r="F407" s="63"/>
      <c r="G407" s="64"/>
      <c r="H407" s="60"/>
      <c r="I407" s="64"/>
      <c r="J407" s="58"/>
      <c r="K407" s="58"/>
      <c r="L407" s="57"/>
      <c r="M407" s="58"/>
      <c r="N407" s="59"/>
      <c r="O407" s="60"/>
      <c r="P407" s="60"/>
      <c r="Q407" s="60"/>
      <c r="R407" s="58"/>
      <c r="S407" s="56"/>
      <c r="T407" s="61"/>
      <c r="U407" s="62"/>
    </row>
    <row r="408" spans="1:21" x14ac:dyDescent="0.45">
      <c r="A408" s="52"/>
      <c r="B408" s="63"/>
      <c r="C408" s="63"/>
      <c r="D408" s="63"/>
      <c r="E408" s="63"/>
      <c r="F408" s="63"/>
      <c r="G408" s="64"/>
      <c r="H408" s="60"/>
      <c r="I408" s="64"/>
      <c r="J408" s="58"/>
      <c r="K408" s="58"/>
      <c r="L408" s="57"/>
      <c r="M408" s="58"/>
      <c r="N408" s="59"/>
      <c r="O408" s="60"/>
      <c r="P408" s="60"/>
      <c r="Q408" s="60"/>
      <c r="R408" s="58"/>
      <c r="S408" s="56"/>
      <c r="T408" s="61"/>
      <c r="U408" s="62"/>
    </row>
    <row r="409" spans="1:21" x14ac:dyDescent="0.45">
      <c r="A409" s="52"/>
      <c r="B409" s="63"/>
      <c r="C409" s="63"/>
      <c r="D409" s="63"/>
      <c r="E409" s="63"/>
      <c r="F409" s="63"/>
      <c r="G409" s="64"/>
      <c r="H409" s="60"/>
      <c r="I409" s="64"/>
      <c r="J409" s="58"/>
      <c r="K409" s="58"/>
      <c r="L409" s="57"/>
      <c r="M409" s="58"/>
      <c r="N409" s="59"/>
      <c r="O409" s="60"/>
      <c r="P409" s="60"/>
      <c r="Q409" s="60"/>
      <c r="R409" s="58"/>
      <c r="S409" s="56"/>
      <c r="T409" s="61"/>
      <c r="U409" s="62"/>
    </row>
    <row r="410" spans="1:21" x14ac:dyDescent="0.45">
      <c r="A410" s="52"/>
      <c r="B410" s="63"/>
      <c r="C410" s="63"/>
      <c r="D410" s="63"/>
      <c r="E410" s="63"/>
      <c r="F410" s="63"/>
      <c r="G410" s="64"/>
      <c r="H410" s="60"/>
      <c r="I410" s="64"/>
      <c r="J410" s="58"/>
      <c r="K410" s="58"/>
      <c r="L410" s="57"/>
      <c r="M410" s="58"/>
      <c r="N410" s="59"/>
      <c r="O410" s="60"/>
      <c r="P410" s="60"/>
      <c r="Q410" s="60"/>
      <c r="R410" s="58"/>
      <c r="S410" s="56"/>
      <c r="T410" s="61"/>
      <c r="U410" s="62"/>
    </row>
    <row r="411" spans="1:21" x14ac:dyDescent="0.45">
      <c r="A411" s="52"/>
      <c r="B411" s="63"/>
      <c r="C411" s="63"/>
      <c r="D411" s="63"/>
      <c r="E411" s="63"/>
      <c r="F411" s="63"/>
      <c r="G411" s="64"/>
      <c r="H411" s="60"/>
      <c r="I411" s="64"/>
      <c r="J411" s="58"/>
      <c r="K411" s="58"/>
      <c r="L411" s="57"/>
      <c r="M411" s="58"/>
      <c r="N411" s="59"/>
      <c r="O411" s="60"/>
      <c r="P411" s="60"/>
      <c r="Q411" s="60"/>
      <c r="R411" s="58"/>
      <c r="S411" s="56"/>
      <c r="T411" s="61"/>
      <c r="U411" s="62"/>
    </row>
    <row r="412" spans="1:21" x14ac:dyDescent="0.45">
      <c r="A412" s="52"/>
      <c r="B412" s="63"/>
      <c r="C412" s="63"/>
      <c r="D412" s="63"/>
      <c r="E412" s="63"/>
      <c r="F412" s="63"/>
      <c r="G412" s="64"/>
      <c r="H412" s="60"/>
      <c r="I412" s="64"/>
      <c r="J412" s="58"/>
      <c r="K412" s="58"/>
      <c r="L412" s="57"/>
      <c r="M412" s="58"/>
      <c r="N412" s="59"/>
      <c r="O412" s="60"/>
      <c r="P412" s="60"/>
      <c r="Q412" s="60"/>
      <c r="R412" s="58"/>
      <c r="S412" s="56"/>
      <c r="T412" s="61"/>
      <c r="U412" s="62"/>
    </row>
    <row r="413" spans="1:21" x14ac:dyDescent="0.45">
      <c r="A413" s="52"/>
      <c r="B413" s="63"/>
      <c r="C413" s="63"/>
      <c r="D413" s="63"/>
      <c r="E413" s="63"/>
      <c r="F413" s="63"/>
      <c r="G413" s="64"/>
      <c r="H413" s="60"/>
      <c r="I413" s="64"/>
      <c r="J413" s="58"/>
      <c r="K413" s="58"/>
      <c r="L413" s="57"/>
      <c r="M413" s="58"/>
      <c r="N413" s="59"/>
      <c r="O413" s="60"/>
      <c r="P413" s="60"/>
      <c r="Q413" s="60"/>
      <c r="R413" s="58"/>
      <c r="S413" s="56"/>
      <c r="T413" s="61"/>
      <c r="U413" s="62"/>
    </row>
    <row r="414" spans="1:21" x14ac:dyDescent="0.45">
      <c r="A414" s="52"/>
      <c r="B414" s="63"/>
      <c r="C414" s="63"/>
      <c r="D414" s="63"/>
      <c r="E414" s="63"/>
      <c r="F414" s="63"/>
      <c r="G414" s="64"/>
      <c r="H414" s="60"/>
      <c r="I414" s="64"/>
      <c r="J414" s="58"/>
      <c r="K414" s="58"/>
      <c r="L414" s="57"/>
      <c r="M414" s="58"/>
      <c r="N414" s="59"/>
      <c r="O414" s="60"/>
      <c r="P414" s="60"/>
      <c r="Q414" s="60"/>
      <c r="R414" s="58"/>
      <c r="S414" s="56"/>
      <c r="T414" s="61"/>
      <c r="U414" s="62"/>
    </row>
    <row r="415" spans="1:21" x14ac:dyDescent="0.45">
      <c r="A415" s="52"/>
      <c r="B415" s="63"/>
      <c r="C415" s="63"/>
      <c r="D415" s="63"/>
      <c r="E415" s="63"/>
      <c r="F415" s="63"/>
      <c r="G415" s="64"/>
      <c r="H415" s="60"/>
      <c r="I415" s="64"/>
      <c r="J415" s="58"/>
      <c r="K415" s="58"/>
      <c r="L415" s="57"/>
      <c r="M415" s="58"/>
      <c r="N415" s="59"/>
      <c r="O415" s="60"/>
      <c r="P415" s="60"/>
      <c r="Q415" s="60"/>
      <c r="R415" s="58"/>
      <c r="S415" s="56"/>
      <c r="T415" s="61"/>
      <c r="U415" s="62"/>
    </row>
    <row r="416" spans="1:21" x14ac:dyDescent="0.45">
      <c r="A416" s="52"/>
      <c r="B416" s="63"/>
      <c r="C416" s="63"/>
      <c r="D416" s="63"/>
      <c r="E416" s="63"/>
      <c r="F416" s="63"/>
      <c r="G416" s="64"/>
      <c r="H416" s="60"/>
      <c r="I416" s="64"/>
      <c r="J416" s="58"/>
      <c r="K416" s="58"/>
      <c r="L416" s="57"/>
      <c r="M416" s="58"/>
      <c r="N416" s="59"/>
      <c r="O416" s="60"/>
      <c r="P416" s="60"/>
      <c r="Q416" s="60"/>
      <c r="R416" s="58"/>
      <c r="S416" s="56"/>
      <c r="T416" s="61"/>
      <c r="U416" s="62"/>
    </row>
    <row r="417" spans="1:21" x14ac:dyDescent="0.45">
      <c r="A417" s="52"/>
      <c r="B417" s="63"/>
      <c r="C417" s="63"/>
      <c r="D417" s="63"/>
      <c r="E417" s="63"/>
      <c r="F417" s="63"/>
      <c r="G417" s="64"/>
      <c r="H417" s="60"/>
      <c r="I417" s="64"/>
      <c r="J417" s="58"/>
      <c r="K417" s="58"/>
      <c r="L417" s="57"/>
      <c r="M417" s="58"/>
      <c r="N417" s="59"/>
      <c r="O417" s="60"/>
      <c r="P417" s="60"/>
      <c r="Q417" s="60"/>
      <c r="R417" s="58"/>
      <c r="S417" s="56"/>
      <c r="T417" s="61"/>
      <c r="U417" s="62"/>
    </row>
    <row r="418" spans="1:21" x14ac:dyDescent="0.45">
      <c r="A418" s="52"/>
      <c r="B418" s="63"/>
      <c r="C418" s="63"/>
      <c r="D418" s="63"/>
      <c r="E418" s="63"/>
      <c r="F418" s="63"/>
      <c r="G418" s="64"/>
      <c r="H418" s="60"/>
      <c r="I418" s="64"/>
      <c r="J418" s="58"/>
      <c r="K418" s="58"/>
      <c r="L418" s="57"/>
      <c r="M418" s="58"/>
      <c r="N418" s="59"/>
      <c r="O418" s="60"/>
      <c r="P418" s="60"/>
      <c r="Q418" s="60"/>
      <c r="R418" s="58"/>
      <c r="S418" s="56"/>
      <c r="T418" s="61"/>
      <c r="U418" s="62"/>
    </row>
    <row r="419" spans="1:21" x14ac:dyDescent="0.45">
      <c r="A419" s="52"/>
      <c r="B419" s="63"/>
      <c r="C419" s="63"/>
      <c r="D419" s="63"/>
      <c r="E419" s="63"/>
      <c r="F419" s="63"/>
      <c r="G419" s="64"/>
      <c r="H419" s="60"/>
      <c r="I419" s="64"/>
      <c r="J419" s="58"/>
      <c r="K419" s="58"/>
      <c r="L419" s="57"/>
      <c r="M419" s="58"/>
      <c r="N419" s="59"/>
      <c r="O419" s="60"/>
      <c r="P419" s="60"/>
      <c r="Q419" s="60"/>
      <c r="R419" s="58"/>
      <c r="S419" s="56"/>
      <c r="T419" s="61"/>
      <c r="U419" s="62"/>
    </row>
    <row r="420" spans="1:21" x14ac:dyDescent="0.45">
      <c r="A420" s="52"/>
      <c r="B420" s="63"/>
      <c r="C420" s="63"/>
      <c r="D420" s="63"/>
      <c r="E420" s="63"/>
      <c r="F420" s="63"/>
      <c r="G420" s="64"/>
      <c r="H420" s="60"/>
      <c r="I420" s="64"/>
      <c r="J420" s="58"/>
      <c r="K420" s="58"/>
      <c r="L420" s="57"/>
      <c r="M420" s="58"/>
      <c r="N420" s="59"/>
      <c r="O420" s="60"/>
      <c r="P420" s="60"/>
      <c r="Q420" s="60"/>
      <c r="R420" s="58"/>
      <c r="S420" s="56"/>
      <c r="T420" s="61"/>
      <c r="U420" s="62"/>
    </row>
    <row r="421" spans="1:21" x14ac:dyDescent="0.45">
      <c r="A421" s="52"/>
      <c r="B421" s="63"/>
      <c r="C421" s="63"/>
      <c r="D421" s="63"/>
      <c r="E421" s="63"/>
      <c r="F421" s="63"/>
      <c r="G421" s="64"/>
      <c r="H421" s="60"/>
      <c r="I421" s="64"/>
      <c r="J421" s="58"/>
      <c r="K421" s="58"/>
      <c r="L421" s="57"/>
      <c r="M421" s="58"/>
      <c r="N421" s="59"/>
      <c r="O421" s="60"/>
      <c r="P421" s="60"/>
      <c r="Q421" s="60"/>
      <c r="R421" s="58"/>
      <c r="S421" s="56"/>
      <c r="T421" s="61"/>
      <c r="U421" s="62"/>
    </row>
    <row r="422" spans="1:21" x14ac:dyDescent="0.45">
      <c r="A422" s="52"/>
      <c r="B422" s="63"/>
      <c r="C422" s="63"/>
      <c r="D422" s="63"/>
      <c r="E422" s="63"/>
      <c r="F422" s="63"/>
      <c r="G422" s="64"/>
      <c r="H422" s="60"/>
      <c r="I422" s="64"/>
      <c r="J422" s="58"/>
      <c r="K422" s="58"/>
      <c r="L422" s="57"/>
      <c r="M422" s="58"/>
      <c r="N422" s="59"/>
      <c r="O422" s="60"/>
      <c r="P422" s="60"/>
      <c r="Q422" s="60"/>
      <c r="R422" s="58"/>
      <c r="S422" s="56"/>
      <c r="T422" s="61"/>
      <c r="U422" s="62"/>
    </row>
    <row r="423" spans="1:21" x14ac:dyDescent="0.45">
      <c r="A423" s="52"/>
      <c r="B423" s="63"/>
      <c r="C423" s="63"/>
      <c r="D423" s="63"/>
      <c r="E423" s="63"/>
      <c r="F423" s="63"/>
      <c r="G423" s="64"/>
      <c r="H423" s="60"/>
      <c r="I423" s="64"/>
      <c r="J423" s="58"/>
      <c r="K423" s="58"/>
      <c r="L423" s="57"/>
      <c r="M423" s="58"/>
      <c r="N423" s="59"/>
      <c r="O423" s="60"/>
      <c r="P423" s="60"/>
      <c r="Q423" s="60"/>
      <c r="R423" s="58"/>
      <c r="S423" s="56"/>
      <c r="T423" s="61"/>
      <c r="U423" s="62"/>
    </row>
    <row r="424" spans="1:21" x14ac:dyDescent="0.45">
      <c r="A424" s="52"/>
      <c r="B424" s="63"/>
      <c r="C424" s="63"/>
      <c r="D424" s="63"/>
      <c r="E424" s="63"/>
      <c r="F424" s="63"/>
      <c r="G424" s="64"/>
      <c r="H424" s="60"/>
      <c r="I424" s="64"/>
      <c r="J424" s="58"/>
      <c r="K424" s="58"/>
      <c r="L424" s="57"/>
      <c r="M424" s="58"/>
      <c r="N424" s="59"/>
      <c r="O424" s="60"/>
      <c r="P424" s="60"/>
      <c r="Q424" s="60"/>
      <c r="R424" s="58"/>
      <c r="S424" s="56"/>
      <c r="T424" s="61"/>
      <c r="U424" s="62"/>
    </row>
    <row r="425" spans="1:21" x14ac:dyDescent="0.45">
      <c r="A425" s="52"/>
      <c r="B425" s="63"/>
      <c r="C425" s="63"/>
      <c r="D425" s="63"/>
      <c r="E425" s="63"/>
      <c r="F425" s="63"/>
      <c r="G425" s="64"/>
      <c r="H425" s="60"/>
      <c r="I425" s="64"/>
      <c r="J425" s="58"/>
      <c r="K425" s="58"/>
      <c r="L425" s="57"/>
      <c r="M425" s="58"/>
      <c r="N425" s="59"/>
      <c r="O425" s="60"/>
      <c r="P425" s="60"/>
      <c r="Q425" s="60"/>
      <c r="R425" s="58"/>
      <c r="S425" s="56"/>
      <c r="T425" s="61"/>
      <c r="U425" s="62"/>
    </row>
    <row r="426" spans="1:21" x14ac:dyDescent="0.45">
      <c r="A426" s="52"/>
      <c r="B426" s="63"/>
      <c r="C426" s="63"/>
      <c r="D426" s="63"/>
      <c r="E426" s="63"/>
      <c r="F426" s="63"/>
      <c r="G426" s="64"/>
      <c r="H426" s="60"/>
      <c r="I426" s="64"/>
      <c r="J426" s="58"/>
      <c r="K426" s="58"/>
      <c r="L426" s="57"/>
      <c r="M426" s="58"/>
      <c r="N426" s="59"/>
      <c r="O426" s="60"/>
      <c r="P426" s="60"/>
      <c r="Q426" s="60"/>
      <c r="R426" s="58"/>
      <c r="S426" s="56"/>
      <c r="T426" s="61"/>
      <c r="U426" s="62"/>
    </row>
    <row r="427" spans="1:21" x14ac:dyDescent="0.45">
      <c r="A427" s="52"/>
      <c r="B427" s="63"/>
      <c r="C427" s="63"/>
      <c r="D427" s="63"/>
      <c r="E427" s="63"/>
      <c r="F427" s="63"/>
      <c r="G427" s="64"/>
      <c r="H427" s="60"/>
      <c r="I427" s="64"/>
      <c r="J427" s="58"/>
      <c r="K427" s="58"/>
      <c r="L427" s="57"/>
      <c r="M427" s="58"/>
      <c r="N427" s="59"/>
      <c r="O427" s="60"/>
      <c r="P427" s="60"/>
      <c r="Q427" s="60"/>
      <c r="R427" s="58"/>
      <c r="S427" s="56"/>
      <c r="T427" s="61"/>
      <c r="U427" s="62"/>
    </row>
    <row r="428" spans="1:21" x14ac:dyDescent="0.45">
      <c r="A428" s="52"/>
      <c r="B428" s="63"/>
      <c r="C428" s="63"/>
      <c r="D428" s="63"/>
      <c r="E428" s="63"/>
      <c r="F428" s="63"/>
      <c r="G428" s="64"/>
      <c r="H428" s="60"/>
      <c r="I428" s="64"/>
      <c r="J428" s="58"/>
      <c r="K428" s="58"/>
      <c r="L428" s="57"/>
      <c r="M428" s="58"/>
      <c r="N428" s="59"/>
      <c r="O428" s="60"/>
      <c r="P428" s="60"/>
      <c r="Q428" s="60"/>
      <c r="R428" s="58"/>
      <c r="S428" s="56"/>
      <c r="T428" s="61"/>
      <c r="U428" s="62"/>
    </row>
    <row r="429" spans="1:21" x14ac:dyDescent="0.45">
      <c r="A429" s="52"/>
      <c r="B429" s="63"/>
      <c r="C429" s="63"/>
      <c r="D429" s="63"/>
      <c r="E429" s="63"/>
      <c r="F429" s="63"/>
      <c r="G429" s="64"/>
      <c r="H429" s="60"/>
      <c r="I429" s="64"/>
      <c r="J429" s="58"/>
      <c r="K429" s="58"/>
      <c r="L429" s="57"/>
      <c r="M429" s="58"/>
      <c r="N429" s="59"/>
      <c r="O429" s="60"/>
      <c r="P429" s="60"/>
      <c r="Q429" s="60"/>
      <c r="R429" s="58"/>
      <c r="S429" s="56"/>
      <c r="T429" s="61"/>
      <c r="U429" s="62"/>
    </row>
    <row r="430" spans="1:21" x14ac:dyDescent="0.45">
      <c r="A430" s="52"/>
      <c r="B430" s="63"/>
      <c r="C430" s="63"/>
      <c r="D430" s="63"/>
      <c r="E430" s="63"/>
      <c r="F430" s="63"/>
      <c r="G430" s="64"/>
      <c r="H430" s="60"/>
      <c r="I430" s="64"/>
      <c r="J430" s="58"/>
      <c r="K430" s="58"/>
      <c r="L430" s="57"/>
      <c r="M430" s="58"/>
      <c r="N430" s="59"/>
      <c r="O430" s="60"/>
      <c r="P430" s="60"/>
      <c r="Q430" s="60"/>
      <c r="R430" s="58"/>
      <c r="S430" s="56"/>
      <c r="T430" s="61"/>
      <c r="U430" s="62"/>
    </row>
    <row r="431" spans="1:21" x14ac:dyDescent="0.45">
      <c r="A431" s="52"/>
      <c r="B431" s="63"/>
      <c r="C431" s="63"/>
      <c r="D431" s="63"/>
      <c r="E431" s="63"/>
      <c r="F431" s="63"/>
      <c r="G431" s="64"/>
      <c r="H431" s="60"/>
      <c r="I431" s="64"/>
      <c r="J431" s="58"/>
      <c r="K431" s="58"/>
      <c r="L431" s="57"/>
      <c r="M431" s="58"/>
      <c r="N431" s="59"/>
      <c r="O431" s="60"/>
      <c r="P431" s="60"/>
      <c r="Q431" s="60"/>
      <c r="R431" s="58"/>
      <c r="S431" s="56"/>
      <c r="T431" s="61"/>
      <c r="U431" s="62"/>
    </row>
    <row r="432" spans="1:21" x14ac:dyDescent="0.45">
      <c r="A432" s="52"/>
      <c r="B432" s="63"/>
      <c r="C432" s="63"/>
      <c r="D432" s="63"/>
      <c r="E432" s="63"/>
      <c r="F432" s="63"/>
      <c r="G432" s="64"/>
      <c r="H432" s="60"/>
      <c r="I432" s="64"/>
      <c r="J432" s="58"/>
      <c r="K432" s="58"/>
      <c r="L432" s="57"/>
      <c r="M432" s="58"/>
      <c r="N432" s="59"/>
      <c r="O432" s="60"/>
      <c r="P432" s="60"/>
      <c r="Q432" s="60"/>
      <c r="R432" s="58"/>
      <c r="S432" s="56"/>
      <c r="T432" s="61"/>
      <c r="U432" s="62"/>
    </row>
    <row r="433" spans="1:21" x14ac:dyDescent="0.45">
      <c r="A433" s="52"/>
      <c r="B433" s="63"/>
      <c r="C433" s="63"/>
      <c r="D433" s="63"/>
      <c r="E433" s="63"/>
      <c r="F433" s="63"/>
      <c r="G433" s="64"/>
      <c r="H433" s="60"/>
      <c r="I433" s="64"/>
      <c r="J433" s="58"/>
      <c r="K433" s="58"/>
      <c r="L433" s="57"/>
      <c r="M433" s="58"/>
      <c r="N433" s="59"/>
      <c r="O433" s="60"/>
      <c r="P433" s="60"/>
      <c r="Q433" s="60"/>
      <c r="R433" s="58"/>
      <c r="S433" s="56"/>
      <c r="T433" s="61"/>
      <c r="U433" s="62"/>
    </row>
    <row r="434" spans="1:21" x14ac:dyDescent="0.45">
      <c r="A434" s="52"/>
      <c r="B434" s="63"/>
      <c r="C434" s="63"/>
      <c r="D434" s="63"/>
      <c r="E434" s="63"/>
      <c r="F434" s="63"/>
      <c r="G434" s="64"/>
      <c r="H434" s="60"/>
      <c r="I434" s="64"/>
      <c r="J434" s="58"/>
      <c r="K434" s="58"/>
      <c r="L434" s="57"/>
      <c r="M434" s="58"/>
      <c r="N434" s="59"/>
      <c r="O434" s="60"/>
      <c r="P434" s="60"/>
      <c r="Q434" s="60"/>
      <c r="R434" s="58"/>
      <c r="S434" s="56"/>
      <c r="T434" s="61"/>
      <c r="U434" s="62"/>
    </row>
    <row r="435" spans="1:21" x14ac:dyDescent="0.45">
      <c r="A435" s="52"/>
      <c r="B435" s="63"/>
      <c r="C435" s="63"/>
      <c r="D435" s="63"/>
      <c r="E435" s="63"/>
      <c r="F435" s="63"/>
      <c r="G435" s="64"/>
      <c r="H435" s="60"/>
      <c r="I435" s="64"/>
      <c r="J435" s="58"/>
      <c r="K435" s="58"/>
      <c r="L435" s="57"/>
      <c r="M435" s="58"/>
      <c r="N435" s="59"/>
      <c r="O435" s="60"/>
      <c r="P435" s="60"/>
      <c r="Q435" s="60"/>
      <c r="R435" s="58"/>
      <c r="S435" s="56"/>
      <c r="T435" s="61"/>
      <c r="U435" s="62"/>
    </row>
    <row r="436" spans="1:21" x14ac:dyDescent="0.45">
      <c r="A436" s="52"/>
      <c r="B436" s="63"/>
      <c r="C436" s="63"/>
      <c r="D436" s="63"/>
      <c r="E436" s="63"/>
      <c r="F436" s="63"/>
      <c r="G436" s="64"/>
      <c r="H436" s="60"/>
      <c r="I436" s="64"/>
      <c r="J436" s="58"/>
      <c r="K436" s="58"/>
      <c r="L436" s="57"/>
      <c r="M436" s="58"/>
      <c r="N436" s="59"/>
      <c r="O436" s="60"/>
      <c r="P436" s="60"/>
      <c r="Q436" s="60"/>
      <c r="R436" s="58"/>
      <c r="S436" s="56"/>
      <c r="T436" s="61"/>
      <c r="U436" s="62"/>
    </row>
    <row r="437" spans="1:21" x14ac:dyDescent="0.45">
      <c r="A437" s="52"/>
      <c r="B437" s="63"/>
      <c r="C437" s="63"/>
      <c r="D437" s="63"/>
      <c r="E437" s="63"/>
      <c r="F437" s="63"/>
      <c r="G437" s="64"/>
      <c r="H437" s="60"/>
      <c r="I437" s="64"/>
      <c r="J437" s="58"/>
      <c r="K437" s="58"/>
      <c r="L437" s="57"/>
      <c r="M437" s="58"/>
      <c r="N437" s="59"/>
      <c r="O437" s="60"/>
      <c r="P437" s="60"/>
      <c r="Q437" s="60"/>
      <c r="R437" s="58"/>
      <c r="S437" s="56"/>
      <c r="T437" s="61"/>
      <c r="U437" s="62"/>
    </row>
    <row r="438" spans="1:21" x14ac:dyDescent="0.45">
      <c r="A438" s="52"/>
      <c r="B438" s="63"/>
      <c r="C438" s="63"/>
      <c r="D438" s="63"/>
      <c r="E438" s="63"/>
      <c r="F438" s="63"/>
      <c r="G438" s="64"/>
      <c r="H438" s="60"/>
      <c r="I438" s="64"/>
      <c r="J438" s="58"/>
      <c r="K438" s="58"/>
      <c r="L438" s="57"/>
      <c r="M438" s="58"/>
      <c r="N438" s="59"/>
      <c r="O438" s="60"/>
      <c r="P438" s="60"/>
      <c r="Q438" s="60"/>
      <c r="R438" s="58"/>
      <c r="S438" s="56"/>
      <c r="T438" s="61"/>
      <c r="U438" s="62"/>
    </row>
    <row r="439" spans="1:21" x14ac:dyDescent="0.45">
      <c r="A439" s="52"/>
      <c r="B439" s="63"/>
      <c r="C439" s="63"/>
      <c r="D439" s="63"/>
      <c r="E439" s="63"/>
      <c r="F439" s="63"/>
      <c r="G439" s="64"/>
      <c r="H439" s="60"/>
      <c r="I439" s="64"/>
      <c r="J439" s="58"/>
      <c r="K439" s="58"/>
      <c r="L439" s="57"/>
      <c r="M439" s="58"/>
      <c r="N439" s="59"/>
      <c r="O439" s="60"/>
      <c r="P439" s="60"/>
      <c r="Q439" s="60"/>
      <c r="R439" s="58"/>
      <c r="S439" s="56"/>
      <c r="T439" s="61"/>
      <c r="U439" s="62"/>
    </row>
    <row r="440" spans="1:21" x14ac:dyDescent="0.45">
      <c r="A440" s="52"/>
      <c r="B440" s="63"/>
      <c r="C440" s="63"/>
      <c r="D440" s="63"/>
      <c r="E440" s="63"/>
      <c r="F440" s="63"/>
      <c r="G440" s="64"/>
      <c r="H440" s="60"/>
      <c r="I440" s="64"/>
      <c r="J440" s="58"/>
      <c r="K440" s="58"/>
      <c r="L440" s="57"/>
      <c r="M440" s="58"/>
      <c r="N440" s="59"/>
      <c r="O440" s="60"/>
      <c r="P440" s="60"/>
      <c r="Q440" s="60"/>
      <c r="R440" s="58"/>
      <c r="S440" s="56"/>
      <c r="T440" s="61"/>
      <c r="U440" s="62"/>
    </row>
    <row r="441" spans="1:21" x14ac:dyDescent="0.45">
      <c r="A441" s="52"/>
      <c r="B441" s="63"/>
      <c r="C441" s="63"/>
      <c r="D441" s="63"/>
      <c r="E441" s="63"/>
      <c r="F441" s="63"/>
      <c r="G441" s="64"/>
      <c r="H441" s="60"/>
      <c r="I441" s="64"/>
      <c r="J441" s="58"/>
      <c r="K441" s="58"/>
      <c r="L441" s="57"/>
      <c r="M441" s="58"/>
      <c r="N441" s="59"/>
      <c r="O441" s="60"/>
      <c r="P441" s="60"/>
      <c r="Q441" s="60"/>
      <c r="R441" s="58"/>
      <c r="S441" s="56"/>
      <c r="T441" s="61"/>
      <c r="U441" s="62"/>
    </row>
    <row r="442" spans="1:21" x14ac:dyDescent="0.45">
      <c r="A442" s="52"/>
      <c r="B442" s="63"/>
      <c r="C442" s="63"/>
      <c r="D442" s="63"/>
      <c r="E442" s="63"/>
      <c r="F442" s="63"/>
      <c r="G442" s="64"/>
      <c r="H442" s="60"/>
      <c r="I442" s="64"/>
      <c r="J442" s="58"/>
      <c r="K442" s="58"/>
      <c r="L442" s="57"/>
      <c r="M442" s="58"/>
      <c r="N442" s="59"/>
      <c r="O442" s="60"/>
      <c r="P442" s="60"/>
      <c r="Q442" s="60"/>
      <c r="R442" s="58"/>
      <c r="S442" s="56"/>
      <c r="T442" s="61"/>
      <c r="U442" s="62"/>
    </row>
    <row r="443" spans="1:21" x14ac:dyDescent="0.45">
      <c r="A443" s="52"/>
      <c r="B443" s="63"/>
      <c r="C443" s="63"/>
      <c r="D443" s="63"/>
      <c r="E443" s="63"/>
      <c r="F443" s="63"/>
      <c r="G443" s="64"/>
      <c r="H443" s="60"/>
      <c r="I443" s="64"/>
      <c r="J443" s="58"/>
      <c r="K443" s="58"/>
      <c r="L443" s="57"/>
      <c r="M443" s="58"/>
      <c r="N443" s="59"/>
      <c r="O443" s="60"/>
      <c r="P443" s="60"/>
      <c r="Q443" s="60"/>
      <c r="R443" s="58"/>
      <c r="S443" s="56"/>
      <c r="T443" s="61"/>
      <c r="U443" s="62"/>
    </row>
    <row r="444" spans="1:21" x14ac:dyDescent="0.45">
      <c r="A444" s="52"/>
      <c r="B444" s="63"/>
      <c r="C444" s="63"/>
      <c r="D444" s="63"/>
      <c r="E444" s="63"/>
      <c r="F444" s="63"/>
      <c r="G444" s="64"/>
      <c r="H444" s="60"/>
      <c r="I444" s="64"/>
      <c r="J444" s="58"/>
      <c r="K444" s="58"/>
      <c r="L444" s="57"/>
      <c r="M444" s="58"/>
      <c r="N444" s="59"/>
      <c r="O444" s="60"/>
      <c r="P444" s="60"/>
      <c r="Q444" s="60"/>
      <c r="R444" s="58"/>
      <c r="S444" s="56"/>
      <c r="T444" s="61"/>
      <c r="U444" s="62"/>
    </row>
    <row r="445" spans="1:21" x14ac:dyDescent="0.45">
      <c r="A445" s="52"/>
      <c r="B445" s="63"/>
      <c r="C445" s="63"/>
      <c r="D445" s="63"/>
      <c r="E445" s="63"/>
      <c r="F445" s="63"/>
      <c r="G445" s="64"/>
      <c r="H445" s="60"/>
      <c r="I445" s="64"/>
      <c r="J445" s="58"/>
      <c r="K445" s="58"/>
      <c r="L445" s="57"/>
      <c r="M445" s="58"/>
      <c r="N445" s="59"/>
      <c r="O445" s="60"/>
      <c r="P445" s="60"/>
      <c r="Q445" s="60"/>
      <c r="R445" s="58"/>
      <c r="S445" s="56"/>
      <c r="T445" s="61"/>
      <c r="U445" s="62"/>
    </row>
    <row r="446" spans="1:21" x14ac:dyDescent="0.45">
      <c r="A446" s="52"/>
      <c r="B446" s="63"/>
      <c r="C446" s="63"/>
      <c r="D446" s="63"/>
      <c r="E446" s="63"/>
      <c r="F446" s="63"/>
      <c r="G446" s="64"/>
      <c r="H446" s="60"/>
      <c r="I446" s="64"/>
      <c r="J446" s="58"/>
      <c r="K446" s="58"/>
      <c r="L446" s="57"/>
      <c r="M446" s="58"/>
      <c r="N446" s="59"/>
      <c r="O446" s="60"/>
      <c r="P446" s="60"/>
      <c r="Q446" s="60"/>
      <c r="R446" s="58"/>
      <c r="S446" s="56"/>
      <c r="T446" s="61"/>
      <c r="U446" s="62"/>
    </row>
    <row r="447" spans="1:21" x14ac:dyDescent="0.45">
      <c r="A447" s="52"/>
      <c r="B447" s="63"/>
      <c r="C447" s="63"/>
      <c r="D447" s="63"/>
      <c r="E447" s="63"/>
      <c r="F447" s="63"/>
      <c r="G447" s="64"/>
      <c r="H447" s="60"/>
      <c r="I447" s="64"/>
      <c r="J447" s="58"/>
      <c r="K447" s="58"/>
      <c r="L447" s="57"/>
      <c r="M447" s="58"/>
      <c r="N447" s="59"/>
      <c r="O447" s="60"/>
      <c r="P447" s="60"/>
      <c r="Q447" s="60"/>
      <c r="R447" s="58"/>
      <c r="S447" s="56"/>
      <c r="T447" s="61"/>
      <c r="U447" s="62"/>
    </row>
    <row r="448" spans="1:21" x14ac:dyDescent="0.45">
      <c r="A448" s="52"/>
      <c r="B448" s="63"/>
      <c r="C448" s="63"/>
      <c r="D448" s="63"/>
      <c r="E448" s="63"/>
      <c r="F448" s="63"/>
      <c r="G448" s="64"/>
      <c r="H448" s="60"/>
      <c r="I448" s="64"/>
      <c r="J448" s="58"/>
      <c r="K448" s="58"/>
      <c r="L448" s="57"/>
      <c r="M448" s="58"/>
      <c r="N448" s="59"/>
      <c r="O448" s="60"/>
      <c r="P448" s="60"/>
      <c r="Q448" s="60"/>
      <c r="R448" s="58"/>
      <c r="S448" s="56"/>
      <c r="T448" s="61"/>
      <c r="U448" s="62"/>
    </row>
    <row r="449" spans="1:21" x14ac:dyDescent="0.45">
      <c r="A449" s="52"/>
      <c r="B449" s="63"/>
      <c r="C449" s="63"/>
      <c r="D449" s="63"/>
      <c r="E449" s="63"/>
      <c r="F449" s="63"/>
      <c r="G449" s="64"/>
      <c r="H449" s="60"/>
      <c r="I449" s="64"/>
      <c r="J449" s="58"/>
      <c r="K449" s="58"/>
      <c r="L449" s="57"/>
      <c r="M449" s="58"/>
      <c r="N449" s="59"/>
      <c r="O449" s="60"/>
      <c r="P449" s="60"/>
      <c r="Q449" s="60"/>
      <c r="R449" s="58"/>
      <c r="S449" s="56"/>
      <c r="T449" s="61"/>
      <c r="U449" s="62"/>
    </row>
    <row r="450" spans="1:21" x14ac:dyDescent="0.45">
      <c r="A450" s="52"/>
      <c r="B450" s="63"/>
      <c r="C450" s="63"/>
      <c r="D450" s="63"/>
      <c r="E450" s="63"/>
      <c r="F450" s="63"/>
      <c r="G450" s="64"/>
      <c r="H450" s="60"/>
      <c r="I450" s="64"/>
      <c r="J450" s="58"/>
      <c r="K450" s="58"/>
      <c r="L450" s="57"/>
      <c r="M450" s="58"/>
      <c r="N450" s="59"/>
      <c r="O450" s="60"/>
      <c r="P450" s="60"/>
      <c r="Q450" s="60"/>
      <c r="R450" s="58"/>
      <c r="S450" s="56"/>
      <c r="T450" s="61"/>
      <c r="U450" s="62"/>
    </row>
    <row r="451" spans="1:21" x14ac:dyDescent="0.45">
      <c r="A451" s="52"/>
      <c r="B451" s="63"/>
      <c r="C451" s="63"/>
      <c r="D451" s="63"/>
      <c r="E451" s="63"/>
      <c r="F451" s="63"/>
      <c r="G451" s="64"/>
      <c r="H451" s="60"/>
      <c r="I451" s="64"/>
      <c r="J451" s="58"/>
      <c r="K451" s="58"/>
      <c r="L451" s="57"/>
      <c r="M451" s="58"/>
      <c r="N451" s="59"/>
      <c r="O451" s="60"/>
      <c r="P451" s="60"/>
      <c r="Q451" s="60"/>
      <c r="R451" s="58"/>
      <c r="S451" s="56"/>
      <c r="T451" s="61"/>
      <c r="U451" s="62"/>
    </row>
    <row r="452" spans="1:21" x14ac:dyDescent="0.45">
      <c r="A452" s="52"/>
      <c r="B452" s="63"/>
      <c r="C452" s="63"/>
      <c r="D452" s="63"/>
      <c r="E452" s="63"/>
      <c r="F452" s="63"/>
      <c r="G452" s="64"/>
      <c r="H452" s="60"/>
      <c r="I452" s="64"/>
      <c r="J452" s="58"/>
      <c r="K452" s="58"/>
      <c r="L452" s="57"/>
      <c r="M452" s="58"/>
      <c r="N452" s="59"/>
      <c r="O452" s="60"/>
      <c r="P452" s="60"/>
      <c r="Q452" s="60"/>
      <c r="R452" s="58"/>
      <c r="S452" s="56"/>
      <c r="T452" s="61"/>
      <c r="U452" s="62"/>
    </row>
    <row r="453" spans="1:21" x14ac:dyDescent="0.45">
      <c r="A453" s="52"/>
      <c r="B453" s="63"/>
      <c r="C453" s="63"/>
      <c r="D453" s="63"/>
      <c r="E453" s="63"/>
      <c r="F453" s="63"/>
      <c r="G453" s="64"/>
      <c r="H453" s="60"/>
      <c r="I453" s="64"/>
      <c r="J453" s="58"/>
      <c r="K453" s="58"/>
      <c r="L453" s="57"/>
      <c r="M453" s="58"/>
      <c r="N453" s="59"/>
      <c r="O453" s="60"/>
      <c r="P453" s="60"/>
      <c r="Q453" s="60"/>
      <c r="R453" s="58"/>
      <c r="S453" s="56"/>
      <c r="T453" s="61"/>
      <c r="U453" s="62"/>
    </row>
    <row r="454" spans="1:21" x14ac:dyDescent="0.45">
      <c r="A454" s="52"/>
      <c r="B454" s="63"/>
      <c r="C454" s="63"/>
      <c r="D454" s="63"/>
      <c r="E454" s="63"/>
      <c r="F454" s="63"/>
      <c r="G454" s="64"/>
      <c r="H454" s="60"/>
      <c r="I454" s="64"/>
      <c r="J454" s="58"/>
      <c r="K454" s="58"/>
      <c r="L454" s="57"/>
      <c r="M454" s="58"/>
      <c r="N454" s="59"/>
      <c r="O454" s="60"/>
      <c r="P454" s="60"/>
      <c r="Q454" s="60"/>
      <c r="R454" s="58"/>
      <c r="S454" s="56"/>
      <c r="T454" s="61"/>
      <c r="U454" s="62"/>
    </row>
    <row r="455" spans="1:21" x14ac:dyDescent="0.45">
      <c r="A455" s="52"/>
      <c r="B455" s="63"/>
      <c r="C455" s="63"/>
      <c r="D455" s="63"/>
      <c r="E455" s="63"/>
      <c r="F455" s="63"/>
      <c r="G455" s="64"/>
      <c r="H455" s="60"/>
      <c r="I455" s="64"/>
      <c r="J455" s="58"/>
      <c r="K455" s="58"/>
      <c r="L455" s="57"/>
      <c r="M455" s="58"/>
      <c r="N455" s="59"/>
      <c r="O455" s="60"/>
      <c r="P455" s="60"/>
      <c r="Q455" s="60"/>
      <c r="R455" s="58"/>
      <c r="S455" s="56"/>
      <c r="T455" s="61"/>
      <c r="U455" s="62"/>
    </row>
    <row r="456" spans="1:21" x14ac:dyDescent="0.45">
      <c r="A456" s="52"/>
      <c r="B456" s="63"/>
      <c r="C456" s="63"/>
      <c r="D456" s="63"/>
      <c r="E456" s="63"/>
      <c r="F456" s="63"/>
      <c r="G456" s="64"/>
      <c r="H456" s="60"/>
      <c r="I456" s="64"/>
      <c r="J456" s="58"/>
      <c r="K456" s="58"/>
      <c r="L456" s="57"/>
      <c r="M456" s="58"/>
      <c r="N456" s="59"/>
      <c r="O456" s="60"/>
      <c r="P456" s="60"/>
      <c r="Q456" s="60"/>
      <c r="R456" s="58"/>
      <c r="S456" s="56"/>
      <c r="T456" s="61"/>
      <c r="U456" s="62"/>
    </row>
    <row r="457" spans="1:21" x14ac:dyDescent="0.45">
      <c r="A457" s="52"/>
      <c r="B457" s="63"/>
      <c r="C457" s="63"/>
      <c r="D457" s="63"/>
      <c r="E457" s="63"/>
      <c r="F457" s="63"/>
      <c r="G457" s="64"/>
      <c r="H457" s="60"/>
      <c r="I457" s="64"/>
      <c r="J457" s="58"/>
      <c r="K457" s="58"/>
      <c r="L457" s="57"/>
      <c r="M457" s="58"/>
      <c r="N457" s="59"/>
      <c r="O457" s="60"/>
      <c r="P457" s="60"/>
      <c r="Q457" s="60"/>
      <c r="R457" s="58"/>
      <c r="S457" s="56"/>
      <c r="T457" s="61"/>
      <c r="U457" s="62"/>
    </row>
    <row r="458" spans="1:21" x14ac:dyDescent="0.45">
      <c r="A458" s="52"/>
      <c r="B458" s="63"/>
      <c r="C458" s="63"/>
      <c r="D458" s="63"/>
      <c r="E458" s="63"/>
      <c r="F458" s="63"/>
      <c r="G458" s="64"/>
      <c r="H458" s="60"/>
      <c r="I458" s="64"/>
      <c r="J458" s="58"/>
      <c r="K458" s="58"/>
      <c r="L458" s="57"/>
      <c r="M458" s="58"/>
      <c r="N458" s="59"/>
      <c r="O458" s="60"/>
      <c r="P458" s="60"/>
      <c r="Q458" s="60"/>
      <c r="R458" s="58"/>
      <c r="S458" s="56"/>
      <c r="T458" s="61"/>
      <c r="U458" s="62"/>
    </row>
    <row r="459" spans="1:21" x14ac:dyDescent="0.45">
      <c r="A459" s="52"/>
      <c r="B459" s="63"/>
      <c r="C459" s="63"/>
      <c r="D459" s="63"/>
      <c r="E459" s="63"/>
      <c r="F459" s="63"/>
      <c r="G459" s="64"/>
      <c r="H459" s="60"/>
      <c r="I459" s="64"/>
      <c r="J459" s="58"/>
      <c r="K459" s="58"/>
      <c r="L459" s="57"/>
      <c r="M459" s="58"/>
      <c r="N459" s="59"/>
      <c r="O459" s="60"/>
      <c r="P459" s="60"/>
      <c r="Q459" s="60"/>
      <c r="R459" s="58"/>
      <c r="S459" s="56"/>
      <c r="T459" s="61"/>
      <c r="U459" s="62"/>
    </row>
    <row r="460" spans="1:21" x14ac:dyDescent="0.45">
      <c r="A460" s="52"/>
      <c r="B460" s="63"/>
      <c r="C460" s="63"/>
      <c r="D460" s="63"/>
      <c r="E460" s="63"/>
      <c r="F460" s="63"/>
      <c r="G460" s="64"/>
      <c r="H460" s="60"/>
      <c r="I460" s="64"/>
      <c r="J460" s="58"/>
      <c r="K460" s="58"/>
      <c r="L460" s="57"/>
      <c r="M460" s="58"/>
      <c r="N460" s="59"/>
      <c r="O460" s="60"/>
      <c r="P460" s="60"/>
      <c r="Q460" s="60"/>
      <c r="R460" s="58"/>
      <c r="S460" s="56"/>
      <c r="T460" s="61"/>
      <c r="U460" s="62"/>
    </row>
    <row r="461" spans="1:21" x14ac:dyDescent="0.45">
      <c r="A461" s="52"/>
      <c r="B461" s="63"/>
      <c r="C461" s="63"/>
      <c r="D461" s="63"/>
      <c r="E461" s="63"/>
      <c r="F461" s="63"/>
      <c r="G461" s="64"/>
      <c r="H461" s="60"/>
      <c r="I461" s="64"/>
      <c r="J461" s="58"/>
      <c r="K461" s="58"/>
      <c r="L461" s="57"/>
      <c r="M461" s="58"/>
      <c r="N461" s="59"/>
      <c r="O461" s="60"/>
      <c r="P461" s="60"/>
      <c r="Q461" s="60"/>
      <c r="R461" s="58"/>
      <c r="S461" s="56"/>
      <c r="T461" s="61"/>
      <c r="U461" s="62"/>
    </row>
    <row r="462" spans="1:21" x14ac:dyDescent="0.45">
      <c r="A462" s="52"/>
      <c r="B462" s="63"/>
      <c r="C462" s="63"/>
      <c r="D462" s="63"/>
      <c r="E462" s="63"/>
      <c r="F462" s="63"/>
      <c r="G462" s="64"/>
      <c r="H462" s="60"/>
      <c r="I462" s="64"/>
      <c r="J462" s="58"/>
      <c r="K462" s="58"/>
      <c r="L462" s="57"/>
      <c r="M462" s="58"/>
      <c r="N462" s="59"/>
      <c r="O462" s="60"/>
      <c r="P462" s="60"/>
      <c r="Q462" s="60"/>
      <c r="R462" s="58"/>
      <c r="S462" s="56"/>
      <c r="T462" s="61"/>
      <c r="U462" s="62"/>
    </row>
    <row r="463" spans="1:21" x14ac:dyDescent="0.45">
      <c r="A463" s="52"/>
      <c r="B463" s="63"/>
      <c r="C463" s="63"/>
      <c r="D463" s="63"/>
      <c r="E463" s="63"/>
      <c r="F463" s="63"/>
      <c r="G463" s="64"/>
      <c r="H463" s="60"/>
      <c r="I463" s="64"/>
      <c r="J463" s="58"/>
      <c r="K463" s="58"/>
      <c r="L463" s="57"/>
      <c r="M463" s="58"/>
      <c r="N463" s="59"/>
      <c r="O463" s="60"/>
      <c r="P463" s="60"/>
      <c r="Q463" s="60"/>
      <c r="R463" s="58"/>
      <c r="S463" s="56"/>
      <c r="T463" s="61"/>
      <c r="U463" s="62"/>
    </row>
    <row r="464" spans="1:21" x14ac:dyDescent="0.45">
      <c r="A464" s="52"/>
      <c r="B464" s="63"/>
      <c r="C464" s="63"/>
      <c r="D464" s="63"/>
      <c r="E464" s="63"/>
      <c r="F464" s="63"/>
      <c r="G464" s="64"/>
      <c r="H464" s="60"/>
      <c r="I464" s="64"/>
      <c r="J464" s="58"/>
      <c r="K464" s="58"/>
      <c r="L464" s="57"/>
      <c r="M464" s="58"/>
      <c r="N464" s="59"/>
      <c r="O464" s="60"/>
      <c r="P464" s="60"/>
      <c r="Q464" s="60"/>
      <c r="R464" s="58"/>
      <c r="S464" s="56"/>
      <c r="T464" s="61"/>
      <c r="U464" s="62"/>
    </row>
    <row r="465" spans="1:21" x14ac:dyDescent="0.45">
      <c r="A465" s="52"/>
      <c r="B465" s="63"/>
      <c r="C465" s="63"/>
      <c r="D465" s="63"/>
      <c r="E465" s="63"/>
      <c r="F465" s="63"/>
      <c r="G465" s="64"/>
      <c r="H465" s="60"/>
      <c r="I465" s="64"/>
      <c r="J465" s="58"/>
      <c r="K465" s="58"/>
      <c r="L465" s="57"/>
      <c r="M465" s="58"/>
      <c r="N465" s="59"/>
      <c r="O465" s="60"/>
      <c r="P465" s="60"/>
      <c r="Q465" s="60"/>
      <c r="R465" s="58"/>
      <c r="S465" s="56"/>
      <c r="T465" s="61"/>
      <c r="U465" s="62"/>
    </row>
    <row r="466" spans="1:21" x14ac:dyDescent="0.45">
      <c r="A466" s="52"/>
      <c r="B466" s="63"/>
      <c r="C466" s="63"/>
      <c r="D466" s="63"/>
      <c r="E466" s="63"/>
      <c r="F466" s="63"/>
      <c r="G466" s="64"/>
      <c r="H466" s="60"/>
      <c r="I466" s="64"/>
      <c r="J466" s="58"/>
      <c r="K466" s="58"/>
      <c r="L466" s="57"/>
      <c r="M466" s="58"/>
      <c r="N466" s="59"/>
      <c r="O466" s="60"/>
      <c r="P466" s="60"/>
      <c r="Q466" s="60"/>
      <c r="R466" s="58"/>
      <c r="S466" s="56"/>
      <c r="T466" s="61"/>
      <c r="U466" s="62"/>
    </row>
    <row r="467" spans="1:21" x14ac:dyDescent="0.45">
      <c r="A467" s="52"/>
      <c r="B467" s="63"/>
      <c r="C467" s="63"/>
      <c r="D467" s="63"/>
      <c r="E467" s="63"/>
      <c r="F467" s="63"/>
      <c r="G467" s="64"/>
      <c r="H467" s="60"/>
      <c r="I467" s="64"/>
      <c r="J467" s="58"/>
      <c r="K467" s="58"/>
      <c r="L467" s="57"/>
      <c r="M467" s="58"/>
      <c r="N467" s="59"/>
      <c r="O467" s="60"/>
      <c r="P467" s="60"/>
      <c r="Q467" s="60"/>
      <c r="R467" s="58"/>
      <c r="S467" s="56"/>
      <c r="T467" s="61"/>
      <c r="U467" s="62"/>
    </row>
    <row r="468" spans="1:21" x14ac:dyDescent="0.45">
      <c r="A468" s="52"/>
      <c r="B468" s="63"/>
      <c r="C468" s="63"/>
      <c r="D468" s="63"/>
      <c r="E468" s="63"/>
      <c r="F468" s="63"/>
      <c r="G468" s="64"/>
      <c r="H468" s="60"/>
      <c r="I468" s="64"/>
      <c r="J468" s="58"/>
      <c r="K468" s="58"/>
      <c r="L468" s="57"/>
      <c r="M468" s="58"/>
      <c r="N468" s="59"/>
      <c r="O468" s="60"/>
      <c r="P468" s="60"/>
      <c r="Q468" s="60"/>
      <c r="R468" s="58"/>
      <c r="S468" s="56"/>
      <c r="T468" s="61"/>
      <c r="U468" s="62"/>
    </row>
    <row r="469" spans="1:21" x14ac:dyDescent="0.45">
      <c r="A469" s="52"/>
      <c r="B469" s="63"/>
      <c r="C469" s="63"/>
      <c r="D469" s="63"/>
      <c r="E469" s="63"/>
      <c r="F469" s="63"/>
      <c r="G469" s="64"/>
      <c r="H469" s="60"/>
      <c r="I469" s="64"/>
      <c r="J469" s="58"/>
      <c r="K469" s="58"/>
      <c r="L469" s="57"/>
      <c r="M469" s="58"/>
      <c r="N469" s="59"/>
      <c r="O469" s="60"/>
      <c r="P469" s="60"/>
      <c r="Q469" s="60"/>
      <c r="R469" s="58"/>
      <c r="S469" s="56"/>
      <c r="T469" s="61"/>
      <c r="U469" s="62"/>
    </row>
    <row r="470" spans="1:21" x14ac:dyDescent="0.45">
      <c r="A470" s="52"/>
      <c r="B470" s="63"/>
      <c r="C470" s="63"/>
      <c r="D470" s="63"/>
      <c r="E470" s="63"/>
      <c r="F470" s="63"/>
      <c r="G470" s="64"/>
      <c r="H470" s="60"/>
      <c r="I470" s="64"/>
      <c r="J470" s="58"/>
      <c r="K470" s="58"/>
      <c r="L470" s="57"/>
      <c r="M470" s="58"/>
      <c r="N470" s="59"/>
      <c r="O470" s="60"/>
      <c r="P470" s="60"/>
      <c r="Q470" s="60"/>
      <c r="R470" s="58"/>
      <c r="S470" s="56"/>
      <c r="T470" s="61"/>
      <c r="U470" s="62"/>
    </row>
    <row r="471" spans="1:21" x14ac:dyDescent="0.45">
      <c r="A471" s="52"/>
      <c r="B471" s="63"/>
      <c r="C471" s="63"/>
      <c r="D471" s="63"/>
      <c r="E471" s="63"/>
      <c r="F471" s="63"/>
      <c r="G471" s="64"/>
      <c r="H471" s="60"/>
      <c r="I471" s="64"/>
      <c r="J471" s="58"/>
      <c r="K471" s="58"/>
      <c r="L471" s="57"/>
      <c r="M471" s="58"/>
      <c r="N471" s="59"/>
      <c r="O471" s="60"/>
      <c r="P471" s="60"/>
      <c r="Q471" s="60"/>
      <c r="R471" s="58"/>
      <c r="S471" s="56"/>
      <c r="T471" s="61"/>
      <c r="U471" s="62"/>
    </row>
    <row r="472" spans="1:21" x14ac:dyDescent="0.45">
      <c r="A472" s="52"/>
      <c r="B472" s="63"/>
      <c r="C472" s="63"/>
      <c r="D472" s="63"/>
      <c r="E472" s="63"/>
      <c r="F472" s="63"/>
      <c r="G472" s="64"/>
      <c r="H472" s="60"/>
      <c r="I472" s="64"/>
      <c r="J472" s="58"/>
      <c r="K472" s="58"/>
      <c r="L472" s="57"/>
      <c r="M472" s="58"/>
      <c r="N472" s="59"/>
      <c r="O472" s="60"/>
      <c r="P472" s="60"/>
      <c r="Q472" s="60"/>
      <c r="R472" s="58"/>
      <c r="S472" s="56"/>
      <c r="T472" s="61"/>
      <c r="U472" s="62"/>
    </row>
    <row r="473" spans="1:21" x14ac:dyDescent="0.45">
      <c r="A473" s="52"/>
      <c r="B473" s="63"/>
      <c r="C473" s="63"/>
      <c r="D473" s="63"/>
      <c r="E473" s="63"/>
      <c r="F473" s="63"/>
      <c r="G473" s="64"/>
      <c r="H473" s="60"/>
      <c r="I473" s="64"/>
      <c r="J473" s="58"/>
      <c r="K473" s="58"/>
      <c r="L473" s="57"/>
      <c r="M473" s="58"/>
      <c r="N473" s="59"/>
      <c r="O473" s="60"/>
      <c r="P473" s="60"/>
      <c r="Q473" s="60"/>
      <c r="R473" s="58"/>
      <c r="S473" s="56"/>
      <c r="T473" s="61"/>
      <c r="U473" s="62"/>
    </row>
    <row r="474" spans="1:21" x14ac:dyDescent="0.45">
      <c r="A474" s="52"/>
      <c r="B474" s="63"/>
      <c r="C474" s="63"/>
      <c r="D474" s="63"/>
      <c r="E474" s="63"/>
      <c r="F474" s="63"/>
      <c r="G474" s="64"/>
      <c r="H474" s="60"/>
      <c r="I474" s="64"/>
      <c r="J474" s="58"/>
      <c r="K474" s="58"/>
      <c r="L474" s="57"/>
      <c r="M474" s="58"/>
      <c r="N474" s="59"/>
      <c r="O474" s="60"/>
      <c r="P474" s="60"/>
      <c r="Q474" s="60"/>
      <c r="R474" s="58"/>
      <c r="S474" s="56"/>
      <c r="T474" s="61"/>
      <c r="U474" s="62"/>
    </row>
    <row r="475" spans="1:21" x14ac:dyDescent="0.45">
      <c r="A475" s="52"/>
      <c r="B475" s="63"/>
      <c r="C475" s="63"/>
      <c r="D475" s="63"/>
      <c r="E475" s="63"/>
      <c r="F475" s="63"/>
      <c r="G475" s="64"/>
      <c r="H475" s="60"/>
      <c r="I475" s="64"/>
      <c r="J475" s="58"/>
      <c r="K475" s="58"/>
      <c r="L475" s="57"/>
      <c r="M475" s="58"/>
      <c r="N475" s="59"/>
      <c r="O475" s="60"/>
      <c r="P475" s="60"/>
      <c r="Q475" s="60"/>
      <c r="R475" s="58"/>
      <c r="S475" s="56"/>
      <c r="T475" s="61"/>
      <c r="U475" s="62"/>
    </row>
    <row r="476" spans="1:21" x14ac:dyDescent="0.45">
      <c r="A476" s="52"/>
      <c r="B476" s="63"/>
      <c r="C476" s="63"/>
      <c r="D476" s="63"/>
      <c r="E476" s="63"/>
      <c r="F476" s="63"/>
      <c r="G476" s="64"/>
      <c r="H476" s="60"/>
      <c r="I476" s="64"/>
      <c r="J476" s="58"/>
      <c r="K476" s="58"/>
      <c r="L476" s="57"/>
      <c r="M476" s="58"/>
      <c r="N476" s="59"/>
      <c r="O476" s="60"/>
      <c r="P476" s="60"/>
      <c r="Q476" s="60"/>
      <c r="R476" s="58"/>
      <c r="S476" s="56"/>
      <c r="T476" s="61"/>
      <c r="U476" s="62"/>
    </row>
    <row r="477" spans="1:21" x14ac:dyDescent="0.45">
      <c r="A477" s="52"/>
      <c r="B477" s="63"/>
      <c r="C477" s="63"/>
      <c r="D477" s="63"/>
      <c r="E477" s="63"/>
      <c r="F477" s="63"/>
      <c r="G477" s="64"/>
      <c r="H477" s="60"/>
      <c r="I477" s="64"/>
      <c r="J477" s="58"/>
      <c r="K477" s="58"/>
      <c r="L477" s="57"/>
      <c r="M477" s="58"/>
      <c r="N477" s="59"/>
      <c r="O477" s="60"/>
      <c r="P477" s="60"/>
      <c r="Q477" s="60"/>
      <c r="R477" s="58"/>
      <c r="S477" s="56"/>
      <c r="T477" s="61"/>
      <c r="U477" s="62"/>
    </row>
    <row r="478" spans="1:21" x14ac:dyDescent="0.45">
      <c r="A478" s="52"/>
      <c r="B478" s="63"/>
      <c r="C478" s="63"/>
      <c r="D478" s="63"/>
      <c r="E478" s="63"/>
      <c r="F478" s="63"/>
      <c r="G478" s="64"/>
      <c r="H478" s="60"/>
      <c r="I478" s="64"/>
      <c r="J478" s="58"/>
      <c r="K478" s="58"/>
      <c r="L478" s="57"/>
      <c r="M478" s="58"/>
      <c r="N478" s="59"/>
      <c r="O478" s="60"/>
      <c r="P478" s="60"/>
      <c r="Q478" s="60"/>
      <c r="R478" s="58"/>
      <c r="S478" s="56"/>
      <c r="T478" s="61"/>
      <c r="U478" s="62"/>
    </row>
    <row r="479" spans="1:21" x14ac:dyDescent="0.45">
      <c r="A479" s="52"/>
      <c r="B479" s="63"/>
      <c r="C479" s="63"/>
      <c r="D479" s="63"/>
      <c r="E479" s="63"/>
      <c r="F479" s="63"/>
      <c r="G479" s="64"/>
      <c r="H479" s="60"/>
      <c r="I479" s="64"/>
      <c r="J479" s="58"/>
      <c r="K479" s="58"/>
      <c r="L479" s="57"/>
      <c r="M479" s="58"/>
      <c r="N479" s="59"/>
      <c r="O479" s="60"/>
      <c r="P479" s="60"/>
      <c r="Q479" s="60"/>
      <c r="R479" s="58"/>
      <c r="S479" s="56"/>
      <c r="T479" s="61"/>
      <c r="U479" s="62"/>
    </row>
    <row r="480" spans="1:21" x14ac:dyDescent="0.45">
      <c r="A480" s="52"/>
      <c r="B480" s="63"/>
      <c r="C480" s="63"/>
      <c r="D480" s="63"/>
      <c r="E480" s="63"/>
      <c r="F480" s="63"/>
      <c r="G480" s="64"/>
      <c r="H480" s="60"/>
      <c r="I480" s="64"/>
      <c r="J480" s="58"/>
      <c r="K480" s="58"/>
      <c r="L480" s="57"/>
      <c r="M480" s="58"/>
      <c r="N480" s="59"/>
      <c r="O480" s="60"/>
      <c r="P480" s="60"/>
      <c r="Q480" s="60"/>
      <c r="R480" s="58"/>
      <c r="S480" s="56"/>
      <c r="T480" s="61"/>
      <c r="U480" s="62"/>
    </row>
    <row r="481" spans="1:21" x14ac:dyDescent="0.45">
      <c r="A481" s="52"/>
      <c r="B481" s="63"/>
      <c r="C481" s="63"/>
      <c r="D481" s="63"/>
      <c r="E481" s="63"/>
      <c r="F481" s="63"/>
      <c r="G481" s="64"/>
      <c r="H481" s="60"/>
      <c r="I481" s="64"/>
      <c r="J481" s="58"/>
      <c r="K481" s="58"/>
      <c r="L481" s="57"/>
      <c r="M481" s="58"/>
      <c r="N481" s="59"/>
      <c r="O481" s="60"/>
      <c r="P481" s="60"/>
      <c r="Q481" s="60"/>
      <c r="R481" s="58"/>
      <c r="S481" s="56"/>
      <c r="T481" s="61"/>
      <c r="U481" s="62"/>
    </row>
    <row r="482" spans="1:21" x14ac:dyDescent="0.45">
      <c r="A482" s="52"/>
      <c r="B482" s="63"/>
      <c r="C482" s="63"/>
      <c r="D482" s="63"/>
      <c r="E482" s="63"/>
      <c r="F482" s="63"/>
      <c r="G482" s="64"/>
      <c r="H482" s="60"/>
      <c r="I482" s="64"/>
      <c r="J482" s="58"/>
      <c r="K482" s="58"/>
      <c r="L482" s="57"/>
      <c r="M482" s="58"/>
      <c r="N482" s="59"/>
      <c r="O482" s="60"/>
      <c r="P482" s="60"/>
      <c r="Q482" s="60"/>
      <c r="R482" s="58"/>
      <c r="S482" s="56"/>
      <c r="T482" s="61"/>
      <c r="U482" s="62"/>
    </row>
    <row r="483" spans="1:21" x14ac:dyDescent="0.45">
      <c r="A483" s="52"/>
      <c r="B483" s="63"/>
      <c r="C483" s="63"/>
      <c r="D483" s="63"/>
      <c r="E483" s="63"/>
      <c r="F483" s="63"/>
      <c r="G483" s="64"/>
      <c r="H483" s="60"/>
      <c r="I483" s="64"/>
      <c r="J483" s="58"/>
      <c r="K483" s="58"/>
      <c r="L483" s="57"/>
      <c r="M483" s="58"/>
      <c r="N483" s="59"/>
      <c r="O483" s="60"/>
      <c r="P483" s="60"/>
      <c r="Q483" s="60"/>
      <c r="R483" s="58"/>
      <c r="S483" s="56"/>
      <c r="T483" s="61"/>
      <c r="U483" s="62"/>
    </row>
    <row r="484" spans="1:21" x14ac:dyDescent="0.45">
      <c r="A484" s="52"/>
      <c r="B484" s="63"/>
      <c r="C484" s="63"/>
      <c r="D484" s="63"/>
      <c r="E484" s="63"/>
      <c r="F484" s="63"/>
      <c r="G484" s="64"/>
      <c r="H484" s="60"/>
      <c r="I484" s="64"/>
      <c r="J484" s="58"/>
      <c r="K484" s="58"/>
      <c r="L484" s="57"/>
      <c r="M484" s="58"/>
      <c r="N484" s="59"/>
      <c r="O484" s="60"/>
      <c r="P484" s="60"/>
      <c r="Q484" s="60"/>
      <c r="R484" s="58"/>
      <c r="S484" s="56"/>
      <c r="T484" s="61"/>
      <c r="U484" s="62"/>
    </row>
    <row r="485" spans="1:21" x14ac:dyDescent="0.45">
      <c r="A485" s="52"/>
      <c r="B485" s="63"/>
      <c r="C485" s="63"/>
      <c r="D485" s="63"/>
      <c r="E485" s="63"/>
      <c r="F485" s="63"/>
      <c r="G485" s="64"/>
      <c r="H485" s="60"/>
      <c r="I485" s="64"/>
      <c r="J485" s="58"/>
      <c r="K485" s="58"/>
      <c r="L485" s="57"/>
      <c r="M485" s="58"/>
      <c r="N485" s="59"/>
      <c r="O485" s="60"/>
      <c r="P485" s="60"/>
      <c r="Q485" s="60"/>
      <c r="R485" s="58"/>
      <c r="S485" s="56"/>
      <c r="T485" s="61"/>
      <c r="U485" s="62"/>
    </row>
    <row r="486" spans="1:21" x14ac:dyDescent="0.45">
      <c r="A486" s="52"/>
      <c r="B486" s="63"/>
      <c r="C486" s="63"/>
      <c r="D486" s="63"/>
      <c r="E486" s="63"/>
      <c r="F486" s="63"/>
      <c r="G486" s="64"/>
      <c r="H486" s="60"/>
      <c r="I486" s="64"/>
      <c r="J486" s="58"/>
      <c r="K486" s="58"/>
      <c r="L486" s="57"/>
      <c r="M486" s="58"/>
      <c r="N486" s="59"/>
      <c r="O486" s="60"/>
      <c r="P486" s="60"/>
      <c r="Q486" s="60"/>
      <c r="R486" s="58"/>
      <c r="S486" s="56"/>
      <c r="T486" s="61"/>
      <c r="U486" s="62"/>
    </row>
    <row r="487" spans="1:21" x14ac:dyDescent="0.45">
      <c r="A487" s="52"/>
      <c r="B487" s="63"/>
      <c r="C487" s="63"/>
      <c r="D487" s="63"/>
      <c r="E487" s="63"/>
      <c r="F487" s="63"/>
      <c r="G487" s="64"/>
      <c r="H487" s="60"/>
      <c r="I487" s="64"/>
      <c r="J487" s="58"/>
      <c r="K487" s="58"/>
      <c r="L487" s="57"/>
      <c r="M487" s="58"/>
      <c r="N487" s="59"/>
      <c r="O487" s="60"/>
      <c r="P487" s="60"/>
      <c r="Q487" s="60"/>
      <c r="R487" s="58"/>
      <c r="S487" s="56"/>
      <c r="T487" s="61"/>
      <c r="U487" s="62"/>
    </row>
    <row r="488" spans="1:21" x14ac:dyDescent="0.45">
      <c r="A488" s="52"/>
      <c r="B488" s="63"/>
      <c r="C488" s="63"/>
      <c r="D488" s="63"/>
      <c r="E488" s="63"/>
      <c r="F488" s="63"/>
      <c r="G488" s="64"/>
      <c r="H488" s="60"/>
      <c r="I488" s="64"/>
      <c r="J488" s="58"/>
      <c r="K488" s="58"/>
      <c r="L488" s="57"/>
      <c r="M488" s="58"/>
      <c r="N488" s="59"/>
      <c r="O488" s="60"/>
      <c r="P488" s="60"/>
      <c r="Q488" s="60"/>
      <c r="R488" s="58"/>
      <c r="S488" s="56"/>
      <c r="T488" s="61"/>
      <c r="U488" s="62"/>
    </row>
    <row r="489" spans="1:21" x14ac:dyDescent="0.45">
      <c r="A489" s="52"/>
      <c r="B489" s="63"/>
      <c r="C489" s="63"/>
      <c r="D489" s="63"/>
      <c r="E489" s="63"/>
      <c r="F489" s="63"/>
      <c r="G489" s="64"/>
      <c r="H489" s="60"/>
      <c r="I489" s="64"/>
      <c r="J489" s="58"/>
      <c r="K489" s="58"/>
      <c r="L489" s="57"/>
      <c r="M489" s="58"/>
      <c r="N489" s="59"/>
      <c r="O489" s="60"/>
      <c r="P489" s="60"/>
      <c r="Q489" s="60"/>
      <c r="R489" s="58"/>
      <c r="S489" s="56"/>
      <c r="T489" s="61"/>
      <c r="U489" s="62"/>
    </row>
    <row r="490" spans="1:21" x14ac:dyDescent="0.45">
      <c r="A490" s="52"/>
      <c r="B490" s="63"/>
      <c r="C490" s="63"/>
      <c r="D490" s="63"/>
      <c r="E490" s="63"/>
      <c r="F490" s="63"/>
      <c r="G490" s="64"/>
      <c r="H490" s="60"/>
      <c r="I490" s="64"/>
      <c r="J490" s="58"/>
      <c r="K490" s="58"/>
      <c r="L490" s="57"/>
      <c r="M490" s="58"/>
      <c r="N490" s="59"/>
      <c r="O490" s="60"/>
      <c r="P490" s="60"/>
      <c r="Q490" s="60"/>
      <c r="R490" s="58"/>
      <c r="S490" s="56"/>
      <c r="T490" s="61"/>
      <c r="U490" s="62"/>
    </row>
    <row r="491" spans="1:21" x14ac:dyDescent="0.45">
      <c r="A491" s="52"/>
      <c r="B491" s="63"/>
      <c r="C491" s="63"/>
      <c r="D491" s="63"/>
      <c r="E491" s="63"/>
      <c r="F491" s="63"/>
      <c r="G491" s="64"/>
      <c r="H491" s="60"/>
      <c r="I491" s="64"/>
      <c r="J491" s="58"/>
      <c r="K491" s="58"/>
      <c r="L491" s="57"/>
      <c r="M491" s="58"/>
      <c r="N491" s="59"/>
      <c r="O491" s="60"/>
      <c r="P491" s="60"/>
      <c r="Q491" s="60"/>
      <c r="R491" s="58"/>
      <c r="S491" s="56"/>
      <c r="T491" s="61"/>
      <c r="U491" s="62"/>
    </row>
    <row r="492" spans="1:21" x14ac:dyDescent="0.45">
      <c r="A492" s="52"/>
      <c r="B492" s="63"/>
      <c r="C492" s="63"/>
      <c r="D492" s="63"/>
      <c r="E492" s="63"/>
      <c r="F492" s="63"/>
      <c r="G492" s="64"/>
      <c r="H492" s="60"/>
      <c r="I492" s="64"/>
      <c r="J492" s="58"/>
      <c r="K492" s="58"/>
      <c r="L492" s="57"/>
      <c r="M492" s="58"/>
      <c r="N492" s="59"/>
      <c r="O492" s="60"/>
      <c r="P492" s="60"/>
      <c r="Q492" s="60"/>
      <c r="R492" s="58"/>
      <c r="S492" s="56"/>
      <c r="T492" s="61"/>
      <c r="U492" s="62"/>
    </row>
    <row r="493" spans="1:21" x14ac:dyDescent="0.45">
      <c r="A493" s="52"/>
      <c r="B493" s="63"/>
      <c r="C493" s="63"/>
      <c r="D493" s="63"/>
      <c r="E493" s="63"/>
      <c r="F493" s="63"/>
      <c r="G493" s="64"/>
      <c r="H493" s="60"/>
      <c r="I493" s="64"/>
      <c r="J493" s="58"/>
      <c r="K493" s="58"/>
      <c r="L493" s="57"/>
      <c r="M493" s="58"/>
      <c r="N493" s="59"/>
      <c r="O493" s="60"/>
      <c r="P493" s="60"/>
      <c r="Q493" s="60"/>
      <c r="R493" s="58"/>
      <c r="S493" s="56"/>
      <c r="T493" s="61"/>
      <c r="U493" s="62"/>
    </row>
    <row r="494" spans="1:21" x14ac:dyDescent="0.45">
      <c r="A494" s="52"/>
      <c r="B494" s="63"/>
      <c r="C494" s="63"/>
      <c r="D494" s="63"/>
      <c r="E494" s="63"/>
      <c r="F494" s="63"/>
      <c r="G494" s="64"/>
      <c r="H494" s="60"/>
      <c r="I494" s="64"/>
      <c r="J494" s="58"/>
      <c r="K494" s="58"/>
      <c r="L494" s="57"/>
      <c r="M494" s="58"/>
      <c r="N494" s="59"/>
      <c r="O494" s="60"/>
      <c r="P494" s="60"/>
      <c r="Q494" s="60"/>
      <c r="R494" s="58"/>
      <c r="S494" s="56"/>
      <c r="T494" s="61"/>
      <c r="U494" s="62"/>
    </row>
    <row r="495" spans="1:21" x14ac:dyDescent="0.45">
      <c r="A495" s="52"/>
      <c r="B495" s="63"/>
      <c r="C495" s="63"/>
      <c r="D495" s="63"/>
      <c r="E495" s="63"/>
      <c r="F495" s="63"/>
      <c r="G495" s="64"/>
      <c r="H495" s="60"/>
      <c r="I495" s="64"/>
      <c r="J495" s="58"/>
      <c r="K495" s="58"/>
      <c r="L495" s="57"/>
      <c r="M495" s="58"/>
      <c r="N495" s="59"/>
      <c r="O495" s="60"/>
      <c r="P495" s="60"/>
      <c r="Q495" s="60"/>
      <c r="R495" s="58"/>
      <c r="S495" s="56"/>
      <c r="T495" s="61"/>
      <c r="U495" s="62"/>
    </row>
    <row r="496" spans="1:21" x14ac:dyDescent="0.45">
      <c r="A496" s="52"/>
      <c r="B496" s="63"/>
      <c r="C496" s="63"/>
      <c r="D496" s="63"/>
      <c r="E496" s="63"/>
      <c r="F496" s="63"/>
      <c r="G496" s="64"/>
      <c r="H496" s="60"/>
      <c r="I496" s="64"/>
      <c r="J496" s="58"/>
      <c r="K496" s="58"/>
      <c r="L496" s="57"/>
      <c r="M496" s="58"/>
      <c r="N496" s="59"/>
      <c r="O496" s="60"/>
      <c r="P496" s="60"/>
      <c r="Q496" s="60"/>
      <c r="R496" s="58"/>
      <c r="S496" s="56"/>
      <c r="T496" s="61"/>
      <c r="U496" s="62"/>
    </row>
    <row r="497" spans="1:21" x14ac:dyDescent="0.45">
      <c r="A497" s="52"/>
      <c r="B497" s="63"/>
      <c r="C497" s="63"/>
      <c r="D497" s="63"/>
      <c r="E497" s="63"/>
      <c r="F497" s="63"/>
      <c r="G497" s="64"/>
      <c r="H497" s="60"/>
      <c r="I497" s="64"/>
      <c r="J497" s="58"/>
      <c r="K497" s="58"/>
      <c r="L497" s="57"/>
      <c r="M497" s="58"/>
      <c r="N497" s="59"/>
      <c r="O497" s="60"/>
      <c r="P497" s="60"/>
      <c r="Q497" s="60"/>
      <c r="R497" s="58"/>
      <c r="S497" s="56"/>
      <c r="T497" s="61"/>
      <c r="U497" s="62"/>
    </row>
    <row r="498" spans="1:21" x14ac:dyDescent="0.45">
      <c r="A498" s="52"/>
      <c r="B498" s="63"/>
      <c r="C498" s="63"/>
      <c r="D498" s="63"/>
      <c r="E498" s="63"/>
      <c r="F498" s="63"/>
      <c r="G498" s="64"/>
      <c r="H498" s="60"/>
      <c r="I498" s="64"/>
      <c r="J498" s="58"/>
      <c r="K498" s="58"/>
      <c r="L498" s="57"/>
      <c r="M498" s="58"/>
      <c r="N498" s="59"/>
      <c r="O498" s="60"/>
      <c r="P498" s="60"/>
      <c r="Q498" s="60"/>
      <c r="R498" s="58"/>
      <c r="S498" s="56"/>
      <c r="T498" s="61"/>
      <c r="U498" s="62"/>
    </row>
    <row r="499" spans="1:21" x14ac:dyDescent="0.45">
      <c r="A499" s="52"/>
      <c r="B499" s="63"/>
      <c r="C499" s="63"/>
      <c r="D499" s="63"/>
      <c r="E499" s="63"/>
      <c r="F499" s="63"/>
      <c r="G499" s="64"/>
      <c r="H499" s="60"/>
      <c r="I499" s="64"/>
      <c r="J499" s="58"/>
      <c r="K499" s="58"/>
      <c r="L499" s="57"/>
      <c r="M499" s="58"/>
      <c r="N499" s="59"/>
      <c r="O499" s="60"/>
      <c r="P499" s="60"/>
      <c r="Q499" s="60"/>
      <c r="R499" s="58"/>
      <c r="S499" s="56"/>
      <c r="T499" s="61"/>
      <c r="U499" s="62"/>
    </row>
    <row r="500" spans="1:21" x14ac:dyDescent="0.45">
      <c r="A500" s="52"/>
      <c r="B500" s="63"/>
      <c r="C500" s="63"/>
      <c r="D500" s="63"/>
      <c r="E500" s="63"/>
      <c r="F500" s="63"/>
      <c r="G500" s="64"/>
      <c r="H500" s="60"/>
      <c r="I500" s="64"/>
      <c r="J500" s="58"/>
      <c r="K500" s="58"/>
      <c r="L500" s="57"/>
      <c r="M500" s="58"/>
      <c r="N500" s="59"/>
      <c r="O500" s="60"/>
      <c r="P500" s="60"/>
      <c r="Q500" s="60"/>
      <c r="R500" s="58"/>
      <c r="S500" s="56"/>
      <c r="T500" s="61"/>
      <c r="U500" s="62"/>
    </row>
    <row r="501" spans="1:21" x14ac:dyDescent="0.45">
      <c r="A501" s="52"/>
      <c r="B501" s="63"/>
      <c r="C501" s="63"/>
      <c r="D501" s="63"/>
      <c r="E501" s="63"/>
      <c r="F501" s="63"/>
      <c r="G501" s="64"/>
      <c r="H501" s="60"/>
      <c r="I501" s="64"/>
      <c r="J501" s="58"/>
      <c r="K501" s="58"/>
      <c r="L501" s="57"/>
      <c r="M501" s="58"/>
      <c r="N501" s="59"/>
      <c r="O501" s="60"/>
      <c r="P501" s="60"/>
      <c r="Q501" s="60"/>
      <c r="R501" s="58"/>
      <c r="S501" s="56"/>
      <c r="T501" s="61"/>
      <c r="U501" s="62"/>
    </row>
    <row r="502" spans="1:21" x14ac:dyDescent="0.45">
      <c r="A502" s="52"/>
      <c r="B502" s="63"/>
      <c r="C502" s="63"/>
      <c r="D502" s="63"/>
      <c r="E502" s="63"/>
      <c r="F502" s="63"/>
      <c r="G502" s="64"/>
      <c r="H502" s="60"/>
      <c r="I502" s="64"/>
      <c r="J502" s="58"/>
      <c r="K502" s="58"/>
      <c r="L502" s="57"/>
      <c r="M502" s="58"/>
      <c r="N502" s="59"/>
      <c r="O502" s="60"/>
      <c r="P502" s="60"/>
      <c r="Q502" s="60"/>
      <c r="R502" s="58"/>
      <c r="S502" s="56"/>
      <c r="T502" s="61"/>
      <c r="U502" s="62"/>
    </row>
    <row r="503" spans="1:21" x14ac:dyDescent="0.45">
      <c r="A503" s="52"/>
      <c r="B503" s="63"/>
      <c r="C503" s="63"/>
      <c r="D503" s="63"/>
      <c r="E503" s="63"/>
      <c r="F503" s="63"/>
      <c r="G503" s="64"/>
      <c r="H503" s="60"/>
      <c r="I503" s="64"/>
      <c r="J503" s="58"/>
      <c r="K503" s="58"/>
      <c r="L503" s="57"/>
      <c r="M503" s="58"/>
      <c r="N503" s="59"/>
      <c r="O503" s="60"/>
      <c r="P503" s="60"/>
      <c r="Q503" s="60"/>
      <c r="R503" s="58"/>
      <c r="S503" s="56"/>
      <c r="T503" s="61"/>
      <c r="U503" s="62"/>
    </row>
    <row r="504" spans="1:21" x14ac:dyDescent="0.45">
      <c r="A504" s="52"/>
      <c r="B504" s="63"/>
      <c r="C504" s="63"/>
      <c r="D504" s="63"/>
      <c r="E504" s="63"/>
      <c r="F504" s="63"/>
      <c r="G504" s="64"/>
      <c r="H504" s="60"/>
      <c r="I504" s="64"/>
      <c r="J504" s="58"/>
      <c r="K504" s="58"/>
      <c r="L504" s="57"/>
      <c r="M504" s="58"/>
      <c r="N504" s="59"/>
      <c r="O504" s="60"/>
      <c r="P504" s="60"/>
      <c r="Q504" s="60"/>
      <c r="R504" s="58"/>
      <c r="S504" s="56"/>
      <c r="T504" s="61"/>
      <c r="U504" s="62"/>
    </row>
    <row r="505" spans="1:21" x14ac:dyDescent="0.45">
      <c r="A505" s="52"/>
      <c r="B505" s="63"/>
      <c r="C505" s="63"/>
      <c r="D505" s="63"/>
      <c r="E505" s="63"/>
      <c r="F505" s="63"/>
      <c r="G505" s="64"/>
      <c r="H505" s="60"/>
      <c r="I505" s="64"/>
      <c r="J505" s="58"/>
      <c r="K505" s="58"/>
      <c r="L505" s="57"/>
      <c r="M505" s="58"/>
      <c r="N505" s="59"/>
      <c r="O505" s="60"/>
      <c r="P505" s="60"/>
      <c r="Q505" s="60"/>
      <c r="R505" s="58"/>
      <c r="S505" s="56"/>
      <c r="T505" s="61"/>
      <c r="U505" s="62"/>
    </row>
    <row r="506" spans="1:21" x14ac:dyDescent="0.45">
      <c r="A506" s="52"/>
      <c r="B506" s="63"/>
      <c r="C506" s="63"/>
      <c r="D506" s="63"/>
      <c r="E506" s="63"/>
      <c r="F506" s="63"/>
      <c r="G506" s="64"/>
      <c r="H506" s="60"/>
      <c r="I506" s="64"/>
      <c r="J506" s="58"/>
      <c r="K506" s="58"/>
      <c r="L506" s="57"/>
      <c r="M506" s="58"/>
      <c r="N506" s="59"/>
      <c r="O506" s="60"/>
      <c r="P506" s="60"/>
      <c r="Q506" s="60"/>
      <c r="R506" s="58"/>
      <c r="S506" s="56"/>
      <c r="T506" s="61"/>
      <c r="U506" s="62"/>
    </row>
    <row r="507" spans="1:21" x14ac:dyDescent="0.45">
      <c r="A507" s="52"/>
      <c r="B507" s="63"/>
      <c r="C507" s="63"/>
      <c r="D507" s="63"/>
      <c r="E507" s="63"/>
      <c r="F507" s="63"/>
      <c r="G507" s="64"/>
      <c r="H507" s="60"/>
      <c r="I507" s="64"/>
      <c r="J507" s="58"/>
      <c r="K507" s="58"/>
      <c r="L507" s="57"/>
      <c r="M507" s="58"/>
      <c r="N507" s="59"/>
      <c r="O507" s="60"/>
      <c r="P507" s="60"/>
      <c r="Q507" s="60"/>
      <c r="R507" s="58"/>
      <c r="S507" s="56"/>
      <c r="T507" s="61"/>
      <c r="U507" s="62"/>
    </row>
  </sheetData>
  <sheetProtection algorithmName="SHA-512" hashValue="DHxXM9Iu9cCXtKeSdinvjvx55t77tdSJgRXCsGmwjuMy7NeLvfQpzu6vP2DZ6sVTQ7uDjTarPZUKKbxeOmiG4Q==" saltValue="XRy9PIx1Hzs4rhuA+SCvJg==" spinCount="100000" sheet="1" objects="1" scenarios="1" selectLockedCells="1"/>
  <mergeCells count="1">
    <mergeCell ref="A1:L1"/>
  </mergeCells>
  <conditionalFormatting sqref="A7:L507">
    <cfRule type="expression" dxfId="2" priority="1">
      <formula>$J7="Validé"</formula>
    </cfRule>
    <cfRule type="expression" dxfId="1" priority="3">
      <formula>$J7="Refusé"</formula>
    </cfRule>
    <cfRule type="expression" dxfId="0" priority="4">
      <formula>MOD(ROW(),2)=0</formula>
    </cfRule>
  </conditionalFormatting>
  <printOptions horizontalCentered="1"/>
  <pageMargins left="0.39370078740157477" right="0.39370078740157477" top="0.98425196850393704" bottom="0.39370078740157477" header="0.39370078740157477" footer="0.3"/>
  <pageSetup paperSize="9" scale="56" fitToHeight="0" orientation="landscape" horizontalDpi="0" verticalDpi="0" r:id="rId1"/>
  <headerFooter>
    <oddHeader>&amp;CRAPPORT TMA&amp;RLot : TOUS</oddHeader>
    <oddFooter>&amp;CDocument généré le 10/04/2026&amp;RPage &amp;P /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A73D8AD-FCCF-4B9C-9C4B-509E7AEF39EC}">
          <x14:formula1>
            <xm:f>REF_LOTS!A2:A100</xm:f>
          </x14:formula1>
          <xm:sqref>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80B4-546A-4301-977E-B8A857E6FF1F}">
  <sheetPr codeName="Feuil5">
    <tabColor theme="9" tint="0.79998168889431442"/>
    <pageSetUpPr fitToPage="1"/>
  </sheetPr>
  <dimension ref="A1:Z1000"/>
  <sheetViews>
    <sheetView workbookViewId="0">
      <selection activeCell="B3" sqref="B3"/>
    </sheetView>
  </sheetViews>
  <sheetFormatPr baseColWidth="10" defaultRowHeight="14.25" x14ac:dyDescent="0.45"/>
  <cols>
    <col min="1" max="1" width="11.6640625" customWidth="1"/>
    <col min="2" max="2" width="25.265625" customWidth="1"/>
    <col min="3" max="3" width="60.59765625" customWidth="1"/>
    <col min="4" max="4" width="22.46484375" style="6" customWidth="1"/>
    <col min="5" max="5" width="10.6640625" style="4"/>
  </cols>
  <sheetData>
    <row r="1" spans="1:26" ht="31.5" customHeight="1" x14ac:dyDescent="0.45">
      <c r="A1" s="466" t="s">
        <v>137</v>
      </c>
      <c r="B1" s="466"/>
      <c r="C1" s="466"/>
      <c r="D1" s="466"/>
      <c r="Z1">
        <v>6</v>
      </c>
    </row>
    <row r="2" spans="1:26" ht="18" customHeight="1" x14ac:dyDescent="0.45">
      <c r="A2" t="s">
        <v>138</v>
      </c>
      <c r="B2" s="72" t="s">
        <v>190</v>
      </c>
      <c r="C2" s="67" t="s">
        <v>69</v>
      </c>
      <c r="D2" s="7">
        <f ca="1">TODAY()</f>
        <v>46133</v>
      </c>
    </row>
    <row r="3" spans="1:26" ht="18" customHeight="1" x14ac:dyDescent="0.45">
      <c r="B3" s="77" t="s">
        <v>110</v>
      </c>
    </row>
    <row r="4" spans="1:26" ht="18" customHeight="1" x14ac:dyDescent="0.45">
      <c r="A4" s="73" t="s">
        <v>139</v>
      </c>
      <c r="B4" s="71"/>
      <c r="C4" s="72"/>
      <c r="D4" s="74"/>
    </row>
    <row r="5" spans="1:26" ht="18" customHeight="1" x14ac:dyDescent="0.45">
      <c r="B5" s="2"/>
    </row>
    <row r="6" spans="1:26" ht="18" customHeight="1" x14ac:dyDescent="0.45">
      <c r="A6" t="s">
        <v>140</v>
      </c>
      <c r="C6" s="67" t="s">
        <v>144</v>
      </c>
    </row>
    <row r="7" spans="1:26" ht="18" customHeight="1" x14ac:dyDescent="0.45">
      <c r="A7" t="s">
        <v>143</v>
      </c>
      <c r="B7" s="72" t="str">
        <f>B3</f>
        <v>SDFJ</v>
      </c>
      <c r="C7" s="67" t="s">
        <v>143</v>
      </c>
      <c r="D7" s="6" t="str">
        <f>Suivi_TMA!C4</f>
        <v>XXX</v>
      </c>
    </row>
    <row r="8" spans="1:26" ht="18" customHeight="1" x14ac:dyDescent="0.45">
      <c r="A8" s="72"/>
      <c r="B8" s="72"/>
      <c r="C8" s="67" t="s">
        <v>71</v>
      </c>
      <c r="D8" s="76"/>
    </row>
    <row r="9" spans="1:26" ht="18" customHeight="1" x14ac:dyDescent="0.45">
      <c r="A9" t="s">
        <v>113</v>
      </c>
      <c r="B9" s="70" t="str">
        <f>Suivi_TMA!C5</f>
        <v>Résidence LES JOLIETTES</v>
      </c>
    </row>
    <row r="10" spans="1:26" ht="18" customHeight="1" x14ac:dyDescent="0.45">
      <c r="A10" t="s">
        <v>118</v>
      </c>
      <c r="B10" t="str">
        <f>IFERROR(_xlfn.XLOOKUP(B3,TMA_DB!D:D,TMA_DB!B:B),"")</f>
        <v/>
      </c>
    </row>
    <row r="11" spans="1:26" s="8" customFormat="1" ht="18" customHeight="1" x14ac:dyDescent="0.45">
      <c r="D11" s="75"/>
      <c r="E11" s="68"/>
    </row>
    <row r="12" spans="1:26" ht="18" customHeight="1" x14ac:dyDescent="0.45">
      <c r="A12" s="73" t="s">
        <v>141</v>
      </c>
      <c r="B12" s="71"/>
    </row>
    <row r="13" spans="1:26" ht="18" customHeight="1" x14ac:dyDescent="0.45">
      <c r="A13" s="467" t="s">
        <v>142</v>
      </c>
      <c r="B13" s="467"/>
      <c r="C13" s="467"/>
      <c r="D13" s="467"/>
    </row>
    <row r="14" spans="1:26" ht="18" customHeight="1" x14ac:dyDescent="0.45">
      <c r="A14" s="467"/>
      <c r="B14" s="467"/>
      <c r="C14" s="467"/>
      <c r="D14" s="467"/>
    </row>
    <row r="15" spans="1:26" ht="18" customHeight="1" thickBot="1" x14ac:dyDescent="0.5"/>
    <row r="16" spans="1:26" s="5" customFormat="1" ht="18" customHeight="1" x14ac:dyDescent="0.45">
      <c r="A16" s="198" t="s">
        <v>149</v>
      </c>
      <c r="B16" s="199" t="s">
        <v>90</v>
      </c>
      <c r="C16" s="199" t="s">
        <v>29</v>
      </c>
      <c r="D16" s="200" t="s">
        <v>34</v>
      </c>
      <c r="E16" s="69"/>
    </row>
    <row r="17" spans="1:4" ht="18" customHeight="1" x14ac:dyDescent="0.45">
      <c r="A17" s="196">
        <v>1</v>
      </c>
      <c r="B17" s="227">
        <v>46046</v>
      </c>
      <c r="C17" s="195" t="s">
        <v>15</v>
      </c>
      <c r="D17" s="197">
        <v>124.80000000000001</v>
      </c>
    </row>
    <row r="18" spans="1:4" ht="18" customHeight="1" thickBot="1" x14ac:dyDescent="0.5">
      <c r="A18" s="201"/>
      <c r="B18" s="179"/>
      <c r="C18" s="180"/>
      <c r="D18" s="202"/>
    </row>
    <row r="19" spans="1:4" ht="18" customHeight="1" x14ac:dyDescent="0.45">
      <c r="C19" s="224"/>
      <c r="D19" s="225"/>
    </row>
    <row r="20" spans="1:4" ht="18" customHeight="1" x14ac:dyDescent="0.45">
      <c r="C20" s="226" t="s">
        <v>146</v>
      </c>
      <c r="D20" s="225">
        <f>SUM(D17:D17)/1.2</f>
        <v>104.00000000000001</v>
      </c>
    </row>
    <row r="21" spans="1:4" ht="18" customHeight="1" x14ac:dyDescent="0.45">
      <c r="C21" s="226" t="s">
        <v>116</v>
      </c>
      <c r="D21" s="225">
        <f>D20*0.2</f>
        <v>20.800000000000004</v>
      </c>
    </row>
    <row r="22" spans="1:4" ht="18" customHeight="1" x14ac:dyDescent="0.45">
      <c r="C22" s="226" t="s">
        <v>145</v>
      </c>
      <c r="D22" s="225">
        <f>D20*1.2</f>
        <v>124.80000000000001</v>
      </c>
    </row>
    <row r="23" spans="1:4" ht="18" customHeight="1" x14ac:dyDescent="0.45">
      <c r="C23" s="226"/>
      <c r="D23" s="225"/>
    </row>
    <row r="24" spans="1:4" ht="18" customHeight="1" x14ac:dyDescent="0.45">
      <c r="A24" t="s">
        <v>147</v>
      </c>
      <c r="D24"/>
    </row>
    <row r="25" spans="1:4" ht="18" customHeight="1" x14ac:dyDescent="0.45">
      <c r="D25"/>
    </row>
    <row r="26" spans="1:4" ht="18" customHeight="1" x14ac:dyDescent="0.45">
      <c r="A26" t="s">
        <v>69</v>
      </c>
      <c r="D26"/>
    </row>
    <row r="27" spans="1:4" ht="18" customHeight="1" x14ac:dyDescent="0.45">
      <c r="D27"/>
    </row>
    <row r="28" spans="1:4" ht="18" customHeight="1" x14ac:dyDescent="0.45">
      <c r="A28" t="s">
        <v>148</v>
      </c>
      <c r="D28"/>
    </row>
    <row r="29" spans="1:4" ht="18" customHeight="1" x14ac:dyDescent="0.45">
      <c r="D29"/>
    </row>
    <row r="30" spans="1:4" x14ac:dyDescent="0.45">
      <c r="D30"/>
    </row>
    <row r="31" spans="1:4" x14ac:dyDescent="0.45">
      <c r="D31"/>
    </row>
    <row r="32" spans="1:4" x14ac:dyDescent="0.45">
      <c r="D32"/>
    </row>
    <row r="33" spans="4:4" x14ac:dyDescent="0.45">
      <c r="D33"/>
    </row>
    <row r="34" spans="4:4" x14ac:dyDescent="0.45">
      <c r="D34"/>
    </row>
    <row r="35" spans="4:4" x14ac:dyDescent="0.45">
      <c r="D35"/>
    </row>
    <row r="36" spans="4:4" x14ac:dyDescent="0.45">
      <c r="D36"/>
    </row>
    <row r="37" spans="4:4" x14ac:dyDescent="0.45">
      <c r="D37"/>
    </row>
    <row r="38" spans="4:4" x14ac:dyDescent="0.45">
      <c r="D38"/>
    </row>
    <row r="39" spans="4:4" x14ac:dyDescent="0.45">
      <c r="D39"/>
    </row>
    <row r="40" spans="4:4" x14ac:dyDescent="0.45">
      <c r="D40"/>
    </row>
    <row r="41" spans="4:4" x14ac:dyDescent="0.45">
      <c r="D41"/>
    </row>
    <row r="42" spans="4:4" x14ac:dyDescent="0.45">
      <c r="D42"/>
    </row>
    <row r="43" spans="4:4" x14ac:dyDescent="0.45">
      <c r="D43"/>
    </row>
    <row r="44" spans="4:4" x14ac:dyDescent="0.45">
      <c r="D44"/>
    </row>
    <row r="45" spans="4:4" x14ac:dyDescent="0.45">
      <c r="D45"/>
    </row>
    <row r="46" spans="4:4" x14ac:dyDescent="0.45">
      <c r="D46"/>
    </row>
    <row r="47" spans="4:4" x14ac:dyDescent="0.45">
      <c r="D47"/>
    </row>
    <row r="48" spans="4:4" x14ac:dyDescent="0.45">
      <c r="D48"/>
    </row>
    <row r="49" spans="4:4" x14ac:dyDescent="0.45">
      <c r="D49"/>
    </row>
    <row r="50" spans="4:4" x14ac:dyDescent="0.45">
      <c r="D50"/>
    </row>
    <row r="51" spans="4:4" x14ac:dyDescent="0.45">
      <c r="D51"/>
    </row>
    <row r="52" spans="4:4" x14ac:dyDescent="0.45">
      <c r="D52"/>
    </row>
    <row r="53" spans="4:4" x14ac:dyDescent="0.45">
      <c r="D53"/>
    </row>
    <row r="54" spans="4:4" x14ac:dyDescent="0.45">
      <c r="D54"/>
    </row>
    <row r="55" spans="4:4" x14ac:dyDescent="0.45">
      <c r="D55"/>
    </row>
    <row r="56" spans="4:4" x14ac:dyDescent="0.45">
      <c r="D56"/>
    </row>
    <row r="57" spans="4:4" x14ac:dyDescent="0.45">
      <c r="D57"/>
    </row>
    <row r="58" spans="4:4" x14ac:dyDescent="0.45">
      <c r="D58"/>
    </row>
    <row r="59" spans="4:4" x14ac:dyDescent="0.45">
      <c r="D59"/>
    </row>
    <row r="60" spans="4:4" x14ac:dyDescent="0.45">
      <c r="D60"/>
    </row>
    <row r="61" spans="4:4" x14ac:dyDescent="0.45">
      <c r="D61"/>
    </row>
    <row r="62" spans="4:4" x14ac:dyDescent="0.45">
      <c r="D62"/>
    </row>
    <row r="63" spans="4:4" x14ac:dyDescent="0.45">
      <c r="D63"/>
    </row>
    <row r="64" spans="4:4" x14ac:dyDescent="0.45">
      <c r="D64"/>
    </row>
    <row r="65" spans="4:4" x14ac:dyDescent="0.45">
      <c r="D65"/>
    </row>
    <row r="66" spans="4:4" x14ac:dyDescent="0.45">
      <c r="D66"/>
    </row>
    <row r="67" spans="4:4" x14ac:dyDescent="0.45">
      <c r="D67"/>
    </row>
    <row r="68" spans="4:4" x14ac:dyDescent="0.45">
      <c r="D68"/>
    </row>
    <row r="69" spans="4:4" x14ac:dyDescent="0.45">
      <c r="D69"/>
    </row>
    <row r="70" spans="4:4" x14ac:dyDescent="0.45">
      <c r="D70"/>
    </row>
    <row r="71" spans="4:4" x14ac:dyDescent="0.45">
      <c r="D71"/>
    </row>
    <row r="72" spans="4:4" x14ac:dyDescent="0.45">
      <c r="D72"/>
    </row>
    <row r="73" spans="4:4" x14ac:dyDescent="0.45">
      <c r="D73"/>
    </row>
    <row r="74" spans="4:4" x14ac:dyDescent="0.45">
      <c r="D74"/>
    </row>
    <row r="75" spans="4:4" x14ac:dyDescent="0.45">
      <c r="D75"/>
    </row>
    <row r="76" spans="4:4" x14ac:dyDescent="0.45">
      <c r="D76"/>
    </row>
    <row r="77" spans="4:4" x14ac:dyDescent="0.45">
      <c r="D77"/>
    </row>
    <row r="78" spans="4:4" x14ac:dyDescent="0.45">
      <c r="D78"/>
    </row>
    <row r="79" spans="4:4" x14ac:dyDescent="0.45">
      <c r="D79"/>
    </row>
    <row r="80" spans="4:4" x14ac:dyDescent="0.45">
      <c r="D80"/>
    </row>
    <row r="81" spans="4:4" x14ac:dyDescent="0.45">
      <c r="D81"/>
    </row>
    <row r="82" spans="4:4" x14ac:dyDescent="0.45">
      <c r="D82"/>
    </row>
    <row r="83" spans="4:4" x14ac:dyDescent="0.45">
      <c r="D83"/>
    </row>
    <row r="84" spans="4:4" x14ac:dyDescent="0.45">
      <c r="D84"/>
    </row>
    <row r="85" spans="4:4" x14ac:dyDescent="0.45">
      <c r="D85"/>
    </row>
    <row r="86" spans="4:4" x14ac:dyDescent="0.45">
      <c r="D86"/>
    </row>
    <row r="87" spans="4:4" x14ac:dyDescent="0.45">
      <c r="D87"/>
    </row>
    <row r="88" spans="4:4" x14ac:dyDescent="0.45">
      <c r="D88"/>
    </row>
    <row r="89" spans="4:4" x14ac:dyDescent="0.45">
      <c r="D89"/>
    </row>
    <row r="90" spans="4:4" x14ac:dyDescent="0.45">
      <c r="D90"/>
    </row>
    <row r="91" spans="4:4" x14ac:dyDescent="0.45">
      <c r="D91"/>
    </row>
    <row r="92" spans="4:4" x14ac:dyDescent="0.45">
      <c r="D92"/>
    </row>
    <row r="93" spans="4:4" x14ac:dyDescent="0.45">
      <c r="D93"/>
    </row>
    <row r="94" spans="4:4" x14ac:dyDescent="0.45">
      <c r="D94"/>
    </row>
    <row r="95" spans="4:4" x14ac:dyDescent="0.45">
      <c r="D95"/>
    </row>
    <row r="96" spans="4:4" x14ac:dyDescent="0.45">
      <c r="D96"/>
    </row>
    <row r="97" spans="4:4" x14ac:dyDescent="0.45">
      <c r="D97"/>
    </row>
    <row r="98" spans="4:4" x14ac:dyDescent="0.45">
      <c r="D98"/>
    </row>
    <row r="99" spans="4:4" x14ac:dyDescent="0.45">
      <c r="D99"/>
    </row>
    <row r="100" spans="4:4" x14ac:dyDescent="0.45">
      <c r="D100"/>
    </row>
    <row r="101" spans="4:4" x14ac:dyDescent="0.45">
      <c r="D101"/>
    </row>
    <row r="102" spans="4:4" x14ac:dyDescent="0.45">
      <c r="D102"/>
    </row>
    <row r="103" spans="4:4" x14ac:dyDescent="0.45">
      <c r="D103"/>
    </row>
    <row r="104" spans="4:4" x14ac:dyDescent="0.45">
      <c r="D104"/>
    </row>
    <row r="105" spans="4:4" x14ac:dyDescent="0.45">
      <c r="D105"/>
    </row>
    <row r="106" spans="4:4" x14ac:dyDescent="0.45">
      <c r="D106"/>
    </row>
    <row r="107" spans="4:4" x14ac:dyDescent="0.45">
      <c r="D107"/>
    </row>
    <row r="108" spans="4:4" x14ac:dyDescent="0.45">
      <c r="D108"/>
    </row>
    <row r="109" spans="4:4" x14ac:dyDescent="0.45">
      <c r="D109"/>
    </row>
    <row r="110" spans="4:4" x14ac:dyDescent="0.45">
      <c r="D110"/>
    </row>
    <row r="111" spans="4:4" x14ac:dyDescent="0.45">
      <c r="D111"/>
    </row>
    <row r="112" spans="4:4" x14ac:dyDescent="0.45">
      <c r="D112"/>
    </row>
    <row r="113" spans="4:4" x14ac:dyDescent="0.45">
      <c r="D113"/>
    </row>
    <row r="114" spans="4:4" x14ac:dyDescent="0.45">
      <c r="D114"/>
    </row>
    <row r="115" spans="4:4" x14ac:dyDescent="0.45">
      <c r="D115"/>
    </row>
    <row r="116" spans="4:4" x14ac:dyDescent="0.45">
      <c r="D116"/>
    </row>
    <row r="117" spans="4:4" x14ac:dyDescent="0.45">
      <c r="D117"/>
    </row>
    <row r="118" spans="4:4" x14ac:dyDescent="0.45">
      <c r="D118"/>
    </row>
    <row r="119" spans="4:4" x14ac:dyDescent="0.45">
      <c r="D119"/>
    </row>
    <row r="120" spans="4:4" x14ac:dyDescent="0.45">
      <c r="D120"/>
    </row>
    <row r="121" spans="4:4" x14ac:dyDescent="0.45">
      <c r="D121"/>
    </row>
    <row r="122" spans="4:4" x14ac:dyDescent="0.45">
      <c r="D122"/>
    </row>
    <row r="123" spans="4:4" x14ac:dyDescent="0.45">
      <c r="D123"/>
    </row>
    <row r="124" spans="4:4" x14ac:dyDescent="0.45">
      <c r="D124"/>
    </row>
    <row r="125" spans="4:4" x14ac:dyDescent="0.45">
      <c r="D125"/>
    </row>
    <row r="126" spans="4:4" x14ac:dyDescent="0.45">
      <c r="D126"/>
    </row>
    <row r="127" spans="4:4" x14ac:dyDescent="0.45">
      <c r="D127"/>
    </row>
    <row r="128" spans="4:4" x14ac:dyDescent="0.45">
      <c r="D128"/>
    </row>
    <row r="129" spans="4:4" x14ac:dyDescent="0.45">
      <c r="D129"/>
    </row>
    <row r="130" spans="4:4" x14ac:dyDescent="0.45">
      <c r="D130"/>
    </row>
    <row r="131" spans="4:4" x14ac:dyDescent="0.45">
      <c r="D131"/>
    </row>
    <row r="132" spans="4:4" x14ac:dyDescent="0.45">
      <c r="D132"/>
    </row>
    <row r="133" spans="4:4" x14ac:dyDescent="0.45">
      <c r="D133"/>
    </row>
    <row r="134" spans="4:4" x14ac:dyDescent="0.45">
      <c r="D134"/>
    </row>
    <row r="135" spans="4:4" x14ac:dyDescent="0.45">
      <c r="D135"/>
    </row>
    <row r="136" spans="4:4" x14ac:dyDescent="0.45">
      <c r="D136"/>
    </row>
    <row r="137" spans="4:4" x14ac:dyDescent="0.45">
      <c r="D137"/>
    </row>
    <row r="138" spans="4:4" x14ac:dyDescent="0.45">
      <c r="D138"/>
    </row>
    <row r="139" spans="4:4" x14ac:dyDescent="0.45">
      <c r="D139"/>
    </row>
    <row r="140" spans="4:4" x14ac:dyDescent="0.45">
      <c r="D140"/>
    </row>
    <row r="141" spans="4:4" x14ac:dyDescent="0.45">
      <c r="D141"/>
    </row>
    <row r="142" spans="4:4" x14ac:dyDescent="0.45">
      <c r="D142"/>
    </row>
    <row r="143" spans="4:4" x14ac:dyDescent="0.45">
      <c r="D143"/>
    </row>
    <row r="144" spans="4:4" x14ac:dyDescent="0.45">
      <c r="D144"/>
    </row>
    <row r="145" spans="4:4" x14ac:dyDescent="0.45">
      <c r="D145"/>
    </row>
    <row r="146" spans="4:4" x14ac:dyDescent="0.45">
      <c r="D146"/>
    </row>
    <row r="147" spans="4:4" x14ac:dyDescent="0.45">
      <c r="D147"/>
    </row>
    <row r="148" spans="4:4" x14ac:dyDescent="0.45">
      <c r="D148"/>
    </row>
    <row r="149" spans="4:4" x14ac:dyDescent="0.45">
      <c r="D149"/>
    </row>
    <row r="150" spans="4:4" x14ac:dyDescent="0.45">
      <c r="D150"/>
    </row>
    <row r="151" spans="4:4" x14ac:dyDescent="0.45">
      <c r="D151"/>
    </row>
    <row r="152" spans="4:4" x14ac:dyDescent="0.45">
      <c r="D152"/>
    </row>
    <row r="153" spans="4:4" x14ac:dyDescent="0.45">
      <c r="D153"/>
    </row>
    <row r="154" spans="4:4" x14ac:dyDescent="0.45">
      <c r="D154"/>
    </row>
    <row r="155" spans="4:4" x14ac:dyDescent="0.45">
      <c r="D155"/>
    </row>
    <row r="156" spans="4:4" x14ac:dyDescent="0.45">
      <c r="D156"/>
    </row>
    <row r="157" spans="4:4" x14ac:dyDescent="0.45">
      <c r="D157"/>
    </row>
    <row r="158" spans="4:4" x14ac:dyDescent="0.45">
      <c r="D158"/>
    </row>
    <row r="159" spans="4:4" x14ac:dyDescent="0.45">
      <c r="D159"/>
    </row>
    <row r="160" spans="4:4" x14ac:dyDescent="0.45">
      <c r="D160"/>
    </row>
    <row r="161" spans="4:4" x14ac:dyDescent="0.45">
      <c r="D161"/>
    </row>
    <row r="162" spans="4:4" x14ac:dyDescent="0.45">
      <c r="D162"/>
    </row>
    <row r="163" spans="4:4" x14ac:dyDescent="0.45">
      <c r="D163"/>
    </row>
    <row r="164" spans="4:4" x14ac:dyDescent="0.45">
      <c r="D164"/>
    </row>
    <row r="165" spans="4:4" x14ac:dyDescent="0.45">
      <c r="D165"/>
    </row>
    <row r="166" spans="4:4" x14ac:dyDescent="0.45">
      <c r="D166"/>
    </row>
    <row r="167" spans="4:4" x14ac:dyDescent="0.45">
      <c r="D167"/>
    </row>
    <row r="168" spans="4:4" x14ac:dyDescent="0.45">
      <c r="D168"/>
    </row>
    <row r="169" spans="4:4" x14ac:dyDescent="0.45">
      <c r="D169"/>
    </row>
    <row r="170" spans="4:4" x14ac:dyDescent="0.45">
      <c r="D170"/>
    </row>
    <row r="171" spans="4:4" x14ac:dyDescent="0.45">
      <c r="D171"/>
    </row>
    <row r="172" spans="4:4" x14ac:dyDescent="0.45">
      <c r="D172"/>
    </row>
    <row r="173" spans="4:4" x14ac:dyDescent="0.45">
      <c r="D173"/>
    </row>
    <row r="174" spans="4:4" x14ac:dyDescent="0.45">
      <c r="D174"/>
    </row>
    <row r="175" spans="4:4" x14ac:dyDescent="0.45">
      <c r="D175"/>
    </row>
    <row r="176" spans="4:4" x14ac:dyDescent="0.45">
      <c r="D176"/>
    </row>
    <row r="177" spans="4:4" x14ac:dyDescent="0.45">
      <c r="D177"/>
    </row>
    <row r="178" spans="4:4" x14ac:dyDescent="0.45">
      <c r="D178"/>
    </row>
    <row r="179" spans="4:4" x14ac:dyDescent="0.45">
      <c r="D179"/>
    </row>
    <row r="180" spans="4:4" x14ac:dyDescent="0.45">
      <c r="D180"/>
    </row>
    <row r="181" spans="4:4" x14ac:dyDescent="0.45">
      <c r="D181"/>
    </row>
    <row r="182" spans="4:4" x14ac:dyDescent="0.45">
      <c r="D182"/>
    </row>
    <row r="183" spans="4:4" x14ac:dyDescent="0.45">
      <c r="D183"/>
    </row>
    <row r="184" spans="4:4" x14ac:dyDescent="0.45">
      <c r="D184"/>
    </row>
    <row r="185" spans="4:4" x14ac:dyDescent="0.45">
      <c r="D185"/>
    </row>
    <row r="186" spans="4:4" x14ac:dyDescent="0.45">
      <c r="D186"/>
    </row>
    <row r="187" spans="4:4" x14ac:dyDescent="0.45">
      <c r="D187"/>
    </row>
    <row r="188" spans="4:4" x14ac:dyDescent="0.45">
      <c r="D188"/>
    </row>
    <row r="189" spans="4:4" x14ac:dyDescent="0.45">
      <c r="D189"/>
    </row>
    <row r="190" spans="4:4" x14ac:dyDescent="0.45">
      <c r="D190"/>
    </row>
    <row r="191" spans="4:4" x14ac:dyDescent="0.45">
      <c r="D191"/>
    </row>
    <row r="192" spans="4:4" x14ac:dyDescent="0.45">
      <c r="D192"/>
    </row>
    <row r="193" spans="4:4" x14ac:dyDescent="0.45">
      <c r="D193"/>
    </row>
    <row r="194" spans="4:4" x14ac:dyDescent="0.45">
      <c r="D194"/>
    </row>
    <row r="195" spans="4:4" x14ac:dyDescent="0.45">
      <c r="D195"/>
    </row>
    <row r="196" spans="4:4" x14ac:dyDescent="0.45">
      <c r="D196"/>
    </row>
    <row r="197" spans="4:4" x14ac:dyDescent="0.45">
      <c r="D197"/>
    </row>
    <row r="198" spans="4:4" x14ac:dyDescent="0.45">
      <c r="D198"/>
    </row>
    <row r="199" spans="4:4" x14ac:dyDescent="0.45">
      <c r="D199"/>
    </row>
    <row r="200" spans="4:4" x14ac:dyDescent="0.45">
      <c r="D200"/>
    </row>
    <row r="201" spans="4:4" x14ac:dyDescent="0.45">
      <c r="D201"/>
    </row>
    <row r="202" spans="4:4" x14ac:dyDescent="0.45">
      <c r="D202"/>
    </row>
    <row r="203" spans="4:4" x14ac:dyDescent="0.45">
      <c r="D203"/>
    </row>
    <row r="204" spans="4:4" x14ac:dyDescent="0.45">
      <c r="D204"/>
    </row>
    <row r="205" spans="4:4" x14ac:dyDescent="0.45">
      <c r="D205"/>
    </row>
    <row r="206" spans="4:4" x14ac:dyDescent="0.45">
      <c r="D206"/>
    </row>
    <row r="207" spans="4:4" x14ac:dyDescent="0.45">
      <c r="D207"/>
    </row>
    <row r="208" spans="4:4" x14ac:dyDescent="0.45">
      <c r="D208"/>
    </row>
    <row r="209" spans="4:4" x14ac:dyDescent="0.45">
      <c r="D209"/>
    </row>
    <row r="210" spans="4:4" x14ac:dyDescent="0.45">
      <c r="D210"/>
    </row>
    <row r="211" spans="4:4" x14ac:dyDescent="0.45">
      <c r="D211"/>
    </row>
    <row r="212" spans="4:4" x14ac:dyDescent="0.45">
      <c r="D212"/>
    </row>
    <row r="213" spans="4:4" x14ac:dyDescent="0.45">
      <c r="D213"/>
    </row>
    <row r="214" spans="4:4" x14ac:dyDescent="0.45">
      <c r="D214"/>
    </row>
    <row r="215" spans="4:4" x14ac:dyDescent="0.45">
      <c r="D215"/>
    </row>
    <row r="216" spans="4:4" x14ac:dyDescent="0.45">
      <c r="D216"/>
    </row>
    <row r="217" spans="4:4" x14ac:dyDescent="0.45">
      <c r="D217"/>
    </row>
    <row r="218" spans="4:4" x14ac:dyDescent="0.45">
      <c r="D218"/>
    </row>
    <row r="219" spans="4:4" x14ac:dyDescent="0.45">
      <c r="D219"/>
    </row>
    <row r="220" spans="4:4" x14ac:dyDescent="0.45">
      <c r="D220"/>
    </row>
    <row r="221" spans="4:4" x14ac:dyDescent="0.45">
      <c r="D221"/>
    </row>
    <row r="222" spans="4:4" x14ac:dyDescent="0.45">
      <c r="D222"/>
    </row>
    <row r="223" spans="4:4" x14ac:dyDescent="0.45">
      <c r="D223"/>
    </row>
    <row r="224" spans="4:4" x14ac:dyDescent="0.45">
      <c r="D224"/>
    </row>
    <row r="225" spans="4:4" x14ac:dyDescent="0.45">
      <c r="D225"/>
    </row>
    <row r="226" spans="4:4" x14ac:dyDescent="0.45">
      <c r="D226"/>
    </row>
    <row r="227" spans="4:4" x14ac:dyDescent="0.45">
      <c r="D227"/>
    </row>
    <row r="228" spans="4:4" x14ac:dyDescent="0.45">
      <c r="D228"/>
    </row>
    <row r="229" spans="4:4" x14ac:dyDescent="0.45">
      <c r="D229"/>
    </row>
    <row r="230" spans="4:4" x14ac:dyDescent="0.45">
      <c r="D230"/>
    </row>
    <row r="231" spans="4:4" x14ac:dyDescent="0.45">
      <c r="D231"/>
    </row>
    <row r="232" spans="4:4" x14ac:dyDescent="0.45">
      <c r="D232"/>
    </row>
    <row r="233" spans="4:4" x14ac:dyDescent="0.45">
      <c r="D233"/>
    </row>
    <row r="234" spans="4:4" x14ac:dyDescent="0.45">
      <c r="D234"/>
    </row>
    <row r="235" spans="4:4" x14ac:dyDescent="0.45">
      <c r="D235"/>
    </row>
    <row r="236" spans="4:4" x14ac:dyDescent="0.45">
      <c r="D236"/>
    </row>
    <row r="237" spans="4:4" x14ac:dyDescent="0.45">
      <c r="D237"/>
    </row>
    <row r="238" spans="4:4" x14ac:dyDescent="0.45">
      <c r="D238"/>
    </row>
    <row r="239" spans="4:4" x14ac:dyDescent="0.45">
      <c r="D239"/>
    </row>
    <row r="240" spans="4:4" x14ac:dyDescent="0.45">
      <c r="D240"/>
    </row>
    <row r="241" spans="4:4" x14ac:dyDescent="0.45">
      <c r="D241"/>
    </row>
    <row r="242" spans="4:4" x14ac:dyDescent="0.45">
      <c r="D242"/>
    </row>
    <row r="243" spans="4:4" x14ac:dyDescent="0.45">
      <c r="D243"/>
    </row>
    <row r="244" spans="4:4" x14ac:dyDescent="0.45">
      <c r="D244"/>
    </row>
    <row r="245" spans="4:4" x14ac:dyDescent="0.45">
      <c r="D245"/>
    </row>
    <row r="246" spans="4:4" x14ac:dyDescent="0.45">
      <c r="D246"/>
    </row>
    <row r="247" spans="4:4" x14ac:dyDescent="0.45">
      <c r="D247"/>
    </row>
    <row r="248" spans="4:4" x14ac:dyDescent="0.45">
      <c r="D248"/>
    </row>
    <row r="249" spans="4:4" x14ac:dyDescent="0.45">
      <c r="D249"/>
    </row>
    <row r="250" spans="4:4" x14ac:dyDescent="0.45">
      <c r="D250"/>
    </row>
    <row r="251" spans="4:4" x14ac:dyDescent="0.45">
      <c r="D251"/>
    </row>
    <row r="252" spans="4:4" x14ac:dyDescent="0.45">
      <c r="D252"/>
    </row>
    <row r="253" spans="4:4" x14ac:dyDescent="0.45">
      <c r="D253"/>
    </row>
    <row r="254" spans="4:4" x14ac:dyDescent="0.45">
      <c r="D254"/>
    </row>
    <row r="255" spans="4:4" x14ac:dyDescent="0.45">
      <c r="D255"/>
    </row>
    <row r="256" spans="4:4" x14ac:dyDescent="0.45">
      <c r="D256"/>
    </row>
    <row r="257" spans="4:4" x14ac:dyDescent="0.45">
      <c r="D257"/>
    </row>
    <row r="258" spans="4:4" x14ac:dyDescent="0.45">
      <c r="D258"/>
    </row>
    <row r="259" spans="4:4" x14ac:dyDescent="0.45">
      <c r="D259"/>
    </row>
    <row r="260" spans="4:4" x14ac:dyDescent="0.45">
      <c r="D260"/>
    </row>
    <row r="261" spans="4:4" x14ac:dyDescent="0.45">
      <c r="D261"/>
    </row>
    <row r="262" spans="4:4" x14ac:dyDescent="0.45">
      <c r="D262"/>
    </row>
    <row r="263" spans="4:4" x14ac:dyDescent="0.45">
      <c r="D263"/>
    </row>
    <row r="264" spans="4:4" x14ac:dyDescent="0.45">
      <c r="D264"/>
    </row>
    <row r="265" spans="4:4" x14ac:dyDescent="0.45">
      <c r="D265"/>
    </row>
    <row r="266" spans="4:4" x14ac:dyDescent="0.45">
      <c r="D266"/>
    </row>
    <row r="267" spans="4:4" x14ac:dyDescent="0.45">
      <c r="D267"/>
    </row>
    <row r="268" spans="4:4" x14ac:dyDescent="0.45">
      <c r="D268"/>
    </row>
    <row r="269" spans="4:4" x14ac:dyDescent="0.45">
      <c r="D269"/>
    </row>
    <row r="270" spans="4:4" x14ac:dyDescent="0.45">
      <c r="D270"/>
    </row>
    <row r="271" spans="4:4" x14ac:dyDescent="0.45">
      <c r="D271"/>
    </row>
    <row r="272" spans="4:4" x14ac:dyDescent="0.45">
      <c r="D272"/>
    </row>
    <row r="273" spans="4:4" x14ac:dyDescent="0.45">
      <c r="D273"/>
    </row>
    <row r="274" spans="4:4" x14ac:dyDescent="0.45">
      <c r="D274"/>
    </row>
    <row r="275" spans="4:4" x14ac:dyDescent="0.45">
      <c r="D275"/>
    </row>
    <row r="276" spans="4:4" x14ac:dyDescent="0.45">
      <c r="D276"/>
    </row>
    <row r="277" spans="4:4" x14ac:dyDescent="0.45">
      <c r="D277"/>
    </row>
    <row r="278" spans="4:4" x14ac:dyDescent="0.45">
      <c r="D278"/>
    </row>
    <row r="279" spans="4:4" x14ac:dyDescent="0.45">
      <c r="D279"/>
    </row>
    <row r="280" spans="4:4" x14ac:dyDescent="0.45">
      <c r="D280"/>
    </row>
    <row r="281" spans="4:4" x14ac:dyDescent="0.45">
      <c r="D281"/>
    </row>
    <row r="282" spans="4:4" x14ac:dyDescent="0.45">
      <c r="D282"/>
    </row>
    <row r="283" spans="4:4" x14ac:dyDescent="0.45">
      <c r="D283"/>
    </row>
    <row r="284" spans="4:4" x14ac:dyDescent="0.45">
      <c r="D284"/>
    </row>
    <row r="285" spans="4:4" x14ac:dyDescent="0.45">
      <c r="D285"/>
    </row>
    <row r="286" spans="4:4" x14ac:dyDescent="0.45">
      <c r="D286"/>
    </row>
    <row r="287" spans="4:4" x14ac:dyDescent="0.45">
      <c r="D287"/>
    </row>
    <row r="288" spans="4:4" x14ac:dyDescent="0.45">
      <c r="D288"/>
    </row>
    <row r="289" spans="4:4" x14ac:dyDescent="0.45">
      <c r="D289"/>
    </row>
    <row r="290" spans="4:4" x14ac:dyDescent="0.45">
      <c r="D290"/>
    </row>
    <row r="291" spans="4:4" x14ac:dyDescent="0.45">
      <c r="D291"/>
    </row>
    <row r="292" spans="4:4" x14ac:dyDescent="0.45">
      <c r="D292"/>
    </row>
    <row r="293" spans="4:4" x14ac:dyDescent="0.45">
      <c r="D293"/>
    </row>
    <row r="294" spans="4:4" x14ac:dyDescent="0.45">
      <c r="D294"/>
    </row>
    <row r="295" spans="4:4" x14ac:dyDescent="0.45">
      <c r="D295"/>
    </row>
    <row r="296" spans="4:4" x14ac:dyDescent="0.45">
      <c r="D296"/>
    </row>
    <row r="297" spans="4:4" x14ac:dyDescent="0.45">
      <c r="D297"/>
    </row>
    <row r="298" spans="4:4" x14ac:dyDescent="0.45">
      <c r="D298"/>
    </row>
    <row r="299" spans="4:4" x14ac:dyDescent="0.45">
      <c r="D299"/>
    </row>
    <row r="300" spans="4:4" x14ac:dyDescent="0.45">
      <c r="D300"/>
    </row>
    <row r="301" spans="4:4" x14ac:dyDescent="0.45">
      <c r="D301"/>
    </row>
    <row r="302" spans="4:4" x14ac:dyDescent="0.45">
      <c r="D302"/>
    </row>
    <row r="303" spans="4:4" x14ac:dyDescent="0.45">
      <c r="D303"/>
    </row>
    <row r="304" spans="4:4" x14ac:dyDescent="0.45">
      <c r="D304"/>
    </row>
    <row r="305" spans="4:4" x14ac:dyDescent="0.45">
      <c r="D305"/>
    </row>
    <row r="306" spans="4:4" x14ac:dyDescent="0.45">
      <c r="D306"/>
    </row>
    <row r="307" spans="4:4" x14ac:dyDescent="0.45">
      <c r="D307"/>
    </row>
    <row r="308" spans="4:4" x14ac:dyDescent="0.45">
      <c r="D308"/>
    </row>
    <row r="309" spans="4:4" x14ac:dyDescent="0.45">
      <c r="D309"/>
    </row>
    <row r="310" spans="4:4" x14ac:dyDescent="0.45">
      <c r="D310"/>
    </row>
    <row r="311" spans="4:4" x14ac:dyDescent="0.45">
      <c r="D311"/>
    </row>
    <row r="312" spans="4:4" x14ac:dyDescent="0.45">
      <c r="D312"/>
    </row>
    <row r="313" spans="4:4" x14ac:dyDescent="0.45">
      <c r="D313"/>
    </row>
    <row r="314" spans="4:4" x14ac:dyDescent="0.45">
      <c r="D314"/>
    </row>
    <row r="315" spans="4:4" x14ac:dyDescent="0.45">
      <c r="D315"/>
    </row>
    <row r="316" spans="4:4" x14ac:dyDescent="0.45">
      <c r="D316"/>
    </row>
    <row r="317" spans="4:4" x14ac:dyDescent="0.45">
      <c r="D317"/>
    </row>
    <row r="318" spans="4:4" x14ac:dyDescent="0.45">
      <c r="D318"/>
    </row>
    <row r="319" spans="4:4" x14ac:dyDescent="0.45">
      <c r="D319"/>
    </row>
    <row r="320" spans="4:4" x14ac:dyDescent="0.45">
      <c r="D320"/>
    </row>
    <row r="321" spans="4:4" x14ac:dyDescent="0.45">
      <c r="D321"/>
    </row>
    <row r="322" spans="4:4" x14ac:dyDescent="0.45">
      <c r="D322"/>
    </row>
    <row r="323" spans="4:4" x14ac:dyDescent="0.45">
      <c r="D323"/>
    </row>
    <row r="324" spans="4:4" x14ac:dyDescent="0.45">
      <c r="D324"/>
    </row>
    <row r="325" spans="4:4" x14ac:dyDescent="0.45">
      <c r="D325"/>
    </row>
    <row r="326" spans="4:4" x14ac:dyDescent="0.45">
      <c r="D326"/>
    </row>
    <row r="327" spans="4:4" x14ac:dyDescent="0.45">
      <c r="D327"/>
    </row>
    <row r="328" spans="4:4" x14ac:dyDescent="0.45">
      <c r="D328"/>
    </row>
    <row r="329" spans="4:4" x14ac:dyDescent="0.45">
      <c r="D329"/>
    </row>
    <row r="330" spans="4:4" x14ac:dyDescent="0.45">
      <c r="D330"/>
    </row>
    <row r="331" spans="4:4" x14ac:dyDescent="0.45">
      <c r="D331"/>
    </row>
    <row r="332" spans="4:4" x14ac:dyDescent="0.45">
      <c r="D332"/>
    </row>
    <row r="333" spans="4:4" x14ac:dyDescent="0.45">
      <c r="D333"/>
    </row>
    <row r="334" spans="4:4" x14ac:dyDescent="0.45">
      <c r="D334"/>
    </row>
    <row r="335" spans="4:4" x14ac:dyDescent="0.45">
      <c r="D335"/>
    </row>
    <row r="336" spans="4:4" x14ac:dyDescent="0.45">
      <c r="D336"/>
    </row>
    <row r="337" spans="4:4" x14ac:dyDescent="0.45">
      <c r="D337"/>
    </row>
    <row r="338" spans="4:4" x14ac:dyDescent="0.45">
      <c r="D338"/>
    </row>
    <row r="339" spans="4:4" x14ac:dyDescent="0.45">
      <c r="D339"/>
    </row>
    <row r="340" spans="4:4" x14ac:dyDescent="0.45">
      <c r="D340"/>
    </row>
    <row r="341" spans="4:4" x14ac:dyDescent="0.45">
      <c r="D341"/>
    </row>
    <row r="342" spans="4:4" x14ac:dyDescent="0.45">
      <c r="D342"/>
    </row>
    <row r="343" spans="4:4" x14ac:dyDescent="0.45">
      <c r="D343"/>
    </row>
    <row r="344" spans="4:4" x14ac:dyDescent="0.45">
      <c r="D344"/>
    </row>
    <row r="345" spans="4:4" x14ac:dyDescent="0.45">
      <c r="D345"/>
    </row>
    <row r="346" spans="4:4" x14ac:dyDescent="0.45">
      <c r="D346"/>
    </row>
    <row r="347" spans="4:4" x14ac:dyDescent="0.45">
      <c r="D347"/>
    </row>
    <row r="348" spans="4:4" x14ac:dyDescent="0.45">
      <c r="D348"/>
    </row>
    <row r="349" spans="4:4" x14ac:dyDescent="0.45">
      <c r="D349"/>
    </row>
    <row r="350" spans="4:4" x14ac:dyDescent="0.45">
      <c r="D350"/>
    </row>
    <row r="351" spans="4:4" x14ac:dyDescent="0.45">
      <c r="D351"/>
    </row>
    <row r="352" spans="4:4" x14ac:dyDescent="0.45">
      <c r="D352"/>
    </row>
    <row r="353" spans="4:4" x14ac:dyDescent="0.45">
      <c r="D353"/>
    </row>
    <row r="354" spans="4:4" x14ac:dyDescent="0.45">
      <c r="D354"/>
    </row>
    <row r="355" spans="4:4" x14ac:dyDescent="0.45">
      <c r="D355"/>
    </row>
    <row r="356" spans="4:4" x14ac:dyDescent="0.45">
      <c r="D356"/>
    </row>
    <row r="357" spans="4:4" x14ac:dyDescent="0.45">
      <c r="D357"/>
    </row>
    <row r="358" spans="4:4" x14ac:dyDescent="0.45">
      <c r="D358"/>
    </row>
    <row r="359" spans="4:4" x14ac:dyDescent="0.45">
      <c r="D359"/>
    </row>
    <row r="360" spans="4:4" x14ac:dyDescent="0.45">
      <c r="D360"/>
    </row>
    <row r="361" spans="4:4" x14ac:dyDescent="0.45">
      <c r="D361"/>
    </row>
    <row r="362" spans="4:4" x14ac:dyDescent="0.45">
      <c r="D362"/>
    </row>
    <row r="363" spans="4:4" x14ac:dyDescent="0.45">
      <c r="D363"/>
    </row>
    <row r="364" spans="4:4" x14ac:dyDescent="0.45">
      <c r="D364"/>
    </row>
    <row r="365" spans="4:4" x14ac:dyDescent="0.45">
      <c r="D365"/>
    </row>
    <row r="366" spans="4:4" x14ac:dyDescent="0.45">
      <c r="D366"/>
    </row>
    <row r="367" spans="4:4" x14ac:dyDescent="0.45">
      <c r="D367"/>
    </row>
    <row r="368" spans="4:4" x14ac:dyDescent="0.45">
      <c r="D368"/>
    </row>
    <row r="369" spans="4:4" x14ac:dyDescent="0.45">
      <c r="D369"/>
    </row>
    <row r="370" spans="4:4" x14ac:dyDescent="0.45">
      <c r="D370"/>
    </row>
    <row r="371" spans="4:4" x14ac:dyDescent="0.45">
      <c r="D371"/>
    </row>
    <row r="372" spans="4:4" x14ac:dyDescent="0.45">
      <c r="D372"/>
    </row>
    <row r="373" spans="4:4" x14ac:dyDescent="0.45">
      <c r="D373"/>
    </row>
    <row r="374" spans="4:4" x14ac:dyDescent="0.45">
      <c r="D374"/>
    </row>
    <row r="375" spans="4:4" x14ac:dyDescent="0.45">
      <c r="D375"/>
    </row>
    <row r="376" spans="4:4" x14ac:dyDescent="0.45">
      <c r="D376"/>
    </row>
    <row r="377" spans="4:4" x14ac:dyDescent="0.45">
      <c r="D377"/>
    </row>
    <row r="378" spans="4:4" x14ac:dyDescent="0.45">
      <c r="D378"/>
    </row>
    <row r="379" spans="4:4" x14ac:dyDescent="0.45">
      <c r="D379"/>
    </row>
    <row r="380" spans="4:4" x14ac:dyDescent="0.45">
      <c r="D380"/>
    </row>
    <row r="381" spans="4:4" x14ac:dyDescent="0.45">
      <c r="D381"/>
    </row>
    <row r="382" spans="4:4" x14ac:dyDescent="0.45">
      <c r="D382"/>
    </row>
    <row r="383" spans="4:4" x14ac:dyDescent="0.45">
      <c r="D383"/>
    </row>
    <row r="384" spans="4:4" x14ac:dyDescent="0.45">
      <c r="D384"/>
    </row>
    <row r="385" spans="4:4" x14ac:dyDescent="0.45">
      <c r="D385"/>
    </row>
    <row r="386" spans="4:4" x14ac:dyDescent="0.45">
      <c r="D386"/>
    </row>
    <row r="387" spans="4:4" x14ac:dyDescent="0.45">
      <c r="D387"/>
    </row>
    <row r="388" spans="4:4" x14ac:dyDescent="0.45">
      <c r="D388"/>
    </row>
    <row r="389" spans="4:4" x14ac:dyDescent="0.45">
      <c r="D389"/>
    </row>
    <row r="390" spans="4:4" x14ac:dyDescent="0.45">
      <c r="D390"/>
    </row>
    <row r="391" spans="4:4" x14ac:dyDescent="0.45">
      <c r="D391"/>
    </row>
    <row r="392" spans="4:4" x14ac:dyDescent="0.45">
      <c r="D392"/>
    </row>
    <row r="393" spans="4:4" x14ac:dyDescent="0.45">
      <c r="D393"/>
    </row>
    <row r="394" spans="4:4" x14ac:dyDescent="0.45">
      <c r="D394"/>
    </row>
    <row r="395" spans="4:4" x14ac:dyDescent="0.45">
      <c r="D395"/>
    </row>
    <row r="396" spans="4:4" x14ac:dyDescent="0.45">
      <c r="D396"/>
    </row>
    <row r="397" spans="4:4" x14ac:dyDescent="0.45">
      <c r="D397"/>
    </row>
    <row r="398" spans="4:4" x14ac:dyDescent="0.45">
      <c r="D398"/>
    </row>
    <row r="399" spans="4:4" x14ac:dyDescent="0.45">
      <c r="D399"/>
    </row>
    <row r="400" spans="4:4" x14ac:dyDescent="0.45">
      <c r="D400"/>
    </row>
    <row r="401" spans="4:4" x14ac:dyDescent="0.45">
      <c r="D401"/>
    </row>
    <row r="402" spans="4:4" x14ac:dyDescent="0.45">
      <c r="D402"/>
    </row>
    <row r="403" spans="4:4" x14ac:dyDescent="0.45">
      <c r="D403"/>
    </row>
    <row r="404" spans="4:4" x14ac:dyDescent="0.45">
      <c r="D404"/>
    </row>
    <row r="405" spans="4:4" x14ac:dyDescent="0.45">
      <c r="D405"/>
    </row>
    <row r="406" spans="4:4" x14ac:dyDescent="0.45">
      <c r="D406"/>
    </row>
    <row r="407" spans="4:4" x14ac:dyDescent="0.45">
      <c r="D407"/>
    </row>
    <row r="408" spans="4:4" x14ac:dyDescent="0.45">
      <c r="D408"/>
    </row>
    <row r="409" spans="4:4" x14ac:dyDescent="0.45">
      <c r="D409"/>
    </row>
    <row r="410" spans="4:4" x14ac:dyDescent="0.45">
      <c r="D410"/>
    </row>
    <row r="411" spans="4:4" x14ac:dyDescent="0.45">
      <c r="D411"/>
    </row>
    <row r="412" spans="4:4" x14ac:dyDescent="0.45">
      <c r="D412"/>
    </row>
    <row r="413" spans="4:4" x14ac:dyDescent="0.45">
      <c r="D413"/>
    </row>
    <row r="414" spans="4:4" x14ac:dyDescent="0.45">
      <c r="D414"/>
    </row>
    <row r="415" spans="4:4" x14ac:dyDescent="0.45">
      <c r="D415"/>
    </row>
    <row r="416" spans="4:4" x14ac:dyDescent="0.45">
      <c r="D416"/>
    </row>
    <row r="417" spans="4:4" x14ac:dyDescent="0.45">
      <c r="D417"/>
    </row>
    <row r="418" spans="4:4" x14ac:dyDescent="0.45">
      <c r="D418"/>
    </row>
    <row r="419" spans="4:4" x14ac:dyDescent="0.45">
      <c r="D419"/>
    </row>
    <row r="420" spans="4:4" x14ac:dyDescent="0.45">
      <c r="D420"/>
    </row>
    <row r="421" spans="4:4" x14ac:dyDescent="0.45">
      <c r="D421"/>
    </row>
    <row r="422" spans="4:4" x14ac:dyDescent="0.45">
      <c r="D422"/>
    </row>
    <row r="423" spans="4:4" x14ac:dyDescent="0.45">
      <c r="D423"/>
    </row>
    <row r="424" spans="4:4" x14ac:dyDescent="0.45">
      <c r="D424"/>
    </row>
    <row r="425" spans="4:4" x14ac:dyDescent="0.45">
      <c r="D425"/>
    </row>
    <row r="426" spans="4:4" x14ac:dyDescent="0.45">
      <c r="D426"/>
    </row>
    <row r="427" spans="4:4" x14ac:dyDescent="0.45">
      <c r="D427"/>
    </row>
    <row r="428" spans="4:4" x14ac:dyDescent="0.45">
      <c r="D428"/>
    </row>
    <row r="429" spans="4:4" x14ac:dyDescent="0.45">
      <c r="D429"/>
    </row>
    <row r="430" spans="4:4" x14ac:dyDescent="0.45">
      <c r="D430"/>
    </row>
    <row r="431" spans="4:4" x14ac:dyDescent="0.45">
      <c r="D431"/>
    </row>
    <row r="432" spans="4:4" x14ac:dyDescent="0.45">
      <c r="D432"/>
    </row>
    <row r="433" spans="4:4" x14ac:dyDescent="0.45">
      <c r="D433"/>
    </row>
    <row r="434" spans="4:4" x14ac:dyDescent="0.45">
      <c r="D434"/>
    </row>
    <row r="435" spans="4:4" x14ac:dyDescent="0.45">
      <c r="D435"/>
    </row>
    <row r="436" spans="4:4" x14ac:dyDescent="0.45">
      <c r="D436"/>
    </row>
    <row r="437" spans="4:4" x14ac:dyDescent="0.45">
      <c r="D437"/>
    </row>
    <row r="438" spans="4:4" x14ac:dyDescent="0.45">
      <c r="D438"/>
    </row>
    <row r="439" spans="4:4" x14ac:dyDescent="0.45">
      <c r="D439"/>
    </row>
    <row r="440" spans="4:4" x14ac:dyDescent="0.45">
      <c r="D440"/>
    </row>
    <row r="441" spans="4:4" x14ac:dyDescent="0.45">
      <c r="D441"/>
    </row>
    <row r="442" spans="4:4" x14ac:dyDescent="0.45">
      <c r="D442"/>
    </row>
    <row r="443" spans="4:4" x14ac:dyDescent="0.45">
      <c r="D443"/>
    </row>
    <row r="444" spans="4:4" x14ac:dyDescent="0.45">
      <c r="D444"/>
    </row>
    <row r="445" spans="4:4" x14ac:dyDescent="0.45">
      <c r="D445"/>
    </row>
    <row r="446" spans="4:4" x14ac:dyDescent="0.45">
      <c r="D446"/>
    </row>
    <row r="447" spans="4:4" x14ac:dyDescent="0.45">
      <c r="D447"/>
    </row>
    <row r="448" spans="4:4" x14ac:dyDescent="0.45">
      <c r="D448"/>
    </row>
    <row r="449" spans="4:4" x14ac:dyDescent="0.45">
      <c r="D449"/>
    </row>
    <row r="450" spans="4:4" x14ac:dyDescent="0.45">
      <c r="D450"/>
    </row>
    <row r="451" spans="4:4" x14ac:dyDescent="0.45">
      <c r="D451"/>
    </row>
    <row r="452" spans="4:4" x14ac:dyDescent="0.45">
      <c r="D452"/>
    </row>
    <row r="453" spans="4:4" x14ac:dyDescent="0.45">
      <c r="D453"/>
    </row>
    <row r="454" spans="4:4" x14ac:dyDescent="0.45">
      <c r="D454"/>
    </row>
    <row r="455" spans="4:4" x14ac:dyDescent="0.45">
      <c r="D455"/>
    </row>
    <row r="456" spans="4:4" x14ac:dyDescent="0.45">
      <c r="D456"/>
    </row>
    <row r="457" spans="4:4" x14ac:dyDescent="0.45">
      <c r="D457"/>
    </row>
    <row r="458" spans="4:4" x14ac:dyDescent="0.45">
      <c r="D458"/>
    </row>
    <row r="459" spans="4:4" x14ac:dyDescent="0.45">
      <c r="D459"/>
    </row>
    <row r="460" spans="4:4" x14ac:dyDescent="0.45">
      <c r="D460"/>
    </row>
    <row r="461" spans="4:4" x14ac:dyDescent="0.45">
      <c r="D461"/>
    </row>
    <row r="462" spans="4:4" x14ac:dyDescent="0.45">
      <c r="D462"/>
    </row>
    <row r="463" spans="4:4" x14ac:dyDescent="0.45">
      <c r="D463"/>
    </row>
    <row r="464" spans="4:4" x14ac:dyDescent="0.45">
      <c r="D464"/>
    </row>
    <row r="465" spans="4:4" x14ac:dyDescent="0.45">
      <c r="D465"/>
    </row>
    <row r="466" spans="4:4" x14ac:dyDescent="0.45">
      <c r="D466"/>
    </row>
    <row r="467" spans="4:4" x14ac:dyDescent="0.45">
      <c r="D467"/>
    </row>
    <row r="468" spans="4:4" x14ac:dyDescent="0.45">
      <c r="D468"/>
    </row>
    <row r="469" spans="4:4" x14ac:dyDescent="0.45">
      <c r="D469"/>
    </row>
    <row r="470" spans="4:4" x14ac:dyDescent="0.45">
      <c r="D470"/>
    </row>
    <row r="471" spans="4:4" x14ac:dyDescent="0.45">
      <c r="D471"/>
    </row>
    <row r="472" spans="4:4" x14ac:dyDescent="0.45">
      <c r="D472"/>
    </row>
    <row r="473" spans="4:4" x14ac:dyDescent="0.45">
      <c r="D473"/>
    </row>
    <row r="474" spans="4:4" x14ac:dyDescent="0.45">
      <c r="D474"/>
    </row>
    <row r="475" spans="4:4" x14ac:dyDescent="0.45">
      <c r="D475"/>
    </row>
    <row r="476" spans="4:4" x14ac:dyDescent="0.45">
      <c r="D476"/>
    </row>
    <row r="477" spans="4:4" x14ac:dyDescent="0.45">
      <c r="D477"/>
    </row>
    <row r="478" spans="4:4" x14ac:dyDescent="0.45">
      <c r="D478"/>
    </row>
    <row r="479" spans="4:4" x14ac:dyDescent="0.45">
      <c r="D479"/>
    </row>
    <row r="480" spans="4:4" x14ac:dyDescent="0.45">
      <c r="D480"/>
    </row>
    <row r="481" spans="4:4" x14ac:dyDescent="0.45">
      <c r="D481"/>
    </row>
    <row r="482" spans="4:4" x14ac:dyDescent="0.45">
      <c r="D482"/>
    </row>
    <row r="483" spans="4:4" x14ac:dyDescent="0.45">
      <c r="D483"/>
    </row>
    <row r="484" spans="4:4" x14ac:dyDescent="0.45">
      <c r="D484"/>
    </row>
    <row r="485" spans="4:4" x14ac:dyDescent="0.45">
      <c r="D485"/>
    </row>
    <row r="486" spans="4:4" x14ac:dyDescent="0.45">
      <c r="D486"/>
    </row>
    <row r="487" spans="4:4" x14ac:dyDescent="0.45">
      <c r="D487"/>
    </row>
    <row r="488" spans="4:4" x14ac:dyDescent="0.45">
      <c r="D488"/>
    </row>
    <row r="489" spans="4:4" x14ac:dyDescent="0.45">
      <c r="D489"/>
    </row>
    <row r="490" spans="4:4" x14ac:dyDescent="0.45">
      <c r="D490"/>
    </row>
    <row r="491" spans="4:4" x14ac:dyDescent="0.45">
      <c r="D491"/>
    </row>
    <row r="492" spans="4:4" x14ac:dyDescent="0.45">
      <c r="D492"/>
    </row>
    <row r="493" spans="4:4" x14ac:dyDescent="0.45">
      <c r="D493"/>
    </row>
    <row r="494" spans="4:4" x14ac:dyDescent="0.45">
      <c r="D494"/>
    </row>
    <row r="495" spans="4:4" x14ac:dyDescent="0.45">
      <c r="D495"/>
    </row>
    <row r="496" spans="4:4" x14ac:dyDescent="0.45">
      <c r="D496"/>
    </row>
    <row r="497" spans="4:4" x14ac:dyDescent="0.45">
      <c r="D497"/>
    </row>
    <row r="498" spans="4:4" x14ac:dyDescent="0.45">
      <c r="D498"/>
    </row>
    <row r="499" spans="4:4" x14ac:dyDescent="0.45">
      <c r="D499"/>
    </row>
    <row r="500" spans="4:4" x14ac:dyDescent="0.45">
      <c r="D500"/>
    </row>
    <row r="501" spans="4:4" x14ac:dyDescent="0.45">
      <c r="D501"/>
    </row>
    <row r="502" spans="4:4" x14ac:dyDescent="0.45">
      <c r="D502"/>
    </row>
    <row r="503" spans="4:4" x14ac:dyDescent="0.45">
      <c r="D503"/>
    </row>
    <row r="504" spans="4:4" x14ac:dyDescent="0.45">
      <c r="D504"/>
    </row>
    <row r="505" spans="4:4" x14ac:dyDescent="0.45">
      <c r="D505"/>
    </row>
    <row r="506" spans="4:4" x14ac:dyDescent="0.45">
      <c r="D506"/>
    </row>
    <row r="507" spans="4:4" x14ac:dyDescent="0.45">
      <c r="D507"/>
    </row>
    <row r="508" spans="4:4" x14ac:dyDescent="0.45">
      <c r="D508"/>
    </row>
    <row r="509" spans="4:4" x14ac:dyDescent="0.45">
      <c r="D509"/>
    </row>
    <row r="510" spans="4:4" x14ac:dyDescent="0.45">
      <c r="D510"/>
    </row>
    <row r="511" spans="4:4" x14ac:dyDescent="0.45">
      <c r="D511"/>
    </row>
    <row r="512" spans="4:4" x14ac:dyDescent="0.45">
      <c r="D512"/>
    </row>
    <row r="513" spans="4:4" x14ac:dyDescent="0.45">
      <c r="D513"/>
    </row>
    <row r="514" spans="4:4" x14ac:dyDescent="0.45">
      <c r="D514"/>
    </row>
    <row r="515" spans="4:4" x14ac:dyDescent="0.45">
      <c r="D515"/>
    </row>
    <row r="516" spans="4:4" x14ac:dyDescent="0.45">
      <c r="D516"/>
    </row>
    <row r="517" spans="4:4" x14ac:dyDescent="0.45">
      <c r="D517"/>
    </row>
    <row r="518" spans="4:4" x14ac:dyDescent="0.45">
      <c r="D518"/>
    </row>
    <row r="519" spans="4:4" x14ac:dyDescent="0.45">
      <c r="D519"/>
    </row>
    <row r="520" spans="4:4" x14ac:dyDescent="0.45">
      <c r="D520"/>
    </row>
    <row r="521" spans="4:4" x14ac:dyDescent="0.45">
      <c r="D521"/>
    </row>
    <row r="522" spans="4:4" x14ac:dyDescent="0.45">
      <c r="D522"/>
    </row>
    <row r="523" spans="4:4" x14ac:dyDescent="0.45">
      <c r="D523"/>
    </row>
    <row r="524" spans="4:4" x14ac:dyDescent="0.45">
      <c r="D524"/>
    </row>
    <row r="525" spans="4:4" x14ac:dyDescent="0.45">
      <c r="D525"/>
    </row>
    <row r="526" spans="4:4" x14ac:dyDescent="0.45">
      <c r="D526"/>
    </row>
    <row r="527" spans="4:4" x14ac:dyDescent="0.45">
      <c r="D527"/>
    </row>
    <row r="528" spans="4:4" x14ac:dyDescent="0.45">
      <c r="D528"/>
    </row>
    <row r="529" spans="4:4" x14ac:dyDescent="0.45">
      <c r="D529"/>
    </row>
    <row r="530" spans="4:4" x14ac:dyDescent="0.45">
      <c r="D530"/>
    </row>
    <row r="531" spans="4:4" x14ac:dyDescent="0.45">
      <c r="D531"/>
    </row>
    <row r="532" spans="4:4" x14ac:dyDescent="0.45">
      <c r="D532"/>
    </row>
    <row r="533" spans="4:4" x14ac:dyDescent="0.45">
      <c r="D533"/>
    </row>
    <row r="534" spans="4:4" x14ac:dyDescent="0.45">
      <c r="D534"/>
    </row>
    <row r="535" spans="4:4" x14ac:dyDescent="0.45">
      <c r="D535"/>
    </row>
    <row r="536" spans="4:4" x14ac:dyDescent="0.45">
      <c r="D536"/>
    </row>
    <row r="537" spans="4:4" x14ac:dyDescent="0.45">
      <c r="D537"/>
    </row>
    <row r="538" spans="4:4" x14ac:dyDescent="0.45">
      <c r="D538"/>
    </row>
    <row r="539" spans="4:4" x14ac:dyDescent="0.45">
      <c r="D539"/>
    </row>
    <row r="540" spans="4:4" x14ac:dyDescent="0.45">
      <c r="D540"/>
    </row>
    <row r="541" spans="4:4" x14ac:dyDescent="0.45">
      <c r="D541"/>
    </row>
    <row r="542" spans="4:4" x14ac:dyDescent="0.45">
      <c r="D542"/>
    </row>
    <row r="543" spans="4:4" x14ac:dyDescent="0.45">
      <c r="D543"/>
    </row>
    <row r="544" spans="4:4" x14ac:dyDescent="0.45">
      <c r="D544"/>
    </row>
    <row r="545" spans="4:4" x14ac:dyDescent="0.45">
      <c r="D545"/>
    </row>
    <row r="546" spans="4:4" x14ac:dyDescent="0.45">
      <c r="D546"/>
    </row>
    <row r="547" spans="4:4" x14ac:dyDescent="0.45">
      <c r="D547"/>
    </row>
    <row r="548" spans="4:4" x14ac:dyDescent="0.45">
      <c r="D548"/>
    </row>
    <row r="549" spans="4:4" x14ac:dyDescent="0.45">
      <c r="D549"/>
    </row>
    <row r="550" spans="4:4" x14ac:dyDescent="0.45">
      <c r="D550"/>
    </row>
    <row r="551" spans="4:4" x14ac:dyDescent="0.45">
      <c r="D551"/>
    </row>
    <row r="552" spans="4:4" x14ac:dyDescent="0.45">
      <c r="D552"/>
    </row>
    <row r="553" spans="4:4" x14ac:dyDescent="0.45">
      <c r="D553"/>
    </row>
    <row r="554" spans="4:4" x14ac:dyDescent="0.45">
      <c r="D554"/>
    </row>
    <row r="555" spans="4:4" x14ac:dyDescent="0.45">
      <c r="D555"/>
    </row>
    <row r="556" spans="4:4" x14ac:dyDescent="0.45">
      <c r="D556"/>
    </row>
    <row r="557" spans="4:4" x14ac:dyDescent="0.45">
      <c r="D557"/>
    </row>
    <row r="558" spans="4:4" x14ac:dyDescent="0.45">
      <c r="D558"/>
    </row>
    <row r="559" spans="4:4" x14ac:dyDescent="0.45">
      <c r="D559"/>
    </row>
    <row r="560" spans="4:4" x14ac:dyDescent="0.45">
      <c r="D560"/>
    </row>
    <row r="561" spans="4:4" x14ac:dyDescent="0.45">
      <c r="D561"/>
    </row>
    <row r="562" spans="4:4" x14ac:dyDescent="0.45">
      <c r="D562"/>
    </row>
    <row r="563" spans="4:4" x14ac:dyDescent="0.45">
      <c r="D563"/>
    </row>
    <row r="564" spans="4:4" x14ac:dyDescent="0.45">
      <c r="D564"/>
    </row>
    <row r="565" spans="4:4" x14ac:dyDescent="0.45">
      <c r="D565"/>
    </row>
    <row r="566" spans="4:4" x14ac:dyDescent="0.45">
      <c r="D566"/>
    </row>
    <row r="567" spans="4:4" x14ac:dyDescent="0.45">
      <c r="D567"/>
    </row>
    <row r="568" spans="4:4" x14ac:dyDescent="0.45">
      <c r="D568"/>
    </row>
    <row r="569" spans="4:4" x14ac:dyDescent="0.45">
      <c r="D569"/>
    </row>
    <row r="570" spans="4:4" x14ac:dyDescent="0.45">
      <c r="D570"/>
    </row>
    <row r="571" spans="4:4" x14ac:dyDescent="0.45">
      <c r="D571"/>
    </row>
    <row r="572" spans="4:4" x14ac:dyDescent="0.45">
      <c r="D572"/>
    </row>
    <row r="573" spans="4:4" x14ac:dyDescent="0.45">
      <c r="D573"/>
    </row>
    <row r="574" spans="4:4" x14ac:dyDescent="0.45">
      <c r="D574"/>
    </row>
    <row r="575" spans="4:4" x14ac:dyDescent="0.45">
      <c r="D575"/>
    </row>
    <row r="576" spans="4:4" x14ac:dyDescent="0.45">
      <c r="D576"/>
    </row>
    <row r="577" spans="4:4" x14ac:dyDescent="0.45">
      <c r="D577"/>
    </row>
    <row r="578" spans="4:4" x14ac:dyDescent="0.45">
      <c r="D578"/>
    </row>
    <row r="579" spans="4:4" x14ac:dyDescent="0.45">
      <c r="D579"/>
    </row>
    <row r="580" spans="4:4" x14ac:dyDescent="0.45">
      <c r="D580"/>
    </row>
    <row r="581" spans="4:4" x14ac:dyDescent="0.45">
      <c r="D581"/>
    </row>
    <row r="582" spans="4:4" x14ac:dyDescent="0.45">
      <c r="D582"/>
    </row>
    <row r="583" spans="4:4" x14ac:dyDescent="0.45">
      <c r="D583"/>
    </row>
    <row r="584" spans="4:4" x14ac:dyDescent="0.45">
      <c r="D584"/>
    </row>
    <row r="585" spans="4:4" x14ac:dyDescent="0.45">
      <c r="D585"/>
    </row>
    <row r="586" spans="4:4" x14ac:dyDescent="0.45">
      <c r="D586"/>
    </row>
    <row r="587" spans="4:4" x14ac:dyDescent="0.45">
      <c r="D587"/>
    </row>
    <row r="588" spans="4:4" x14ac:dyDescent="0.45">
      <c r="D588"/>
    </row>
    <row r="589" spans="4:4" x14ac:dyDescent="0.45">
      <c r="D589"/>
    </row>
    <row r="590" spans="4:4" x14ac:dyDescent="0.45">
      <c r="D590"/>
    </row>
    <row r="591" spans="4:4" x14ac:dyDescent="0.45">
      <c r="D591"/>
    </row>
    <row r="592" spans="4:4" x14ac:dyDescent="0.45">
      <c r="D592"/>
    </row>
    <row r="593" spans="4:4" x14ac:dyDescent="0.45">
      <c r="D593"/>
    </row>
    <row r="594" spans="4:4" x14ac:dyDescent="0.45">
      <c r="D594"/>
    </row>
    <row r="595" spans="4:4" x14ac:dyDescent="0.45">
      <c r="D595"/>
    </row>
    <row r="596" spans="4:4" x14ac:dyDescent="0.45">
      <c r="D596"/>
    </row>
    <row r="597" spans="4:4" x14ac:dyDescent="0.45">
      <c r="D597"/>
    </row>
    <row r="598" spans="4:4" x14ac:dyDescent="0.45">
      <c r="D598"/>
    </row>
    <row r="599" spans="4:4" x14ac:dyDescent="0.45">
      <c r="D599"/>
    </row>
    <row r="600" spans="4:4" x14ac:dyDescent="0.45">
      <c r="D600"/>
    </row>
    <row r="601" spans="4:4" x14ac:dyDescent="0.45">
      <c r="D601"/>
    </row>
    <row r="602" spans="4:4" x14ac:dyDescent="0.45">
      <c r="D602"/>
    </row>
    <row r="603" spans="4:4" x14ac:dyDescent="0.45">
      <c r="D603"/>
    </row>
    <row r="604" spans="4:4" x14ac:dyDescent="0.45">
      <c r="D604"/>
    </row>
    <row r="605" spans="4:4" x14ac:dyDescent="0.45">
      <c r="D605"/>
    </row>
    <row r="606" spans="4:4" x14ac:dyDescent="0.45">
      <c r="D606"/>
    </row>
    <row r="607" spans="4:4" x14ac:dyDescent="0.45">
      <c r="D607"/>
    </row>
    <row r="608" spans="4:4" x14ac:dyDescent="0.45">
      <c r="D608"/>
    </row>
    <row r="609" spans="4:4" x14ac:dyDescent="0.45">
      <c r="D609"/>
    </row>
    <row r="610" spans="4:4" x14ac:dyDescent="0.45">
      <c r="D610"/>
    </row>
    <row r="611" spans="4:4" x14ac:dyDescent="0.45">
      <c r="D611"/>
    </row>
    <row r="612" spans="4:4" x14ac:dyDescent="0.45">
      <c r="D612"/>
    </row>
    <row r="613" spans="4:4" x14ac:dyDescent="0.45">
      <c r="D613"/>
    </row>
    <row r="614" spans="4:4" x14ac:dyDescent="0.45">
      <c r="D614"/>
    </row>
    <row r="615" spans="4:4" x14ac:dyDescent="0.45">
      <c r="D615"/>
    </row>
    <row r="616" spans="4:4" x14ac:dyDescent="0.45">
      <c r="D616"/>
    </row>
    <row r="617" spans="4:4" x14ac:dyDescent="0.45">
      <c r="D617"/>
    </row>
    <row r="618" spans="4:4" x14ac:dyDescent="0.45">
      <c r="D618"/>
    </row>
    <row r="619" spans="4:4" x14ac:dyDescent="0.45">
      <c r="D619"/>
    </row>
    <row r="620" spans="4:4" x14ac:dyDescent="0.45">
      <c r="D620"/>
    </row>
    <row r="621" spans="4:4" x14ac:dyDescent="0.45">
      <c r="D621"/>
    </row>
    <row r="622" spans="4:4" x14ac:dyDescent="0.45">
      <c r="D622"/>
    </row>
    <row r="623" spans="4:4" x14ac:dyDescent="0.45">
      <c r="D623"/>
    </row>
    <row r="624" spans="4:4" x14ac:dyDescent="0.45">
      <c r="D624"/>
    </row>
    <row r="625" spans="4:4" x14ac:dyDescent="0.45">
      <c r="D625"/>
    </row>
    <row r="626" spans="4:4" x14ac:dyDescent="0.45">
      <c r="D626"/>
    </row>
    <row r="627" spans="4:4" x14ac:dyDescent="0.45">
      <c r="D627"/>
    </row>
    <row r="628" spans="4:4" x14ac:dyDescent="0.45">
      <c r="D628"/>
    </row>
    <row r="629" spans="4:4" x14ac:dyDescent="0.45">
      <c r="D629"/>
    </row>
    <row r="630" spans="4:4" x14ac:dyDescent="0.45">
      <c r="D630"/>
    </row>
    <row r="631" spans="4:4" x14ac:dyDescent="0.45">
      <c r="D631"/>
    </row>
    <row r="632" spans="4:4" x14ac:dyDescent="0.45">
      <c r="D632"/>
    </row>
    <row r="633" spans="4:4" x14ac:dyDescent="0.45">
      <c r="D633"/>
    </row>
    <row r="634" spans="4:4" x14ac:dyDescent="0.45">
      <c r="D634"/>
    </row>
    <row r="635" spans="4:4" x14ac:dyDescent="0.45">
      <c r="D635"/>
    </row>
    <row r="636" spans="4:4" x14ac:dyDescent="0.45">
      <c r="D636"/>
    </row>
    <row r="637" spans="4:4" x14ac:dyDescent="0.45">
      <c r="D637"/>
    </row>
    <row r="638" spans="4:4" x14ac:dyDescent="0.45">
      <c r="D638"/>
    </row>
    <row r="639" spans="4:4" x14ac:dyDescent="0.45">
      <c r="D639"/>
    </row>
    <row r="640" spans="4:4" x14ac:dyDescent="0.45">
      <c r="D640"/>
    </row>
    <row r="641" spans="4:4" x14ac:dyDescent="0.45">
      <c r="D641"/>
    </row>
    <row r="642" spans="4:4" x14ac:dyDescent="0.45">
      <c r="D642"/>
    </row>
    <row r="643" spans="4:4" x14ac:dyDescent="0.45">
      <c r="D643"/>
    </row>
    <row r="644" spans="4:4" x14ac:dyDescent="0.45">
      <c r="D644"/>
    </row>
    <row r="645" spans="4:4" x14ac:dyDescent="0.45">
      <c r="D645"/>
    </row>
    <row r="646" spans="4:4" x14ac:dyDescent="0.45">
      <c r="D646"/>
    </row>
    <row r="647" spans="4:4" x14ac:dyDescent="0.45">
      <c r="D647"/>
    </row>
    <row r="648" spans="4:4" x14ac:dyDescent="0.45">
      <c r="D648"/>
    </row>
    <row r="649" spans="4:4" x14ac:dyDescent="0.45">
      <c r="D649"/>
    </row>
    <row r="650" spans="4:4" x14ac:dyDescent="0.45">
      <c r="D650"/>
    </row>
    <row r="651" spans="4:4" x14ac:dyDescent="0.45">
      <c r="D651"/>
    </row>
    <row r="652" spans="4:4" x14ac:dyDescent="0.45">
      <c r="D652"/>
    </row>
    <row r="653" spans="4:4" x14ac:dyDescent="0.45">
      <c r="D653"/>
    </row>
    <row r="654" spans="4:4" x14ac:dyDescent="0.45">
      <c r="D654"/>
    </row>
    <row r="655" spans="4:4" x14ac:dyDescent="0.45">
      <c r="D655"/>
    </row>
    <row r="656" spans="4:4" x14ac:dyDescent="0.45">
      <c r="D656"/>
    </row>
    <row r="657" spans="4:4" x14ac:dyDescent="0.45">
      <c r="D657"/>
    </row>
    <row r="658" spans="4:4" x14ac:dyDescent="0.45">
      <c r="D658"/>
    </row>
    <row r="659" spans="4:4" x14ac:dyDescent="0.45">
      <c r="D659"/>
    </row>
    <row r="660" spans="4:4" x14ac:dyDescent="0.45">
      <c r="D660"/>
    </row>
    <row r="661" spans="4:4" x14ac:dyDescent="0.45">
      <c r="D661"/>
    </row>
    <row r="662" spans="4:4" x14ac:dyDescent="0.45">
      <c r="D662"/>
    </row>
    <row r="663" spans="4:4" x14ac:dyDescent="0.45">
      <c r="D663"/>
    </row>
    <row r="664" spans="4:4" x14ac:dyDescent="0.45">
      <c r="D664"/>
    </row>
    <row r="665" spans="4:4" x14ac:dyDescent="0.45">
      <c r="D665"/>
    </row>
    <row r="666" spans="4:4" x14ac:dyDescent="0.45">
      <c r="D666"/>
    </row>
    <row r="667" spans="4:4" x14ac:dyDescent="0.45">
      <c r="D667"/>
    </row>
    <row r="668" spans="4:4" x14ac:dyDescent="0.45">
      <c r="D668"/>
    </row>
    <row r="669" spans="4:4" x14ac:dyDescent="0.45">
      <c r="D669"/>
    </row>
    <row r="670" spans="4:4" x14ac:dyDescent="0.45">
      <c r="D670"/>
    </row>
    <row r="671" spans="4:4" x14ac:dyDescent="0.45">
      <c r="D671"/>
    </row>
    <row r="672" spans="4:4" x14ac:dyDescent="0.45">
      <c r="D672"/>
    </row>
    <row r="673" spans="4:4" x14ac:dyDescent="0.45">
      <c r="D673"/>
    </row>
    <row r="674" spans="4:4" x14ac:dyDescent="0.45">
      <c r="D674"/>
    </row>
    <row r="675" spans="4:4" x14ac:dyDescent="0.45">
      <c r="D675"/>
    </row>
    <row r="676" spans="4:4" x14ac:dyDescent="0.45">
      <c r="D676"/>
    </row>
    <row r="677" spans="4:4" x14ac:dyDescent="0.45">
      <c r="D677"/>
    </row>
    <row r="678" spans="4:4" x14ac:dyDescent="0.45">
      <c r="D678"/>
    </row>
    <row r="679" spans="4:4" x14ac:dyDescent="0.45">
      <c r="D679"/>
    </row>
    <row r="680" spans="4:4" x14ac:dyDescent="0.45">
      <c r="D680"/>
    </row>
    <row r="681" spans="4:4" x14ac:dyDescent="0.45">
      <c r="D681"/>
    </row>
    <row r="682" spans="4:4" x14ac:dyDescent="0.45">
      <c r="D682"/>
    </row>
    <row r="683" spans="4:4" x14ac:dyDescent="0.45">
      <c r="D683"/>
    </row>
    <row r="684" spans="4:4" x14ac:dyDescent="0.45">
      <c r="D684"/>
    </row>
    <row r="685" spans="4:4" x14ac:dyDescent="0.45">
      <c r="D685"/>
    </row>
    <row r="686" spans="4:4" x14ac:dyDescent="0.45">
      <c r="D686"/>
    </row>
    <row r="687" spans="4:4" x14ac:dyDescent="0.45">
      <c r="D687"/>
    </row>
    <row r="688" spans="4:4" x14ac:dyDescent="0.45">
      <c r="D688"/>
    </row>
    <row r="689" spans="4:4" x14ac:dyDescent="0.45">
      <c r="D689"/>
    </row>
    <row r="690" spans="4:4" x14ac:dyDescent="0.45">
      <c r="D690"/>
    </row>
    <row r="691" spans="4:4" x14ac:dyDescent="0.45">
      <c r="D691"/>
    </row>
    <row r="692" spans="4:4" x14ac:dyDescent="0.45">
      <c r="D692"/>
    </row>
    <row r="693" spans="4:4" x14ac:dyDescent="0.45">
      <c r="D693"/>
    </row>
    <row r="694" spans="4:4" x14ac:dyDescent="0.45">
      <c r="D694"/>
    </row>
    <row r="695" spans="4:4" x14ac:dyDescent="0.45">
      <c r="D695"/>
    </row>
    <row r="696" spans="4:4" x14ac:dyDescent="0.45">
      <c r="D696"/>
    </row>
    <row r="697" spans="4:4" x14ac:dyDescent="0.45">
      <c r="D697"/>
    </row>
    <row r="698" spans="4:4" x14ac:dyDescent="0.45">
      <c r="D698"/>
    </row>
    <row r="699" spans="4:4" x14ac:dyDescent="0.45">
      <c r="D699"/>
    </row>
    <row r="700" spans="4:4" x14ac:dyDescent="0.45">
      <c r="D700"/>
    </row>
    <row r="701" spans="4:4" x14ac:dyDescent="0.45">
      <c r="D701"/>
    </row>
    <row r="702" spans="4:4" x14ac:dyDescent="0.45">
      <c r="D702"/>
    </row>
    <row r="703" spans="4:4" x14ac:dyDescent="0.45">
      <c r="D703"/>
    </row>
    <row r="704" spans="4:4" x14ac:dyDescent="0.45">
      <c r="D704"/>
    </row>
    <row r="705" spans="4:4" x14ac:dyDescent="0.45">
      <c r="D705"/>
    </row>
    <row r="706" spans="4:4" x14ac:dyDescent="0.45">
      <c r="D706"/>
    </row>
    <row r="707" spans="4:4" x14ac:dyDescent="0.45">
      <c r="D707"/>
    </row>
    <row r="708" spans="4:4" x14ac:dyDescent="0.45">
      <c r="D708"/>
    </row>
    <row r="709" spans="4:4" x14ac:dyDescent="0.45">
      <c r="D709"/>
    </row>
    <row r="710" spans="4:4" x14ac:dyDescent="0.45">
      <c r="D710"/>
    </row>
    <row r="711" spans="4:4" x14ac:dyDescent="0.45">
      <c r="D711"/>
    </row>
    <row r="712" spans="4:4" x14ac:dyDescent="0.45">
      <c r="D712"/>
    </row>
    <row r="713" spans="4:4" x14ac:dyDescent="0.45">
      <c r="D713"/>
    </row>
    <row r="714" spans="4:4" x14ac:dyDescent="0.45">
      <c r="D714"/>
    </row>
    <row r="715" spans="4:4" x14ac:dyDescent="0.45">
      <c r="D715"/>
    </row>
    <row r="716" spans="4:4" x14ac:dyDescent="0.45">
      <c r="D716"/>
    </row>
    <row r="717" spans="4:4" x14ac:dyDescent="0.45">
      <c r="D717"/>
    </row>
    <row r="718" spans="4:4" x14ac:dyDescent="0.45">
      <c r="D718"/>
    </row>
    <row r="719" spans="4:4" x14ac:dyDescent="0.45">
      <c r="D719"/>
    </row>
    <row r="720" spans="4:4" x14ac:dyDescent="0.45">
      <c r="D720"/>
    </row>
    <row r="721" spans="4:4" x14ac:dyDescent="0.45">
      <c r="D721"/>
    </row>
    <row r="722" spans="4:4" x14ac:dyDescent="0.45">
      <c r="D722"/>
    </row>
    <row r="723" spans="4:4" x14ac:dyDescent="0.45">
      <c r="D723"/>
    </row>
    <row r="724" spans="4:4" x14ac:dyDescent="0.45">
      <c r="D724"/>
    </row>
    <row r="725" spans="4:4" x14ac:dyDescent="0.45">
      <c r="D725"/>
    </row>
    <row r="726" spans="4:4" x14ac:dyDescent="0.45">
      <c r="D726"/>
    </row>
    <row r="727" spans="4:4" x14ac:dyDescent="0.45">
      <c r="D727"/>
    </row>
    <row r="728" spans="4:4" x14ac:dyDescent="0.45">
      <c r="D728"/>
    </row>
    <row r="729" spans="4:4" x14ac:dyDescent="0.45">
      <c r="D729"/>
    </row>
    <row r="730" spans="4:4" x14ac:dyDescent="0.45">
      <c r="D730"/>
    </row>
    <row r="731" spans="4:4" x14ac:dyDescent="0.45">
      <c r="D731"/>
    </row>
    <row r="732" spans="4:4" x14ac:dyDescent="0.45">
      <c r="D732"/>
    </row>
    <row r="733" spans="4:4" x14ac:dyDescent="0.45">
      <c r="D733"/>
    </row>
    <row r="734" spans="4:4" x14ac:dyDescent="0.45">
      <c r="D734"/>
    </row>
    <row r="735" spans="4:4" x14ac:dyDescent="0.45">
      <c r="D735"/>
    </row>
    <row r="736" spans="4:4" x14ac:dyDescent="0.45">
      <c r="D736"/>
    </row>
    <row r="737" spans="4:4" x14ac:dyDescent="0.45">
      <c r="D737"/>
    </row>
    <row r="738" spans="4:4" x14ac:dyDescent="0.45">
      <c r="D738"/>
    </row>
    <row r="739" spans="4:4" x14ac:dyDescent="0.45">
      <c r="D739"/>
    </row>
    <row r="740" spans="4:4" x14ac:dyDescent="0.45">
      <c r="D740"/>
    </row>
    <row r="741" spans="4:4" x14ac:dyDescent="0.45">
      <c r="D741"/>
    </row>
    <row r="742" spans="4:4" x14ac:dyDescent="0.45">
      <c r="D742"/>
    </row>
    <row r="743" spans="4:4" x14ac:dyDescent="0.45">
      <c r="D743"/>
    </row>
    <row r="744" spans="4:4" x14ac:dyDescent="0.45">
      <c r="D744"/>
    </row>
    <row r="745" spans="4:4" x14ac:dyDescent="0.45">
      <c r="D745"/>
    </row>
    <row r="746" spans="4:4" x14ac:dyDescent="0.45">
      <c r="D746"/>
    </row>
    <row r="747" spans="4:4" x14ac:dyDescent="0.45">
      <c r="D747"/>
    </row>
    <row r="748" spans="4:4" x14ac:dyDescent="0.45">
      <c r="D748"/>
    </row>
    <row r="749" spans="4:4" x14ac:dyDescent="0.45">
      <c r="D749"/>
    </row>
    <row r="750" spans="4:4" x14ac:dyDescent="0.45">
      <c r="D750"/>
    </row>
    <row r="751" spans="4:4" x14ac:dyDescent="0.45">
      <c r="D751"/>
    </row>
    <row r="752" spans="4:4" x14ac:dyDescent="0.45">
      <c r="D752"/>
    </row>
    <row r="753" spans="4:4" x14ac:dyDescent="0.45">
      <c r="D753"/>
    </row>
    <row r="754" spans="4:4" x14ac:dyDescent="0.45">
      <c r="D754"/>
    </row>
    <row r="755" spans="4:4" x14ac:dyDescent="0.45">
      <c r="D755"/>
    </row>
    <row r="756" spans="4:4" x14ac:dyDescent="0.45">
      <c r="D756"/>
    </row>
    <row r="757" spans="4:4" x14ac:dyDescent="0.45">
      <c r="D757"/>
    </row>
    <row r="758" spans="4:4" x14ac:dyDescent="0.45">
      <c r="D758"/>
    </row>
    <row r="759" spans="4:4" x14ac:dyDescent="0.45">
      <c r="D759"/>
    </row>
    <row r="760" spans="4:4" x14ac:dyDescent="0.45">
      <c r="D760"/>
    </row>
    <row r="761" spans="4:4" x14ac:dyDescent="0.45">
      <c r="D761"/>
    </row>
    <row r="762" spans="4:4" x14ac:dyDescent="0.45">
      <c r="D762"/>
    </row>
    <row r="763" spans="4:4" x14ac:dyDescent="0.45">
      <c r="D763"/>
    </row>
    <row r="764" spans="4:4" x14ac:dyDescent="0.45">
      <c r="D764"/>
    </row>
    <row r="765" spans="4:4" x14ac:dyDescent="0.45">
      <c r="D765"/>
    </row>
    <row r="766" spans="4:4" x14ac:dyDescent="0.45">
      <c r="D766"/>
    </row>
    <row r="767" spans="4:4" x14ac:dyDescent="0.45">
      <c r="D767"/>
    </row>
    <row r="768" spans="4:4" x14ac:dyDescent="0.45">
      <c r="D768"/>
    </row>
    <row r="769" spans="4:4" x14ac:dyDescent="0.45">
      <c r="D769"/>
    </row>
    <row r="770" spans="4:4" x14ac:dyDescent="0.45">
      <c r="D770"/>
    </row>
    <row r="771" spans="4:4" x14ac:dyDescent="0.45">
      <c r="D771"/>
    </row>
    <row r="772" spans="4:4" x14ac:dyDescent="0.45">
      <c r="D772"/>
    </row>
    <row r="773" spans="4:4" x14ac:dyDescent="0.45">
      <c r="D773"/>
    </row>
    <row r="774" spans="4:4" x14ac:dyDescent="0.45">
      <c r="D774"/>
    </row>
    <row r="775" spans="4:4" x14ac:dyDescent="0.45">
      <c r="D775"/>
    </row>
    <row r="776" spans="4:4" x14ac:dyDescent="0.45">
      <c r="D776"/>
    </row>
    <row r="777" spans="4:4" x14ac:dyDescent="0.45">
      <c r="D777"/>
    </row>
    <row r="778" spans="4:4" x14ac:dyDescent="0.45">
      <c r="D778"/>
    </row>
    <row r="779" spans="4:4" x14ac:dyDescent="0.45">
      <c r="D779"/>
    </row>
    <row r="780" spans="4:4" x14ac:dyDescent="0.45">
      <c r="D780"/>
    </row>
    <row r="781" spans="4:4" x14ac:dyDescent="0.45">
      <c r="D781"/>
    </row>
    <row r="782" spans="4:4" x14ac:dyDescent="0.45">
      <c r="D782"/>
    </row>
    <row r="783" spans="4:4" x14ac:dyDescent="0.45">
      <c r="D783"/>
    </row>
    <row r="784" spans="4:4" x14ac:dyDescent="0.45">
      <c r="D784"/>
    </row>
    <row r="785" spans="4:4" x14ac:dyDescent="0.45">
      <c r="D785"/>
    </row>
    <row r="786" spans="4:4" x14ac:dyDescent="0.45">
      <c r="D786"/>
    </row>
    <row r="787" spans="4:4" x14ac:dyDescent="0.45">
      <c r="D787"/>
    </row>
    <row r="788" spans="4:4" x14ac:dyDescent="0.45">
      <c r="D788"/>
    </row>
    <row r="789" spans="4:4" x14ac:dyDescent="0.45">
      <c r="D789"/>
    </row>
    <row r="790" spans="4:4" x14ac:dyDescent="0.45">
      <c r="D790"/>
    </row>
    <row r="791" spans="4:4" x14ac:dyDescent="0.45">
      <c r="D791"/>
    </row>
    <row r="792" spans="4:4" x14ac:dyDescent="0.45">
      <c r="D792"/>
    </row>
    <row r="793" spans="4:4" x14ac:dyDescent="0.45">
      <c r="D793"/>
    </row>
    <row r="794" spans="4:4" x14ac:dyDescent="0.45">
      <c r="D794"/>
    </row>
    <row r="795" spans="4:4" x14ac:dyDescent="0.45">
      <c r="D795"/>
    </row>
    <row r="796" spans="4:4" x14ac:dyDescent="0.45">
      <c r="D796"/>
    </row>
    <row r="797" spans="4:4" x14ac:dyDescent="0.45">
      <c r="D797"/>
    </row>
    <row r="798" spans="4:4" x14ac:dyDescent="0.45">
      <c r="D798"/>
    </row>
    <row r="799" spans="4:4" x14ac:dyDescent="0.45">
      <c r="D799"/>
    </row>
    <row r="800" spans="4:4" x14ac:dyDescent="0.45">
      <c r="D800"/>
    </row>
    <row r="801" spans="4:4" x14ac:dyDescent="0.45">
      <c r="D801"/>
    </row>
    <row r="802" spans="4:4" x14ac:dyDescent="0.45">
      <c r="D802"/>
    </row>
    <row r="803" spans="4:4" x14ac:dyDescent="0.45">
      <c r="D803"/>
    </row>
    <row r="804" spans="4:4" x14ac:dyDescent="0.45">
      <c r="D804"/>
    </row>
    <row r="805" spans="4:4" x14ac:dyDescent="0.45">
      <c r="D805"/>
    </row>
    <row r="806" spans="4:4" x14ac:dyDescent="0.45">
      <c r="D806"/>
    </row>
    <row r="807" spans="4:4" x14ac:dyDescent="0.45">
      <c r="D807"/>
    </row>
    <row r="808" spans="4:4" x14ac:dyDescent="0.45">
      <c r="D808"/>
    </row>
    <row r="809" spans="4:4" x14ac:dyDescent="0.45">
      <c r="D809"/>
    </row>
    <row r="810" spans="4:4" x14ac:dyDescent="0.45">
      <c r="D810"/>
    </row>
    <row r="811" spans="4:4" x14ac:dyDescent="0.45">
      <c r="D811"/>
    </row>
    <row r="812" spans="4:4" x14ac:dyDescent="0.45">
      <c r="D812"/>
    </row>
    <row r="813" spans="4:4" x14ac:dyDescent="0.45">
      <c r="D813"/>
    </row>
    <row r="814" spans="4:4" x14ac:dyDescent="0.45">
      <c r="D814"/>
    </row>
    <row r="815" spans="4:4" x14ac:dyDescent="0.45">
      <c r="D815"/>
    </row>
    <row r="816" spans="4:4" x14ac:dyDescent="0.45">
      <c r="D816"/>
    </row>
    <row r="817" spans="4:4" x14ac:dyDescent="0.45">
      <c r="D817"/>
    </row>
    <row r="818" spans="4:4" x14ac:dyDescent="0.45">
      <c r="D818"/>
    </row>
    <row r="819" spans="4:4" x14ac:dyDescent="0.45">
      <c r="D819"/>
    </row>
    <row r="820" spans="4:4" x14ac:dyDescent="0.45">
      <c r="D820"/>
    </row>
    <row r="821" spans="4:4" x14ac:dyDescent="0.45">
      <c r="D821"/>
    </row>
    <row r="822" spans="4:4" x14ac:dyDescent="0.45">
      <c r="D822"/>
    </row>
    <row r="823" spans="4:4" x14ac:dyDescent="0.45">
      <c r="D823"/>
    </row>
    <row r="824" spans="4:4" x14ac:dyDescent="0.45">
      <c r="D824"/>
    </row>
    <row r="825" spans="4:4" x14ac:dyDescent="0.45">
      <c r="D825"/>
    </row>
    <row r="826" spans="4:4" x14ac:dyDescent="0.45">
      <c r="D826"/>
    </row>
    <row r="827" spans="4:4" x14ac:dyDescent="0.45">
      <c r="D827"/>
    </row>
    <row r="828" spans="4:4" x14ac:dyDescent="0.45">
      <c r="D828"/>
    </row>
    <row r="829" spans="4:4" x14ac:dyDescent="0.45">
      <c r="D829"/>
    </row>
    <row r="830" spans="4:4" x14ac:dyDescent="0.45">
      <c r="D830"/>
    </row>
    <row r="831" spans="4:4" x14ac:dyDescent="0.45">
      <c r="D831"/>
    </row>
    <row r="832" spans="4:4" x14ac:dyDescent="0.45">
      <c r="D832"/>
    </row>
    <row r="833" spans="4:4" x14ac:dyDescent="0.45">
      <c r="D833"/>
    </row>
    <row r="834" spans="4:4" x14ac:dyDescent="0.45">
      <c r="D834"/>
    </row>
    <row r="835" spans="4:4" x14ac:dyDescent="0.45">
      <c r="D835"/>
    </row>
    <row r="836" spans="4:4" x14ac:dyDescent="0.45">
      <c r="D836"/>
    </row>
    <row r="837" spans="4:4" x14ac:dyDescent="0.45">
      <c r="D837"/>
    </row>
    <row r="838" spans="4:4" x14ac:dyDescent="0.45">
      <c r="D838"/>
    </row>
    <row r="839" spans="4:4" x14ac:dyDescent="0.45">
      <c r="D839"/>
    </row>
    <row r="840" spans="4:4" x14ac:dyDescent="0.45">
      <c r="D840"/>
    </row>
    <row r="841" spans="4:4" x14ac:dyDescent="0.45">
      <c r="D841"/>
    </row>
    <row r="842" spans="4:4" x14ac:dyDescent="0.45">
      <c r="D842"/>
    </row>
    <row r="843" spans="4:4" x14ac:dyDescent="0.45">
      <c r="D843"/>
    </row>
    <row r="844" spans="4:4" x14ac:dyDescent="0.45">
      <c r="D844"/>
    </row>
    <row r="845" spans="4:4" x14ac:dyDescent="0.45">
      <c r="D845"/>
    </row>
    <row r="846" spans="4:4" x14ac:dyDescent="0.45">
      <c r="D846"/>
    </row>
    <row r="847" spans="4:4" x14ac:dyDescent="0.45">
      <c r="D847"/>
    </row>
    <row r="848" spans="4:4" x14ac:dyDescent="0.45">
      <c r="D848"/>
    </row>
    <row r="849" spans="4:4" x14ac:dyDescent="0.45">
      <c r="D849"/>
    </row>
    <row r="850" spans="4:4" x14ac:dyDescent="0.45">
      <c r="D850"/>
    </row>
    <row r="851" spans="4:4" x14ac:dyDescent="0.45">
      <c r="D851"/>
    </row>
    <row r="852" spans="4:4" x14ac:dyDescent="0.45">
      <c r="D852"/>
    </row>
    <row r="853" spans="4:4" x14ac:dyDescent="0.45">
      <c r="D853"/>
    </row>
    <row r="854" spans="4:4" x14ac:dyDescent="0.45">
      <c r="D854"/>
    </row>
    <row r="855" spans="4:4" x14ac:dyDescent="0.45">
      <c r="D855"/>
    </row>
    <row r="856" spans="4:4" x14ac:dyDescent="0.45">
      <c r="D856"/>
    </row>
    <row r="857" spans="4:4" x14ac:dyDescent="0.45">
      <c r="D857"/>
    </row>
    <row r="858" spans="4:4" x14ac:dyDescent="0.45">
      <c r="D858"/>
    </row>
    <row r="859" spans="4:4" x14ac:dyDescent="0.45">
      <c r="D859"/>
    </row>
    <row r="860" spans="4:4" x14ac:dyDescent="0.45">
      <c r="D860"/>
    </row>
    <row r="861" spans="4:4" x14ac:dyDescent="0.45">
      <c r="D861"/>
    </row>
    <row r="862" spans="4:4" x14ac:dyDescent="0.45">
      <c r="D862"/>
    </row>
    <row r="863" spans="4:4" x14ac:dyDescent="0.45">
      <c r="D863"/>
    </row>
    <row r="864" spans="4:4" x14ac:dyDescent="0.45">
      <c r="D864"/>
    </row>
    <row r="865" spans="4:4" x14ac:dyDescent="0.45">
      <c r="D865"/>
    </row>
    <row r="866" spans="4:4" x14ac:dyDescent="0.45">
      <c r="D866"/>
    </row>
    <row r="867" spans="4:4" x14ac:dyDescent="0.45">
      <c r="D867"/>
    </row>
    <row r="868" spans="4:4" x14ac:dyDescent="0.45">
      <c r="D868"/>
    </row>
    <row r="869" spans="4:4" x14ac:dyDescent="0.45">
      <c r="D869"/>
    </row>
    <row r="870" spans="4:4" x14ac:dyDescent="0.45">
      <c r="D870"/>
    </row>
    <row r="871" spans="4:4" x14ac:dyDescent="0.45">
      <c r="D871"/>
    </row>
    <row r="872" spans="4:4" x14ac:dyDescent="0.45">
      <c r="D872"/>
    </row>
    <row r="873" spans="4:4" x14ac:dyDescent="0.45">
      <c r="D873"/>
    </row>
    <row r="874" spans="4:4" x14ac:dyDescent="0.45">
      <c r="D874"/>
    </row>
    <row r="875" spans="4:4" x14ac:dyDescent="0.45">
      <c r="D875"/>
    </row>
    <row r="876" spans="4:4" x14ac:dyDescent="0.45">
      <c r="D876"/>
    </row>
    <row r="877" spans="4:4" x14ac:dyDescent="0.45">
      <c r="D877"/>
    </row>
    <row r="878" spans="4:4" x14ac:dyDescent="0.45">
      <c r="D878"/>
    </row>
    <row r="879" spans="4:4" x14ac:dyDescent="0.45">
      <c r="D879"/>
    </row>
    <row r="880" spans="4:4" x14ac:dyDescent="0.45">
      <c r="D880"/>
    </row>
    <row r="881" spans="4:4" x14ac:dyDescent="0.45">
      <c r="D881"/>
    </row>
    <row r="882" spans="4:4" x14ac:dyDescent="0.45">
      <c r="D882"/>
    </row>
    <row r="883" spans="4:4" x14ac:dyDescent="0.45">
      <c r="D883"/>
    </row>
    <row r="884" spans="4:4" x14ac:dyDescent="0.45">
      <c r="D884"/>
    </row>
    <row r="885" spans="4:4" x14ac:dyDescent="0.45">
      <c r="D885"/>
    </row>
    <row r="886" spans="4:4" x14ac:dyDescent="0.45">
      <c r="D886"/>
    </row>
    <row r="887" spans="4:4" x14ac:dyDescent="0.45">
      <c r="D887"/>
    </row>
    <row r="888" spans="4:4" x14ac:dyDescent="0.45">
      <c r="D888"/>
    </row>
    <row r="889" spans="4:4" x14ac:dyDescent="0.45">
      <c r="D889"/>
    </row>
    <row r="890" spans="4:4" x14ac:dyDescent="0.45">
      <c r="D890"/>
    </row>
    <row r="891" spans="4:4" x14ac:dyDescent="0.45">
      <c r="D891"/>
    </row>
    <row r="892" spans="4:4" x14ac:dyDescent="0.45">
      <c r="D892"/>
    </row>
    <row r="893" spans="4:4" x14ac:dyDescent="0.45">
      <c r="D893"/>
    </row>
    <row r="894" spans="4:4" x14ac:dyDescent="0.45">
      <c r="D894"/>
    </row>
    <row r="895" spans="4:4" x14ac:dyDescent="0.45">
      <c r="D895"/>
    </row>
    <row r="896" spans="4:4" x14ac:dyDescent="0.45">
      <c r="D896"/>
    </row>
    <row r="897" spans="4:4" x14ac:dyDescent="0.45">
      <c r="D897"/>
    </row>
    <row r="898" spans="4:4" x14ac:dyDescent="0.45">
      <c r="D898"/>
    </row>
    <row r="899" spans="4:4" x14ac:dyDescent="0.45">
      <c r="D899"/>
    </row>
    <row r="900" spans="4:4" x14ac:dyDescent="0.45">
      <c r="D900"/>
    </row>
    <row r="901" spans="4:4" x14ac:dyDescent="0.45">
      <c r="D901"/>
    </row>
    <row r="902" spans="4:4" x14ac:dyDescent="0.45">
      <c r="D902"/>
    </row>
    <row r="903" spans="4:4" x14ac:dyDescent="0.45">
      <c r="D903"/>
    </row>
    <row r="904" spans="4:4" x14ac:dyDescent="0.45">
      <c r="D904"/>
    </row>
    <row r="905" spans="4:4" x14ac:dyDescent="0.45">
      <c r="D905"/>
    </row>
    <row r="906" spans="4:4" x14ac:dyDescent="0.45">
      <c r="D906"/>
    </row>
    <row r="907" spans="4:4" x14ac:dyDescent="0.45">
      <c r="D907"/>
    </row>
    <row r="908" spans="4:4" x14ac:dyDescent="0.45">
      <c r="D908"/>
    </row>
    <row r="909" spans="4:4" x14ac:dyDescent="0.45">
      <c r="D909"/>
    </row>
    <row r="910" spans="4:4" x14ac:dyDescent="0.45">
      <c r="D910"/>
    </row>
    <row r="911" spans="4:4" x14ac:dyDescent="0.45">
      <c r="D911"/>
    </row>
    <row r="912" spans="4:4" x14ac:dyDescent="0.45">
      <c r="D912"/>
    </row>
    <row r="913" spans="4:4" x14ac:dyDescent="0.45">
      <c r="D913"/>
    </row>
    <row r="914" spans="4:4" x14ac:dyDescent="0.45">
      <c r="D914"/>
    </row>
    <row r="915" spans="4:4" x14ac:dyDescent="0.45">
      <c r="D915"/>
    </row>
    <row r="916" spans="4:4" x14ac:dyDescent="0.45">
      <c r="D916"/>
    </row>
    <row r="917" spans="4:4" x14ac:dyDescent="0.45">
      <c r="D917"/>
    </row>
    <row r="918" spans="4:4" x14ac:dyDescent="0.45">
      <c r="D918"/>
    </row>
    <row r="919" spans="4:4" x14ac:dyDescent="0.45">
      <c r="D919"/>
    </row>
    <row r="920" spans="4:4" x14ac:dyDescent="0.45">
      <c r="D920"/>
    </row>
    <row r="921" spans="4:4" x14ac:dyDescent="0.45">
      <c r="D921"/>
    </row>
    <row r="922" spans="4:4" x14ac:dyDescent="0.45">
      <c r="D922"/>
    </row>
    <row r="923" spans="4:4" x14ac:dyDescent="0.45">
      <c r="D923"/>
    </row>
    <row r="924" spans="4:4" x14ac:dyDescent="0.45">
      <c r="D924"/>
    </row>
    <row r="925" spans="4:4" x14ac:dyDescent="0.45">
      <c r="D925"/>
    </row>
    <row r="926" spans="4:4" x14ac:dyDescent="0.45">
      <c r="D926"/>
    </row>
    <row r="927" spans="4:4" x14ac:dyDescent="0.45">
      <c r="D927"/>
    </row>
    <row r="928" spans="4:4" x14ac:dyDescent="0.45">
      <c r="D928"/>
    </row>
    <row r="929" spans="4:4" x14ac:dyDescent="0.45">
      <c r="D929"/>
    </row>
    <row r="930" spans="4:4" x14ac:dyDescent="0.45">
      <c r="D930"/>
    </row>
    <row r="931" spans="4:4" x14ac:dyDescent="0.45">
      <c r="D931"/>
    </row>
    <row r="932" spans="4:4" x14ac:dyDescent="0.45">
      <c r="D932"/>
    </row>
    <row r="933" spans="4:4" x14ac:dyDescent="0.45">
      <c r="D933"/>
    </row>
    <row r="934" spans="4:4" x14ac:dyDescent="0.45">
      <c r="D934"/>
    </row>
    <row r="935" spans="4:4" x14ac:dyDescent="0.45">
      <c r="D935"/>
    </row>
    <row r="936" spans="4:4" x14ac:dyDescent="0.45">
      <c r="D936"/>
    </row>
    <row r="937" spans="4:4" x14ac:dyDescent="0.45">
      <c r="D937"/>
    </row>
    <row r="938" spans="4:4" x14ac:dyDescent="0.45">
      <c r="D938"/>
    </row>
    <row r="939" spans="4:4" x14ac:dyDescent="0.45">
      <c r="D939"/>
    </row>
    <row r="940" spans="4:4" x14ac:dyDescent="0.45">
      <c r="D940"/>
    </row>
    <row r="941" spans="4:4" x14ac:dyDescent="0.45">
      <c r="D941"/>
    </row>
    <row r="942" spans="4:4" x14ac:dyDescent="0.45">
      <c r="D942"/>
    </row>
    <row r="943" spans="4:4" x14ac:dyDescent="0.45">
      <c r="D943"/>
    </row>
    <row r="944" spans="4:4" x14ac:dyDescent="0.45">
      <c r="D944"/>
    </row>
    <row r="945" spans="4:4" x14ac:dyDescent="0.45">
      <c r="D945"/>
    </row>
    <row r="946" spans="4:4" x14ac:dyDescent="0.45">
      <c r="D946"/>
    </row>
    <row r="947" spans="4:4" x14ac:dyDescent="0.45">
      <c r="D947"/>
    </row>
    <row r="948" spans="4:4" x14ac:dyDescent="0.45">
      <c r="D948"/>
    </row>
    <row r="949" spans="4:4" x14ac:dyDescent="0.45">
      <c r="D949"/>
    </row>
    <row r="950" spans="4:4" x14ac:dyDescent="0.45">
      <c r="D950"/>
    </row>
    <row r="951" spans="4:4" x14ac:dyDescent="0.45">
      <c r="D951"/>
    </row>
    <row r="952" spans="4:4" x14ac:dyDescent="0.45">
      <c r="D952"/>
    </row>
    <row r="953" spans="4:4" x14ac:dyDescent="0.45">
      <c r="D953"/>
    </row>
    <row r="954" spans="4:4" x14ac:dyDescent="0.45">
      <c r="D954"/>
    </row>
    <row r="955" spans="4:4" x14ac:dyDescent="0.45">
      <c r="D955"/>
    </row>
    <row r="956" spans="4:4" x14ac:dyDescent="0.45">
      <c r="D956"/>
    </row>
    <row r="957" spans="4:4" x14ac:dyDescent="0.45">
      <c r="D957"/>
    </row>
    <row r="958" spans="4:4" x14ac:dyDescent="0.45">
      <c r="D958"/>
    </row>
    <row r="959" spans="4:4" x14ac:dyDescent="0.45">
      <c r="D959"/>
    </row>
    <row r="960" spans="4:4" x14ac:dyDescent="0.45">
      <c r="D960"/>
    </row>
    <row r="961" spans="4:4" x14ac:dyDescent="0.45">
      <c r="D961"/>
    </row>
    <row r="962" spans="4:4" x14ac:dyDescent="0.45">
      <c r="D962"/>
    </row>
    <row r="963" spans="4:4" x14ac:dyDescent="0.45">
      <c r="D963"/>
    </row>
    <row r="964" spans="4:4" x14ac:dyDescent="0.45">
      <c r="D964"/>
    </row>
    <row r="965" spans="4:4" x14ac:dyDescent="0.45">
      <c r="D965"/>
    </row>
    <row r="966" spans="4:4" x14ac:dyDescent="0.45">
      <c r="D966"/>
    </row>
    <row r="967" spans="4:4" x14ac:dyDescent="0.45">
      <c r="D967"/>
    </row>
    <row r="968" spans="4:4" x14ac:dyDescent="0.45">
      <c r="D968"/>
    </row>
    <row r="969" spans="4:4" x14ac:dyDescent="0.45">
      <c r="D969"/>
    </row>
    <row r="970" spans="4:4" x14ac:dyDescent="0.45">
      <c r="D970"/>
    </row>
    <row r="971" spans="4:4" x14ac:dyDescent="0.45">
      <c r="D971"/>
    </row>
    <row r="972" spans="4:4" x14ac:dyDescent="0.45">
      <c r="D972"/>
    </row>
    <row r="973" spans="4:4" x14ac:dyDescent="0.45">
      <c r="D973"/>
    </row>
    <row r="974" spans="4:4" x14ac:dyDescent="0.45">
      <c r="D974"/>
    </row>
    <row r="975" spans="4:4" x14ac:dyDescent="0.45">
      <c r="D975"/>
    </row>
    <row r="976" spans="4:4" x14ac:dyDescent="0.45">
      <c r="D976"/>
    </row>
    <row r="977" spans="4:4" x14ac:dyDescent="0.45">
      <c r="D977"/>
    </row>
    <row r="978" spans="4:4" x14ac:dyDescent="0.45">
      <c r="D978"/>
    </row>
    <row r="979" spans="4:4" x14ac:dyDescent="0.45">
      <c r="D979"/>
    </row>
    <row r="980" spans="4:4" x14ac:dyDescent="0.45">
      <c r="D980"/>
    </row>
    <row r="981" spans="4:4" x14ac:dyDescent="0.45">
      <c r="D981"/>
    </row>
    <row r="982" spans="4:4" x14ac:dyDescent="0.45">
      <c r="D982"/>
    </row>
    <row r="983" spans="4:4" x14ac:dyDescent="0.45">
      <c r="D983"/>
    </row>
    <row r="984" spans="4:4" x14ac:dyDescent="0.45">
      <c r="D984"/>
    </row>
    <row r="985" spans="4:4" x14ac:dyDescent="0.45">
      <c r="D985"/>
    </row>
    <row r="986" spans="4:4" x14ac:dyDescent="0.45">
      <c r="D986"/>
    </row>
    <row r="987" spans="4:4" x14ac:dyDescent="0.45">
      <c r="D987"/>
    </row>
    <row r="988" spans="4:4" x14ac:dyDescent="0.45">
      <c r="D988"/>
    </row>
    <row r="989" spans="4:4" x14ac:dyDescent="0.45">
      <c r="D989"/>
    </row>
    <row r="990" spans="4:4" x14ac:dyDescent="0.45">
      <c r="D990"/>
    </row>
    <row r="991" spans="4:4" x14ac:dyDescent="0.45">
      <c r="D991"/>
    </row>
    <row r="992" spans="4:4" x14ac:dyDescent="0.45">
      <c r="D992"/>
    </row>
    <row r="993" spans="4:4" x14ac:dyDescent="0.45">
      <c r="D993"/>
    </row>
    <row r="994" spans="4:4" x14ac:dyDescent="0.45">
      <c r="D994"/>
    </row>
    <row r="995" spans="4:4" x14ac:dyDescent="0.45">
      <c r="D995"/>
    </row>
    <row r="996" spans="4:4" x14ac:dyDescent="0.45">
      <c r="D996"/>
    </row>
    <row r="997" spans="4:4" x14ac:dyDescent="0.45">
      <c r="D997"/>
    </row>
    <row r="998" spans="4:4" x14ac:dyDescent="0.45">
      <c r="D998"/>
    </row>
    <row r="999" spans="4:4" x14ac:dyDescent="0.45">
      <c r="D999"/>
    </row>
    <row r="1000" spans="4:4" x14ac:dyDescent="0.45">
      <c r="D1000"/>
    </row>
  </sheetData>
  <sheetProtection algorithmName="SHA-512" hashValue="P4JWYG5uRR7NkZQDr/8rD34/GaQLVjfAf5EjsngchexY47KD5mYBIJYvDAR6E+ODrBHvVCrUCs3cSLWeSCabKQ==" saltValue="RM4IRYoZoGzJETE7QwBLQA==" spinCount="100000" sheet="1" objects="1" scenarios="1" selectLockedCells="1"/>
  <mergeCells count="2">
    <mergeCell ref="A1:D1"/>
    <mergeCell ref="A13:D14"/>
  </mergeCells>
  <printOptions horizontalCentered="1"/>
  <pageMargins left="0.59055118110236215" right="0.59055118110236215" top="0.59055118110236215" bottom="0.59055118110236215" header="0" footer="0"/>
  <pageSetup paperSize="9" scale="75" fitToHeight="0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ABD7F0-FFC5-4011-92E9-9760A91259ED}">
          <x14:formula1>
            <xm:f>REF_CLIENTS!$A:$A</xm:f>
          </x14:formula1>
          <xm:sqref>B3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BA70-7A40-4A8D-8130-668F94FDBF30}">
  <sheetPr codeName="Feuil3">
    <tabColor theme="6" tint="0.59999389629810485"/>
    <pageSetUpPr fitToPage="1"/>
  </sheetPr>
  <dimension ref="A1:Q57"/>
  <sheetViews>
    <sheetView zoomScaleNormal="100" workbookViewId="0">
      <selection activeCell="A2" sqref="A2:I2"/>
    </sheetView>
  </sheetViews>
  <sheetFormatPr baseColWidth="10" defaultRowHeight="14.25" x14ac:dyDescent="0.45"/>
  <cols>
    <col min="1" max="1" width="22.265625" style="8" bestFit="1" customWidth="1"/>
    <col min="2" max="2" width="17" style="8" customWidth="1"/>
    <col min="3" max="3" width="21.6640625" style="8" bestFit="1" customWidth="1"/>
    <col min="4" max="4" width="14.59765625" style="8" customWidth="1"/>
    <col min="5" max="5" width="20.73046875" style="8" bestFit="1" customWidth="1"/>
    <col min="6" max="6" width="14.59765625" style="8" customWidth="1"/>
    <col min="7" max="7" width="22.33203125" style="8" bestFit="1" customWidth="1"/>
    <col min="8" max="8" width="14.59765625" style="8" customWidth="1"/>
    <col min="9" max="9" width="20.19921875" style="8" bestFit="1" customWidth="1"/>
    <col min="10" max="12" width="10.6640625" style="8"/>
    <col min="13" max="13" width="12.46484375" style="8" customWidth="1"/>
    <col min="14" max="14" width="11.6640625" style="8" customWidth="1"/>
    <col min="15" max="15" width="8.46484375" style="8" customWidth="1"/>
    <col min="16" max="16" width="9.53125" style="8" customWidth="1"/>
    <col min="17" max="17" width="8.86328125" style="8" customWidth="1"/>
    <col min="18" max="16384" width="10.6640625" style="8"/>
  </cols>
  <sheetData>
    <row r="1" spans="1:13" ht="56.65" customHeight="1" thickBot="1" x14ac:dyDescent="0.5">
      <c r="A1" s="469" t="s">
        <v>189</v>
      </c>
      <c r="B1" s="470"/>
      <c r="C1" s="470"/>
      <c r="D1" s="470"/>
      <c r="E1" s="470"/>
      <c r="F1" s="470"/>
      <c r="G1" s="470"/>
      <c r="H1" s="470"/>
      <c r="I1" s="471"/>
    </row>
    <row r="2" spans="1:13" s="16" customFormat="1" ht="33.4" customHeight="1" x14ac:dyDescent="0.45">
      <c r="A2" s="472" t="s">
        <v>113</v>
      </c>
      <c r="B2" s="472"/>
      <c r="C2" s="472"/>
      <c r="D2" s="472"/>
      <c r="E2" s="472"/>
      <c r="F2" s="472"/>
      <c r="G2" s="472"/>
      <c r="H2" s="472"/>
      <c r="I2" s="472"/>
      <c r="J2" s="8"/>
      <c r="K2" s="8"/>
      <c r="L2" s="8"/>
      <c r="M2" s="8"/>
    </row>
    <row r="3" spans="1:13" ht="21.75" customHeight="1" x14ac:dyDescent="0.45">
      <c r="A3" s="228" t="s">
        <v>191</v>
      </c>
      <c r="B3" s="229" t="str">
        <f>Suivi_TMA!C4</f>
        <v>XXX</v>
      </c>
      <c r="C3" s="208" t="s">
        <v>73</v>
      </c>
      <c r="D3" s="230" t="str">
        <f>Suivi_TMA!C8</f>
        <v>12</v>
      </c>
      <c r="E3" s="5"/>
      <c r="F3" s="5"/>
      <c r="G3" s="5"/>
      <c r="H3" s="5"/>
      <c r="I3" s="5"/>
    </row>
    <row r="4" spans="1:13" ht="31.15" customHeight="1" x14ac:dyDescent="0.45">
      <c r="A4" s="228" t="s">
        <v>192</v>
      </c>
      <c r="B4" s="222" t="str">
        <f>Suivi_TMA!C6</f>
        <v>12 avenue Jean JAURES</v>
      </c>
      <c r="C4" s="208" t="s">
        <v>74</v>
      </c>
      <c r="D4" s="121">
        <f>Suivi_TMA!C9</f>
        <v>46447</v>
      </c>
      <c r="E4" s="5"/>
      <c r="F4" s="5"/>
      <c r="G4" s="5"/>
      <c r="H4" s="5"/>
      <c r="I4" s="5"/>
    </row>
    <row r="5" spans="1:13" ht="31.15" customHeight="1" x14ac:dyDescent="0.45">
      <c r="A5" s="228" t="s">
        <v>72</v>
      </c>
      <c r="B5" s="222" t="str">
        <f>Suivi_TMA!C7</f>
        <v>CIBOURE (64500)</v>
      </c>
      <c r="C5" s="11"/>
      <c r="D5" s="10"/>
      <c r="E5" s="5"/>
      <c r="F5" s="5"/>
      <c r="G5" s="5"/>
      <c r="H5" s="5"/>
      <c r="I5" s="5"/>
    </row>
    <row r="6" spans="1:13" ht="13.5" customHeight="1" x14ac:dyDescent="0.45">
      <c r="A6" s="206"/>
    </row>
    <row r="7" spans="1:13" customFormat="1" ht="26" customHeight="1" x14ac:dyDescent="0.45">
      <c r="A7" s="468" t="s">
        <v>166</v>
      </c>
      <c r="B7" s="468"/>
      <c r="C7" s="468"/>
      <c r="D7" s="468"/>
      <c r="E7" s="468"/>
      <c r="F7" s="468"/>
      <c r="G7" s="468"/>
      <c r="H7" s="468"/>
      <c r="I7" s="468"/>
    </row>
    <row r="8" spans="1:13" ht="33.75" customHeight="1" x14ac:dyDescent="0.45">
      <c r="A8" s="208" t="s">
        <v>167</v>
      </c>
      <c r="B8" s="208"/>
      <c r="C8" s="208" t="s">
        <v>174</v>
      </c>
      <c r="D8" s="208"/>
      <c r="E8" s="208" t="s">
        <v>175</v>
      </c>
      <c r="F8" s="208"/>
      <c r="G8" s="208" t="s">
        <v>176</v>
      </c>
      <c r="H8" s="208"/>
      <c r="I8" s="208"/>
    </row>
    <row r="9" spans="1:13" ht="30" customHeight="1" x14ac:dyDescent="0.45">
      <c r="A9" s="218">
        <f>COUNTIF(Suivi_TMA!A12:A500,"&lt;&gt;")</f>
        <v>12</v>
      </c>
      <c r="B9" s="15"/>
      <c r="C9" s="15">
        <f>COUNTIF(Suivi_TMA!S:S,"Validé")</f>
        <v>3</v>
      </c>
      <c r="D9" s="15"/>
      <c r="E9" s="15">
        <f>COUNTIF(Suivi_TMA!S:S,"Demande")
+COUNTIF(Suivi_TMA!S:S,"Étude")
+COUNTIF(Suivi_TMA!S:S,"Chiffré")</f>
        <v>8</v>
      </c>
      <c r="F9" s="15"/>
      <c r="G9" s="15">
        <f>COUNTIF(Suivi_TMA!S:S,"Refusé")</f>
        <v>1</v>
      </c>
      <c r="H9" s="15"/>
      <c r="I9" s="15"/>
    </row>
    <row r="10" spans="1:13" ht="21.75" customHeight="1" x14ac:dyDescent="0.45">
      <c r="A10" s="207"/>
      <c r="B10" s="46"/>
      <c r="C10" s="46"/>
      <c r="D10" s="46"/>
      <c r="E10" s="46"/>
      <c r="F10" s="46"/>
      <c r="G10" s="46"/>
      <c r="H10" s="46"/>
      <c r="I10" s="46"/>
    </row>
    <row r="11" spans="1:13" ht="21.75" customHeight="1" x14ac:dyDescent="0.45">
      <c r="A11" s="468" t="s">
        <v>188</v>
      </c>
      <c r="B11" s="468"/>
      <c r="C11" s="468"/>
      <c r="D11" s="468"/>
      <c r="E11" s="468"/>
      <c r="F11" s="468"/>
      <c r="G11" s="468"/>
      <c r="H11" s="468"/>
      <c r="I11" s="468"/>
    </row>
    <row r="12" spans="1:13" ht="37.5" customHeight="1" x14ac:dyDescent="0.45">
      <c r="A12" s="208" t="s">
        <v>81</v>
      </c>
      <c r="B12" s="208"/>
      <c r="C12" s="208" t="s">
        <v>76</v>
      </c>
      <c r="D12" s="208"/>
      <c r="E12" s="208" t="s">
        <v>168</v>
      </c>
      <c r="F12" s="208"/>
      <c r="G12" s="208" t="s">
        <v>185</v>
      </c>
      <c r="H12" s="208"/>
      <c r="I12" s="208"/>
    </row>
    <row r="13" spans="1:13" s="5" customFormat="1" ht="30" customHeight="1" x14ac:dyDescent="0.45">
      <c r="A13" s="215">
        <f>SUMIFS(
Suivi_TMA!N12:N500,
Suivi_TMA!S12:S500,"&lt;&gt;Refusé"
)</f>
        <v>3988.4719999999998</v>
      </c>
      <c r="B13" s="215"/>
      <c r="C13" s="215">
        <f>SUMIFS(Suivi_TMA!L12:L500,Suivi_TMA!S12:S500,"Validé")
+SUMIFS(Suivi_TMA!L12:L500,Suivi_TMA!S12:S500,"Demande")
+SUMIFS(Suivi_TMA!L12:L500,Suivi_TMA!S12:S500,"Étude")
+SUMIFS(Suivi_TMA!L12:L500,Suivi_TMA!S12:S500,"Chiffré")</f>
        <v>2877.59</v>
      </c>
      <c r="D13" s="215"/>
      <c r="E13" s="215">
        <f>A13-C13</f>
        <v>1110.8819999999996</v>
      </c>
      <c r="F13" s="15"/>
      <c r="G13" s="219">
        <f>IFERROR(
(SUM(Suivi_TMA!N12:N500)-SUM(Suivi_TMA!L12:L500))
/SUM(Suivi_TMA!N12:N500),
0
)</f>
        <v>0.27852320387356355</v>
      </c>
      <c r="H13" s="15"/>
      <c r="I13" s="15"/>
      <c r="L13" s="69"/>
    </row>
    <row r="14" spans="1:13" ht="21.75" customHeight="1" x14ac:dyDescent="0.45">
      <c r="A14" s="207"/>
      <c r="B14" s="46"/>
      <c r="C14" s="46"/>
      <c r="D14" s="46"/>
      <c r="E14" s="46"/>
      <c r="F14" s="46"/>
      <c r="G14" s="46"/>
      <c r="H14" s="46"/>
      <c r="I14" s="46"/>
    </row>
    <row r="15" spans="1:13" ht="21.75" customHeight="1" x14ac:dyDescent="0.45">
      <c r="A15" s="468" t="s">
        <v>169</v>
      </c>
      <c r="B15" s="468"/>
      <c r="C15" s="468"/>
      <c r="D15" s="468"/>
      <c r="E15" s="468"/>
      <c r="F15" s="468"/>
      <c r="G15" s="468"/>
      <c r="H15" s="468"/>
      <c r="I15" s="468"/>
    </row>
    <row r="16" spans="1:13" ht="37.5" customHeight="1" x14ac:dyDescent="0.45">
      <c r="A16" s="208" t="s">
        <v>170</v>
      </c>
      <c r="B16" s="208"/>
      <c r="C16" s="208" t="s">
        <v>171</v>
      </c>
      <c r="D16" s="208"/>
      <c r="E16" s="208" t="s">
        <v>172</v>
      </c>
      <c r="F16" s="208"/>
      <c r="G16" s="208"/>
      <c r="H16" s="208"/>
      <c r="I16" s="208"/>
    </row>
    <row r="17" spans="1:17" s="5" customFormat="1" ht="30" customHeight="1" x14ac:dyDescent="0.45">
      <c r="A17" s="219">
        <f>IFERROR(
(
COUNTIF(Suivi_TMA!S:S,"Demande")
+COUNTIF(Suivi_TMA!S:S,"Étude")
+COUNTIF(Suivi_TMA!S:S,"Chiffré")
)
/COUNTIF(Suivi_TMA!A12:A500,"&lt;&gt;"),0)</f>
        <v>0.66666666666666663</v>
      </c>
      <c r="B17" s="15"/>
      <c r="C17" s="15">
        <f>COUNTIF(Suivi_TMA!S:S,"Demande")
+COUNTIF(Suivi_TMA!S:S,"Étude")
+COUNTIF(Suivi_TMA!S:S,"Chiffré")</f>
        <v>8</v>
      </c>
      <c r="D17" s="15"/>
      <c r="E17" s="215">
        <f>SUMIFS(Suivi_TMA!N:N,Suivi_TMA!S:S,"Demande")
+SUMIFS(Suivi_TMA!N:N,Suivi_TMA!S:S,"Étude")
+SUMIFS(Suivi_TMA!N:N,Suivi_TMA!S:S,"Chiffré")</f>
        <v>2321.0010000000002</v>
      </c>
      <c r="F17" s="15"/>
      <c r="G17" s="15"/>
      <c r="H17" s="15"/>
      <c r="I17" s="15"/>
    </row>
    <row r="18" spans="1:17" ht="21.75" customHeight="1" x14ac:dyDescent="0.45">
      <c r="A18" s="207"/>
      <c r="B18" s="46"/>
      <c r="C18" s="46"/>
      <c r="D18" s="46"/>
      <c r="E18" s="46"/>
      <c r="F18" s="46"/>
      <c r="G18" s="46"/>
      <c r="H18" s="46"/>
      <c r="I18" s="46"/>
    </row>
    <row r="19" spans="1:17" ht="21.75" customHeight="1" x14ac:dyDescent="0.45">
      <c r="A19" s="468" t="s">
        <v>173</v>
      </c>
      <c r="B19" s="468"/>
      <c r="C19" s="468"/>
      <c r="D19" s="468"/>
      <c r="E19" s="468"/>
      <c r="F19" s="468"/>
      <c r="G19" s="468"/>
      <c r="H19" s="468"/>
      <c r="I19" s="468"/>
    </row>
    <row r="20" spans="1:17" ht="37.5" customHeight="1" x14ac:dyDescent="0.45">
      <c r="A20" s="208" t="s">
        <v>6</v>
      </c>
      <c r="B20" s="208"/>
      <c r="C20" s="208" t="s">
        <v>177</v>
      </c>
      <c r="D20" s="208"/>
      <c r="E20" s="208" t="s">
        <v>178</v>
      </c>
      <c r="F20" s="208"/>
      <c r="G20" s="208"/>
      <c r="H20" s="208"/>
      <c r="I20" s="208"/>
    </row>
    <row r="21" spans="1:17" s="5" customFormat="1" ht="30" customHeight="1" x14ac:dyDescent="0.45">
      <c r="A21" s="15" t="s">
        <v>20</v>
      </c>
      <c r="B21" s="15"/>
      <c r="C21" s="15">
        <f>COUNTIF(Suivi_TMA!S:S,"Validé")</f>
        <v>3</v>
      </c>
      <c r="D21" s="15"/>
      <c r="E21" s="215">
        <f>SUMIFS(
Suivi_TMA!N12:N500,
Suivi_TMA!S12:S500,"Validé"
)</f>
        <v>1667.471</v>
      </c>
      <c r="F21" s="15"/>
      <c r="G21" s="219"/>
      <c r="H21" s="15"/>
      <c r="I21" s="15"/>
    </row>
    <row r="22" spans="1:17" s="5" customFormat="1" ht="30" customHeight="1" x14ac:dyDescent="0.45">
      <c r="A22" s="15" t="s">
        <v>179</v>
      </c>
      <c r="B22" s="15"/>
      <c r="C22" s="15">
        <f>COUNTIF(Suivi_TMA!S:S,"Demande")
+COUNTIF(Suivi_TMA!S:S,"Étude")
+COUNTIF(Suivi_TMA!S:S,"Chiffré")</f>
        <v>8</v>
      </c>
      <c r="D22" s="15"/>
      <c r="E22" s="215">
        <f>SUMIFS(Suivi_TMA!N12:N500,Suivi_TMA!S12:S500,"Demande")
+SUMIFS(Suivi_TMA!N12:N500,Suivi_TMA!S12:S500,"Étude")
+SUMIFS(Suivi_TMA!N12:N500,Suivi_TMA!S12:S500,"Chiffré")</f>
        <v>2321.0010000000002</v>
      </c>
      <c r="F22" s="15"/>
      <c r="G22" s="219"/>
      <c r="H22" s="15"/>
      <c r="I22" s="15"/>
    </row>
    <row r="23" spans="1:17" s="5" customFormat="1" ht="30" customHeight="1" x14ac:dyDescent="0.45">
      <c r="A23" s="15" t="s">
        <v>114</v>
      </c>
      <c r="B23" s="15"/>
      <c r="C23" s="15">
        <f>COUNTIF(Suivi_TMA!S:S,"Refusé")</f>
        <v>1</v>
      </c>
      <c r="D23" s="15"/>
      <c r="E23" s="215">
        <f>SUMIFS(Suivi_TMA!N:N,Suivi_TMA!S:S,"Refusé")</f>
        <v>0</v>
      </c>
      <c r="F23" s="15"/>
      <c r="G23" s="219"/>
      <c r="H23" s="15"/>
      <c r="I23" s="15"/>
    </row>
    <row r="24" spans="1:17" s="5" customFormat="1" ht="30" customHeight="1" x14ac:dyDescent="0.45">
      <c r="A24" s="208" t="s">
        <v>186</v>
      </c>
      <c r="B24" s="208"/>
      <c r="C24" s="208">
        <f>COUNTIF(Suivi_TMA!A12:A500,"&lt;&gt;")</f>
        <v>12</v>
      </c>
      <c r="D24" s="208"/>
      <c r="E24" s="217">
        <f>SUMIFS(
Suivi_TMA!N12:N500,
Suivi_TMA!S12:S500,"&lt;&gt;Refusé"
)</f>
        <v>3988.4719999999998</v>
      </c>
      <c r="F24" s="208"/>
      <c r="G24" s="220"/>
      <c r="H24" s="208"/>
      <c r="I24" s="208"/>
    </row>
    <row r="25" spans="1:17" ht="21.75" customHeight="1" x14ac:dyDescent="0.45">
      <c r="A25" s="207"/>
      <c r="B25" s="46"/>
      <c r="C25" s="46"/>
      <c r="D25" s="46"/>
      <c r="E25" s="221" t="s">
        <v>187</v>
      </c>
      <c r="F25" s="46"/>
      <c r="G25" s="46"/>
      <c r="H25" s="46"/>
      <c r="I25" s="46"/>
      <c r="M25" s="209" t="s">
        <v>1</v>
      </c>
      <c r="N25" s="210" t="s">
        <v>31</v>
      </c>
      <c r="O25" s="210" t="s">
        <v>20</v>
      </c>
      <c r="P25" s="210" t="s">
        <v>179</v>
      </c>
      <c r="Q25" s="210" t="s">
        <v>114</v>
      </c>
    </row>
    <row r="26" spans="1:17" ht="16.5" customHeight="1" thickBot="1" x14ac:dyDescent="0.5">
      <c r="A26" s="207"/>
      <c r="B26" s="46"/>
      <c r="C26" s="46"/>
      <c r="D26" s="46"/>
      <c r="E26" s="221"/>
      <c r="F26" s="46"/>
      <c r="G26" s="46"/>
      <c r="H26" s="46"/>
      <c r="I26" s="46"/>
      <c r="M26" s="209"/>
      <c r="N26" s="210"/>
      <c r="O26" s="210"/>
      <c r="P26" s="210"/>
      <c r="Q26" s="210"/>
    </row>
    <row r="27" spans="1:17" ht="21.75" customHeight="1" thickTop="1" thickBot="1" x14ac:dyDescent="0.5">
      <c r="A27" s="468" t="s">
        <v>184</v>
      </c>
      <c r="B27" s="468"/>
      <c r="C27" s="468"/>
      <c r="D27" s="468"/>
      <c r="E27" s="468"/>
      <c r="F27" s="468"/>
      <c r="G27" s="468"/>
      <c r="H27" s="468"/>
      <c r="I27" s="468"/>
      <c r="M27" s="211" t="str" cm="1">
        <f t="array" ref="M27:M34">_xlfn.UNIQUE(_xlfn._xlws.FILTER(TMA_Entreprises!F12:F1000,TMA_Entreprises!F12:F1000&lt;&gt;""))</f>
        <v>SOLS SOUPLES</v>
      </c>
      <c r="N27" s="212" t="str" cm="1">
        <f t="array" ref="N27">IF($M27="","",IFERROR(
INDEX(_xlfn._xlws.FILTER(TMA_Entreprises!G:G,TMA_Entreprises!F:F=$M27),1),
""
))</f>
        <v>APC</v>
      </c>
      <c r="O27" s="212">
        <f>IF($M27="","",IF(
SUMIFS(
TMA_Entreprises!L:L,
TMA_Entreprises!F:F,$M27,
TMA_Entreprises!N:N,"Validé"
)=0,
"",
SUMIFS(
TMA_Entreprises!L:L,
TMA_Entreprises!F:F,$M27,
TMA_Entreprises!N:N,"Validé"
)))</f>
        <v>-402.53</v>
      </c>
      <c r="P27" s="212">
        <f>IF($M27="","",IF(
SUMIFS(TMA_Entreprises!L:L,TMA_Entreprises!F:F,$M27,TMA_Entreprises!N:N,"Demande")
+SUMIFS(TMA_Entreprises!L:L,TMA_Entreprises!F:F,$M27,TMA_Entreprises!N:N,"Étude")
+SUMIFS(TMA_Entreprises!L:L,TMA_Entreprises!F:F,$M27,TMA_Entreprises!N:N,"Chiffré")
=0,
"",
SUMIFS(TMA_Entreprises!L:L,TMA_Entreprises!F:F,$M27,TMA_Entreprises!N:N,"Demande")
+SUMIFS(TMA_Entreprises!L:L,TMA_Entreprises!F:F,$M27,TMA_Entreprises!N:N,"Étude")
+SUMIFS(TMA_Entreprises!L:L,TMA_Entreprises!F:F,$M27,TMA_Entreprises!N:N,"Chiffré")
))</f>
        <v>1128.3800000000001</v>
      </c>
      <c r="Q27" s="212" t="str">
        <f>IF($M27="","",IF(
SUMIFS(
TMA_Entreprises!L:L,
TMA_Entreprises!F:F,$M27,
TMA_Entreprises!N:N,"Refusé"
)=0,
"",
SUMIFS(
TMA_Entreprises!L:L,
TMA_Entreprises!F:F,$M27,
TMA_Entreprises!N:N,"Refusé"
)))</f>
        <v/>
      </c>
    </row>
    <row r="28" spans="1:17" ht="37.5" customHeight="1" thickTop="1" thickBot="1" x14ac:dyDescent="0.5">
      <c r="A28" s="208" t="s">
        <v>30</v>
      </c>
      <c r="B28" s="208"/>
      <c r="C28" s="208" t="s">
        <v>180</v>
      </c>
      <c r="D28" s="208"/>
      <c r="E28" s="208" t="s">
        <v>181</v>
      </c>
      <c r="F28" s="208"/>
      <c r="G28" s="208" t="s">
        <v>182</v>
      </c>
      <c r="H28" s="208"/>
      <c r="I28" s="208" t="s">
        <v>183</v>
      </c>
      <c r="M28" s="213" t="str">
        <v>CARRELAGE</v>
      </c>
      <c r="N28" s="212" t="str" cm="1">
        <f t="array" ref="N28">IF($M28="","",IFERROR(
INDEX(_xlfn._xlws.FILTER(TMA_Entreprises!G:G,TMA_Entreprises!F:F=$M28),1),
""
))</f>
        <v>APC</v>
      </c>
      <c r="O28" s="212">
        <f>IF($M28="","",IF(
SUMIFS(
TMA_Entreprises!L:L,
TMA_Entreprises!F:F,$M28,
TMA_Entreprises!N:N,"Validé"
)=0,
"",
SUMIFS(
TMA_Entreprises!L:L,
TMA_Entreprises!F:F,$M28,
TMA_Entreprises!N:N,"Validé"
)))</f>
        <v>458.24</v>
      </c>
      <c r="P28" s="212">
        <f>IF($M28="","",IF(
SUMIFS(TMA_Entreprises!L:L,TMA_Entreprises!F:F,$M28,TMA_Entreprises!N:N,"Demande")
+SUMIFS(TMA_Entreprises!L:L,TMA_Entreprises!F:F,$M28,TMA_Entreprises!N:N,"Étude")
+SUMIFS(TMA_Entreprises!L:L,TMA_Entreprises!F:F,$M28,TMA_Entreprises!N:N,"Chiffré")
=0,
"",
SUMIFS(TMA_Entreprises!L:L,TMA_Entreprises!F:F,$M28,TMA_Entreprises!N:N,"Demande")
+SUMIFS(TMA_Entreprises!L:L,TMA_Entreprises!F:F,$M28,TMA_Entreprises!N:N,"Étude")
+SUMIFS(TMA_Entreprises!L:L,TMA_Entreprises!F:F,$M28,TMA_Entreprises!N:N,"Chiffré")
))</f>
        <v>-1378</v>
      </c>
      <c r="Q28" s="212" t="str">
        <f>IF($M28="","",IF(
SUMIFS(
TMA_Entreprises!L:L,
TMA_Entreprises!F:F,$M28,
TMA_Entreprises!N:N,"Refusé"
)=0,
"",
SUMIFS(
TMA_Entreprises!L:L,
TMA_Entreprises!F:F,$M28,
TMA_Entreprises!N:N,"Refusé"
)))</f>
        <v/>
      </c>
    </row>
    <row r="29" spans="1:17" ht="30" customHeight="1" thickTop="1" thickBot="1" x14ac:dyDescent="0.5">
      <c r="A29" s="15" t="str">
        <f>IF(OR(M27="",M27=0),"",M27)</f>
        <v>SOLS SOUPLES</v>
      </c>
      <c r="B29" s="15"/>
      <c r="C29" s="15" t="str">
        <f>IF(OR(N27="",N27=0),"",N27)</f>
        <v>APC</v>
      </c>
      <c r="D29" s="15"/>
      <c r="E29" s="215">
        <f>IF(OR(O27="",O27=0),"",O27)</f>
        <v>-402.53</v>
      </c>
      <c r="F29" s="215"/>
      <c r="G29" s="215">
        <f>IF(OR(P27="",P27=0),"",P27)</f>
        <v>1128.3800000000001</v>
      </c>
      <c r="H29" s="215"/>
      <c r="I29" s="215" t="str">
        <f>IF(OR(Q27="",Q27=0),"",Q27)</f>
        <v/>
      </c>
      <c r="M29" s="214" t="str">
        <v>GROS OEUVRE</v>
      </c>
      <c r="N29" s="212" t="str" cm="1">
        <f t="array" ref="N29">IF($M29="","",IFERROR(
INDEX(_xlfn._xlws.FILTER(TMA_Entreprises!G:G,TMA_Entreprises!F:F=$M29),1),
""
))</f>
        <v>LAPIX</v>
      </c>
      <c r="O29" s="212" t="str">
        <f>IF($M29="","",IF(
SUMIFS(
TMA_Entreprises!L:L,
TMA_Entreprises!F:F,$M29,
TMA_Entreprises!N:N,"Validé"
)=0,
"",
SUMIFS(
TMA_Entreprises!L:L,
TMA_Entreprises!F:F,$M29,
TMA_Entreprises!N:N,"Validé"
)))</f>
        <v/>
      </c>
      <c r="P29" s="212">
        <f>IF($M29="","",IF(
SUMIFS(TMA_Entreprises!L:L,TMA_Entreprises!F:F,$M29,TMA_Entreprises!N:N,"Demande")
+SUMIFS(TMA_Entreprises!L:L,TMA_Entreprises!F:F,$M29,TMA_Entreprises!N:N,"Étude")
+SUMIFS(TMA_Entreprises!L:L,TMA_Entreprises!F:F,$M29,TMA_Entreprises!N:N,"Chiffré")
=0,
"",
SUMIFS(TMA_Entreprises!L:L,TMA_Entreprises!F:F,$M29,TMA_Entreprises!N:N,"Demande")
+SUMIFS(TMA_Entreprises!L:L,TMA_Entreprises!F:F,$M29,TMA_Entreprises!N:N,"Étude")
+SUMIFS(TMA_Entreprises!L:L,TMA_Entreprises!F:F,$M29,TMA_Entreprises!N:N,"Chiffré")
))</f>
        <v>-435.38</v>
      </c>
      <c r="Q29" s="212" t="str">
        <f>IF($M29="","",IF(
SUMIFS(
TMA_Entreprises!L:L,
TMA_Entreprises!F:F,$M29,
TMA_Entreprises!N:N,"Refusé"
)=0,
"",
SUMIFS(
TMA_Entreprises!L:L,
TMA_Entreprises!F:F,$M29,
TMA_Entreprises!N:N,"Refusé"
)))</f>
        <v/>
      </c>
    </row>
    <row r="30" spans="1:17" ht="30" customHeight="1" thickTop="1" thickBot="1" x14ac:dyDescent="0.5">
      <c r="A30" s="15" t="str">
        <f t="shared" ref="A30:A49" si="0">IF(OR(M28="",M28=0),"",M28)</f>
        <v>CARRELAGE</v>
      </c>
      <c r="B30" s="15"/>
      <c r="C30" s="15" t="str">
        <f t="shared" ref="C30:C49" si="1">IF(OR(N28="",N28=0),"",N28)</f>
        <v>APC</v>
      </c>
      <c r="D30" s="15"/>
      <c r="E30" s="215">
        <f t="shared" ref="E30:E49" si="2">IF(OR(O28="",O28=0),"",O28)</f>
        <v>458.24</v>
      </c>
      <c r="F30" s="215"/>
      <c r="G30" s="215">
        <f t="shared" ref="G30:G49" si="3">IF(OR(P28="",P28=0),"",P28)</f>
        <v>-1378</v>
      </c>
      <c r="H30" s="215"/>
      <c r="I30" s="215" t="str">
        <f t="shared" ref="I30:I49" si="4">IF(OR(Q28="",Q28=0),"",Q28)</f>
        <v/>
      </c>
      <c r="M30" s="213" t="str">
        <v>PEINTURES</v>
      </c>
      <c r="N30" s="212" t="str" cm="1">
        <f t="array" ref="N30">IF($M30="","",IFERROR(
INDEX(_xlfn._xlws.FILTER(TMA_Entreprises!G:G,TMA_Entreprises!F:F=$M30),1),
""
))</f>
        <v>MORLAES</v>
      </c>
      <c r="O30" s="212">
        <f>IF($M30="","",IF(
SUMIFS(
TMA_Entreprises!L:L,
TMA_Entreprises!F:F,$M30,
TMA_Entreprises!N:N,"Validé"
)=0,
"",
SUMIFS(
TMA_Entreprises!L:L,
TMA_Entreprises!F:F,$M30,
TMA_Entreprises!N:N,"Validé"
)))</f>
        <v>1226.96</v>
      </c>
      <c r="P30" s="212">
        <f>IF($M30="","",IF(
SUMIFS(TMA_Entreprises!L:L,TMA_Entreprises!F:F,$M30,TMA_Entreprises!N:N,"Demande")
+SUMIFS(TMA_Entreprises!L:L,TMA_Entreprises!F:F,$M30,TMA_Entreprises!N:N,"Étude")
+SUMIFS(TMA_Entreprises!L:L,TMA_Entreprises!F:F,$M30,TMA_Entreprises!N:N,"Chiffré")
=0,
"",
SUMIFS(TMA_Entreprises!L:L,TMA_Entreprises!F:F,$M30,TMA_Entreprises!N:N,"Demande")
+SUMIFS(TMA_Entreprises!L:L,TMA_Entreprises!F:F,$M30,TMA_Entreprises!N:N,"Étude")
+SUMIFS(TMA_Entreprises!L:L,TMA_Entreprises!F:F,$M30,TMA_Entreprises!N:N,"Chiffré")
))</f>
        <v>348.65</v>
      </c>
      <c r="Q30" s="212" t="str">
        <f>IF($M30="","",IF(
SUMIFS(
TMA_Entreprises!L:L,
TMA_Entreprises!F:F,$M30,
TMA_Entreprises!N:N,"Refusé"
)=0,
"",
SUMIFS(
TMA_Entreprises!L:L,
TMA_Entreprises!F:F,$M30,
TMA_Entreprises!N:N,"Refusé"
)))</f>
        <v/>
      </c>
    </row>
    <row r="31" spans="1:17" ht="30" customHeight="1" thickTop="1" thickBot="1" x14ac:dyDescent="0.5">
      <c r="A31" s="15" t="str">
        <f t="shared" si="0"/>
        <v>GROS OEUVRE</v>
      </c>
      <c r="B31" s="15"/>
      <c r="C31" s="15" t="str">
        <f t="shared" si="1"/>
        <v>LAPIX</v>
      </c>
      <c r="D31" s="15"/>
      <c r="E31" s="215" t="str">
        <f t="shared" si="2"/>
        <v/>
      </c>
      <c r="F31" s="215"/>
      <c r="G31" s="215">
        <f t="shared" si="3"/>
        <v>-435.38</v>
      </c>
      <c r="H31" s="215"/>
      <c r="I31" s="215" t="str">
        <f t="shared" si="4"/>
        <v/>
      </c>
      <c r="M31" s="214" t="str">
        <v>MENUISERIES INTERIEURES</v>
      </c>
      <c r="N31" s="212" t="str" cm="1">
        <f t="array" ref="N31">IF($M31="","",IFERROR(
INDEX(_xlfn._xlws.FILTER(TMA_Entreprises!G:G,TMA_Entreprises!F:F=$M31),1),
""
))</f>
        <v>EMA</v>
      </c>
      <c r="O31" s="212" t="str">
        <f>IF($M31="","",IF(
SUMIFS(
TMA_Entreprises!L:L,
TMA_Entreprises!F:F,$M31,
TMA_Entreprises!N:N,"Validé"
)=0,
"",
SUMIFS(
TMA_Entreprises!L:L,
TMA_Entreprises!F:F,$M31,
TMA_Entreprises!N:N,"Validé"
)))</f>
        <v/>
      </c>
      <c r="P31" s="212">
        <f>IF($M31="","",IF(
SUMIFS(TMA_Entreprises!L:L,TMA_Entreprises!F:F,$M31,TMA_Entreprises!N:N,"Demande")
+SUMIFS(TMA_Entreprises!L:L,TMA_Entreprises!F:F,$M31,TMA_Entreprises!N:N,"Étude")
+SUMIFS(TMA_Entreprises!L:L,TMA_Entreprises!F:F,$M31,TMA_Entreprises!N:N,"Chiffré")
=0,
"",
SUMIFS(TMA_Entreprises!L:L,TMA_Entreprises!F:F,$M31,TMA_Entreprises!N:N,"Demande")
+SUMIFS(TMA_Entreprises!L:L,TMA_Entreprises!F:F,$M31,TMA_Entreprises!N:N,"Étude")
+SUMIFS(TMA_Entreprises!L:L,TMA_Entreprises!F:F,$M31,TMA_Entreprises!N:N,"Chiffré")
))</f>
        <v>-12</v>
      </c>
      <c r="Q31" s="212" t="str">
        <f>IF($M31="","",IF(
SUMIFS(
TMA_Entreprises!L:L,
TMA_Entreprises!F:F,$M31,
TMA_Entreprises!N:N,"Refusé"
)=0,
"",
SUMIFS(
TMA_Entreprises!L:L,
TMA_Entreprises!F:F,$M31,
TMA_Entreprises!N:N,"Refusé"
)))</f>
        <v/>
      </c>
    </row>
    <row r="32" spans="1:17" ht="30" customHeight="1" thickTop="1" thickBot="1" x14ac:dyDescent="0.5">
      <c r="A32" s="15" t="str">
        <f t="shared" si="0"/>
        <v>PEINTURES</v>
      </c>
      <c r="B32" s="15"/>
      <c r="C32" s="15" t="str">
        <f t="shared" si="1"/>
        <v>MORLAES</v>
      </c>
      <c r="D32" s="15"/>
      <c r="E32" s="215">
        <f t="shared" si="2"/>
        <v>1226.96</v>
      </c>
      <c r="F32" s="215"/>
      <c r="G32" s="215">
        <f t="shared" si="3"/>
        <v>348.65</v>
      </c>
      <c r="H32" s="215"/>
      <c r="I32" s="215" t="str">
        <f t="shared" si="4"/>
        <v/>
      </c>
      <c r="M32" s="213" t="str">
        <v>PLOMBERIE</v>
      </c>
      <c r="N32" s="212" t="str" cm="1">
        <f t="array" ref="N32">IF($M32="","",IFERROR(
INDEX(_xlfn._xlws.FILTER(TMA_Entreprises!G:G,TMA_Entreprises!F:F=$M32),1),
""
))</f>
        <v>SANICLIM</v>
      </c>
      <c r="O32" s="212" t="str">
        <f>IF($M32="","",IF(
SUMIFS(
TMA_Entreprises!L:L,
TMA_Entreprises!F:F,$M32,
TMA_Entreprises!N:N,"Validé"
)=0,
"",
SUMIFS(
TMA_Entreprises!L:L,
TMA_Entreprises!F:F,$M32,
TMA_Entreprises!N:N,"Validé"
)))</f>
        <v/>
      </c>
      <c r="P32" s="212">
        <f>IF($M32="","",IF(
SUMIFS(TMA_Entreprises!L:L,TMA_Entreprises!F:F,$M32,TMA_Entreprises!N:N,"Demande")
+SUMIFS(TMA_Entreprises!L:L,TMA_Entreprises!F:F,$M32,TMA_Entreprises!N:N,"Étude")
+SUMIFS(TMA_Entreprises!L:L,TMA_Entreprises!F:F,$M32,TMA_Entreprises!N:N,"Chiffré")
=0,
"",
SUMIFS(TMA_Entreprises!L:L,TMA_Entreprises!F:F,$M32,TMA_Entreprises!N:N,"Demande")
+SUMIFS(TMA_Entreprises!L:L,TMA_Entreprises!F:F,$M32,TMA_Entreprises!N:N,"Étude")
+SUMIFS(TMA_Entreprises!L:L,TMA_Entreprises!F:F,$M32,TMA_Entreprises!N:N,"Chiffré")
))</f>
        <v>1823.27</v>
      </c>
      <c r="Q32" s="212" t="str">
        <f>IF($M32="","",IF(
SUMIFS(
TMA_Entreprises!L:L,
TMA_Entreprises!F:F,$M32,
TMA_Entreprises!N:N,"Refusé"
)=0,
"",
SUMIFS(
TMA_Entreprises!L:L,
TMA_Entreprises!F:F,$M32,
TMA_Entreprises!N:N,"Refusé"
)))</f>
        <v/>
      </c>
    </row>
    <row r="33" spans="1:17" ht="30" customHeight="1" thickTop="1" thickBot="1" x14ac:dyDescent="0.5">
      <c r="A33" s="15" t="str">
        <f t="shared" si="0"/>
        <v>MENUISERIES INTERIEURES</v>
      </c>
      <c r="B33" s="15"/>
      <c r="C33" s="15" t="str">
        <f t="shared" si="1"/>
        <v>EMA</v>
      </c>
      <c r="D33" s="15"/>
      <c r="E33" s="215" t="str">
        <f t="shared" si="2"/>
        <v/>
      </c>
      <c r="F33" s="215"/>
      <c r="G33" s="215">
        <f t="shared" si="3"/>
        <v>-12</v>
      </c>
      <c r="H33" s="215"/>
      <c r="I33" s="215" t="str">
        <f t="shared" si="4"/>
        <v/>
      </c>
      <c r="M33" s="214" t="str">
        <v>ISOLATION - CLOISONS - DOUBLAGES</v>
      </c>
      <c r="N33" s="212" t="str" cm="1">
        <f t="array" ref="N33">IF($M33="","",IFERROR(
INDEX(_xlfn._xlws.FILTER(TMA_Entreprises!G:G,TMA_Entreprises!F:F=$M33),1),
""
))</f>
        <v>PVN</v>
      </c>
      <c r="O33" s="212" t="str">
        <f>IF($M33="","",IF(
SUMIFS(
TMA_Entreprises!L:L,
TMA_Entreprises!F:F,$M33,
TMA_Entreprises!N:N,"Validé"
)=0,
"",
SUMIFS(
TMA_Entreprises!L:L,
TMA_Entreprises!F:F,$M33,
TMA_Entreprises!N:N,"Validé"
)))</f>
        <v/>
      </c>
      <c r="P33" s="212">
        <f>IF($M33="","",IF(
SUMIFS(TMA_Entreprises!L:L,TMA_Entreprises!F:F,$M33,TMA_Entreprises!N:N,"Demande")
+SUMIFS(TMA_Entreprises!L:L,TMA_Entreprises!F:F,$M33,TMA_Entreprises!N:N,"Étude")
+SUMIFS(TMA_Entreprises!L:L,TMA_Entreprises!F:F,$M33,TMA_Entreprises!N:N,"Chiffré")
=0,
"",
SUMIFS(TMA_Entreprises!L:L,TMA_Entreprises!F:F,$M33,TMA_Entreprises!N:N,"Demande")
+SUMIFS(TMA_Entreprises!L:L,TMA_Entreprises!F:F,$M33,TMA_Entreprises!N:N,"Étude")
+SUMIFS(TMA_Entreprises!L:L,TMA_Entreprises!F:F,$M33,TMA_Entreprises!N:N,"Chiffré")
))</f>
        <v>120</v>
      </c>
      <c r="Q33" s="212" t="str">
        <f>IF($M33="","",IF(
SUMIFS(
TMA_Entreprises!L:L,
TMA_Entreprises!F:F,$M33,
TMA_Entreprises!N:N,"Refusé"
)=0,
"",
SUMIFS(
TMA_Entreprises!L:L,
TMA_Entreprises!F:F,$M33,
TMA_Entreprises!N:N,"Refusé"
)))</f>
        <v/>
      </c>
    </row>
    <row r="34" spans="1:17" ht="30" customHeight="1" thickTop="1" thickBot="1" x14ac:dyDescent="0.5">
      <c r="A34" s="15" t="str">
        <f t="shared" si="0"/>
        <v>PLOMBERIE</v>
      </c>
      <c r="B34" s="15"/>
      <c r="C34" s="15" t="str">
        <f t="shared" si="1"/>
        <v>SANICLIM</v>
      </c>
      <c r="D34" s="15"/>
      <c r="E34" s="215" t="str">
        <f t="shared" si="2"/>
        <v/>
      </c>
      <c r="F34" s="215"/>
      <c r="G34" s="215">
        <f t="shared" si="3"/>
        <v>1823.27</v>
      </c>
      <c r="H34" s="215"/>
      <c r="I34" s="215" t="str">
        <f t="shared" si="4"/>
        <v/>
      </c>
      <c r="M34" s="213" t="str">
        <v>MENUISERIES EXTERIEURES</v>
      </c>
      <c r="N34" s="212" t="str" cm="1">
        <f t="array" ref="N34">IF($M34="","",IFERROR(
INDEX(_xlfn._xlws.FILTER(TMA_Entreprises!G:G,TMA_Entreprises!F:F=$M34),1),
""
))</f>
        <v>SOLUTEC</v>
      </c>
      <c r="O34" s="212" t="str">
        <f>IF($M34="","",IF(
SUMIFS(
TMA_Entreprises!L:L,
TMA_Entreprises!F:F,$M34,
TMA_Entreprises!N:N,"Validé"
)=0,
"",
SUMIFS(
TMA_Entreprises!L:L,
TMA_Entreprises!F:F,$M34,
TMA_Entreprises!N:N,"Validé"
)))</f>
        <v/>
      </c>
      <c r="P34" s="212" t="str">
        <f>IF($M34="","",IF(
SUMIFS(TMA_Entreprises!L:L,TMA_Entreprises!F:F,$M34,TMA_Entreprises!N:N,"Demande")
+SUMIFS(TMA_Entreprises!L:L,TMA_Entreprises!F:F,$M34,TMA_Entreprises!N:N,"Étude")
+SUMIFS(TMA_Entreprises!L:L,TMA_Entreprises!F:F,$M34,TMA_Entreprises!N:N,"Chiffré")
=0,
"",
SUMIFS(TMA_Entreprises!L:L,TMA_Entreprises!F:F,$M34,TMA_Entreprises!N:N,"Demande")
+SUMIFS(TMA_Entreprises!L:L,TMA_Entreprises!F:F,$M34,TMA_Entreprises!N:N,"Étude")
+SUMIFS(TMA_Entreprises!L:L,TMA_Entreprises!F:F,$M34,TMA_Entreprises!N:N,"Chiffré")
))</f>
        <v/>
      </c>
      <c r="Q34" s="212" t="str">
        <f>IF($M34="","",IF(
SUMIFS(
TMA_Entreprises!L:L,
TMA_Entreprises!F:F,$M34,
TMA_Entreprises!N:N,"Refusé"
)=0,
"",
SUMIFS(
TMA_Entreprises!L:L,
TMA_Entreprises!F:F,$M34,
TMA_Entreprises!N:N,"Refusé"
)))</f>
        <v/>
      </c>
    </row>
    <row r="35" spans="1:17" ht="30" customHeight="1" thickTop="1" thickBot="1" x14ac:dyDescent="0.5">
      <c r="A35" s="15" t="str">
        <f t="shared" si="0"/>
        <v>ISOLATION - CLOISONS - DOUBLAGES</v>
      </c>
      <c r="B35" s="15"/>
      <c r="C35" s="15" t="str">
        <f t="shared" si="1"/>
        <v>PVN</v>
      </c>
      <c r="D35" s="15"/>
      <c r="E35" s="215" t="str">
        <f t="shared" si="2"/>
        <v/>
      </c>
      <c r="F35" s="215"/>
      <c r="G35" s="215">
        <f t="shared" si="3"/>
        <v>120</v>
      </c>
      <c r="H35" s="215"/>
      <c r="I35" s="215" t="str">
        <f t="shared" si="4"/>
        <v/>
      </c>
      <c r="M35" s="214"/>
      <c r="N35" s="212" t="str" cm="1">
        <f t="array" ref="N35">IF($M35="","",IFERROR(
INDEX(_xlfn._xlws.FILTER(TMA_Entreprises!G:G,TMA_Entreprises!F:F=$M35),1),
""
))</f>
        <v/>
      </c>
      <c r="O35" s="212" t="str">
        <f>IF($M35="","",IF(
SUMIFS(
TMA_Entreprises!L:L,
TMA_Entreprises!F:F,$M35,
TMA_Entreprises!N:N,"Validé"
)=0,
"",
SUMIFS(
TMA_Entreprises!L:L,
TMA_Entreprises!F:F,$M35,
TMA_Entreprises!N:N,"Validé"
)))</f>
        <v/>
      </c>
      <c r="P35" s="212" t="str">
        <f>IF($M35="","",IF(
SUMIFS(TMA_Entreprises!L:L,TMA_Entreprises!F:F,$M35,TMA_Entreprises!N:N,"Demande")
+SUMIFS(TMA_Entreprises!L:L,TMA_Entreprises!F:F,$M35,TMA_Entreprises!N:N,"Étude")
+SUMIFS(TMA_Entreprises!L:L,TMA_Entreprises!F:F,$M35,TMA_Entreprises!N:N,"Chiffré")
=0,
"",
SUMIFS(TMA_Entreprises!L:L,TMA_Entreprises!F:F,$M35,TMA_Entreprises!N:N,"Demande")
+SUMIFS(TMA_Entreprises!L:L,TMA_Entreprises!F:F,$M35,TMA_Entreprises!N:N,"Étude")
+SUMIFS(TMA_Entreprises!L:L,TMA_Entreprises!F:F,$M35,TMA_Entreprises!N:N,"Chiffré")
))</f>
        <v/>
      </c>
      <c r="Q35" s="212" t="str">
        <f>IF($M35="","",IF(
SUMIFS(
TMA_Entreprises!L:L,
TMA_Entreprises!F:F,$M35,
TMA_Entreprises!N:N,"Refusé"
)=0,
"",
SUMIFS(
TMA_Entreprises!L:L,
TMA_Entreprises!F:F,$M35,
TMA_Entreprises!N:N,"Refusé"
)))</f>
        <v/>
      </c>
    </row>
    <row r="36" spans="1:17" ht="30" customHeight="1" thickTop="1" thickBot="1" x14ac:dyDescent="0.5">
      <c r="A36" s="15" t="str">
        <f t="shared" si="0"/>
        <v>MENUISERIES EXTERIEURES</v>
      </c>
      <c r="B36" s="15"/>
      <c r="C36" s="15" t="str">
        <f t="shared" si="1"/>
        <v>SOLUTEC</v>
      </c>
      <c r="D36" s="15"/>
      <c r="E36" s="215" t="str">
        <f t="shared" si="2"/>
        <v/>
      </c>
      <c r="F36" s="215"/>
      <c r="G36" s="215" t="str">
        <f t="shared" si="3"/>
        <v/>
      </c>
      <c r="H36" s="215"/>
      <c r="I36" s="215" t="str">
        <f t="shared" si="4"/>
        <v/>
      </c>
      <c r="M36" s="213"/>
      <c r="N36" s="212" t="str" cm="1">
        <f t="array" ref="N36">IF($M36="","",IFERROR(
INDEX(_xlfn._xlws.FILTER(TMA_Entreprises!G:G,TMA_Entreprises!F:F=$M36),1),
""
))</f>
        <v/>
      </c>
      <c r="O36" s="212" t="str">
        <f>IF($M36="","",IF(
SUMIFS(
TMA_Entreprises!L:L,
TMA_Entreprises!F:F,$M36,
TMA_Entreprises!N:N,"Validé"
)=0,
"",
SUMIFS(
TMA_Entreprises!L:L,
TMA_Entreprises!F:F,$M36,
TMA_Entreprises!N:N,"Validé"
)))</f>
        <v/>
      </c>
      <c r="P36" s="212" t="str">
        <f>IF($M36="","",IF(
SUMIFS(TMA_Entreprises!L:L,TMA_Entreprises!F:F,$M36,TMA_Entreprises!N:N,"Demande")
+SUMIFS(TMA_Entreprises!L:L,TMA_Entreprises!F:F,$M36,TMA_Entreprises!N:N,"Étude")
+SUMIFS(TMA_Entreprises!L:L,TMA_Entreprises!F:F,$M36,TMA_Entreprises!N:N,"Chiffré")
=0,
"",
SUMIFS(TMA_Entreprises!L:L,TMA_Entreprises!F:F,$M36,TMA_Entreprises!N:N,"Demande")
+SUMIFS(TMA_Entreprises!L:L,TMA_Entreprises!F:F,$M36,TMA_Entreprises!N:N,"Étude")
+SUMIFS(TMA_Entreprises!L:L,TMA_Entreprises!F:F,$M36,TMA_Entreprises!N:N,"Chiffré")
))</f>
        <v/>
      </c>
      <c r="Q36" s="212" t="str">
        <f>IF($M36="","",IF(
SUMIFS(
TMA_Entreprises!L:L,
TMA_Entreprises!F:F,$M36,
TMA_Entreprises!N:N,"Refusé"
)=0,
"",
SUMIFS(
TMA_Entreprises!L:L,
TMA_Entreprises!F:F,$M36,
TMA_Entreprises!N:N,"Refusé"
)))</f>
        <v/>
      </c>
    </row>
    <row r="37" spans="1:17" ht="30" customHeight="1" thickTop="1" thickBot="1" x14ac:dyDescent="0.5">
      <c r="A37" s="15" t="str">
        <f t="shared" si="0"/>
        <v/>
      </c>
      <c r="B37" s="15"/>
      <c r="C37" s="15" t="str">
        <f t="shared" si="1"/>
        <v/>
      </c>
      <c r="D37" s="15"/>
      <c r="E37" s="215" t="str">
        <f t="shared" si="2"/>
        <v/>
      </c>
      <c r="F37" s="215"/>
      <c r="G37" s="215" t="str">
        <f t="shared" si="3"/>
        <v/>
      </c>
      <c r="H37" s="215"/>
      <c r="I37" s="215" t="str">
        <f t="shared" si="4"/>
        <v/>
      </c>
      <c r="M37" s="214"/>
      <c r="N37" s="212" t="str" cm="1">
        <f t="array" ref="N37">IF($M37="","",IFERROR(
INDEX(_xlfn._xlws.FILTER(TMA_Entreprises!G:G,TMA_Entreprises!F:F=$M37),1),
""
))</f>
        <v/>
      </c>
      <c r="O37" s="212" t="str">
        <f>IF($M37="","",IF(
SUMIFS(
TMA_Entreprises!L:L,
TMA_Entreprises!F:F,$M37,
TMA_Entreprises!N:N,"Validé"
)=0,
"",
SUMIFS(
TMA_Entreprises!L:L,
TMA_Entreprises!F:F,$M37,
TMA_Entreprises!N:N,"Validé"
)))</f>
        <v/>
      </c>
      <c r="P37" s="212" t="str">
        <f>IF($M37="","",IF(
SUMIFS(TMA_Entreprises!L:L,TMA_Entreprises!F:F,$M37,TMA_Entreprises!N:N,"Demande")
+SUMIFS(TMA_Entreprises!L:L,TMA_Entreprises!F:F,$M37,TMA_Entreprises!N:N,"Étude")
+SUMIFS(TMA_Entreprises!L:L,TMA_Entreprises!F:F,$M37,TMA_Entreprises!N:N,"Chiffré")
=0,
"",
SUMIFS(TMA_Entreprises!L:L,TMA_Entreprises!F:F,$M37,TMA_Entreprises!N:N,"Demande")
+SUMIFS(TMA_Entreprises!L:L,TMA_Entreprises!F:F,$M37,TMA_Entreprises!N:N,"Étude")
+SUMIFS(TMA_Entreprises!L:L,TMA_Entreprises!F:F,$M37,TMA_Entreprises!N:N,"Chiffré")
))</f>
        <v/>
      </c>
      <c r="Q37" s="212" t="str">
        <f>IF($M37="","",IF(
SUMIFS(
TMA_Entreprises!L:L,
TMA_Entreprises!F:F,$M37,
TMA_Entreprises!N:N,"Refusé"
)=0,
"",
SUMIFS(
TMA_Entreprises!L:L,
TMA_Entreprises!F:F,$M37,
TMA_Entreprises!N:N,"Refusé"
)))</f>
        <v/>
      </c>
    </row>
    <row r="38" spans="1:17" ht="30" customHeight="1" thickTop="1" thickBot="1" x14ac:dyDescent="0.5">
      <c r="A38" s="15" t="str">
        <f t="shared" si="0"/>
        <v/>
      </c>
      <c r="B38" s="15"/>
      <c r="C38" s="15" t="str">
        <f t="shared" si="1"/>
        <v/>
      </c>
      <c r="D38" s="15"/>
      <c r="E38" s="215" t="str">
        <f t="shared" si="2"/>
        <v/>
      </c>
      <c r="F38" s="215"/>
      <c r="G38" s="215" t="str">
        <f t="shared" si="3"/>
        <v/>
      </c>
      <c r="H38" s="215"/>
      <c r="I38" s="215" t="str">
        <f t="shared" si="4"/>
        <v/>
      </c>
      <c r="M38" s="213"/>
      <c r="N38" s="212" t="str" cm="1">
        <f t="array" ref="N38">IF($M38="","",IFERROR(
INDEX(_xlfn._xlws.FILTER(TMA_Entreprises!G:G,TMA_Entreprises!F:F=$M38),1),
""
))</f>
        <v/>
      </c>
      <c r="O38" s="212" t="str">
        <f>IF($M38="","",IF(
SUMIFS(
TMA_Entreprises!L:L,
TMA_Entreprises!F:F,$M38,
TMA_Entreprises!N:N,"Validé"
)=0,
"",
SUMIFS(
TMA_Entreprises!L:L,
TMA_Entreprises!F:F,$M38,
TMA_Entreprises!N:N,"Validé"
)))</f>
        <v/>
      </c>
      <c r="P38" s="212" t="str">
        <f>IF($M38="","",IF(
SUMIFS(TMA_Entreprises!L:L,TMA_Entreprises!F:F,$M38,TMA_Entreprises!N:N,"Demande")
+SUMIFS(TMA_Entreprises!L:L,TMA_Entreprises!F:F,$M38,TMA_Entreprises!N:N,"Étude")
+SUMIFS(TMA_Entreprises!L:L,TMA_Entreprises!F:F,$M38,TMA_Entreprises!N:N,"Chiffré")
=0,
"",
SUMIFS(TMA_Entreprises!L:L,TMA_Entreprises!F:F,$M38,TMA_Entreprises!N:N,"Demande")
+SUMIFS(TMA_Entreprises!L:L,TMA_Entreprises!F:F,$M38,TMA_Entreprises!N:N,"Étude")
+SUMIFS(TMA_Entreprises!L:L,TMA_Entreprises!F:F,$M38,TMA_Entreprises!N:N,"Chiffré")
))</f>
        <v/>
      </c>
      <c r="Q38" s="212" t="str">
        <f>IF($M38="","",IF(
SUMIFS(
TMA_Entreprises!L:L,
TMA_Entreprises!F:F,$M38,
TMA_Entreprises!N:N,"Refusé"
)=0,
"",
SUMIFS(
TMA_Entreprises!L:L,
TMA_Entreprises!F:F,$M38,
TMA_Entreprises!N:N,"Refusé"
)))</f>
        <v/>
      </c>
    </row>
    <row r="39" spans="1:17" ht="30" customHeight="1" thickTop="1" thickBot="1" x14ac:dyDescent="0.5">
      <c r="A39" s="15" t="str">
        <f t="shared" si="0"/>
        <v/>
      </c>
      <c r="B39" s="46"/>
      <c r="C39" s="15" t="str">
        <f t="shared" si="1"/>
        <v/>
      </c>
      <c r="D39" s="46"/>
      <c r="E39" s="215" t="str">
        <f t="shared" si="2"/>
        <v/>
      </c>
      <c r="F39" s="216"/>
      <c r="G39" s="215" t="str">
        <f t="shared" si="3"/>
        <v/>
      </c>
      <c r="H39" s="216"/>
      <c r="I39" s="215" t="str">
        <f t="shared" si="4"/>
        <v/>
      </c>
      <c r="M39" s="214"/>
      <c r="N39" s="212" t="str" cm="1">
        <f t="array" ref="N39">IF($M39="","",IFERROR(
INDEX(_xlfn._xlws.FILTER(TMA_Entreprises!G:G,TMA_Entreprises!F:F=$M39),1),
""
))</f>
        <v/>
      </c>
      <c r="O39" s="212" t="str">
        <f>IF($M39="","",IF(
SUMIFS(
TMA_Entreprises!L:L,
TMA_Entreprises!F:F,$M39,
TMA_Entreprises!N:N,"Validé"
)=0,
"",
SUMIFS(
TMA_Entreprises!L:L,
TMA_Entreprises!F:F,$M39,
TMA_Entreprises!N:N,"Validé"
)))</f>
        <v/>
      </c>
      <c r="P39" s="212" t="str">
        <f>IF($M39="","",IF(
SUMIFS(TMA_Entreprises!L:L,TMA_Entreprises!F:F,$M39,TMA_Entreprises!N:N,"Demande")
+SUMIFS(TMA_Entreprises!L:L,TMA_Entreprises!F:F,$M39,TMA_Entreprises!N:N,"Étude")
+SUMIFS(TMA_Entreprises!L:L,TMA_Entreprises!F:F,$M39,TMA_Entreprises!N:N,"Chiffré")
=0,
"",
SUMIFS(TMA_Entreprises!L:L,TMA_Entreprises!F:F,$M39,TMA_Entreprises!N:N,"Demande")
+SUMIFS(TMA_Entreprises!L:L,TMA_Entreprises!F:F,$M39,TMA_Entreprises!N:N,"Étude")
+SUMIFS(TMA_Entreprises!L:L,TMA_Entreprises!F:F,$M39,TMA_Entreprises!N:N,"Chiffré")
))</f>
        <v/>
      </c>
      <c r="Q39" s="212" t="str">
        <f>IF($M39="","",IF(
SUMIFS(
TMA_Entreprises!L:L,
TMA_Entreprises!F:F,$M39,
TMA_Entreprises!N:N,"Refusé"
)=0,
"",
SUMIFS(
TMA_Entreprises!L:L,
TMA_Entreprises!F:F,$M39,
TMA_Entreprises!N:N,"Refusé"
)))</f>
        <v/>
      </c>
    </row>
    <row r="40" spans="1:17" ht="30" customHeight="1" thickTop="1" thickBot="1" x14ac:dyDescent="0.5">
      <c r="A40" s="15" t="str">
        <f t="shared" si="0"/>
        <v/>
      </c>
      <c r="B40" s="46"/>
      <c r="C40" s="15" t="str">
        <f t="shared" si="1"/>
        <v/>
      </c>
      <c r="D40" s="46"/>
      <c r="E40" s="215" t="str">
        <f t="shared" si="2"/>
        <v/>
      </c>
      <c r="F40" s="216"/>
      <c r="G40" s="215" t="str">
        <f t="shared" si="3"/>
        <v/>
      </c>
      <c r="H40" s="216"/>
      <c r="I40" s="215" t="str">
        <f t="shared" si="4"/>
        <v/>
      </c>
      <c r="M40" s="213"/>
      <c r="N40" s="212" t="str" cm="1">
        <f t="array" ref="N40">IF($M40="","",IFERROR(
INDEX(_xlfn._xlws.FILTER(TMA_Entreprises!G:G,TMA_Entreprises!F:F=$M40),1),
""
))</f>
        <v/>
      </c>
      <c r="O40" s="212" t="str">
        <f>IF($M40="","",IF(
SUMIFS(
TMA_Entreprises!L:L,
TMA_Entreprises!F:F,$M40,
TMA_Entreprises!N:N,"Validé"
)=0,
"",
SUMIFS(
TMA_Entreprises!L:L,
TMA_Entreprises!F:F,$M40,
TMA_Entreprises!N:N,"Validé"
)))</f>
        <v/>
      </c>
      <c r="P40" s="212" t="str">
        <f>IF($M40="","",IF(
SUMIFS(TMA_Entreprises!L:L,TMA_Entreprises!F:F,$M40,TMA_Entreprises!N:N,"Demande")
+SUMIFS(TMA_Entreprises!L:L,TMA_Entreprises!F:F,$M40,TMA_Entreprises!N:N,"Étude")
+SUMIFS(TMA_Entreprises!L:L,TMA_Entreprises!F:F,$M40,TMA_Entreprises!N:N,"Chiffré")
=0,
"",
SUMIFS(TMA_Entreprises!L:L,TMA_Entreprises!F:F,$M40,TMA_Entreprises!N:N,"Demande")
+SUMIFS(TMA_Entreprises!L:L,TMA_Entreprises!F:F,$M40,TMA_Entreprises!N:N,"Étude")
+SUMIFS(TMA_Entreprises!L:L,TMA_Entreprises!F:F,$M40,TMA_Entreprises!N:N,"Chiffré")
))</f>
        <v/>
      </c>
      <c r="Q40" s="212" t="str">
        <f>IF($M40="","",IF(
SUMIFS(
TMA_Entreprises!L:L,
TMA_Entreprises!F:F,$M40,
TMA_Entreprises!N:N,"Refusé"
)=0,
"",
SUMIFS(
TMA_Entreprises!L:L,
TMA_Entreprises!F:F,$M40,
TMA_Entreprises!N:N,"Refusé"
)))</f>
        <v/>
      </c>
    </row>
    <row r="41" spans="1:17" ht="30" customHeight="1" thickTop="1" thickBot="1" x14ac:dyDescent="0.5">
      <c r="A41" s="15" t="str">
        <f t="shared" si="0"/>
        <v/>
      </c>
      <c r="B41" s="46"/>
      <c r="C41" s="15" t="str">
        <f t="shared" si="1"/>
        <v/>
      </c>
      <c r="D41" s="46"/>
      <c r="E41" s="215" t="str">
        <f t="shared" si="2"/>
        <v/>
      </c>
      <c r="F41" s="216"/>
      <c r="G41" s="215" t="str">
        <f t="shared" si="3"/>
        <v/>
      </c>
      <c r="H41" s="216"/>
      <c r="I41" s="215" t="str">
        <f t="shared" si="4"/>
        <v/>
      </c>
      <c r="M41" s="214"/>
      <c r="N41" s="212" t="str" cm="1">
        <f t="array" ref="N41">IF($M41="","",IFERROR(
INDEX(_xlfn._xlws.FILTER(TMA_Entreprises!G:G,TMA_Entreprises!F:F=$M41),1),
""
))</f>
        <v/>
      </c>
      <c r="O41" s="212" t="str">
        <f>IF($M41="","",IF(
SUMIFS(
TMA_Entreprises!L:L,
TMA_Entreprises!F:F,$M41,
TMA_Entreprises!N:N,"Validé"
)=0,
"",
SUMIFS(
TMA_Entreprises!L:L,
TMA_Entreprises!F:F,$M41,
TMA_Entreprises!N:N,"Validé"
)))</f>
        <v/>
      </c>
      <c r="P41" s="212" t="str">
        <f>IF($M41="","",IF(
SUMIFS(TMA_Entreprises!L:L,TMA_Entreprises!F:F,$M41,TMA_Entreprises!N:N,"Demande")
+SUMIFS(TMA_Entreprises!L:L,TMA_Entreprises!F:F,$M41,TMA_Entreprises!N:N,"Étude")
+SUMIFS(TMA_Entreprises!L:L,TMA_Entreprises!F:F,$M41,TMA_Entreprises!N:N,"Chiffré")
=0,
"",
SUMIFS(TMA_Entreprises!L:L,TMA_Entreprises!F:F,$M41,TMA_Entreprises!N:N,"Demande")
+SUMIFS(TMA_Entreprises!L:L,TMA_Entreprises!F:F,$M41,TMA_Entreprises!N:N,"Étude")
+SUMIFS(TMA_Entreprises!L:L,TMA_Entreprises!F:F,$M41,TMA_Entreprises!N:N,"Chiffré")
))</f>
        <v/>
      </c>
      <c r="Q41" s="212" t="str">
        <f>IF($M41="","",IF(
SUMIFS(
TMA_Entreprises!L:L,
TMA_Entreprises!F:F,$M41,
TMA_Entreprises!N:N,"Refusé"
)=0,
"",
SUMIFS(
TMA_Entreprises!L:L,
TMA_Entreprises!F:F,$M41,
TMA_Entreprises!N:N,"Refusé"
)))</f>
        <v/>
      </c>
    </row>
    <row r="42" spans="1:17" ht="30" customHeight="1" thickTop="1" thickBot="1" x14ac:dyDescent="0.5">
      <c r="A42" s="15" t="str">
        <f t="shared" si="0"/>
        <v/>
      </c>
      <c r="B42" s="46"/>
      <c r="C42" s="15" t="str">
        <f t="shared" si="1"/>
        <v/>
      </c>
      <c r="D42" s="46"/>
      <c r="E42" s="215" t="str">
        <f t="shared" si="2"/>
        <v/>
      </c>
      <c r="F42" s="216"/>
      <c r="G42" s="215" t="str">
        <f t="shared" si="3"/>
        <v/>
      </c>
      <c r="H42" s="216"/>
      <c r="I42" s="215" t="str">
        <f t="shared" si="4"/>
        <v/>
      </c>
      <c r="M42" s="213"/>
      <c r="N42" s="212" t="str" cm="1">
        <f t="array" ref="N42">IF($M42="","",IFERROR(
INDEX(_xlfn._xlws.FILTER(TMA_Entreprises!G:G,TMA_Entreprises!F:F=$M42),1),
""
))</f>
        <v/>
      </c>
      <c r="O42" s="212" t="str">
        <f>IF($M42="","",IF(
SUMIFS(
TMA_Entreprises!L:L,
TMA_Entreprises!F:F,$M42,
TMA_Entreprises!N:N,"Validé"
)=0,
"",
SUMIFS(
TMA_Entreprises!L:L,
TMA_Entreprises!F:F,$M42,
TMA_Entreprises!N:N,"Validé"
)))</f>
        <v/>
      </c>
      <c r="P42" s="212" t="str">
        <f>IF($M42="","",IF(
SUMIFS(TMA_Entreprises!L:L,TMA_Entreprises!F:F,$M42,TMA_Entreprises!N:N,"Demande")
+SUMIFS(TMA_Entreprises!L:L,TMA_Entreprises!F:F,$M42,TMA_Entreprises!N:N,"Étude")
+SUMIFS(TMA_Entreprises!L:L,TMA_Entreprises!F:F,$M42,TMA_Entreprises!N:N,"Chiffré")
=0,
"",
SUMIFS(TMA_Entreprises!L:L,TMA_Entreprises!F:F,$M42,TMA_Entreprises!N:N,"Demande")
+SUMIFS(TMA_Entreprises!L:L,TMA_Entreprises!F:F,$M42,TMA_Entreprises!N:N,"Étude")
+SUMIFS(TMA_Entreprises!L:L,TMA_Entreprises!F:F,$M42,TMA_Entreprises!N:N,"Chiffré")
))</f>
        <v/>
      </c>
      <c r="Q42" s="212" t="str">
        <f>IF($M42="","",IF(
SUMIFS(
TMA_Entreprises!L:L,
TMA_Entreprises!F:F,$M42,
TMA_Entreprises!N:N,"Refusé"
)=0,
"",
SUMIFS(
TMA_Entreprises!L:L,
TMA_Entreprises!F:F,$M42,
TMA_Entreprises!N:N,"Refusé"
)))</f>
        <v/>
      </c>
    </row>
    <row r="43" spans="1:17" ht="21.75" customHeight="1" thickTop="1" thickBot="1" x14ac:dyDescent="0.5">
      <c r="A43" s="15" t="str">
        <f t="shared" si="0"/>
        <v/>
      </c>
      <c r="B43" s="46"/>
      <c r="C43" s="15" t="str">
        <f t="shared" si="1"/>
        <v/>
      </c>
      <c r="D43" s="46"/>
      <c r="E43" s="215" t="str">
        <f t="shared" si="2"/>
        <v/>
      </c>
      <c r="F43" s="216"/>
      <c r="G43" s="215" t="str">
        <f t="shared" si="3"/>
        <v/>
      </c>
      <c r="H43" s="216"/>
      <c r="I43" s="215" t="str">
        <f t="shared" si="4"/>
        <v/>
      </c>
      <c r="M43" s="214"/>
      <c r="N43" s="212" t="str" cm="1">
        <f t="array" ref="N43">IF($M43="","",IFERROR(
INDEX(_xlfn._xlws.FILTER(TMA_Entreprises!G:G,TMA_Entreprises!F:F=$M43),1),
""
))</f>
        <v/>
      </c>
      <c r="O43" s="212" t="str">
        <f>IF($M43="","",IF(
SUMIFS(
TMA_Entreprises!L:L,
TMA_Entreprises!F:F,$M43,
TMA_Entreprises!N:N,"Validé"
)=0,
"",
SUMIFS(
TMA_Entreprises!L:L,
TMA_Entreprises!F:F,$M43,
TMA_Entreprises!N:N,"Validé"
)))</f>
        <v/>
      </c>
      <c r="P43" s="212" t="str">
        <f>IF($M43="","",IF(
SUMIFS(TMA_Entreprises!L:L,TMA_Entreprises!F:F,$M43,TMA_Entreprises!N:N,"Demande")
+SUMIFS(TMA_Entreprises!L:L,TMA_Entreprises!F:F,$M43,TMA_Entreprises!N:N,"Étude")
+SUMIFS(TMA_Entreprises!L:L,TMA_Entreprises!F:F,$M43,TMA_Entreprises!N:N,"Chiffré")
=0,
"",
SUMIFS(TMA_Entreprises!L:L,TMA_Entreprises!F:F,$M43,TMA_Entreprises!N:N,"Demande")
+SUMIFS(TMA_Entreprises!L:L,TMA_Entreprises!F:F,$M43,TMA_Entreprises!N:N,"Étude")
+SUMIFS(TMA_Entreprises!L:L,TMA_Entreprises!F:F,$M43,TMA_Entreprises!N:N,"Chiffré")
))</f>
        <v/>
      </c>
      <c r="Q43" s="212" t="str">
        <f>IF($M43="","",IF(
SUMIFS(
TMA_Entreprises!L:L,
TMA_Entreprises!F:F,$M43,
TMA_Entreprises!N:N,"Refusé"
)=0,
"",
SUMIFS(
TMA_Entreprises!L:L,
TMA_Entreprises!F:F,$M43,
TMA_Entreprises!N:N,"Refusé"
)))</f>
        <v/>
      </c>
    </row>
    <row r="44" spans="1:17" ht="21.75" customHeight="1" thickTop="1" thickBot="1" x14ac:dyDescent="0.5">
      <c r="A44" s="15" t="str">
        <f t="shared" si="0"/>
        <v/>
      </c>
      <c r="B44" s="46"/>
      <c r="C44" s="15" t="str">
        <f t="shared" si="1"/>
        <v/>
      </c>
      <c r="D44" s="46"/>
      <c r="E44" s="215" t="str">
        <f t="shared" si="2"/>
        <v/>
      </c>
      <c r="F44" s="216"/>
      <c r="G44" s="215" t="str">
        <f t="shared" si="3"/>
        <v/>
      </c>
      <c r="H44" s="216"/>
      <c r="I44" s="215" t="str">
        <f t="shared" si="4"/>
        <v/>
      </c>
      <c r="M44" s="213"/>
      <c r="N44" s="212" t="str" cm="1">
        <f t="array" ref="N44">IF($M44="","",IFERROR(
INDEX(_xlfn._xlws.FILTER(TMA_Entreprises!G:G,TMA_Entreprises!F:F=$M44),1),
""
))</f>
        <v/>
      </c>
      <c r="O44" s="212" t="str">
        <f>IF($M44="","",IF(
SUMIFS(
TMA_Entreprises!L:L,
TMA_Entreprises!F:F,$M44,
TMA_Entreprises!N:N,"Validé"
)=0,
"",
SUMIFS(
TMA_Entreprises!L:L,
TMA_Entreprises!F:F,$M44,
TMA_Entreprises!N:N,"Validé"
)))</f>
        <v/>
      </c>
      <c r="P44" s="212" t="str">
        <f>IF($M44="","",IF(
SUMIFS(TMA_Entreprises!L:L,TMA_Entreprises!F:F,$M44,TMA_Entreprises!N:N,"Demande")
+SUMIFS(TMA_Entreprises!L:L,TMA_Entreprises!F:F,$M44,TMA_Entreprises!N:N,"Étude")
+SUMIFS(TMA_Entreprises!L:L,TMA_Entreprises!F:F,$M44,TMA_Entreprises!N:N,"Chiffré")
=0,
"",
SUMIFS(TMA_Entreprises!L:L,TMA_Entreprises!F:F,$M44,TMA_Entreprises!N:N,"Demande")
+SUMIFS(TMA_Entreprises!L:L,TMA_Entreprises!F:F,$M44,TMA_Entreprises!N:N,"Étude")
+SUMIFS(TMA_Entreprises!L:L,TMA_Entreprises!F:F,$M44,TMA_Entreprises!N:N,"Chiffré")
))</f>
        <v/>
      </c>
      <c r="Q44" s="212" t="str">
        <f>IF($M44="","",IF(
SUMIFS(
TMA_Entreprises!L:L,
TMA_Entreprises!F:F,$M44,
TMA_Entreprises!N:N,"Refusé"
)=0,
"",
SUMIFS(
TMA_Entreprises!L:L,
TMA_Entreprises!F:F,$M44,
TMA_Entreprises!N:N,"Refusé"
)))</f>
        <v/>
      </c>
    </row>
    <row r="45" spans="1:17" ht="21.75" customHeight="1" thickTop="1" thickBot="1" x14ac:dyDescent="0.5">
      <c r="A45" s="15" t="str">
        <f t="shared" si="0"/>
        <v/>
      </c>
      <c r="B45" s="46"/>
      <c r="C45" s="15" t="str">
        <f t="shared" si="1"/>
        <v/>
      </c>
      <c r="D45" s="46"/>
      <c r="E45" s="215" t="str">
        <f t="shared" si="2"/>
        <v/>
      </c>
      <c r="F45" s="216"/>
      <c r="G45" s="215" t="str">
        <f t="shared" si="3"/>
        <v/>
      </c>
      <c r="H45" s="216"/>
      <c r="I45" s="215" t="str">
        <f t="shared" si="4"/>
        <v/>
      </c>
      <c r="M45" s="214"/>
      <c r="N45" s="212" t="str" cm="1">
        <f t="array" ref="N45">IF($M45="","",IFERROR(
INDEX(_xlfn._xlws.FILTER(TMA_Entreprises!G:G,TMA_Entreprises!F:F=$M45),1),
""
))</f>
        <v/>
      </c>
      <c r="O45" s="212" t="str">
        <f>IF($M45="","",IF(
SUMIFS(
TMA_Entreprises!L:L,
TMA_Entreprises!F:F,$M45,
TMA_Entreprises!N:N,"Validé"
)=0,
"",
SUMIFS(
TMA_Entreprises!L:L,
TMA_Entreprises!F:F,$M45,
TMA_Entreprises!N:N,"Validé"
)))</f>
        <v/>
      </c>
      <c r="P45" s="212" t="str">
        <f>IF($M45="","",IF(
SUMIFS(TMA_Entreprises!L:L,TMA_Entreprises!F:F,$M45,TMA_Entreprises!N:N,"Demande")
+SUMIFS(TMA_Entreprises!L:L,TMA_Entreprises!F:F,$M45,TMA_Entreprises!N:N,"Étude")
+SUMIFS(TMA_Entreprises!L:L,TMA_Entreprises!F:F,$M45,TMA_Entreprises!N:N,"Chiffré")
=0,
"",
SUMIFS(TMA_Entreprises!L:L,TMA_Entreprises!F:F,$M45,TMA_Entreprises!N:N,"Demande")
+SUMIFS(TMA_Entreprises!L:L,TMA_Entreprises!F:F,$M45,TMA_Entreprises!N:N,"Étude")
+SUMIFS(TMA_Entreprises!L:L,TMA_Entreprises!F:F,$M45,TMA_Entreprises!N:N,"Chiffré")
))</f>
        <v/>
      </c>
      <c r="Q45" s="212" t="str">
        <f>IF($M45="","",IF(
SUMIFS(
TMA_Entreprises!L:L,
TMA_Entreprises!F:F,$M45,
TMA_Entreprises!N:N,"Refusé"
)=0,
"",
SUMIFS(
TMA_Entreprises!L:L,
TMA_Entreprises!F:F,$M45,
TMA_Entreprises!N:N,"Refusé"
)))</f>
        <v/>
      </c>
    </row>
    <row r="46" spans="1:17" ht="21.75" customHeight="1" thickTop="1" x14ac:dyDescent="0.45">
      <c r="A46" s="15" t="str">
        <f t="shared" si="0"/>
        <v/>
      </c>
      <c r="B46" s="46"/>
      <c r="C46" s="15" t="str">
        <f t="shared" si="1"/>
        <v/>
      </c>
      <c r="D46" s="46"/>
      <c r="E46" s="215" t="str">
        <f t="shared" si="2"/>
        <v/>
      </c>
      <c r="F46" s="216"/>
      <c r="G46" s="215" t="str">
        <f t="shared" si="3"/>
        <v/>
      </c>
      <c r="H46" s="216"/>
      <c r="I46" s="215" t="str">
        <f t="shared" si="4"/>
        <v/>
      </c>
      <c r="M46" s="213"/>
      <c r="N46" s="212" t="str" cm="1">
        <f t="array" ref="N46">IF($M46="","",IFERROR(
INDEX(_xlfn._xlws.FILTER(TMA_Entreprises!G:G,TMA_Entreprises!F:F=$M46),1),
""
))</f>
        <v/>
      </c>
      <c r="O46" s="212" t="str">
        <f>IF($M46="","",IF(
SUMIFS(
TMA_Entreprises!L:L,
TMA_Entreprises!F:F,$M46,
TMA_Entreprises!N:N,"Validé"
)=0,
"",
SUMIFS(
TMA_Entreprises!L:L,
TMA_Entreprises!F:F,$M46,
TMA_Entreprises!N:N,"Validé"
)))</f>
        <v/>
      </c>
      <c r="P46" s="212" t="str">
        <f>IF($M46="","",IF(
SUMIFS(TMA_Entreprises!L:L,TMA_Entreprises!F:F,$M46,TMA_Entreprises!N:N,"Demande")
+SUMIFS(TMA_Entreprises!L:L,TMA_Entreprises!F:F,$M46,TMA_Entreprises!N:N,"Étude")
+SUMIFS(TMA_Entreprises!L:L,TMA_Entreprises!F:F,$M46,TMA_Entreprises!N:N,"Chiffré")
=0,
"",
SUMIFS(TMA_Entreprises!L:L,TMA_Entreprises!F:F,$M46,TMA_Entreprises!N:N,"Demande")
+SUMIFS(TMA_Entreprises!L:L,TMA_Entreprises!F:F,$M46,TMA_Entreprises!N:N,"Étude")
+SUMIFS(TMA_Entreprises!L:L,TMA_Entreprises!F:F,$M46,TMA_Entreprises!N:N,"Chiffré")
))</f>
        <v/>
      </c>
      <c r="Q46" s="212" t="str">
        <f>IF($M46="","",IF(
SUMIFS(
TMA_Entreprises!L:L,
TMA_Entreprises!F:F,$M46,
TMA_Entreprises!N:N,"Refusé"
)=0,
"",
SUMIFS(
TMA_Entreprises!L:L,
TMA_Entreprises!F:F,$M46,
TMA_Entreprises!N:N,"Refusé"
)))</f>
        <v/>
      </c>
    </row>
    <row r="47" spans="1:17" ht="21.75" customHeight="1" x14ac:dyDescent="0.45">
      <c r="A47" s="15" t="str">
        <f t="shared" si="0"/>
        <v/>
      </c>
      <c r="B47" s="46"/>
      <c r="C47" s="15" t="str">
        <f t="shared" si="1"/>
        <v/>
      </c>
      <c r="D47" s="46"/>
      <c r="E47" s="215" t="str">
        <f t="shared" si="2"/>
        <v/>
      </c>
      <c r="F47" s="216"/>
      <c r="G47" s="215" t="str">
        <f t="shared" si="3"/>
        <v/>
      </c>
      <c r="H47" s="216"/>
      <c r="I47" s="215" t="str">
        <f t="shared" si="4"/>
        <v/>
      </c>
    </row>
    <row r="48" spans="1:17" ht="21.75" customHeight="1" x14ac:dyDescent="0.45">
      <c r="A48" s="15" t="str">
        <f t="shared" si="0"/>
        <v/>
      </c>
      <c r="B48" s="46"/>
      <c r="C48" s="15" t="str">
        <f t="shared" si="1"/>
        <v/>
      </c>
      <c r="D48" s="46"/>
      <c r="E48" s="215" t="str">
        <f t="shared" si="2"/>
        <v/>
      </c>
      <c r="F48" s="216"/>
      <c r="G48" s="215" t="str">
        <f t="shared" si="3"/>
        <v/>
      </c>
      <c r="H48" s="216"/>
      <c r="I48" s="215" t="str">
        <f t="shared" si="4"/>
        <v/>
      </c>
    </row>
    <row r="49" spans="1:9" ht="21.75" customHeight="1" x14ac:dyDescent="0.45">
      <c r="A49" s="15" t="str">
        <f t="shared" si="0"/>
        <v/>
      </c>
      <c r="C49" s="15" t="str">
        <f t="shared" si="1"/>
        <v/>
      </c>
      <c r="E49" s="215" t="str">
        <f t="shared" si="2"/>
        <v/>
      </c>
      <c r="F49" s="68"/>
      <c r="G49" s="215" t="str">
        <f t="shared" si="3"/>
        <v/>
      </c>
      <c r="H49" s="68"/>
      <c r="I49" s="215" t="str">
        <f t="shared" si="4"/>
        <v/>
      </c>
    </row>
    <row r="50" spans="1:9" ht="14.65" customHeight="1" x14ac:dyDescent="0.45"/>
    <row r="51" spans="1:9" x14ac:dyDescent="0.45">
      <c r="B51" s="68"/>
    </row>
    <row r="52" spans="1:9" x14ac:dyDescent="0.45">
      <c r="B52" s="68"/>
    </row>
    <row r="53" spans="1:9" x14ac:dyDescent="0.45">
      <c r="B53" s="68"/>
    </row>
    <row r="54" spans="1:9" x14ac:dyDescent="0.45">
      <c r="B54" s="68"/>
    </row>
    <row r="55" spans="1:9" x14ac:dyDescent="0.45">
      <c r="B55" s="68"/>
    </row>
    <row r="56" spans="1:9" x14ac:dyDescent="0.45">
      <c r="B56" s="68"/>
    </row>
    <row r="57" spans="1:9" x14ac:dyDescent="0.45">
      <c r="B57" s="68"/>
    </row>
  </sheetData>
  <sheetProtection algorithmName="SHA-512" hashValue="YrFGx18QZ14nIFMItw6c/zws+unzrojE42C3hm8Io3KIT4wWwIUs5OKVXOe/WuyBWaqxTa9bBir3FJvPoIi3xQ==" saltValue="WYjCFx2PRbDxbGB9+hHxKg==" spinCount="100000" sheet="1" objects="1" scenarios="1" selectLockedCells="1"/>
  <autoFilter ref="M25:Q25" xr:uid="{F04ABA70-7A40-4A8D-8130-668F94FDBF30}">
    <sortState xmlns:xlrd2="http://schemas.microsoft.com/office/spreadsheetml/2017/richdata2" ref="M24:Q25">
      <sortCondition ref="M25"/>
    </sortState>
  </autoFilter>
  <mergeCells count="7">
    <mergeCell ref="A19:I19"/>
    <mergeCell ref="A27:I27"/>
    <mergeCell ref="A1:I1"/>
    <mergeCell ref="A2:I2"/>
    <mergeCell ref="A7:I7"/>
    <mergeCell ref="A11:I11"/>
    <mergeCell ref="A15:I15"/>
  </mergeCells>
  <printOptions horizontalCentered="1"/>
  <pageMargins left="0.39370078740157477" right="0.39370078740157477" top="0.59055118110236215" bottom="0.39370078740157477" header="0.3" footer="0.3"/>
  <pageSetup paperSize="9" scale="56" orientation="portrait" horizontalDpi="0" verticalDpi="0" r:id="rId1"/>
  <headerFooter>
    <oddHeader>&amp;CDASHBOARD TMA - 07/04/2026</oddHeader>
    <oddFooter>&amp;CPage 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35547-32EA-44BE-B36B-3E4D0AC69357}">
  <sheetPr codeName="Feuil1"/>
  <dimension ref="A1:T210"/>
  <sheetViews>
    <sheetView workbookViewId="0">
      <selection sqref="A1:T210"/>
    </sheetView>
  </sheetViews>
  <sheetFormatPr baseColWidth="10" defaultColWidth="14.3984375" defaultRowHeight="14.25" x14ac:dyDescent="0.45"/>
  <cols>
    <col min="1" max="5" width="20.59765625" customWidth="1"/>
    <col min="6" max="6" width="36.19921875" customWidth="1"/>
    <col min="7" max="7" width="20.59765625" customWidth="1"/>
    <col min="8" max="9" width="20.59765625" style="2" customWidth="1"/>
    <col min="10" max="11" width="20.59765625" customWidth="1"/>
    <col min="12" max="12" width="32.19921875" customWidth="1"/>
    <col min="13" max="13" width="20.59765625" customWidth="1"/>
    <col min="14" max="14" width="27.6640625" customWidth="1"/>
    <col min="15" max="17" width="20.59765625" style="2" customWidth="1"/>
    <col min="18" max="19" width="20.59765625" customWidth="1"/>
  </cols>
  <sheetData>
    <row r="1" spans="1:2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10</v>
      </c>
      <c r="H1" s="2" t="s">
        <v>8</v>
      </c>
      <c r="I1" s="2" t="s">
        <v>75</v>
      </c>
      <c r="J1" t="s">
        <v>12</v>
      </c>
      <c r="K1" t="s">
        <v>79</v>
      </c>
      <c r="L1" t="s">
        <v>76</v>
      </c>
      <c r="M1" t="s">
        <v>7</v>
      </c>
      <c r="N1" t="s">
        <v>81</v>
      </c>
      <c r="O1" s="2" t="s">
        <v>77</v>
      </c>
      <c r="P1" s="2" t="s">
        <v>78</v>
      </c>
      <c r="Q1" s="2" t="s">
        <v>9</v>
      </c>
      <c r="R1" t="s">
        <v>11</v>
      </c>
      <c r="S1" t="s">
        <v>6</v>
      </c>
      <c r="T1" t="s">
        <v>258</v>
      </c>
    </row>
    <row r="2" spans="1:20" x14ac:dyDescent="0.45">
      <c r="A2">
        <v>1</v>
      </c>
      <c r="B2" t="s">
        <v>13</v>
      </c>
      <c r="C2" t="s">
        <v>25</v>
      </c>
      <c r="D2" t="s">
        <v>206</v>
      </c>
      <c r="E2" t="s">
        <v>14</v>
      </c>
      <c r="F2" t="s">
        <v>207</v>
      </c>
      <c r="H2" s="2">
        <v>45708</v>
      </c>
      <c r="I2" s="2">
        <v>45709</v>
      </c>
      <c r="J2">
        <v>1</v>
      </c>
      <c r="K2" t="s">
        <v>109</v>
      </c>
      <c r="L2">
        <v>55.710000000000036</v>
      </c>
      <c r="N2">
        <v>72.423000000000044</v>
      </c>
      <c r="O2" s="2">
        <v>45713</v>
      </c>
      <c r="P2" s="2">
        <v>46079</v>
      </c>
      <c r="Q2" s="2">
        <v>45728</v>
      </c>
      <c r="R2" t="s">
        <v>108</v>
      </c>
      <c r="S2" t="s">
        <v>20</v>
      </c>
    </row>
    <row r="3" spans="1:20" x14ac:dyDescent="0.45">
      <c r="A3">
        <v>2</v>
      </c>
      <c r="B3" t="s">
        <v>22</v>
      </c>
      <c r="C3" t="s">
        <v>27</v>
      </c>
      <c r="D3" t="s">
        <v>210</v>
      </c>
      <c r="E3" t="s">
        <v>19</v>
      </c>
      <c r="F3" t="s">
        <v>211</v>
      </c>
      <c r="H3" s="2">
        <v>45713</v>
      </c>
      <c r="I3" s="2">
        <v>45715</v>
      </c>
      <c r="J3">
        <v>4</v>
      </c>
      <c r="K3" t="s">
        <v>163</v>
      </c>
      <c r="L3">
        <v>-575.73</v>
      </c>
      <c r="M3" t="s">
        <v>17</v>
      </c>
      <c r="N3">
        <v>-575.73</v>
      </c>
      <c r="Q3" s="2" t="s">
        <v>107</v>
      </c>
      <c r="R3" t="s">
        <v>108</v>
      </c>
      <c r="S3" t="s">
        <v>16</v>
      </c>
    </row>
    <row r="4" spans="1:20" x14ac:dyDescent="0.45">
      <c r="A4">
        <v>3</v>
      </c>
      <c r="B4" t="s">
        <v>22</v>
      </c>
      <c r="C4" t="s">
        <v>27</v>
      </c>
      <c r="D4" t="s">
        <v>210</v>
      </c>
      <c r="E4" t="s">
        <v>217</v>
      </c>
      <c r="F4" t="s">
        <v>218</v>
      </c>
      <c r="H4" s="2">
        <v>45713</v>
      </c>
      <c r="I4" s="2">
        <v>45715</v>
      </c>
      <c r="J4">
        <v>1</v>
      </c>
      <c r="K4" t="s">
        <v>109</v>
      </c>
      <c r="L4">
        <v>477</v>
      </c>
      <c r="M4" t="s">
        <v>21</v>
      </c>
      <c r="N4">
        <v>620.1</v>
      </c>
      <c r="Q4" s="2" t="s">
        <v>107</v>
      </c>
      <c r="R4" t="s">
        <v>108</v>
      </c>
      <c r="S4" t="s">
        <v>133</v>
      </c>
    </row>
    <row r="5" spans="1:20" x14ac:dyDescent="0.45">
      <c r="A5">
        <v>4</v>
      </c>
      <c r="B5" t="s">
        <v>22</v>
      </c>
      <c r="C5" t="s">
        <v>27</v>
      </c>
      <c r="D5" t="s">
        <v>210</v>
      </c>
      <c r="E5" t="s">
        <v>54</v>
      </c>
      <c r="F5" t="s">
        <v>246</v>
      </c>
      <c r="H5" s="2">
        <v>45713</v>
      </c>
      <c r="I5" s="2">
        <v>45715</v>
      </c>
      <c r="J5">
        <v>2</v>
      </c>
      <c r="K5" t="s">
        <v>109</v>
      </c>
      <c r="L5">
        <v>526.09999999999991</v>
      </c>
      <c r="M5" t="s">
        <v>23</v>
      </c>
      <c r="N5">
        <v>683.93</v>
      </c>
      <c r="Q5" s="2" t="s">
        <v>107</v>
      </c>
      <c r="R5" t="s">
        <v>108</v>
      </c>
      <c r="S5" t="s">
        <v>133</v>
      </c>
    </row>
    <row r="6" spans="1:20" x14ac:dyDescent="0.45">
      <c r="A6">
        <v>5</v>
      </c>
      <c r="B6" t="s">
        <v>22</v>
      </c>
      <c r="C6" t="s">
        <v>27</v>
      </c>
      <c r="D6" t="s">
        <v>210</v>
      </c>
      <c r="E6" t="s">
        <v>217</v>
      </c>
      <c r="F6" t="s">
        <v>250</v>
      </c>
      <c r="H6" s="2">
        <v>45713</v>
      </c>
      <c r="I6" s="2">
        <v>45715</v>
      </c>
      <c r="J6">
        <v>1</v>
      </c>
      <c r="K6" t="s">
        <v>108</v>
      </c>
      <c r="L6">
        <v>0</v>
      </c>
      <c r="N6">
        <v>0</v>
      </c>
      <c r="Q6" s="2" t="s">
        <v>107</v>
      </c>
      <c r="R6" t="s">
        <v>108</v>
      </c>
      <c r="S6" t="s">
        <v>16</v>
      </c>
    </row>
    <row r="7" spans="1:20" x14ac:dyDescent="0.45">
      <c r="A7">
        <v>6</v>
      </c>
      <c r="B7" t="s">
        <v>119</v>
      </c>
      <c r="C7" t="s">
        <v>26</v>
      </c>
      <c r="D7" t="s">
        <v>252</v>
      </c>
      <c r="E7" t="s">
        <v>53</v>
      </c>
      <c r="F7" t="s">
        <v>253</v>
      </c>
      <c r="H7" s="2">
        <v>45710</v>
      </c>
      <c r="I7" s="2">
        <v>45715</v>
      </c>
      <c r="J7">
        <v>1</v>
      </c>
      <c r="K7" t="s">
        <v>109</v>
      </c>
      <c r="L7">
        <v>352.6</v>
      </c>
      <c r="N7">
        <v>458.38000000000005</v>
      </c>
      <c r="O7" s="2">
        <v>45716</v>
      </c>
      <c r="Q7" s="2">
        <v>45731</v>
      </c>
      <c r="R7" t="s">
        <v>109</v>
      </c>
      <c r="S7" t="s">
        <v>133</v>
      </c>
    </row>
    <row r="8" spans="1:20" x14ac:dyDescent="0.45">
      <c r="A8">
        <v>7</v>
      </c>
      <c r="B8" t="s">
        <v>255</v>
      </c>
      <c r="C8" t="s">
        <v>25</v>
      </c>
      <c r="D8" t="s">
        <v>256</v>
      </c>
      <c r="E8" t="s">
        <v>217</v>
      </c>
      <c r="F8" t="s">
        <v>257</v>
      </c>
      <c r="H8" s="2">
        <v>45771</v>
      </c>
      <c r="I8" s="2">
        <v>45772</v>
      </c>
      <c r="J8">
        <v>1</v>
      </c>
      <c r="K8" t="s">
        <v>108</v>
      </c>
      <c r="L8">
        <v>0</v>
      </c>
      <c r="N8">
        <v>0</v>
      </c>
      <c r="O8" s="2" t="s">
        <v>164</v>
      </c>
      <c r="S8" t="s">
        <v>114</v>
      </c>
      <c r="T8" t="s">
        <v>259</v>
      </c>
    </row>
    <row r="9" spans="1:20" x14ac:dyDescent="0.45">
      <c r="A9">
        <v>8</v>
      </c>
      <c r="B9" t="s">
        <v>260</v>
      </c>
      <c r="C9" t="s">
        <v>26</v>
      </c>
      <c r="D9" t="s">
        <v>261</v>
      </c>
      <c r="E9" t="s">
        <v>217</v>
      </c>
      <c r="F9" t="s">
        <v>262</v>
      </c>
      <c r="H9" s="2">
        <v>45896</v>
      </c>
      <c r="I9" s="2">
        <v>45896</v>
      </c>
      <c r="J9">
        <v>1</v>
      </c>
      <c r="K9" t="s">
        <v>109</v>
      </c>
      <c r="L9">
        <v>782.95999999999992</v>
      </c>
      <c r="N9">
        <v>1017.848</v>
      </c>
      <c r="O9" s="2">
        <v>45902</v>
      </c>
      <c r="P9" s="2">
        <v>45905</v>
      </c>
      <c r="Q9" s="2">
        <v>45917</v>
      </c>
      <c r="R9" t="s">
        <v>108</v>
      </c>
      <c r="S9" t="s">
        <v>20</v>
      </c>
    </row>
    <row r="10" spans="1:20" x14ac:dyDescent="0.45">
      <c r="A10">
        <v>9</v>
      </c>
      <c r="B10" t="s">
        <v>263</v>
      </c>
      <c r="C10" t="s">
        <v>27</v>
      </c>
      <c r="D10" t="s">
        <v>264</v>
      </c>
      <c r="E10" t="s">
        <v>54</v>
      </c>
      <c r="F10" t="s">
        <v>246</v>
      </c>
      <c r="H10" s="2">
        <v>45744</v>
      </c>
      <c r="I10" s="2">
        <v>45745</v>
      </c>
      <c r="J10">
        <v>2</v>
      </c>
      <c r="K10" t="s">
        <v>163</v>
      </c>
      <c r="L10">
        <v>406.09999999999997</v>
      </c>
      <c r="N10">
        <v>527.92999999999995</v>
      </c>
      <c r="Q10" s="2" t="s">
        <v>107</v>
      </c>
      <c r="R10" t="s">
        <v>108</v>
      </c>
      <c r="S10" t="s">
        <v>16</v>
      </c>
    </row>
    <row r="11" spans="1:20" x14ac:dyDescent="0.45">
      <c r="A11">
        <v>10</v>
      </c>
      <c r="B11" t="s">
        <v>263</v>
      </c>
      <c r="C11" t="s">
        <v>27</v>
      </c>
      <c r="D11" t="s">
        <v>264</v>
      </c>
      <c r="E11" t="s">
        <v>265</v>
      </c>
      <c r="F11" t="s">
        <v>266</v>
      </c>
      <c r="H11" s="2">
        <v>45744</v>
      </c>
      <c r="I11" s="2">
        <v>45745</v>
      </c>
      <c r="J11">
        <v>1</v>
      </c>
      <c r="K11" t="s">
        <v>109</v>
      </c>
      <c r="L11">
        <v>658.47</v>
      </c>
      <c r="N11">
        <v>856.01100000000008</v>
      </c>
      <c r="O11" s="2">
        <v>45746</v>
      </c>
      <c r="Q11" s="2">
        <v>45761</v>
      </c>
      <c r="R11" t="s">
        <v>109</v>
      </c>
      <c r="S11" t="s">
        <v>133</v>
      </c>
    </row>
    <row r="12" spans="1:20" x14ac:dyDescent="0.45">
      <c r="A12">
        <v>11</v>
      </c>
      <c r="B12" t="s">
        <v>24</v>
      </c>
      <c r="C12" t="s">
        <v>25</v>
      </c>
      <c r="D12" t="s">
        <v>268</v>
      </c>
      <c r="E12" t="s">
        <v>217</v>
      </c>
      <c r="F12" t="s">
        <v>269</v>
      </c>
      <c r="H12" s="2">
        <v>45956</v>
      </c>
      <c r="I12" s="2">
        <v>45956</v>
      </c>
      <c r="J12">
        <v>1</v>
      </c>
      <c r="K12" t="s">
        <v>109</v>
      </c>
      <c r="L12">
        <v>-249.61999999999989</v>
      </c>
      <c r="N12">
        <v>-249.61999999999989</v>
      </c>
      <c r="Q12" s="2" t="s">
        <v>107</v>
      </c>
      <c r="R12" t="s">
        <v>108</v>
      </c>
      <c r="S12" t="s">
        <v>133</v>
      </c>
    </row>
    <row r="13" spans="1:20" x14ac:dyDescent="0.45">
      <c r="A13">
        <v>12</v>
      </c>
      <c r="B13" t="s">
        <v>18</v>
      </c>
      <c r="C13" t="s">
        <v>26</v>
      </c>
      <c r="D13" t="s">
        <v>273</v>
      </c>
      <c r="E13" t="s">
        <v>217</v>
      </c>
      <c r="F13" t="s">
        <v>279</v>
      </c>
      <c r="H13" s="2">
        <v>45956</v>
      </c>
      <c r="I13" s="2">
        <v>45957</v>
      </c>
      <c r="J13">
        <v>1</v>
      </c>
      <c r="K13" t="s">
        <v>109</v>
      </c>
      <c r="L13">
        <v>444</v>
      </c>
      <c r="N13">
        <v>577.20000000000005</v>
      </c>
      <c r="O13" s="2">
        <v>45957</v>
      </c>
      <c r="P13" s="2">
        <v>45958</v>
      </c>
      <c r="Q13" s="2">
        <v>45972</v>
      </c>
      <c r="R13" t="s">
        <v>108</v>
      </c>
      <c r="S13" t="s">
        <v>20</v>
      </c>
    </row>
    <row r="14" spans="1:20" x14ac:dyDescent="0.45">
      <c r="J14" t="s">
        <v>107</v>
      </c>
      <c r="K14" t="s">
        <v>107</v>
      </c>
      <c r="L14" t="s">
        <v>107</v>
      </c>
      <c r="N14" t="s">
        <v>107</v>
      </c>
      <c r="Q14" s="2" t="s">
        <v>107</v>
      </c>
      <c r="R14" t="s">
        <v>107</v>
      </c>
      <c r="S14" t="s">
        <v>107</v>
      </c>
    </row>
    <row r="15" spans="1:20" x14ac:dyDescent="0.45">
      <c r="J15" t="s">
        <v>107</v>
      </c>
      <c r="K15" t="s">
        <v>107</v>
      </c>
      <c r="L15" t="s">
        <v>107</v>
      </c>
      <c r="N15" t="s">
        <v>107</v>
      </c>
      <c r="Q15" s="2" t="s">
        <v>107</v>
      </c>
      <c r="R15" t="s">
        <v>107</v>
      </c>
      <c r="S15" t="s">
        <v>107</v>
      </c>
    </row>
    <row r="16" spans="1:20" x14ac:dyDescent="0.45">
      <c r="J16" t="s">
        <v>107</v>
      </c>
      <c r="K16" t="s">
        <v>107</v>
      </c>
      <c r="L16" t="s">
        <v>107</v>
      </c>
      <c r="N16" t="s">
        <v>107</v>
      </c>
      <c r="Q16" s="2" t="s">
        <v>107</v>
      </c>
      <c r="R16" t="s">
        <v>107</v>
      </c>
      <c r="S16" t="s">
        <v>107</v>
      </c>
    </row>
    <row r="17" spans="10:19" x14ac:dyDescent="0.45">
      <c r="J17" t="s">
        <v>107</v>
      </c>
      <c r="K17" t="s">
        <v>107</v>
      </c>
      <c r="L17" t="s">
        <v>107</v>
      </c>
      <c r="N17" t="s">
        <v>107</v>
      </c>
      <c r="Q17" s="2" t="s">
        <v>107</v>
      </c>
      <c r="R17" t="s">
        <v>107</v>
      </c>
      <c r="S17" t="s">
        <v>107</v>
      </c>
    </row>
    <row r="18" spans="10:19" x14ac:dyDescent="0.45">
      <c r="J18" t="s">
        <v>107</v>
      </c>
      <c r="K18" t="s">
        <v>107</v>
      </c>
      <c r="L18" t="s">
        <v>107</v>
      </c>
      <c r="N18" t="s">
        <v>107</v>
      </c>
      <c r="Q18" s="2" t="s">
        <v>107</v>
      </c>
      <c r="R18" t="s">
        <v>107</v>
      </c>
      <c r="S18" t="s">
        <v>107</v>
      </c>
    </row>
    <row r="19" spans="10:19" x14ac:dyDescent="0.45">
      <c r="J19" t="s">
        <v>107</v>
      </c>
      <c r="K19" t="s">
        <v>107</v>
      </c>
      <c r="L19" t="s">
        <v>107</v>
      </c>
      <c r="N19" t="s">
        <v>107</v>
      </c>
      <c r="Q19" s="2" t="s">
        <v>107</v>
      </c>
      <c r="R19" t="s">
        <v>107</v>
      </c>
      <c r="S19" t="s">
        <v>107</v>
      </c>
    </row>
    <row r="20" spans="10:19" x14ac:dyDescent="0.45">
      <c r="J20" t="s">
        <v>107</v>
      </c>
      <c r="K20" t="s">
        <v>107</v>
      </c>
      <c r="L20" t="s">
        <v>107</v>
      </c>
      <c r="N20" t="s">
        <v>107</v>
      </c>
      <c r="Q20" s="2" t="s">
        <v>107</v>
      </c>
      <c r="R20" t="s">
        <v>107</v>
      </c>
      <c r="S20" t="s">
        <v>107</v>
      </c>
    </row>
    <row r="21" spans="10:19" x14ac:dyDescent="0.45">
      <c r="J21" t="s">
        <v>107</v>
      </c>
      <c r="K21" t="s">
        <v>107</v>
      </c>
      <c r="L21" t="s">
        <v>107</v>
      </c>
      <c r="N21" t="s">
        <v>107</v>
      </c>
      <c r="Q21" s="2" t="s">
        <v>107</v>
      </c>
      <c r="R21" t="s">
        <v>107</v>
      </c>
      <c r="S21" t="s">
        <v>107</v>
      </c>
    </row>
    <row r="22" spans="10:19" x14ac:dyDescent="0.45">
      <c r="J22" t="s">
        <v>107</v>
      </c>
      <c r="K22" t="s">
        <v>107</v>
      </c>
      <c r="L22" t="s">
        <v>107</v>
      </c>
      <c r="N22" t="s">
        <v>107</v>
      </c>
      <c r="Q22" s="2" t="s">
        <v>107</v>
      </c>
      <c r="R22" t="s">
        <v>107</v>
      </c>
      <c r="S22" t="s">
        <v>107</v>
      </c>
    </row>
    <row r="23" spans="10:19" x14ac:dyDescent="0.45">
      <c r="J23" t="s">
        <v>107</v>
      </c>
      <c r="K23" t="s">
        <v>107</v>
      </c>
      <c r="L23" t="s">
        <v>107</v>
      </c>
      <c r="N23" t="s">
        <v>107</v>
      </c>
      <c r="Q23" s="2" t="s">
        <v>107</v>
      </c>
      <c r="R23" t="s">
        <v>107</v>
      </c>
      <c r="S23" t="s">
        <v>107</v>
      </c>
    </row>
    <row r="24" spans="10:19" x14ac:dyDescent="0.45">
      <c r="J24" t="s">
        <v>107</v>
      </c>
      <c r="K24" t="s">
        <v>107</v>
      </c>
      <c r="L24" t="s">
        <v>107</v>
      </c>
      <c r="N24" t="s">
        <v>107</v>
      </c>
      <c r="Q24" s="2" t="s">
        <v>107</v>
      </c>
      <c r="R24" t="s">
        <v>107</v>
      </c>
      <c r="S24" t="s">
        <v>107</v>
      </c>
    </row>
    <row r="25" spans="10:19" x14ac:dyDescent="0.45">
      <c r="J25" t="s">
        <v>107</v>
      </c>
      <c r="K25" t="s">
        <v>107</v>
      </c>
      <c r="L25" t="s">
        <v>107</v>
      </c>
      <c r="N25" t="s">
        <v>107</v>
      </c>
      <c r="Q25" s="2" t="s">
        <v>107</v>
      </c>
      <c r="R25" t="s">
        <v>107</v>
      </c>
      <c r="S25" t="s">
        <v>107</v>
      </c>
    </row>
    <row r="26" spans="10:19" x14ac:dyDescent="0.45">
      <c r="J26" t="s">
        <v>107</v>
      </c>
      <c r="K26" t="s">
        <v>107</v>
      </c>
      <c r="L26" t="s">
        <v>107</v>
      </c>
      <c r="N26" t="s">
        <v>107</v>
      </c>
      <c r="Q26" s="2" t="s">
        <v>107</v>
      </c>
      <c r="R26" t="s">
        <v>107</v>
      </c>
      <c r="S26" t="s">
        <v>107</v>
      </c>
    </row>
    <row r="27" spans="10:19" x14ac:dyDescent="0.45">
      <c r="J27" t="s">
        <v>107</v>
      </c>
      <c r="K27" t="s">
        <v>107</v>
      </c>
      <c r="L27" t="s">
        <v>107</v>
      </c>
      <c r="N27" t="s">
        <v>107</v>
      </c>
      <c r="Q27" s="2" t="s">
        <v>107</v>
      </c>
      <c r="R27" t="s">
        <v>107</v>
      </c>
      <c r="S27" t="s">
        <v>107</v>
      </c>
    </row>
    <row r="28" spans="10:19" x14ac:dyDescent="0.45">
      <c r="J28" t="s">
        <v>107</v>
      </c>
      <c r="K28" t="s">
        <v>107</v>
      </c>
      <c r="L28" t="s">
        <v>107</v>
      </c>
      <c r="N28" t="s">
        <v>107</v>
      </c>
      <c r="Q28" s="2" t="s">
        <v>107</v>
      </c>
      <c r="R28" t="s">
        <v>107</v>
      </c>
      <c r="S28" t="s">
        <v>107</v>
      </c>
    </row>
    <row r="29" spans="10:19" x14ac:dyDescent="0.45">
      <c r="J29" t="s">
        <v>107</v>
      </c>
      <c r="K29" t="s">
        <v>107</v>
      </c>
      <c r="L29" t="s">
        <v>107</v>
      </c>
      <c r="N29" t="s">
        <v>107</v>
      </c>
      <c r="Q29" s="2" t="s">
        <v>107</v>
      </c>
      <c r="R29" t="s">
        <v>107</v>
      </c>
      <c r="S29" t="s">
        <v>107</v>
      </c>
    </row>
    <row r="30" spans="10:19" x14ac:dyDescent="0.45">
      <c r="J30" t="s">
        <v>107</v>
      </c>
      <c r="K30" t="s">
        <v>107</v>
      </c>
      <c r="L30" t="s">
        <v>107</v>
      </c>
      <c r="N30" t="s">
        <v>107</v>
      </c>
      <c r="Q30" s="2" t="s">
        <v>107</v>
      </c>
      <c r="R30" t="s">
        <v>107</v>
      </c>
      <c r="S30" t="s">
        <v>107</v>
      </c>
    </row>
    <row r="31" spans="10:19" x14ac:dyDescent="0.45">
      <c r="J31" t="s">
        <v>107</v>
      </c>
      <c r="K31" t="s">
        <v>107</v>
      </c>
      <c r="L31" t="s">
        <v>107</v>
      </c>
      <c r="N31" t="s">
        <v>107</v>
      </c>
      <c r="Q31" s="2" t="s">
        <v>107</v>
      </c>
      <c r="R31" t="s">
        <v>107</v>
      </c>
      <c r="S31" t="s">
        <v>107</v>
      </c>
    </row>
    <row r="32" spans="10:19" x14ac:dyDescent="0.45">
      <c r="J32" t="s">
        <v>107</v>
      </c>
      <c r="K32" t="s">
        <v>107</v>
      </c>
      <c r="L32" t="s">
        <v>107</v>
      </c>
      <c r="N32" t="s">
        <v>107</v>
      </c>
      <c r="Q32" s="2" t="s">
        <v>107</v>
      </c>
      <c r="R32" t="s">
        <v>107</v>
      </c>
      <c r="S32" t="s">
        <v>107</v>
      </c>
    </row>
    <row r="33" spans="10:19" x14ac:dyDescent="0.45">
      <c r="J33" t="s">
        <v>107</v>
      </c>
      <c r="K33" t="s">
        <v>107</v>
      </c>
      <c r="L33" t="s">
        <v>107</v>
      </c>
      <c r="N33" t="s">
        <v>107</v>
      </c>
      <c r="Q33" s="2" t="s">
        <v>107</v>
      </c>
      <c r="R33" t="s">
        <v>107</v>
      </c>
      <c r="S33" t="s">
        <v>107</v>
      </c>
    </row>
    <row r="34" spans="10:19" x14ac:dyDescent="0.45">
      <c r="J34" t="s">
        <v>107</v>
      </c>
      <c r="K34" t="s">
        <v>107</v>
      </c>
      <c r="L34" t="s">
        <v>107</v>
      </c>
      <c r="N34" t="s">
        <v>107</v>
      </c>
      <c r="Q34" s="2" t="s">
        <v>107</v>
      </c>
      <c r="R34" t="s">
        <v>107</v>
      </c>
      <c r="S34" t="s">
        <v>107</v>
      </c>
    </row>
    <row r="35" spans="10:19" x14ac:dyDescent="0.45">
      <c r="J35" t="s">
        <v>107</v>
      </c>
      <c r="K35" t="s">
        <v>107</v>
      </c>
      <c r="L35" t="s">
        <v>107</v>
      </c>
      <c r="N35" t="s">
        <v>107</v>
      </c>
      <c r="Q35" s="2" t="s">
        <v>107</v>
      </c>
      <c r="R35" t="s">
        <v>107</v>
      </c>
      <c r="S35" t="s">
        <v>107</v>
      </c>
    </row>
    <row r="36" spans="10:19" x14ac:dyDescent="0.45">
      <c r="J36" t="s">
        <v>107</v>
      </c>
      <c r="K36" t="s">
        <v>107</v>
      </c>
      <c r="L36" t="s">
        <v>107</v>
      </c>
      <c r="N36" t="s">
        <v>107</v>
      </c>
      <c r="Q36" s="2" t="s">
        <v>107</v>
      </c>
      <c r="R36" t="s">
        <v>107</v>
      </c>
      <c r="S36" t="s">
        <v>107</v>
      </c>
    </row>
    <row r="37" spans="10:19" x14ac:dyDescent="0.45">
      <c r="J37" t="s">
        <v>107</v>
      </c>
      <c r="K37" t="s">
        <v>107</v>
      </c>
      <c r="L37" t="s">
        <v>107</v>
      </c>
      <c r="N37" t="s">
        <v>107</v>
      </c>
      <c r="Q37" s="2" t="s">
        <v>107</v>
      </c>
      <c r="R37" t="s">
        <v>107</v>
      </c>
      <c r="S37" t="s">
        <v>107</v>
      </c>
    </row>
    <row r="38" spans="10:19" x14ac:dyDescent="0.45">
      <c r="J38" t="s">
        <v>107</v>
      </c>
      <c r="K38" t="s">
        <v>107</v>
      </c>
      <c r="L38" t="s">
        <v>107</v>
      </c>
      <c r="N38" t="s">
        <v>107</v>
      </c>
      <c r="Q38" s="2" t="s">
        <v>107</v>
      </c>
      <c r="R38" t="s">
        <v>107</v>
      </c>
      <c r="S38" t="s">
        <v>107</v>
      </c>
    </row>
    <row r="39" spans="10:19" x14ac:dyDescent="0.45">
      <c r="J39" t="s">
        <v>107</v>
      </c>
      <c r="K39" t="s">
        <v>107</v>
      </c>
      <c r="L39" t="s">
        <v>107</v>
      </c>
      <c r="N39" t="s">
        <v>107</v>
      </c>
      <c r="Q39" s="2" t="s">
        <v>107</v>
      </c>
      <c r="R39" t="s">
        <v>107</v>
      </c>
      <c r="S39" t="s">
        <v>107</v>
      </c>
    </row>
    <row r="40" spans="10:19" x14ac:dyDescent="0.45">
      <c r="J40" t="s">
        <v>107</v>
      </c>
      <c r="K40" t="s">
        <v>107</v>
      </c>
      <c r="L40" t="s">
        <v>107</v>
      </c>
      <c r="N40" t="s">
        <v>107</v>
      </c>
      <c r="Q40" s="2" t="s">
        <v>107</v>
      </c>
      <c r="R40" t="s">
        <v>107</v>
      </c>
      <c r="S40" t="s">
        <v>107</v>
      </c>
    </row>
    <row r="41" spans="10:19" x14ac:dyDescent="0.45">
      <c r="J41" t="s">
        <v>107</v>
      </c>
      <c r="K41" t="s">
        <v>107</v>
      </c>
      <c r="L41" t="s">
        <v>107</v>
      </c>
      <c r="N41" t="s">
        <v>107</v>
      </c>
      <c r="Q41" s="2" t="s">
        <v>107</v>
      </c>
      <c r="R41" t="s">
        <v>107</v>
      </c>
      <c r="S41" t="s">
        <v>107</v>
      </c>
    </row>
    <row r="42" spans="10:19" x14ac:dyDescent="0.45">
      <c r="J42" t="s">
        <v>107</v>
      </c>
      <c r="K42" t="s">
        <v>107</v>
      </c>
      <c r="L42" t="s">
        <v>107</v>
      </c>
      <c r="N42" t="s">
        <v>107</v>
      </c>
      <c r="Q42" s="2" t="s">
        <v>107</v>
      </c>
      <c r="R42" t="s">
        <v>107</v>
      </c>
      <c r="S42" t="s">
        <v>107</v>
      </c>
    </row>
    <row r="43" spans="10:19" x14ac:dyDescent="0.45">
      <c r="J43" t="s">
        <v>107</v>
      </c>
      <c r="K43" t="s">
        <v>107</v>
      </c>
      <c r="L43" t="s">
        <v>107</v>
      </c>
      <c r="N43" t="s">
        <v>107</v>
      </c>
      <c r="Q43" s="2" t="s">
        <v>107</v>
      </c>
      <c r="R43" t="s">
        <v>107</v>
      </c>
      <c r="S43" t="s">
        <v>107</v>
      </c>
    </row>
    <row r="44" spans="10:19" x14ac:dyDescent="0.45">
      <c r="J44" t="s">
        <v>107</v>
      </c>
      <c r="K44" t="s">
        <v>107</v>
      </c>
      <c r="L44" t="s">
        <v>107</v>
      </c>
      <c r="N44" t="s">
        <v>107</v>
      </c>
      <c r="Q44" s="2" t="s">
        <v>107</v>
      </c>
      <c r="R44" t="s">
        <v>107</v>
      </c>
      <c r="S44" t="s">
        <v>107</v>
      </c>
    </row>
    <row r="45" spans="10:19" x14ac:dyDescent="0.45">
      <c r="J45" t="s">
        <v>107</v>
      </c>
      <c r="K45" t="s">
        <v>107</v>
      </c>
      <c r="L45" t="s">
        <v>107</v>
      </c>
      <c r="N45" t="s">
        <v>107</v>
      </c>
      <c r="Q45" s="2" t="s">
        <v>107</v>
      </c>
      <c r="R45" t="s">
        <v>107</v>
      </c>
      <c r="S45" t="s">
        <v>107</v>
      </c>
    </row>
    <row r="46" spans="10:19" x14ac:dyDescent="0.45">
      <c r="J46" t="s">
        <v>107</v>
      </c>
      <c r="K46" t="s">
        <v>107</v>
      </c>
      <c r="L46" t="s">
        <v>107</v>
      </c>
      <c r="N46" t="s">
        <v>107</v>
      </c>
      <c r="Q46" s="2" t="s">
        <v>107</v>
      </c>
      <c r="R46" t="s">
        <v>107</v>
      </c>
      <c r="S46" t="s">
        <v>107</v>
      </c>
    </row>
    <row r="47" spans="10:19" x14ac:dyDescent="0.45">
      <c r="J47" t="s">
        <v>107</v>
      </c>
      <c r="K47" t="s">
        <v>107</v>
      </c>
      <c r="L47" t="s">
        <v>107</v>
      </c>
      <c r="N47" t="s">
        <v>107</v>
      </c>
      <c r="Q47" s="2" t="s">
        <v>107</v>
      </c>
      <c r="R47" t="s">
        <v>107</v>
      </c>
      <c r="S47" t="s">
        <v>107</v>
      </c>
    </row>
    <row r="48" spans="10:19" x14ac:dyDescent="0.45">
      <c r="J48" t="s">
        <v>107</v>
      </c>
      <c r="K48" t="s">
        <v>107</v>
      </c>
      <c r="L48" t="s">
        <v>107</v>
      </c>
      <c r="N48" t="s">
        <v>107</v>
      </c>
      <c r="Q48" s="2" t="s">
        <v>107</v>
      </c>
      <c r="R48" t="s">
        <v>107</v>
      </c>
      <c r="S48" t="s">
        <v>107</v>
      </c>
    </row>
    <row r="49" spans="10:19" x14ac:dyDescent="0.45">
      <c r="J49" t="s">
        <v>107</v>
      </c>
      <c r="K49" t="s">
        <v>107</v>
      </c>
      <c r="L49" t="s">
        <v>107</v>
      </c>
      <c r="N49" t="s">
        <v>107</v>
      </c>
      <c r="Q49" s="2" t="s">
        <v>107</v>
      </c>
      <c r="R49" t="s">
        <v>107</v>
      </c>
      <c r="S49" t="s">
        <v>107</v>
      </c>
    </row>
    <row r="50" spans="10:19" x14ac:dyDescent="0.45">
      <c r="J50" t="s">
        <v>107</v>
      </c>
      <c r="K50" t="s">
        <v>107</v>
      </c>
      <c r="L50" t="s">
        <v>107</v>
      </c>
      <c r="N50" t="s">
        <v>107</v>
      </c>
      <c r="Q50" s="2" t="s">
        <v>107</v>
      </c>
      <c r="R50" t="s">
        <v>107</v>
      </c>
      <c r="S50" t="s">
        <v>107</v>
      </c>
    </row>
    <row r="51" spans="10:19" x14ac:dyDescent="0.45">
      <c r="J51" t="s">
        <v>107</v>
      </c>
      <c r="K51" t="s">
        <v>107</v>
      </c>
      <c r="L51" t="s">
        <v>107</v>
      </c>
      <c r="N51" t="s">
        <v>107</v>
      </c>
      <c r="Q51" s="2" t="s">
        <v>107</v>
      </c>
      <c r="R51" t="s">
        <v>107</v>
      </c>
      <c r="S51" t="s">
        <v>107</v>
      </c>
    </row>
    <row r="52" spans="10:19" x14ac:dyDescent="0.45">
      <c r="J52" t="s">
        <v>107</v>
      </c>
      <c r="K52" t="s">
        <v>107</v>
      </c>
      <c r="L52" t="s">
        <v>107</v>
      </c>
      <c r="N52" t="s">
        <v>107</v>
      </c>
      <c r="Q52" s="2" t="s">
        <v>107</v>
      </c>
      <c r="R52" t="s">
        <v>107</v>
      </c>
      <c r="S52" t="s">
        <v>107</v>
      </c>
    </row>
    <row r="53" spans="10:19" x14ac:dyDescent="0.45">
      <c r="J53" t="s">
        <v>107</v>
      </c>
      <c r="K53" t="s">
        <v>107</v>
      </c>
      <c r="L53" t="s">
        <v>107</v>
      </c>
      <c r="N53" t="s">
        <v>107</v>
      </c>
      <c r="Q53" s="2" t="s">
        <v>107</v>
      </c>
      <c r="R53" t="s">
        <v>107</v>
      </c>
      <c r="S53" t="s">
        <v>107</v>
      </c>
    </row>
    <row r="54" spans="10:19" x14ac:dyDescent="0.45">
      <c r="J54" t="s">
        <v>107</v>
      </c>
      <c r="K54" t="s">
        <v>107</v>
      </c>
      <c r="L54" t="s">
        <v>107</v>
      </c>
      <c r="N54" t="s">
        <v>107</v>
      </c>
      <c r="Q54" s="2" t="s">
        <v>107</v>
      </c>
      <c r="R54" t="s">
        <v>107</v>
      </c>
      <c r="S54" t="s">
        <v>107</v>
      </c>
    </row>
    <row r="55" spans="10:19" x14ac:dyDescent="0.45">
      <c r="J55" t="s">
        <v>107</v>
      </c>
      <c r="K55" t="s">
        <v>107</v>
      </c>
      <c r="L55" t="s">
        <v>107</v>
      </c>
      <c r="N55" t="s">
        <v>107</v>
      </c>
      <c r="Q55" s="2" t="s">
        <v>107</v>
      </c>
      <c r="R55" t="s">
        <v>107</v>
      </c>
      <c r="S55" t="s">
        <v>107</v>
      </c>
    </row>
    <row r="56" spans="10:19" x14ac:dyDescent="0.45">
      <c r="J56" t="s">
        <v>107</v>
      </c>
      <c r="K56" t="s">
        <v>107</v>
      </c>
      <c r="L56" t="s">
        <v>107</v>
      </c>
      <c r="N56" t="s">
        <v>107</v>
      </c>
      <c r="Q56" s="2" t="s">
        <v>107</v>
      </c>
      <c r="R56" t="s">
        <v>107</v>
      </c>
      <c r="S56" t="s">
        <v>107</v>
      </c>
    </row>
    <row r="57" spans="10:19" x14ac:dyDescent="0.45">
      <c r="J57" t="s">
        <v>107</v>
      </c>
      <c r="K57" t="s">
        <v>107</v>
      </c>
      <c r="L57" t="s">
        <v>107</v>
      </c>
      <c r="N57" t="s">
        <v>107</v>
      </c>
      <c r="Q57" s="2" t="s">
        <v>107</v>
      </c>
      <c r="R57" t="s">
        <v>107</v>
      </c>
      <c r="S57" t="s">
        <v>107</v>
      </c>
    </row>
    <row r="58" spans="10:19" x14ac:dyDescent="0.45">
      <c r="J58" t="s">
        <v>107</v>
      </c>
      <c r="K58" t="s">
        <v>107</v>
      </c>
      <c r="L58" t="s">
        <v>107</v>
      </c>
      <c r="N58" t="s">
        <v>107</v>
      </c>
      <c r="Q58" s="2" t="s">
        <v>107</v>
      </c>
      <c r="R58" t="s">
        <v>107</v>
      </c>
      <c r="S58" t="s">
        <v>107</v>
      </c>
    </row>
    <row r="59" spans="10:19" x14ac:dyDescent="0.45">
      <c r="J59" t="s">
        <v>107</v>
      </c>
      <c r="K59" t="s">
        <v>107</v>
      </c>
      <c r="L59" t="s">
        <v>107</v>
      </c>
      <c r="N59" t="s">
        <v>107</v>
      </c>
      <c r="Q59" s="2" t="s">
        <v>107</v>
      </c>
      <c r="R59" t="s">
        <v>107</v>
      </c>
      <c r="S59" t="s">
        <v>107</v>
      </c>
    </row>
    <row r="60" spans="10:19" x14ac:dyDescent="0.45">
      <c r="J60" t="s">
        <v>107</v>
      </c>
      <c r="K60" t="s">
        <v>107</v>
      </c>
      <c r="L60" t="s">
        <v>107</v>
      </c>
      <c r="N60" t="s">
        <v>107</v>
      </c>
      <c r="Q60" s="2" t="s">
        <v>107</v>
      </c>
      <c r="R60" t="s">
        <v>107</v>
      </c>
      <c r="S60" t="s">
        <v>107</v>
      </c>
    </row>
    <row r="61" spans="10:19" x14ac:dyDescent="0.45">
      <c r="J61" t="s">
        <v>107</v>
      </c>
      <c r="K61" t="s">
        <v>107</v>
      </c>
      <c r="L61" t="s">
        <v>107</v>
      </c>
      <c r="N61" t="s">
        <v>107</v>
      </c>
      <c r="Q61" s="2" t="s">
        <v>107</v>
      </c>
      <c r="R61" t="s">
        <v>107</v>
      </c>
      <c r="S61" t="s">
        <v>107</v>
      </c>
    </row>
    <row r="62" spans="10:19" x14ac:dyDescent="0.45">
      <c r="J62" t="s">
        <v>107</v>
      </c>
      <c r="K62" t="s">
        <v>107</v>
      </c>
      <c r="L62" t="s">
        <v>107</v>
      </c>
      <c r="N62" t="s">
        <v>107</v>
      </c>
      <c r="Q62" s="2" t="s">
        <v>107</v>
      </c>
      <c r="R62" t="s">
        <v>107</v>
      </c>
      <c r="S62" t="s">
        <v>107</v>
      </c>
    </row>
    <row r="63" spans="10:19" x14ac:dyDescent="0.45">
      <c r="J63" t="s">
        <v>107</v>
      </c>
      <c r="K63" t="s">
        <v>107</v>
      </c>
      <c r="L63" t="s">
        <v>107</v>
      </c>
      <c r="N63" t="s">
        <v>107</v>
      </c>
      <c r="Q63" s="2" t="s">
        <v>107</v>
      </c>
      <c r="R63" t="s">
        <v>107</v>
      </c>
      <c r="S63" t="s">
        <v>107</v>
      </c>
    </row>
    <row r="64" spans="10:19" x14ac:dyDescent="0.45">
      <c r="J64" t="s">
        <v>107</v>
      </c>
      <c r="K64" t="s">
        <v>107</v>
      </c>
      <c r="L64" t="s">
        <v>107</v>
      </c>
      <c r="N64" t="s">
        <v>107</v>
      </c>
      <c r="Q64" s="2" t="s">
        <v>107</v>
      </c>
      <c r="R64" t="s">
        <v>107</v>
      </c>
      <c r="S64" t="s">
        <v>107</v>
      </c>
    </row>
    <row r="65" spans="10:19" x14ac:dyDescent="0.45">
      <c r="J65" t="s">
        <v>107</v>
      </c>
      <c r="K65" t="s">
        <v>107</v>
      </c>
      <c r="L65" t="s">
        <v>107</v>
      </c>
      <c r="N65" t="s">
        <v>107</v>
      </c>
      <c r="Q65" s="2" t="s">
        <v>107</v>
      </c>
      <c r="R65" t="s">
        <v>107</v>
      </c>
      <c r="S65" t="s">
        <v>107</v>
      </c>
    </row>
    <row r="66" spans="10:19" x14ac:dyDescent="0.45">
      <c r="J66" t="s">
        <v>107</v>
      </c>
      <c r="K66" t="s">
        <v>107</v>
      </c>
      <c r="L66" t="s">
        <v>107</v>
      </c>
      <c r="N66" t="s">
        <v>107</v>
      </c>
      <c r="Q66" s="2" t="s">
        <v>107</v>
      </c>
      <c r="R66" t="s">
        <v>107</v>
      </c>
      <c r="S66" t="s">
        <v>107</v>
      </c>
    </row>
    <row r="67" spans="10:19" x14ac:dyDescent="0.45">
      <c r="J67" t="s">
        <v>107</v>
      </c>
      <c r="K67" t="s">
        <v>107</v>
      </c>
      <c r="L67" t="s">
        <v>107</v>
      </c>
      <c r="N67" t="s">
        <v>107</v>
      </c>
      <c r="Q67" s="2" t="s">
        <v>107</v>
      </c>
      <c r="R67" t="s">
        <v>107</v>
      </c>
      <c r="S67" t="s">
        <v>107</v>
      </c>
    </row>
    <row r="68" spans="10:19" x14ac:dyDescent="0.45">
      <c r="J68" t="s">
        <v>107</v>
      </c>
      <c r="K68" t="s">
        <v>107</v>
      </c>
      <c r="L68" t="s">
        <v>107</v>
      </c>
      <c r="N68" t="s">
        <v>107</v>
      </c>
      <c r="Q68" s="2" t="s">
        <v>107</v>
      </c>
      <c r="R68" t="s">
        <v>107</v>
      </c>
      <c r="S68" t="s">
        <v>107</v>
      </c>
    </row>
    <row r="69" spans="10:19" x14ac:dyDescent="0.45">
      <c r="J69" t="s">
        <v>107</v>
      </c>
      <c r="K69" t="s">
        <v>107</v>
      </c>
      <c r="L69" t="s">
        <v>107</v>
      </c>
      <c r="N69" t="s">
        <v>107</v>
      </c>
      <c r="Q69" s="2" t="s">
        <v>107</v>
      </c>
      <c r="R69" t="s">
        <v>107</v>
      </c>
      <c r="S69" t="s">
        <v>107</v>
      </c>
    </row>
    <row r="70" spans="10:19" x14ac:dyDescent="0.45">
      <c r="J70" t="s">
        <v>107</v>
      </c>
      <c r="K70" t="s">
        <v>107</v>
      </c>
      <c r="L70" t="s">
        <v>107</v>
      </c>
      <c r="N70" t="s">
        <v>107</v>
      </c>
      <c r="Q70" s="2" t="s">
        <v>107</v>
      </c>
      <c r="R70" t="s">
        <v>107</v>
      </c>
      <c r="S70" t="s">
        <v>107</v>
      </c>
    </row>
    <row r="71" spans="10:19" x14ac:dyDescent="0.45">
      <c r="J71" t="s">
        <v>107</v>
      </c>
      <c r="K71" t="s">
        <v>107</v>
      </c>
      <c r="L71" t="s">
        <v>107</v>
      </c>
      <c r="N71" t="s">
        <v>107</v>
      </c>
      <c r="Q71" s="2" t="s">
        <v>107</v>
      </c>
      <c r="R71" t="s">
        <v>107</v>
      </c>
      <c r="S71" t="s">
        <v>107</v>
      </c>
    </row>
    <row r="72" spans="10:19" x14ac:dyDescent="0.45">
      <c r="J72" t="s">
        <v>107</v>
      </c>
      <c r="K72" t="s">
        <v>107</v>
      </c>
      <c r="L72" t="s">
        <v>107</v>
      </c>
      <c r="N72" t="s">
        <v>107</v>
      </c>
      <c r="Q72" s="2" t="s">
        <v>107</v>
      </c>
      <c r="R72" t="s">
        <v>107</v>
      </c>
      <c r="S72" t="s">
        <v>107</v>
      </c>
    </row>
    <row r="73" spans="10:19" x14ac:dyDescent="0.45">
      <c r="J73" t="s">
        <v>107</v>
      </c>
      <c r="K73" t="s">
        <v>107</v>
      </c>
      <c r="L73" t="s">
        <v>107</v>
      </c>
      <c r="N73" t="s">
        <v>107</v>
      </c>
      <c r="Q73" s="2" t="s">
        <v>107</v>
      </c>
      <c r="R73" t="s">
        <v>107</v>
      </c>
      <c r="S73" t="s">
        <v>107</v>
      </c>
    </row>
    <row r="74" spans="10:19" x14ac:dyDescent="0.45">
      <c r="J74" t="s">
        <v>107</v>
      </c>
      <c r="K74" t="s">
        <v>107</v>
      </c>
      <c r="L74" t="s">
        <v>107</v>
      </c>
      <c r="N74" t="s">
        <v>107</v>
      </c>
      <c r="Q74" s="2" t="s">
        <v>107</v>
      </c>
      <c r="R74" t="s">
        <v>107</v>
      </c>
      <c r="S74" t="s">
        <v>107</v>
      </c>
    </row>
    <row r="75" spans="10:19" x14ac:dyDescent="0.45">
      <c r="J75" t="s">
        <v>107</v>
      </c>
      <c r="K75" t="s">
        <v>107</v>
      </c>
      <c r="L75" t="s">
        <v>107</v>
      </c>
      <c r="N75" t="s">
        <v>107</v>
      </c>
      <c r="Q75" s="2" t="s">
        <v>107</v>
      </c>
      <c r="R75" t="s">
        <v>107</v>
      </c>
      <c r="S75" t="s">
        <v>107</v>
      </c>
    </row>
    <row r="76" spans="10:19" x14ac:dyDescent="0.45">
      <c r="J76" t="s">
        <v>107</v>
      </c>
      <c r="K76" t="s">
        <v>107</v>
      </c>
      <c r="L76" t="s">
        <v>107</v>
      </c>
      <c r="N76" t="s">
        <v>107</v>
      </c>
      <c r="Q76" s="2" t="s">
        <v>107</v>
      </c>
      <c r="R76" t="s">
        <v>107</v>
      </c>
      <c r="S76" t="s">
        <v>107</v>
      </c>
    </row>
    <row r="77" spans="10:19" x14ac:dyDescent="0.45">
      <c r="J77" t="s">
        <v>107</v>
      </c>
      <c r="K77" t="s">
        <v>107</v>
      </c>
      <c r="L77" t="s">
        <v>107</v>
      </c>
      <c r="N77" t="s">
        <v>107</v>
      </c>
      <c r="Q77" s="2" t="s">
        <v>107</v>
      </c>
      <c r="R77" t="s">
        <v>107</v>
      </c>
      <c r="S77" t="s">
        <v>107</v>
      </c>
    </row>
    <row r="78" spans="10:19" x14ac:dyDescent="0.45">
      <c r="J78" t="s">
        <v>107</v>
      </c>
      <c r="K78" t="s">
        <v>107</v>
      </c>
      <c r="L78" t="s">
        <v>107</v>
      </c>
      <c r="N78" t="s">
        <v>107</v>
      </c>
      <c r="Q78" s="2" t="s">
        <v>107</v>
      </c>
      <c r="R78" t="s">
        <v>107</v>
      </c>
      <c r="S78" t="s">
        <v>107</v>
      </c>
    </row>
    <row r="79" spans="10:19" x14ac:dyDescent="0.45">
      <c r="J79" t="s">
        <v>107</v>
      </c>
      <c r="K79" t="s">
        <v>107</v>
      </c>
      <c r="L79" t="s">
        <v>107</v>
      </c>
      <c r="N79" t="s">
        <v>107</v>
      </c>
      <c r="Q79" s="2" t="s">
        <v>107</v>
      </c>
      <c r="R79" t="s">
        <v>107</v>
      </c>
      <c r="S79" t="s">
        <v>107</v>
      </c>
    </row>
    <row r="80" spans="10:19" x14ac:dyDescent="0.45">
      <c r="J80" t="s">
        <v>107</v>
      </c>
      <c r="K80" t="s">
        <v>107</v>
      </c>
      <c r="L80" t="s">
        <v>107</v>
      </c>
      <c r="N80" t="s">
        <v>107</v>
      </c>
      <c r="Q80" s="2" t="s">
        <v>107</v>
      </c>
      <c r="R80" t="s">
        <v>107</v>
      </c>
      <c r="S80" t="s">
        <v>107</v>
      </c>
    </row>
    <row r="81" spans="10:19" x14ac:dyDescent="0.45">
      <c r="J81" t="s">
        <v>107</v>
      </c>
      <c r="K81" t="s">
        <v>107</v>
      </c>
      <c r="L81" t="s">
        <v>107</v>
      </c>
      <c r="N81" t="s">
        <v>107</v>
      </c>
      <c r="Q81" s="2" t="s">
        <v>107</v>
      </c>
      <c r="R81" t="s">
        <v>107</v>
      </c>
      <c r="S81" t="s">
        <v>107</v>
      </c>
    </row>
    <row r="82" spans="10:19" x14ac:dyDescent="0.45">
      <c r="J82" t="s">
        <v>107</v>
      </c>
      <c r="K82" t="s">
        <v>107</v>
      </c>
      <c r="L82" t="s">
        <v>107</v>
      </c>
      <c r="N82" t="s">
        <v>107</v>
      </c>
      <c r="Q82" s="2" t="s">
        <v>107</v>
      </c>
      <c r="R82" t="s">
        <v>107</v>
      </c>
      <c r="S82" t="s">
        <v>107</v>
      </c>
    </row>
    <row r="83" spans="10:19" x14ac:dyDescent="0.45">
      <c r="J83" t="s">
        <v>107</v>
      </c>
      <c r="K83" t="s">
        <v>107</v>
      </c>
      <c r="L83" t="s">
        <v>107</v>
      </c>
      <c r="N83" t="s">
        <v>107</v>
      </c>
      <c r="Q83" s="2" t="s">
        <v>107</v>
      </c>
      <c r="R83" t="s">
        <v>107</v>
      </c>
      <c r="S83" t="s">
        <v>107</v>
      </c>
    </row>
    <row r="84" spans="10:19" x14ac:dyDescent="0.45">
      <c r="J84" t="s">
        <v>107</v>
      </c>
      <c r="K84" t="s">
        <v>107</v>
      </c>
      <c r="L84" t="s">
        <v>107</v>
      </c>
      <c r="N84" t="s">
        <v>107</v>
      </c>
      <c r="Q84" s="2" t="s">
        <v>107</v>
      </c>
      <c r="R84" t="s">
        <v>107</v>
      </c>
      <c r="S84" t="s">
        <v>107</v>
      </c>
    </row>
    <row r="85" spans="10:19" x14ac:dyDescent="0.45">
      <c r="J85" t="s">
        <v>107</v>
      </c>
      <c r="K85" t="s">
        <v>107</v>
      </c>
      <c r="L85" t="s">
        <v>107</v>
      </c>
      <c r="N85" t="s">
        <v>107</v>
      </c>
      <c r="Q85" s="2" t="s">
        <v>107</v>
      </c>
      <c r="R85" t="s">
        <v>107</v>
      </c>
      <c r="S85" t="s">
        <v>107</v>
      </c>
    </row>
    <row r="86" spans="10:19" x14ac:dyDescent="0.45">
      <c r="J86" t="s">
        <v>107</v>
      </c>
      <c r="K86" t="s">
        <v>107</v>
      </c>
      <c r="L86" t="s">
        <v>107</v>
      </c>
      <c r="N86" t="s">
        <v>107</v>
      </c>
      <c r="Q86" s="2" t="s">
        <v>107</v>
      </c>
      <c r="R86" t="s">
        <v>107</v>
      </c>
      <c r="S86" t="s">
        <v>107</v>
      </c>
    </row>
    <row r="87" spans="10:19" x14ac:dyDescent="0.45">
      <c r="J87" t="s">
        <v>107</v>
      </c>
      <c r="K87" t="s">
        <v>107</v>
      </c>
      <c r="L87" t="s">
        <v>107</v>
      </c>
      <c r="N87" t="s">
        <v>107</v>
      </c>
      <c r="Q87" s="2" t="s">
        <v>107</v>
      </c>
      <c r="R87" t="s">
        <v>107</v>
      </c>
      <c r="S87" t="s">
        <v>107</v>
      </c>
    </row>
    <row r="88" spans="10:19" x14ac:dyDescent="0.45">
      <c r="J88" t="s">
        <v>107</v>
      </c>
      <c r="K88" t="s">
        <v>107</v>
      </c>
      <c r="L88" t="s">
        <v>107</v>
      </c>
      <c r="N88" t="s">
        <v>107</v>
      </c>
      <c r="Q88" s="2" t="s">
        <v>107</v>
      </c>
      <c r="R88" t="s">
        <v>107</v>
      </c>
      <c r="S88" t="s">
        <v>107</v>
      </c>
    </row>
    <row r="89" spans="10:19" x14ac:dyDescent="0.45">
      <c r="J89" t="s">
        <v>107</v>
      </c>
      <c r="K89" t="s">
        <v>107</v>
      </c>
      <c r="L89" t="s">
        <v>107</v>
      </c>
      <c r="N89" t="s">
        <v>107</v>
      </c>
      <c r="Q89" s="2" t="s">
        <v>107</v>
      </c>
      <c r="R89" t="s">
        <v>107</v>
      </c>
      <c r="S89" t="s">
        <v>107</v>
      </c>
    </row>
    <row r="90" spans="10:19" x14ac:dyDescent="0.45">
      <c r="J90" t="s">
        <v>107</v>
      </c>
      <c r="K90" t="s">
        <v>107</v>
      </c>
      <c r="L90" t="s">
        <v>107</v>
      </c>
      <c r="N90" t="s">
        <v>107</v>
      </c>
      <c r="Q90" s="2" t="s">
        <v>107</v>
      </c>
      <c r="R90" t="s">
        <v>107</v>
      </c>
      <c r="S90" t="s">
        <v>107</v>
      </c>
    </row>
    <row r="91" spans="10:19" x14ac:dyDescent="0.45">
      <c r="J91" t="s">
        <v>107</v>
      </c>
      <c r="K91" t="s">
        <v>107</v>
      </c>
      <c r="L91" t="s">
        <v>107</v>
      </c>
      <c r="N91" t="s">
        <v>107</v>
      </c>
      <c r="Q91" s="2" t="s">
        <v>107</v>
      </c>
      <c r="R91" t="s">
        <v>107</v>
      </c>
      <c r="S91" t="s">
        <v>107</v>
      </c>
    </row>
    <row r="92" spans="10:19" x14ac:dyDescent="0.45">
      <c r="J92" t="s">
        <v>107</v>
      </c>
      <c r="K92" t="s">
        <v>107</v>
      </c>
      <c r="L92" t="s">
        <v>107</v>
      </c>
      <c r="N92" t="s">
        <v>107</v>
      </c>
      <c r="Q92" s="2" t="s">
        <v>107</v>
      </c>
      <c r="R92" t="s">
        <v>107</v>
      </c>
      <c r="S92" t="s">
        <v>107</v>
      </c>
    </row>
    <row r="93" spans="10:19" x14ac:dyDescent="0.45">
      <c r="J93" t="s">
        <v>107</v>
      </c>
      <c r="K93" t="s">
        <v>107</v>
      </c>
      <c r="L93" t="s">
        <v>107</v>
      </c>
      <c r="N93" t="s">
        <v>107</v>
      </c>
      <c r="Q93" s="2" t="s">
        <v>107</v>
      </c>
      <c r="R93" t="s">
        <v>107</v>
      </c>
      <c r="S93" t="s">
        <v>107</v>
      </c>
    </row>
    <row r="94" spans="10:19" x14ac:dyDescent="0.45">
      <c r="J94" t="s">
        <v>107</v>
      </c>
      <c r="K94" t="s">
        <v>107</v>
      </c>
      <c r="L94" t="s">
        <v>107</v>
      </c>
      <c r="N94" t="s">
        <v>107</v>
      </c>
      <c r="Q94" s="2" t="s">
        <v>107</v>
      </c>
      <c r="R94" t="s">
        <v>107</v>
      </c>
      <c r="S94" t="s">
        <v>107</v>
      </c>
    </row>
    <row r="95" spans="10:19" x14ac:dyDescent="0.45">
      <c r="J95" t="s">
        <v>107</v>
      </c>
      <c r="K95" t="s">
        <v>107</v>
      </c>
      <c r="L95" t="s">
        <v>107</v>
      </c>
      <c r="N95" t="s">
        <v>107</v>
      </c>
      <c r="Q95" s="2" t="s">
        <v>107</v>
      </c>
      <c r="R95" t="s">
        <v>107</v>
      </c>
      <c r="S95" t="s">
        <v>107</v>
      </c>
    </row>
    <row r="96" spans="10:19" x14ac:dyDescent="0.45">
      <c r="J96" t="s">
        <v>107</v>
      </c>
      <c r="K96" t="s">
        <v>107</v>
      </c>
      <c r="L96" t="s">
        <v>107</v>
      </c>
      <c r="N96" t="s">
        <v>107</v>
      </c>
      <c r="Q96" s="2" t="s">
        <v>107</v>
      </c>
      <c r="R96" t="s">
        <v>107</v>
      </c>
      <c r="S96" t="s">
        <v>107</v>
      </c>
    </row>
    <row r="97" spans="10:19" x14ac:dyDescent="0.45">
      <c r="J97" t="s">
        <v>107</v>
      </c>
      <c r="K97" t="s">
        <v>107</v>
      </c>
      <c r="L97" t="s">
        <v>107</v>
      </c>
      <c r="N97" t="s">
        <v>107</v>
      </c>
      <c r="Q97" s="2" t="s">
        <v>107</v>
      </c>
      <c r="R97" t="s">
        <v>107</v>
      </c>
      <c r="S97" t="s">
        <v>107</v>
      </c>
    </row>
    <row r="98" spans="10:19" x14ac:dyDescent="0.45">
      <c r="J98" t="s">
        <v>107</v>
      </c>
      <c r="K98" t="s">
        <v>107</v>
      </c>
      <c r="L98" t="s">
        <v>107</v>
      </c>
      <c r="N98" t="s">
        <v>107</v>
      </c>
      <c r="Q98" s="2" t="s">
        <v>107</v>
      </c>
      <c r="R98" t="s">
        <v>107</v>
      </c>
      <c r="S98" t="s">
        <v>107</v>
      </c>
    </row>
    <row r="99" spans="10:19" x14ac:dyDescent="0.45">
      <c r="J99" t="s">
        <v>107</v>
      </c>
      <c r="K99" t="s">
        <v>107</v>
      </c>
      <c r="L99" t="s">
        <v>107</v>
      </c>
      <c r="N99" t="s">
        <v>107</v>
      </c>
      <c r="Q99" s="2" t="s">
        <v>107</v>
      </c>
      <c r="R99" t="s">
        <v>107</v>
      </c>
      <c r="S99" t="s">
        <v>107</v>
      </c>
    </row>
    <row r="100" spans="10:19" x14ac:dyDescent="0.45">
      <c r="J100" t="s">
        <v>107</v>
      </c>
      <c r="K100" t="s">
        <v>107</v>
      </c>
      <c r="L100" t="s">
        <v>107</v>
      </c>
      <c r="N100" t="s">
        <v>107</v>
      </c>
      <c r="Q100" s="2" t="s">
        <v>107</v>
      </c>
      <c r="R100" t="s">
        <v>107</v>
      </c>
      <c r="S100" t="s">
        <v>107</v>
      </c>
    </row>
    <row r="101" spans="10:19" x14ac:dyDescent="0.45">
      <c r="J101" t="s">
        <v>107</v>
      </c>
      <c r="K101" t="s">
        <v>107</v>
      </c>
      <c r="L101" t="s">
        <v>107</v>
      </c>
      <c r="N101" t="s">
        <v>107</v>
      </c>
      <c r="Q101" s="2" t="s">
        <v>107</v>
      </c>
      <c r="R101" t="s">
        <v>107</v>
      </c>
      <c r="S101" t="s">
        <v>107</v>
      </c>
    </row>
    <row r="102" spans="10:19" x14ac:dyDescent="0.45">
      <c r="J102" t="s">
        <v>107</v>
      </c>
      <c r="K102" t="s">
        <v>107</v>
      </c>
      <c r="L102" t="s">
        <v>107</v>
      </c>
      <c r="N102" t="s">
        <v>107</v>
      </c>
      <c r="Q102" s="2" t="s">
        <v>107</v>
      </c>
      <c r="R102" t="s">
        <v>107</v>
      </c>
      <c r="S102" t="s">
        <v>107</v>
      </c>
    </row>
    <row r="103" spans="10:19" x14ac:dyDescent="0.45">
      <c r="J103" t="s">
        <v>107</v>
      </c>
      <c r="K103" t="s">
        <v>107</v>
      </c>
      <c r="L103" t="s">
        <v>107</v>
      </c>
      <c r="N103" t="s">
        <v>107</v>
      </c>
      <c r="Q103" s="2" t="s">
        <v>107</v>
      </c>
      <c r="R103" t="s">
        <v>107</v>
      </c>
      <c r="S103" t="s">
        <v>107</v>
      </c>
    </row>
    <row r="104" spans="10:19" x14ac:dyDescent="0.45">
      <c r="J104" t="s">
        <v>107</v>
      </c>
      <c r="K104" t="s">
        <v>107</v>
      </c>
      <c r="L104" t="s">
        <v>107</v>
      </c>
      <c r="N104" t="s">
        <v>107</v>
      </c>
      <c r="Q104" s="2" t="s">
        <v>107</v>
      </c>
      <c r="R104" t="s">
        <v>107</v>
      </c>
      <c r="S104" t="s">
        <v>107</v>
      </c>
    </row>
    <row r="105" spans="10:19" x14ac:dyDescent="0.45">
      <c r="J105" t="s">
        <v>107</v>
      </c>
      <c r="K105" t="s">
        <v>107</v>
      </c>
      <c r="L105" t="s">
        <v>107</v>
      </c>
      <c r="N105" t="s">
        <v>107</v>
      </c>
      <c r="Q105" s="2" t="s">
        <v>107</v>
      </c>
      <c r="R105" t="s">
        <v>107</v>
      </c>
      <c r="S105" t="s">
        <v>107</v>
      </c>
    </row>
    <row r="106" spans="10:19" x14ac:dyDescent="0.45">
      <c r="J106" t="s">
        <v>107</v>
      </c>
      <c r="K106" t="s">
        <v>107</v>
      </c>
      <c r="L106" t="s">
        <v>107</v>
      </c>
      <c r="N106" t="s">
        <v>107</v>
      </c>
      <c r="Q106" s="2" t="s">
        <v>107</v>
      </c>
      <c r="R106" t="s">
        <v>107</v>
      </c>
      <c r="S106" t="s">
        <v>107</v>
      </c>
    </row>
    <row r="107" spans="10:19" x14ac:dyDescent="0.45">
      <c r="J107" t="s">
        <v>107</v>
      </c>
      <c r="K107" t="s">
        <v>107</v>
      </c>
      <c r="L107" t="s">
        <v>107</v>
      </c>
      <c r="N107" t="s">
        <v>107</v>
      </c>
      <c r="Q107" s="2" t="s">
        <v>107</v>
      </c>
      <c r="R107" t="s">
        <v>107</v>
      </c>
      <c r="S107" t="s">
        <v>107</v>
      </c>
    </row>
    <row r="108" spans="10:19" x14ac:dyDescent="0.45">
      <c r="J108" t="s">
        <v>107</v>
      </c>
      <c r="K108" t="s">
        <v>107</v>
      </c>
      <c r="L108" t="s">
        <v>107</v>
      </c>
      <c r="N108" t="s">
        <v>107</v>
      </c>
      <c r="Q108" s="2" t="s">
        <v>107</v>
      </c>
      <c r="R108" t="s">
        <v>107</v>
      </c>
      <c r="S108" t="s">
        <v>107</v>
      </c>
    </row>
    <row r="109" spans="10:19" x14ac:dyDescent="0.45">
      <c r="J109" t="s">
        <v>107</v>
      </c>
      <c r="K109" t="s">
        <v>107</v>
      </c>
      <c r="L109" t="s">
        <v>107</v>
      </c>
      <c r="N109" t="s">
        <v>107</v>
      </c>
      <c r="Q109" s="2" t="s">
        <v>107</v>
      </c>
      <c r="R109" t="s">
        <v>107</v>
      </c>
      <c r="S109" t="s">
        <v>107</v>
      </c>
    </row>
    <row r="110" spans="10:19" x14ac:dyDescent="0.45">
      <c r="J110" t="s">
        <v>107</v>
      </c>
      <c r="K110" t="s">
        <v>107</v>
      </c>
      <c r="L110" t="s">
        <v>107</v>
      </c>
      <c r="N110" t="s">
        <v>107</v>
      </c>
      <c r="Q110" s="2" t="s">
        <v>107</v>
      </c>
      <c r="R110" t="s">
        <v>107</v>
      </c>
      <c r="S110" t="s">
        <v>107</v>
      </c>
    </row>
    <row r="111" spans="10:19" x14ac:dyDescent="0.45">
      <c r="J111" t="s">
        <v>107</v>
      </c>
      <c r="K111" t="s">
        <v>107</v>
      </c>
      <c r="L111" t="s">
        <v>107</v>
      </c>
      <c r="N111" t="s">
        <v>107</v>
      </c>
      <c r="Q111" s="2" t="s">
        <v>107</v>
      </c>
      <c r="R111" t="s">
        <v>107</v>
      </c>
      <c r="S111" t="s">
        <v>107</v>
      </c>
    </row>
    <row r="112" spans="10:19" x14ac:dyDescent="0.45">
      <c r="J112" t="s">
        <v>107</v>
      </c>
      <c r="K112" t="s">
        <v>107</v>
      </c>
      <c r="L112" t="s">
        <v>107</v>
      </c>
      <c r="N112" t="s">
        <v>107</v>
      </c>
      <c r="Q112" s="2" t="s">
        <v>107</v>
      </c>
      <c r="R112" t="s">
        <v>107</v>
      </c>
      <c r="S112" t="s">
        <v>107</v>
      </c>
    </row>
    <row r="113" spans="10:19" x14ac:dyDescent="0.45">
      <c r="J113" t="s">
        <v>107</v>
      </c>
      <c r="K113" t="s">
        <v>107</v>
      </c>
      <c r="L113" t="s">
        <v>107</v>
      </c>
      <c r="N113" t="s">
        <v>107</v>
      </c>
      <c r="Q113" s="2" t="s">
        <v>107</v>
      </c>
      <c r="R113" t="s">
        <v>107</v>
      </c>
      <c r="S113" t="s">
        <v>107</v>
      </c>
    </row>
    <row r="114" spans="10:19" x14ac:dyDescent="0.45">
      <c r="J114" t="s">
        <v>107</v>
      </c>
      <c r="K114" t="s">
        <v>107</v>
      </c>
      <c r="L114" t="s">
        <v>107</v>
      </c>
      <c r="N114" t="s">
        <v>107</v>
      </c>
      <c r="Q114" s="2" t="s">
        <v>107</v>
      </c>
      <c r="R114" t="s">
        <v>107</v>
      </c>
      <c r="S114" t="s">
        <v>107</v>
      </c>
    </row>
    <row r="115" spans="10:19" x14ac:dyDescent="0.45">
      <c r="J115" t="s">
        <v>107</v>
      </c>
      <c r="K115" t="s">
        <v>107</v>
      </c>
      <c r="L115" t="s">
        <v>107</v>
      </c>
      <c r="N115" t="s">
        <v>107</v>
      </c>
      <c r="Q115" s="2" t="s">
        <v>107</v>
      </c>
      <c r="R115" t="s">
        <v>107</v>
      </c>
      <c r="S115" t="s">
        <v>107</v>
      </c>
    </row>
    <row r="116" spans="10:19" x14ac:dyDescent="0.45">
      <c r="J116" t="s">
        <v>107</v>
      </c>
      <c r="K116" t="s">
        <v>107</v>
      </c>
      <c r="L116" t="s">
        <v>107</v>
      </c>
      <c r="N116" t="s">
        <v>107</v>
      </c>
      <c r="Q116" s="2" t="s">
        <v>107</v>
      </c>
      <c r="R116" t="s">
        <v>107</v>
      </c>
      <c r="S116" t="s">
        <v>107</v>
      </c>
    </row>
    <row r="117" spans="10:19" x14ac:dyDescent="0.45">
      <c r="J117" t="s">
        <v>107</v>
      </c>
      <c r="K117" t="s">
        <v>107</v>
      </c>
      <c r="L117" t="s">
        <v>107</v>
      </c>
      <c r="N117" t="s">
        <v>107</v>
      </c>
      <c r="Q117" s="2" t="s">
        <v>107</v>
      </c>
      <c r="R117" t="s">
        <v>107</v>
      </c>
      <c r="S117" t="s">
        <v>107</v>
      </c>
    </row>
    <row r="118" spans="10:19" x14ac:dyDescent="0.45">
      <c r="J118" t="s">
        <v>107</v>
      </c>
      <c r="K118" t="s">
        <v>107</v>
      </c>
      <c r="L118" t="s">
        <v>107</v>
      </c>
      <c r="N118" t="s">
        <v>107</v>
      </c>
      <c r="Q118" s="2" t="s">
        <v>107</v>
      </c>
      <c r="R118" t="s">
        <v>107</v>
      </c>
      <c r="S118" t="s">
        <v>107</v>
      </c>
    </row>
    <row r="119" spans="10:19" x14ac:dyDescent="0.45">
      <c r="J119" t="s">
        <v>107</v>
      </c>
      <c r="K119" t="s">
        <v>107</v>
      </c>
      <c r="L119" t="s">
        <v>107</v>
      </c>
      <c r="N119" t="s">
        <v>107</v>
      </c>
      <c r="Q119" s="2" t="s">
        <v>107</v>
      </c>
      <c r="R119" t="s">
        <v>107</v>
      </c>
      <c r="S119" t="s">
        <v>107</v>
      </c>
    </row>
    <row r="120" spans="10:19" x14ac:dyDescent="0.45">
      <c r="J120" t="s">
        <v>107</v>
      </c>
      <c r="K120" t="s">
        <v>107</v>
      </c>
      <c r="L120" t="s">
        <v>107</v>
      </c>
      <c r="N120" t="s">
        <v>107</v>
      </c>
      <c r="Q120" s="2" t="s">
        <v>107</v>
      </c>
      <c r="R120" t="s">
        <v>107</v>
      </c>
      <c r="S120" t="s">
        <v>107</v>
      </c>
    </row>
    <row r="121" spans="10:19" x14ac:dyDescent="0.45">
      <c r="J121" t="s">
        <v>107</v>
      </c>
      <c r="K121" t="s">
        <v>107</v>
      </c>
      <c r="L121" t="s">
        <v>107</v>
      </c>
      <c r="N121" t="s">
        <v>107</v>
      </c>
      <c r="Q121" s="2" t="s">
        <v>107</v>
      </c>
      <c r="R121" t="s">
        <v>107</v>
      </c>
      <c r="S121" t="s">
        <v>107</v>
      </c>
    </row>
    <row r="122" spans="10:19" x14ac:dyDescent="0.45">
      <c r="J122" t="s">
        <v>107</v>
      </c>
      <c r="K122" t="s">
        <v>107</v>
      </c>
      <c r="L122" t="s">
        <v>107</v>
      </c>
      <c r="N122" t="s">
        <v>107</v>
      </c>
      <c r="Q122" s="2" t="s">
        <v>107</v>
      </c>
      <c r="R122" t="s">
        <v>107</v>
      </c>
      <c r="S122" t="s">
        <v>107</v>
      </c>
    </row>
    <row r="123" spans="10:19" x14ac:dyDescent="0.45">
      <c r="J123" t="s">
        <v>107</v>
      </c>
      <c r="K123" t="s">
        <v>107</v>
      </c>
      <c r="L123" t="s">
        <v>107</v>
      </c>
      <c r="N123" t="s">
        <v>107</v>
      </c>
      <c r="Q123" s="2" t="s">
        <v>107</v>
      </c>
      <c r="R123" t="s">
        <v>107</v>
      </c>
      <c r="S123" t="s">
        <v>107</v>
      </c>
    </row>
    <row r="124" spans="10:19" x14ac:dyDescent="0.45">
      <c r="J124" t="s">
        <v>107</v>
      </c>
      <c r="K124" t="s">
        <v>107</v>
      </c>
      <c r="L124" t="s">
        <v>107</v>
      </c>
      <c r="N124" t="s">
        <v>107</v>
      </c>
      <c r="Q124" s="2" t="s">
        <v>107</v>
      </c>
      <c r="R124" t="s">
        <v>107</v>
      </c>
      <c r="S124" t="s">
        <v>107</v>
      </c>
    </row>
    <row r="125" spans="10:19" x14ac:dyDescent="0.45">
      <c r="J125" t="s">
        <v>107</v>
      </c>
      <c r="K125" t="s">
        <v>107</v>
      </c>
      <c r="L125" t="s">
        <v>107</v>
      </c>
      <c r="N125" t="s">
        <v>107</v>
      </c>
      <c r="Q125" s="2" t="s">
        <v>107</v>
      </c>
      <c r="R125" t="s">
        <v>107</v>
      </c>
      <c r="S125" t="s">
        <v>107</v>
      </c>
    </row>
    <row r="126" spans="10:19" x14ac:dyDescent="0.45">
      <c r="J126" t="s">
        <v>107</v>
      </c>
      <c r="K126" t="s">
        <v>107</v>
      </c>
      <c r="L126" t="s">
        <v>107</v>
      </c>
      <c r="N126" t="s">
        <v>107</v>
      </c>
      <c r="Q126" s="2" t="s">
        <v>107</v>
      </c>
      <c r="R126" t="s">
        <v>107</v>
      </c>
      <c r="S126" t="s">
        <v>107</v>
      </c>
    </row>
    <row r="127" spans="10:19" x14ac:dyDescent="0.45">
      <c r="J127" t="s">
        <v>107</v>
      </c>
      <c r="K127" t="s">
        <v>107</v>
      </c>
      <c r="L127" t="s">
        <v>107</v>
      </c>
      <c r="N127" t="s">
        <v>107</v>
      </c>
      <c r="Q127" s="2" t="s">
        <v>107</v>
      </c>
      <c r="R127" t="s">
        <v>107</v>
      </c>
      <c r="S127" t="s">
        <v>107</v>
      </c>
    </row>
    <row r="128" spans="10:19" x14ac:dyDescent="0.45">
      <c r="J128" t="s">
        <v>107</v>
      </c>
      <c r="K128" t="s">
        <v>107</v>
      </c>
      <c r="L128" t="s">
        <v>107</v>
      </c>
      <c r="N128" t="s">
        <v>107</v>
      </c>
      <c r="Q128" s="2" t="s">
        <v>107</v>
      </c>
      <c r="R128" t="s">
        <v>107</v>
      </c>
      <c r="S128" t="s">
        <v>107</v>
      </c>
    </row>
    <row r="129" spans="10:19" x14ac:dyDescent="0.45">
      <c r="J129" t="s">
        <v>107</v>
      </c>
      <c r="K129" t="s">
        <v>107</v>
      </c>
      <c r="L129" t="s">
        <v>107</v>
      </c>
      <c r="N129" t="s">
        <v>107</v>
      </c>
      <c r="Q129" s="2" t="s">
        <v>107</v>
      </c>
      <c r="R129" t="s">
        <v>107</v>
      </c>
      <c r="S129" t="s">
        <v>107</v>
      </c>
    </row>
    <row r="130" spans="10:19" x14ac:dyDescent="0.45">
      <c r="J130" t="s">
        <v>107</v>
      </c>
      <c r="K130" t="s">
        <v>107</v>
      </c>
      <c r="L130" t="s">
        <v>107</v>
      </c>
      <c r="N130" t="s">
        <v>107</v>
      </c>
      <c r="Q130" s="2" t="s">
        <v>107</v>
      </c>
      <c r="R130" t="s">
        <v>107</v>
      </c>
      <c r="S130" t="s">
        <v>107</v>
      </c>
    </row>
    <row r="131" spans="10:19" x14ac:dyDescent="0.45">
      <c r="J131" t="s">
        <v>107</v>
      </c>
      <c r="K131" t="s">
        <v>107</v>
      </c>
      <c r="L131" t="s">
        <v>107</v>
      </c>
      <c r="N131" t="s">
        <v>107</v>
      </c>
      <c r="Q131" s="2" t="s">
        <v>107</v>
      </c>
      <c r="R131" t="s">
        <v>107</v>
      </c>
      <c r="S131" t="s">
        <v>107</v>
      </c>
    </row>
    <row r="132" spans="10:19" x14ac:dyDescent="0.45">
      <c r="J132" t="s">
        <v>107</v>
      </c>
      <c r="K132" t="s">
        <v>107</v>
      </c>
      <c r="L132" t="s">
        <v>107</v>
      </c>
      <c r="N132" t="s">
        <v>107</v>
      </c>
      <c r="Q132" s="2" t="s">
        <v>107</v>
      </c>
      <c r="R132" t="s">
        <v>107</v>
      </c>
      <c r="S132" t="s">
        <v>107</v>
      </c>
    </row>
    <row r="133" spans="10:19" x14ac:dyDescent="0.45">
      <c r="J133" t="s">
        <v>107</v>
      </c>
      <c r="K133" t="s">
        <v>107</v>
      </c>
      <c r="L133" t="s">
        <v>107</v>
      </c>
      <c r="N133" t="s">
        <v>107</v>
      </c>
      <c r="Q133" s="2" t="s">
        <v>107</v>
      </c>
      <c r="R133" t="s">
        <v>107</v>
      </c>
      <c r="S133" t="s">
        <v>107</v>
      </c>
    </row>
    <row r="134" spans="10:19" x14ac:dyDescent="0.45">
      <c r="J134" t="s">
        <v>107</v>
      </c>
      <c r="K134" t="s">
        <v>107</v>
      </c>
      <c r="L134" t="s">
        <v>107</v>
      </c>
      <c r="N134" t="s">
        <v>107</v>
      </c>
      <c r="Q134" s="2" t="s">
        <v>107</v>
      </c>
      <c r="R134" t="s">
        <v>107</v>
      </c>
      <c r="S134" t="s">
        <v>107</v>
      </c>
    </row>
    <row r="135" spans="10:19" x14ac:dyDescent="0.45">
      <c r="J135" t="s">
        <v>107</v>
      </c>
      <c r="K135" t="s">
        <v>107</v>
      </c>
      <c r="L135" t="s">
        <v>107</v>
      </c>
      <c r="N135" t="s">
        <v>107</v>
      </c>
      <c r="Q135" s="2" t="s">
        <v>107</v>
      </c>
      <c r="R135" t="s">
        <v>107</v>
      </c>
      <c r="S135" t="s">
        <v>107</v>
      </c>
    </row>
    <row r="136" spans="10:19" x14ac:dyDescent="0.45">
      <c r="J136" t="s">
        <v>107</v>
      </c>
      <c r="K136" t="s">
        <v>107</v>
      </c>
      <c r="L136" t="s">
        <v>107</v>
      </c>
      <c r="N136" t="s">
        <v>107</v>
      </c>
      <c r="Q136" s="2" t="s">
        <v>107</v>
      </c>
      <c r="R136" t="s">
        <v>107</v>
      </c>
      <c r="S136" t="s">
        <v>107</v>
      </c>
    </row>
    <row r="137" spans="10:19" x14ac:dyDescent="0.45">
      <c r="J137" t="s">
        <v>107</v>
      </c>
      <c r="K137" t="s">
        <v>107</v>
      </c>
      <c r="L137" t="s">
        <v>107</v>
      </c>
      <c r="N137" t="s">
        <v>107</v>
      </c>
      <c r="Q137" s="2" t="s">
        <v>107</v>
      </c>
      <c r="R137" t="s">
        <v>107</v>
      </c>
      <c r="S137" t="s">
        <v>107</v>
      </c>
    </row>
    <row r="138" spans="10:19" x14ac:dyDescent="0.45">
      <c r="J138" t="s">
        <v>107</v>
      </c>
      <c r="K138" t="s">
        <v>107</v>
      </c>
      <c r="L138" t="s">
        <v>107</v>
      </c>
      <c r="N138" t="s">
        <v>107</v>
      </c>
      <c r="Q138" s="2" t="s">
        <v>107</v>
      </c>
      <c r="R138" t="s">
        <v>107</v>
      </c>
      <c r="S138" t="s">
        <v>107</v>
      </c>
    </row>
    <row r="139" spans="10:19" x14ac:dyDescent="0.45">
      <c r="J139" t="s">
        <v>107</v>
      </c>
      <c r="K139" t="s">
        <v>107</v>
      </c>
      <c r="L139" t="s">
        <v>107</v>
      </c>
      <c r="N139" t="s">
        <v>107</v>
      </c>
      <c r="Q139" s="2" t="s">
        <v>107</v>
      </c>
      <c r="R139" t="s">
        <v>107</v>
      </c>
      <c r="S139" t="s">
        <v>107</v>
      </c>
    </row>
    <row r="140" spans="10:19" x14ac:dyDescent="0.45">
      <c r="J140" t="s">
        <v>107</v>
      </c>
      <c r="K140" t="s">
        <v>107</v>
      </c>
      <c r="L140" t="s">
        <v>107</v>
      </c>
      <c r="N140" t="s">
        <v>107</v>
      </c>
      <c r="Q140" s="2" t="s">
        <v>107</v>
      </c>
      <c r="R140" t="s">
        <v>107</v>
      </c>
      <c r="S140" t="s">
        <v>107</v>
      </c>
    </row>
    <row r="141" spans="10:19" x14ac:dyDescent="0.45">
      <c r="J141" t="s">
        <v>107</v>
      </c>
      <c r="K141" t="s">
        <v>107</v>
      </c>
      <c r="L141" t="s">
        <v>107</v>
      </c>
      <c r="N141" t="s">
        <v>107</v>
      </c>
      <c r="Q141" s="2" t="s">
        <v>107</v>
      </c>
      <c r="R141" t="s">
        <v>107</v>
      </c>
      <c r="S141" t="s">
        <v>107</v>
      </c>
    </row>
    <row r="142" spans="10:19" x14ac:dyDescent="0.45">
      <c r="J142" t="s">
        <v>107</v>
      </c>
      <c r="K142" t="s">
        <v>107</v>
      </c>
      <c r="L142" t="s">
        <v>107</v>
      </c>
      <c r="N142" t="s">
        <v>107</v>
      </c>
      <c r="Q142" s="2" t="s">
        <v>107</v>
      </c>
      <c r="R142" t="s">
        <v>107</v>
      </c>
      <c r="S142" t="s">
        <v>107</v>
      </c>
    </row>
    <row r="143" spans="10:19" x14ac:dyDescent="0.45">
      <c r="J143" t="s">
        <v>107</v>
      </c>
      <c r="K143" t="s">
        <v>107</v>
      </c>
      <c r="L143" t="s">
        <v>107</v>
      </c>
      <c r="N143" t="s">
        <v>107</v>
      </c>
      <c r="Q143" s="2" t="s">
        <v>107</v>
      </c>
      <c r="R143" t="s">
        <v>107</v>
      </c>
      <c r="S143" t="s">
        <v>107</v>
      </c>
    </row>
    <row r="144" spans="10:19" x14ac:dyDescent="0.45">
      <c r="J144" t="s">
        <v>107</v>
      </c>
      <c r="K144" t="s">
        <v>107</v>
      </c>
      <c r="L144" t="s">
        <v>107</v>
      </c>
      <c r="N144" t="s">
        <v>107</v>
      </c>
      <c r="Q144" s="2" t="s">
        <v>107</v>
      </c>
      <c r="R144" t="s">
        <v>107</v>
      </c>
      <c r="S144" t="s">
        <v>107</v>
      </c>
    </row>
    <row r="145" spans="10:19" x14ac:dyDescent="0.45">
      <c r="J145" t="s">
        <v>107</v>
      </c>
      <c r="K145" t="s">
        <v>107</v>
      </c>
      <c r="L145" t="s">
        <v>107</v>
      </c>
      <c r="N145" t="s">
        <v>107</v>
      </c>
      <c r="Q145" s="2" t="s">
        <v>107</v>
      </c>
      <c r="R145" t="s">
        <v>107</v>
      </c>
      <c r="S145" t="s">
        <v>107</v>
      </c>
    </row>
    <row r="146" spans="10:19" x14ac:dyDescent="0.45">
      <c r="J146" t="s">
        <v>107</v>
      </c>
      <c r="K146" t="s">
        <v>107</v>
      </c>
      <c r="L146" t="s">
        <v>107</v>
      </c>
      <c r="N146" t="s">
        <v>107</v>
      </c>
      <c r="Q146" s="2" t="s">
        <v>107</v>
      </c>
      <c r="R146" t="s">
        <v>107</v>
      </c>
      <c r="S146" t="s">
        <v>107</v>
      </c>
    </row>
    <row r="147" spans="10:19" x14ac:dyDescent="0.45">
      <c r="J147" t="s">
        <v>107</v>
      </c>
      <c r="K147" t="s">
        <v>107</v>
      </c>
      <c r="L147" t="s">
        <v>107</v>
      </c>
      <c r="N147" t="s">
        <v>107</v>
      </c>
      <c r="Q147" s="2" t="s">
        <v>107</v>
      </c>
      <c r="R147" t="s">
        <v>107</v>
      </c>
      <c r="S147" t="s">
        <v>107</v>
      </c>
    </row>
    <row r="148" spans="10:19" x14ac:dyDescent="0.45">
      <c r="J148" t="s">
        <v>107</v>
      </c>
      <c r="K148" t="s">
        <v>107</v>
      </c>
      <c r="L148" t="s">
        <v>107</v>
      </c>
      <c r="N148" t="s">
        <v>107</v>
      </c>
      <c r="Q148" s="2" t="s">
        <v>107</v>
      </c>
      <c r="R148" t="s">
        <v>107</v>
      </c>
      <c r="S148" t="s">
        <v>107</v>
      </c>
    </row>
    <row r="149" spans="10:19" x14ac:dyDescent="0.45">
      <c r="J149" t="s">
        <v>107</v>
      </c>
      <c r="K149" t="s">
        <v>107</v>
      </c>
      <c r="L149" t="s">
        <v>107</v>
      </c>
      <c r="N149" t="s">
        <v>107</v>
      </c>
      <c r="Q149" s="2" t="s">
        <v>107</v>
      </c>
      <c r="R149" t="s">
        <v>107</v>
      </c>
      <c r="S149" t="s">
        <v>107</v>
      </c>
    </row>
    <row r="150" spans="10:19" x14ac:dyDescent="0.45">
      <c r="J150" t="s">
        <v>107</v>
      </c>
      <c r="K150" t="s">
        <v>107</v>
      </c>
      <c r="L150" t="s">
        <v>107</v>
      </c>
      <c r="N150" t="s">
        <v>107</v>
      </c>
      <c r="Q150" s="2" t="s">
        <v>107</v>
      </c>
      <c r="R150" t="s">
        <v>107</v>
      </c>
      <c r="S150" t="s">
        <v>107</v>
      </c>
    </row>
    <row r="151" spans="10:19" x14ac:dyDescent="0.45">
      <c r="J151" t="s">
        <v>107</v>
      </c>
      <c r="K151" t="s">
        <v>107</v>
      </c>
      <c r="L151" t="s">
        <v>107</v>
      </c>
      <c r="N151" t="s">
        <v>107</v>
      </c>
      <c r="Q151" s="2" t="s">
        <v>107</v>
      </c>
      <c r="R151" t="s">
        <v>107</v>
      </c>
      <c r="S151" t="s">
        <v>107</v>
      </c>
    </row>
    <row r="152" spans="10:19" x14ac:dyDescent="0.45">
      <c r="J152" t="s">
        <v>107</v>
      </c>
      <c r="K152" t="s">
        <v>107</v>
      </c>
      <c r="L152" t="s">
        <v>107</v>
      </c>
      <c r="N152" t="s">
        <v>107</v>
      </c>
      <c r="Q152" s="2" t="s">
        <v>107</v>
      </c>
      <c r="R152" t="s">
        <v>107</v>
      </c>
      <c r="S152" t="s">
        <v>107</v>
      </c>
    </row>
    <row r="153" spans="10:19" x14ac:dyDescent="0.45">
      <c r="J153" t="s">
        <v>107</v>
      </c>
      <c r="K153" t="s">
        <v>107</v>
      </c>
      <c r="L153" t="s">
        <v>107</v>
      </c>
      <c r="N153" t="s">
        <v>107</v>
      </c>
      <c r="Q153" s="2" t="s">
        <v>107</v>
      </c>
      <c r="R153" t="s">
        <v>107</v>
      </c>
      <c r="S153" t="s">
        <v>107</v>
      </c>
    </row>
    <row r="154" spans="10:19" x14ac:dyDescent="0.45">
      <c r="J154" t="s">
        <v>107</v>
      </c>
      <c r="K154" t="s">
        <v>107</v>
      </c>
      <c r="L154" t="s">
        <v>107</v>
      </c>
      <c r="N154" t="s">
        <v>107</v>
      </c>
      <c r="Q154" s="2" t="s">
        <v>107</v>
      </c>
      <c r="R154" t="s">
        <v>107</v>
      </c>
      <c r="S154" t="s">
        <v>107</v>
      </c>
    </row>
    <row r="155" spans="10:19" x14ac:dyDescent="0.45">
      <c r="J155" t="s">
        <v>107</v>
      </c>
      <c r="K155" t="s">
        <v>107</v>
      </c>
      <c r="L155" t="s">
        <v>107</v>
      </c>
      <c r="N155" t="s">
        <v>107</v>
      </c>
      <c r="Q155" s="2" t="s">
        <v>107</v>
      </c>
      <c r="R155" t="s">
        <v>107</v>
      </c>
      <c r="S155" t="s">
        <v>107</v>
      </c>
    </row>
    <row r="156" spans="10:19" x14ac:dyDescent="0.45">
      <c r="J156" t="s">
        <v>107</v>
      </c>
      <c r="K156" t="s">
        <v>107</v>
      </c>
      <c r="L156" t="s">
        <v>107</v>
      </c>
      <c r="N156" t="s">
        <v>107</v>
      </c>
      <c r="Q156" s="2" t="s">
        <v>107</v>
      </c>
      <c r="R156" t="s">
        <v>107</v>
      </c>
      <c r="S156" t="s">
        <v>107</v>
      </c>
    </row>
    <row r="157" spans="10:19" x14ac:dyDescent="0.45">
      <c r="J157" t="s">
        <v>107</v>
      </c>
      <c r="K157" t="s">
        <v>107</v>
      </c>
      <c r="L157" t="s">
        <v>107</v>
      </c>
      <c r="N157" t="s">
        <v>107</v>
      </c>
      <c r="Q157" s="2" t="s">
        <v>107</v>
      </c>
      <c r="R157" t="s">
        <v>107</v>
      </c>
      <c r="S157" t="s">
        <v>107</v>
      </c>
    </row>
    <row r="158" spans="10:19" x14ac:dyDescent="0.45">
      <c r="J158" t="s">
        <v>107</v>
      </c>
      <c r="K158" t="s">
        <v>107</v>
      </c>
      <c r="L158" t="s">
        <v>107</v>
      </c>
      <c r="N158" t="s">
        <v>107</v>
      </c>
      <c r="Q158" s="2" t="s">
        <v>107</v>
      </c>
      <c r="R158" t="s">
        <v>107</v>
      </c>
      <c r="S158" t="s">
        <v>107</v>
      </c>
    </row>
    <row r="159" spans="10:19" x14ac:dyDescent="0.45">
      <c r="J159" t="s">
        <v>107</v>
      </c>
      <c r="K159" t="s">
        <v>107</v>
      </c>
      <c r="L159" t="s">
        <v>107</v>
      </c>
      <c r="N159" t="s">
        <v>107</v>
      </c>
      <c r="Q159" s="2" t="s">
        <v>107</v>
      </c>
      <c r="R159" t="s">
        <v>107</v>
      </c>
      <c r="S159" t="s">
        <v>107</v>
      </c>
    </row>
    <row r="160" spans="10:19" x14ac:dyDescent="0.45">
      <c r="J160" t="s">
        <v>107</v>
      </c>
      <c r="K160" t="s">
        <v>107</v>
      </c>
      <c r="L160" t="s">
        <v>107</v>
      </c>
      <c r="N160" t="s">
        <v>107</v>
      </c>
      <c r="Q160" s="2" t="s">
        <v>107</v>
      </c>
      <c r="R160" t="s">
        <v>107</v>
      </c>
      <c r="S160" t="s">
        <v>107</v>
      </c>
    </row>
    <row r="161" spans="10:19" x14ac:dyDescent="0.45">
      <c r="J161" t="s">
        <v>107</v>
      </c>
      <c r="K161" t="s">
        <v>107</v>
      </c>
      <c r="L161" t="s">
        <v>107</v>
      </c>
      <c r="N161" t="s">
        <v>107</v>
      </c>
      <c r="Q161" s="2" t="s">
        <v>107</v>
      </c>
      <c r="R161" t="s">
        <v>107</v>
      </c>
      <c r="S161" t="s">
        <v>107</v>
      </c>
    </row>
    <row r="162" spans="10:19" x14ac:dyDescent="0.45">
      <c r="J162" t="s">
        <v>107</v>
      </c>
      <c r="K162" t="s">
        <v>107</v>
      </c>
      <c r="L162" t="s">
        <v>107</v>
      </c>
      <c r="N162" t="s">
        <v>107</v>
      </c>
      <c r="Q162" s="2" t="s">
        <v>107</v>
      </c>
      <c r="R162" t="s">
        <v>107</v>
      </c>
      <c r="S162" t="s">
        <v>107</v>
      </c>
    </row>
    <row r="163" spans="10:19" x14ac:dyDescent="0.45">
      <c r="J163" t="s">
        <v>107</v>
      </c>
      <c r="K163" t="s">
        <v>107</v>
      </c>
      <c r="L163" t="s">
        <v>107</v>
      </c>
      <c r="N163" t="s">
        <v>107</v>
      </c>
      <c r="Q163" s="2" t="s">
        <v>107</v>
      </c>
      <c r="R163" t="s">
        <v>107</v>
      </c>
      <c r="S163" t="s">
        <v>107</v>
      </c>
    </row>
    <row r="164" spans="10:19" x14ac:dyDescent="0.45">
      <c r="J164" t="s">
        <v>107</v>
      </c>
      <c r="K164" t="s">
        <v>107</v>
      </c>
      <c r="L164" t="s">
        <v>107</v>
      </c>
      <c r="N164" t="s">
        <v>107</v>
      </c>
      <c r="Q164" s="2" t="s">
        <v>107</v>
      </c>
      <c r="R164" t="s">
        <v>107</v>
      </c>
      <c r="S164" t="s">
        <v>107</v>
      </c>
    </row>
    <row r="165" spans="10:19" x14ac:dyDescent="0.45">
      <c r="J165" t="s">
        <v>107</v>
      </c>
      <c r="K165" t="s">
        <v>107</v>
      </c>
      <c r="L165" t="s">
        <v>107</v>
      </c>
      <c r="N165" t="s">
        <v>107</v>
      </c>
      <c r="Q165" s="2" t="s">
        <v>107</v>
      </c>
      <c r="R165" t="s">
        <v>107</v>
      </c>
      <c r="S165" t="s">
        <v>107</v>
      </c>
    </row>
    <row r="166" spans="10:19" x14ac:dyDescent="0.45">
      <c r="J166" t="s">
        <v>107</v>
      </c>
      <c r="K166" t="s">
        <v>107</v>
      </c>
      <c r="L166" t="s">
        <v>107</v>
      </c>
      <c r="N166" t="s">
        <v>107</v>
      </c>
      <c r="Q166" s="2" t="s">
        <v>107</v>
      </c>
      <c r="R166" t="s">
        <v>107</v>
      </c>
      <c r="S166" t="s">
        <v>107</v>
      </c>
    </row>
    <row r="167" spans="10:19" x14ac:dyDescent="0.45">
      <c r="J167" t="s">
        <v>107</v>
      </c>
      <c r="K167" t="s">
        <v>107</v>
      </c>
      <c r="L167" t="s">
        <v>107</v>
      </c>
      <c r="N167" t="s">
        <v>107</v>
      </c>
      <c r="Q167" s="2" t="s">
        <v>107</v>
      </c>
      <c r="R167" t="s">
        <v>107</v>
      </c>
      <c r="S167" t="s">
        <v>107</v>
      </c>
    </row>
    <row r="168" spans="10:19" x14ac:dyDescent="0.45">
      <c r="J168" t="s">
        <v>107</v>
      </c>
      <c r="K168" t="s">
        <v>107</v>
      </c>
      <c r="L168" t="s">
        <v>107</v>
      </c>
      <c r="N168" t="s">
        <v>107</v>
      </c>
      <c r="Q168" s="2" t="s">
        <v>107</v>
      </c>
      <c r="R168" t="s">
        <v>107</v>
      </c>
      <c r="S168" t="s">
        <v>107</v>
      </c>
    </row>
    <row r="169" spans="10:19" x14ac:dyDescent="0.45">
      <c r="J169" t="s">
        <v>107</v>
      </c>
      <c r="K169" t="s">
        <v>107</v>
      </c>
      <c r="L169" t="s">
        <v>107</v>
      </c>
      <c r="N169" t="s">
        <v>107</v>
      </c>
      <c r="Q169" s="2" t="s">
        <v>107</v>
      </c>
      <c r="R169" t="s">
        <v>107</v>
      </c>
      <c r="S169" t="s">
        <v>107</v>
      </c>
    </row>
    <row r="170" spans="10:19" x14ac:dyDescent="0.45">
      <c r="J170" t="s">
        <v>107</v>
      </c>
      <c r="K170" t="s">
        <v>107</v>
      </c>
      <c r="L170" t="s">
        <v>107</v>
      </c>
      <c r="N170" t="s">
        <v>107</v>
      </c>
      <c r="Q170" s="2" t="s">
        <v>107</v>
      </c>
      <c r="R170" t="s">
        <v>107</v>
      </c>
      <c r="S170" t="s">
        <v>107</v>
      </c>
    </row>
    <row r="171" spans="10:19" x14ac:dyDescent="0.45">
      <c r="J171" t="s">
        <v>107</v>
      </c>
      <c r="K171" t="s">
        <v>107</v>
      </c>
      <c r="L171" t="s">
        <v>107</v>
      </c>
      <c r="N171" t="s">
        <v>107</v>
      </c>
      <c r="Q171" s="2" t="s">
        <v>107</v>
      </c>
      <c r="R171" t="s">
        <v>107</v>
      </c>
      <c r="S171" t="s">
        <v>107</v>
      </c>
    </row>
    <row r="172" spans="10:19" x14ac:dyDescent="0.45">
      <c r="J172" t="s">
        <v>107</v>
      </c>
      <c r="K172" t="s">
        <v>107</v>
      </c>
      <c r="L172" t="s">
        <v>107</v>
      </c>
      <c r="N172" t="s">
        <v>107</v>
      </c>
      <c r="Q172" s="2" t="s">
        <v>107</v>
      </c>
      <c r="R172" t="s">
        <v>107</v>
      </c>
      <c r="S172" t="s">
        <v>107</v>
      </c>
    </row>
    <row r="173" spans="10:19" x14ac:dyDescent="0.45">
      <c r="J173" t="s">
        <v>107</v>
      </c>
      <c r="K173" t="s">
        <v>107</v>
      </c>
      <c r="L173" t="s">
        <v>107</v>
      </c>
      <c r="N173" t="s">
        <v>107</v>
      </c>
      <c r="Q173" s="2" t="s">
        <v>107</v>
      </c>
      <c r="R173" t="s">
        <v>107</v>
      </c>
      <c r="S173" t="s">
        <v>107</v>
      </c>
    </row>
    <row r="174" spans="10:19" x14ac:dyDescent="0.45">
      <c r="J174" t="s">
        <v>107</v>
      </c>
      <c r="K174" t="s">
        <v>107</v>
      </c>
      <c r="L174" t="s">
        <v>107</v>
      </c>
      <c r="N174" t="s">
        <v>107</v>
      </c>
      <c r="Q174" s="2" t="s">
        <v>107</v>
      </c>
      <c r="R174" t="s">
        <v>107</v>
      </c>
      <c r="S174" t="s">
        <v>107</v>
      </c>
    </row>
    <row r="175" spans="10:19" x14ac:dyDescent="0.45">
      <c r="J175" t="s">
        <v>107</v>
      </c>
      <c r="K175" t="s">
        <v>107</v>
      </c>
      <c r="L175" t="s">
        <v>107</v>
      </c>
      <c r="N175" t="s">
        <v>107</v>
      </c>
      <c r="Q175" s="2" t="s">
        <v>107</v>
      </c>
      <c r="R175" t="s">
        <v>107</v>
      </c>
      <c r="S175" t="s">
        <v>107</v>
      </c>
    </row>
    <row r="176" spans="10:19" x14ac:dyDescent="0.45">
      <c r="J176" t="s">
        <v>107</v>
      </c>
      <c r="K176" t="s">
        <v>107</v>
      </c>
      <c r="L176" t="s">
        <v>107</v>
      </c>
      <c r="N176" t="s">
        <v>107</v>
      </c>
      <c r="Q176" s="2" t="s">
        <v>107</v>
      </c>
      <c r="R176" t="s">
        <v>107</v>
      </c>
      <c r="S176" t="s">
        <v>107</v>
      </c>
    </row>
    <row r="177" spans="10:19" x14ac:dyDescent="0.45">
      <c r="J177" t="s">
        <v>107</v>
      </c>
      <c r="K177" t="s">
        <v>107</v>
      </c>
      <c r="L177" t="s">
        <v>107</v>
      </c>
      <c r="N177" t="s">
        <v>107</v>
      </c>
      <c r="Q177" s="2" t="s">
        <v>107</v>
      </c>
      <c r="R177" t="s">
        <v>107</v>
      </c>
      <c r="S177" t="s">
        <v>107</v>
      </c>
    </row>
    <row r="178" spans="10:19" x14ac:dyDescent="0.45">
      <c r="J178" t="s">
        <v>107</v>
      </c>
      <c r="K178" t="s">
        <v>107</v>
      </c>
      <c r="L178" t="s">
        <v>107</v>
      </c>
      <c r="N178" t="s">
        <v>107</v>
      </c>
      <c r="Q178" s="2" t="s">
        <v>107</v>
      </c>
      <c r="R178" t="s">
        <v>107</v>
      </c>
      <c r="S178" t="s">
        <v>107</v>
      </c>
    </row>
    <row r="179" spans="10:19" x14ac:dyDescent="0.45">
      <c r="J179" t="s">
        <v>107</v>
      </c>
      <c r="K179" t="s">
        <v>107</v>
      </c>
      <c r="L179" t="s">
        <v>107</v>
      </c>
      <c r="N179" t="s">
        <v>107</v>
      </c>
      <c r="Q179" s="2" t="s">
        <v>107</v>
      </c>
      <c r="R179" t="s">
        <v>107</v>
      </c>
      <c r="S179" t="s">
        <v>107</v>
      </c>
    </row>
    <row r="180" spans="10:19" x14ac:dyDescent="0.45">
      <c r="J180" t="s">
        <v>107</v>
      </c>
      <c r="K180" t="s">
        <v>107</v>
      </c>
      <c r="L180" t="s">
        <v>107</v>
      </c>
      <c r="N180" t="s">
        <v>107</v>
      </c>
      <c r="Q180" s="2" t="s">
        <v>107</v>
      </c>
      <c r="R180" t="s">
        <v>107</v>
      </c>
      <c r="S180" t="s">
        <v>107</v>
      </c>
    </row>
    <row r="181" spans="10:19" x14ac:dyDescent="0.45">
      <c r="J181" t="s">
        <v>107</v>
      </c>
      <c r="K181" t="s">
        <v>107</v>
      </c>
      <c r="L181" t="s">
        <v>107</v>
      </c>
      <c r="N181" t="s">
        <v>107</v>
      </c>
      <c r="Q181" s="2" t="s">
        <v>107</v>
      </c>
      <c r="R181" t="s">
        <v>107</v>
      </c>
      <c r="S181" t="s">
        <v>107</v>
      </c>
    </row>
    <row r="182" spans="10:19" x14ac:dyDescent="0.45">
      <c r="J182" t="s">
        <v>107</v>
      </c>
      <c r="K182" t="s">
        <v>107</v>
      </c>
      <c r="L182" t="s">
        <v>107</v>
      </c>
      <c r="N182" t="s">
        <v>107</v>
      </c>
      <c r="Q182" s="2" t="s">
        <v>107</v>
      </c>
      <c r="R182" t="s">
        <v>107</v>
      </c>
      <c r="S182" t="s">
        <v>107</v>
      </c>
    </row>
    <row r="183" spans="10:19" x14ac:dyDescent="0.45">
      <c r="J183" t="s">
        <v>107</v>
      </c>
      <c r="K183" t="s">
        <v>107</v>
      </c>
      <c r="L183" t="s">
        <v>107</v>
      </c>
      <c r="N183" t="s">
        <v>107</v>
      </c>
      <c r="Q183" s="2" t="s">
        <v>107</v>
      </c>
      <c r="R183" t="s">
        <v>107</v>
      </c>
      <c r="S183" t="s">
        <v>107</v>
      </c>
    </row>
    <row r="184" spans="10:19" x14ac:dyDescent="0.45">
      <c r="J184" t="s">
        <v>107</v>
      </c>
      <c r="K184" t="s">
        <v>107</v>
      </c>
      <c r="L184" t="s">
        <v>107</v>
      </c>
      <c r="N184" t="s">
        <v>107</v>
      </c>
      <c r="Q184" s="2" t="s">
        <v>107</v>
      </c>
      <c r="R184" t="s">
        <v>107</v>
      </c>
      <c r="S184" t="s">
        <v>107</v>
      </c>
    </row>
    <row r="185" spans="10:19" x14ac:dyDescent="0.45">
      <c r="J185" t="s">
        <v>107</v>
      </c>
      <c r="K185" t="s">
        <v>107</v>
      </c>
      <c r="L185" t="s">
        <v>107</v>
      </c>
      <c r="N185" t="s">
        <v>107</v>
      </c>
      <c r="Q185" s="2" t="s">
        <v>107</v>
      </c>
      <c r="R185" t="s">
        <v>107</v>
      </c>
      <c r="S185" t="s">
        <v>107</v>
      </c>
    </row>
    <row r="186" spans="10:19" x14ac:dyDescent="0.45">
      <c r="J186" t="s">
        <v>107</v>
      </c>
      <c r="K186" t="s">
        <v>107</v>
      </c>
      <c r="L186" t="s">
        <v>107</v>
      </c>
      <c r="N186" t="s">
        <v>107</v>
      </c>
      <c r="Q186" s="2" t="s">
        <v>107</v>
      </c>
      <c r="R186" t="s">
        <v>107</v>
      </c>
      <c r="S186" t="s">
        <v>107</v>
      </c>
    </row>
    <row r="187" spans="10:19" x14ac:dyDescent="0.45">
      <c r="J187" t="s">
        <v>107</v>
      </c>
      <c r="K187" t="s">
        <v>107</v>
      </c>
      <c r="L187" t="s">
        <v>107</v>
      </c>
      <c r="N187" t="s">
        <v>107</v>
      </c>
      <c r="Q187" s="2" t="s">
        <v>107</v>
      </c>
      <c r="R187" t="s">
        <v>107</v>
      </c>
      <c r="S187" t="s">
        <v>107</v>
      </c>
    </row>
    <row r="188" spans="10:19" x14ac:dyDescent="0.45">
      <c r="J188" t="s">
        <v>107</v>
      </c>
      <c r="K188" t="s">
        <v>107</v>
      </c>
      <c r="L188" t="s">
        <v>107</v>
      </c>
      <c r="N188" t="s">
        <v>107</v>
      </c>
      <c r="Q188" s="2" t="s">
        <v>107</v>
      </c>
      <c r="R188" t="s">
        <v>107</v>
      </c>
      <c r="S188" t="s">
        <v>107</v>
      </c>
    </row>
    <row r="189" spans="10:19" x14ac:dyDescent="0.45">
      <c r="J189" t="s">
        <v>107</v>
      </c>
      <c r="K189" t="s">
        <v>107</v>
      </c>
      <c r="L189" t="s">
        <v>107</v>
      </c>
      <c r="N189" t="s">
        <v>107</v>
      </c>
      <c r="Q189" s="2" t="s">
        <v>107</v>
      </c>
      <c r="R189" t="s">
        <v>107</v>
      </c>
      <c r="S189" t="s">
        <v>107</v>
      </c>
    </row>
    <row r="190" spans="10:19" x14ac:dyDescent="0.45">
      <c r="J190" t="s">
        <v>107</v>
      </c>
      <c r="K190" t="s">
        <v>107</v>
      </c>
      <c r="L190" t="s">
        <v>107</v>
      </c>
      <c r="N190" t="s">
        <v>107</v>
      </c>
      <c r="Q190" s="2" t="s">
        <v>107</v>
      </c>
      <c r="R190" t="s">
        <v>107</v>
      </c>
      <c r="S190" t="s">
        <v>107</v>
      </c>
    </row>
    <row r="191" spans="10:19" x14ac:dyDescent="0.45">
      <c r="J191" t="s">
        <v>107</v>
      </c>
      <c r="K191" t="s">
        <v>107</v>
      </c>
      <c r="L191" t="s">
        <v>107</v>
      </c>
      <c r="N191" t="s">
        <v>107</v>
      </c>
      <c r="Q191" s="2" t="s">
        <v>107</v>
      </c>
      <c r="R191" t="s">
        <v>107</v>
      </c>
      <c r="S191" t="s">
        <v>107</v>
      </c>
    </row>
    <row r="192" spans="10:19" x14ac:dyDescent="0.45">
      <c r="J192" t="s">
        <v>107</v>
      </c>
      <c r="K192" t="s">
        <v>107</v>
      </c>
      <c r="L192" t="s">
        <v>107</v>
      </c>
      <c r="N192" t="s">
        <v>107</v>
      </c>
      <c r="Q192" s="2" t="s">
        <v>107</v>
      </c>
      <c r="R192" t="s">
        <v>107</v>
      </c>
      <c r="S192" t="s">
        <v>107</v>
      </c>
    </row>
    <row r="193" spans="10:19" x14ac:dyDescent="0.45">
      <c r="J193" t="s">
        <v>107</v>
      </c>
      <c r="K193" t="s">
        <v>107</v>
      </c>
      <c r="L193" t="s">
        <v>107</v>
      </c>
      <c r="N193" t="s">
        <v>107</v>
      </c>
      <c r="Q193" s="2" t="s">
        <v>107</v>
      </c>
      <c r="R193" t="s">
        <v>107</v>
      </c>
      <c r="S193" t="s">
        <v>107</v>
      </c>
    </row>
    <row r="194" spans="10:19" x14ac:dyDescent="0.45">
      <c r="J194" t="s">
        <v>107</v>
      </c>
      <c r="K194" t="s">
        <v>107</v>
      </c>
      <c r="L194" t="s">
        <v>107</v>
      </c>
      <c r="N194" t="s">
        <v>107</v>
      </c>
      <c r="Q194" s="2" t="s">
        <v>107</v>
      </c>
      <c r="R194" t="s">
        <v>107</v>
      </c>
      <c r="S194" t="s">
        <v>107</v>
      </c>
    </row>
    <row r="195" spans="10:19" x14ac:dyDescent="0.45">
      <c r="J195" t="s">
        <v>107</v>
      </c>
      <c r="K195" t="s">
        <v>107</v>
      </c>
      <c r="L195" t="s">
        <v>107</v>
      </c>
      <c r="N195" t="s">
        <v>107</v>
      </c>
      <c r="Q195" s="2" t="s">
        <v>107</v>
      </c>
      <c r="R195" t="s">
        <v>107</v>
      </c>
      <c r="S195" t="s">
        <v>107</v>
      </c>
    </row>
    <row r="196" spans="10:19" x14ac:dyDescent="0.45">
      <c r="J196" t="s">
        <v>107</v>
      </c>
      <c r="K196" t="s">
        <v>107</v>
      </c>
      <c r="L196" t="s">
        <v>107</v>
      </c>
      <c r="N196" t="s">
        <v>107</v>
      </c>
      <c r="Q196" s="2" t="s">
        <v>107</v>
      </c>
      <c r="R196" t="s">
        <v>107</v>
      </c>
      <c r="S196" t="s">
        <v>107</v>
      </c>
    </row>
    <row r="197" spans="10:19" x14ac:dyDescent="0.45">
      <c r="J197" t="s">
        <v>107</v>
      </c>
      <c r="K197" t="s">
        <v>107</v>
      </c>
      <c r="L197" t="s">
        <v>107</v>
      </c>
      <c r="N197" t="s">
        <v>107</v>
      </c>
      <c r="Q197" s="2" t="s">
        <v>107</v>
      </c>
      <c r="R197" t="s">
        <v>107</v>
      </c>
      <c r="S197" t="s">
        <v>107</v>
      </c>
    </row>
    <row r="198" spans="10:19" x14ac:dyDescent="0.45">
      <c r="J198" t="s">
        <v>107</v>
      </c>
      <c r="K198" t="s">
        <v>107</v>
      </c>
      <c r="L198" t="s">
        <v>107</v>
      </c>
      <c r="N198" t="s">
        <v>107</v>
      </c>
      <c r="Q198" s="2" t="s">
        <v>107</v>
      </c>
      <c r="R198" t="s">
        <v>107</v>
      </c>
      <c r="S198" t="s">
        <v>107</v>
      </c>
    </row>
    <row r="199" spans="10:19" x14ac:dyDescent="0.45">
      <c r="J199" t="s">
        <v>107</v>
      </c>
      <c r="K199" t="s">
        <v>107</v>
      </c>
      <c r="L199" t="s">
        <v>107</v>
      </c>
      <c r="N199" t="s">
        <v>107</v>
      </c>
      <c r="Q199" s="2" t="s">
        <v>107</v>
      </c>
      <c r="R199" t="s">
        <v>107</v>
      </c>
      <c r="S199" t="s">
        <v>107</v>
      </c>
    </row>
    <row r="200" spans="10:19" x14ac:dyDescent="0.45">
      <c r="J200" t="s">
        <v>107</v>
      </c>
      <c r="K200" t="s">
        <v>107</v>
      </c>
      <c r="L200" t="s">
        <v>107</v>
      </c>
      <c r="N200" t="s">
        <v>107</v>
      </c>
      <c r="Q200" s="2" t="s">
        <v>107</v>
      </c>
      <c r="R200" t="s">
        <v>107</v>
      </c>
      <c r="S200" t="s">
        <v>107</v>
      </c>
    </row>
    <row r="201" spans="10:19" x14ac:dyDescent="0.45">
      <c r="J201" t="s">
        <v>107</v>
      </c>
      <c r="K201" t="s">
        <v>107</v>
      </c>
      <c r="L201" t="s">
        <v>107</v>
      </c>
      <c r="N201" t="s">
        <v>107</v>
      </c>
      <c r="Q201" s="2" t="s">
        <v>107</v>
      </c>
      <c r="R201" t="s">
        <v>107</v>
      </c>
      <c r="S201" t="s">
        <v>107</v>
      </c>
    </row>
    <row r="202" spans="10:19" x14ac:dyDescent="0.45">
      <c r="J202" t="s">
        <v>107</v>
      </c>
      <c r="K202" t="s">
        <v>107</v>
      </c>
      <c r="L202" t="s">
        <v>107</v>
      </c>
      <c r="N202" t="s">
        <v>107</v>
      </c>
      <c r="Q202" s="2" t="s">
        <v>107</v>
      </c>
      <c r="R202" t="s">
        <v>107</v>
      </c>
      <c r="S202" t="s">
        <v>107</v>
      </c>
    </row>
    <row r="203" spans="10:19" x14ac:dyDescent="0.45">
      <c r="J203" t="s">
        <v>107</v>
      </c>
      <c r="K203" t="s">
        <v>107</v>
      </c>
      <c r="L203" t="s">
        <v>107</v>
      </c>
      <c r="N203" t="s">
        <v>107</v>
      </c>
      <c r="Q203" s="2" t="s">
        <v>107</v>
      </c>
      <c r="R203" t="s">
        <v>107</v>
      </c>
      <c r="S203" t="s">
        <v>107</v>
      </c>
    </row>
    <row r="204" spans="10:19" x14ac:dyDescent="0.45">
      <c r="J204" t="s">
        <v>107</v>
      </c>
      <c r="K204" t="s">
        <v>107</v>
      </c>
      <c r="L204" t="s">
        <v>107</v>
      </c>
      <c r="N204" t="s">
        <v>107</v>
      </c>
      <c r="Q204" s="2" t="s">
        <v>107</v>
      </c>
      <c r="R204" t="s">
        <v>107</v>
      </c>
      <c r="S204" t="s">
        <v>107</v>
      </c>
    </row>
    <row r="205" spans="10:19" x14ac:dyDescent="0.45">
      <c r="J205" t="s">
        <v>107</v>
      </c>
      <c r="K205" t="s">
        <v>107</v>
      </c>
      <c r="L205" t="s">
        <v>107</v>
      </c>
      <c r="N205" t="s">
        <v>107</v>
      </c>
      <c r="Q205" s="2" t="s">
        <v>107</v>
      </c>
      <c r="R205" t="s">
        <v>107</v>
      </c>
      <c r="S205" t="s">
        <v>107</v>
      </c>
    </row>
    <row r="206" spans="10:19" x14ac:dyDescent="0.45">
      <c r="J206" t="s">
        <v>107</v>
      </c>
      <c r="K206" t="s">
        <v>107</v>
      </c>
      <c r="L206" t="s">
        <v>107</v>
      </c>
      <c r="N206" t="s">
        <v>107</v>
      </c>
      <c r="Q206" s="2" t="s">
        <v>107</v>
      </c>
      <c r="R206" t="s">
        <v>107</v>
      </c>
      <c r="S206" t="s">
        <v>107</v>
      </c>
    </row>
    <row r="207" spans="10:19" x14ac:dyDescent="0.45">
      <c r="J207" t="s">
        <v>107</v>
      </c>
      <c r="K207" t="s">
        <v>107</v>
      </c>
      <c r="L207" t="s">
        <v>107</v>
      </c>
      <c r="N207" t="s">
        <v>107</v>
      </c>
      <c r="Q207" s="2" t="s">
        <v>107</v>
      </c>
      <c r="R207" t="s">
        <v>107</v>
      </c>
      <c r="S207" t="s">
        <v>107</v>
      </c>
    </row>
    <row r="208" spans="10:19" x14ac:dyDescent="0.45">
      <c r="J208" t="s">
        <v>107</v>
      </c>
      <c r="K208" t="s">
        <v>107</v>
      </c>
      <c r="L208" t="s">
        <v>107</v>
      </c>
      <c r="N208" t="s">
        <v>107</v>
      </c>
      <c r="Q208" s="2" t="s">
        <v>107</v>
      </c>
      <c r="R208" t="s">
        <v>107</v>
      </c>
      <c r="S208" t="s">
        <v>107</v>
      </c>
    </row>
    <row r="209" spans="10:19" x14ac:dyDescent="0.45">
      <c r="J209" t="s">
        <v>107</v>
      </c>
      <c r="K209" t="s">
        <v>107</v>
      </c>
      <c r="L209" t="s">
        <v>107</v>
      </c>
      <c r="N209" t="s">
        <v>107</v>
      </c>
      <c r="Q209" s="2" t="s">
        <v>107</v>
      </c>
      <c r="R209" t="s">
        <v>107</v>
      </c>
      <c r="S209" t="s">
        <v>107</v>
      </c>
    </row>
    <row r="210" spans="10:19" x14ac:dyDescent="0.45">
      <c r="J210" t="s">
        <v>107</v>
      </c>
      <c r="K210" t="s">
        <v>107</v>
      </c>
      <c r="L210" t="s">
        <v>107</v>
      </c>
      <c r="N210" t="s">
        <v>107</v>
      </c>
      <c r="Q210" s="2" t="s">
        <v>107</v>
      </c>
      <c r="R210" t="s">
        <v>107</v>
      </c>
      <c r="S210" t="s">
        <v>107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MAJ_TMA_DB">
                <anchor moveWithCells="1" sizeWithCells="1">
                  <from>
                    <xdr:col>0</xdr:col>
                    <xdr:colOff>981075</xdr:colOff>
                    <xdr:row>213</xdr:row>
                    <xdr:rowOff>57150</xdr:rowOff>
                  </from>
                  <to>
                    <xdr:col>1</xdr:col>
                    <xdr:colOff>1019175</xdr:colOff>
                    <xdr:row>215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D9A00-8686-4C03-A589-8B4F95DD7B3F}">
  <sheetPr codeName="Feuil2"/>
  <dimension ref="A1:A10"/>
  <sheetViews>
    <sheetView workbookViewId="0">
      <selection activeCell="H15" sqref="H15"/>
    </sheetView>
  </sheetViews>
  <sheetFormatPr baseColWidth="10" defaultRowHeight="14.25" x14ac:dyDescent="0.45"/>
  <cols>
    <col min="1" max="1" width="23.73046875" customWidth="1"/>
  </cols>
  <sheetData>
    <row r="1" spans="1:1" x14ac:dyDescent="0.45">
      <c r="A1" t="s">
        <v>111</v>
      </c>
    </row>
    <row r="2" spans="1:1" x14ac:dyDescent="0.45">
      <c r="A2" t="str" cm="1">
        <f t="array" ref="A2:A10">_xlfn.UNIQUE(TMA_DB!D2:D500)</f>
        <v>M. et Mme LOPITAN</v>
      </c>
    </row>
    <row r="3" spans="1:1" x14ac:dyDescent="0.45">
      <c r="A3" t="str">
        <v>M. et Mme GUIREAU</v>
      </c>
    </row>
    <row r="4" spans="1:1" x14ac:dyDescent="0.45">
      <c r="A4" t="str">
        <v>Mme BLANC</v>
      </c>
    </row>
    <row r="5" spans="1:1" x14ac:dyDescent="0.45">
      <c r="A5" t="str">
        <v>M. JURAND</v>
      </c>
    </row>
    <row r="6" spans="1:1" x14ac:dyDescent="0.45">
      <c r="A6" t="str">
        <v>M. et Mme JAUREGUI</v>
      </c>
    </row>
    <row r="7" spans="1:1" x14ac:dyDescent="0.45">
      <c r="A7" t="str">
        <v>M. VERGNE</v>
      </c>
    </row>
    <row r="8" spans="1:1" x14ac:dyDescent="0.45">
      <c r="A8" t="str">
        <v>M. et Mme DURANDEU</v>
      </c>
    </row>
    <row r="9" spans="1:1" x14ac:dyDescent="0.45">
      <c r="A9" t="str">
        <v>M. et Mme ROTAND</v>
      </c>
    </row>
    <row r="10" spans="1:1" x14ac:dyDescent="0.45">
      <c r="A10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7B6A1-E5B3-4ACE-9985-A79888CD7287}">
  <sheetPr codeName="Feuil15"/>
  <dimension ref="A1:A10"/>
  <sheetViews>
    <sheetView topLeftCell="A2" workbookViewId="0">
      <selection sqref="A1:S210"/>
    </sheetView>
  </sheetViews>
  <sheetFormatPr baseColWidth="10" defaultRowHeight="14.25" x14ac:dyDescent="0.45"/>
  <cols>
    <col min="1" max="1" width="10.6640625" customWidth="1"/>
  </cols>
  <sheetData>
    <row r="1" spans="1:1" x14ac:dyDescent="0.45">
      <c r="A1" t="s">
        <v>1</v>
      </c>
    </row>
    <row r="2" spans="1:1" x14ac:dyDescent="0.45">
      <c r="A2" t="s">
        <v>111</v>
      </c>
    </row>
    <row r="3" spans="1:1" x14ac:dyDescent="0.45">
      <c r="A3" t="str" cm="1">
        <f t="array" ref="A3:A10">_xlfn._xlws.SORT(_xlfn.UNIQUE(_xlfn._xlws.FILTER(Suivi_TMA!B12:B1000,Suivi_TMA!B12:B1000&lt;&gt;"")))</f>
        <v>A01</v>
      </c>
    </row>
    <row r="4" spans="1:1" x14ac:dyDescent="0.45">
      <c r="A4" t="str">
        <v>A02</v>
      </c>
    </row>
    <row r="5" spans="1:1" x14ac:dyDescent="0.45">
      <c r="A5" t="str">
        <v>A03</v>
      </c>
    </row>
    <row r="6" spans="1:1" x14ac:dyDescent="0.45">
      <c r="A6" t="str">
        <v>A05</v>
      </c>
    </row>
    <row r="7" spans="1:1" x14ac:dyDescent="0.45">
      <c r="A7" t="str">
        <v>A06</v>
      </c>
    </row>
    <row r="8" spans="1:1" x14ac:dyDescent="0.45">
      <c r="A8" t="str">
        <v>A09</v>
      </c>
    </row>
    <row r="9" spans="1:1" x14ac:dyDescent="0.45">
      <c r="A9" t="str">
        <v>A10</v>
      </c>
    </row>
    <row r="10" spans="1:1" x14ac:dyDescent="0.45">
      <c r="A10" t="str">
        <v>A12</v>
      </c>
    </row>
  </sheetData>
  <sheetProtection algorithmName="SHA-512" hashValue="2f3ar36LmQxO6UlUyo7wmCzsPOvehL2jQylcUst73LrwWsMFVlhFGh1eAdnIWRpJarrLt6aM9ckatfMCVGTCVA==" saltValue="SKO2sQxIR19FoR4Y50Tvng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213AA-0B68-45E4-9645-794AB54B549F}">
  <sheetPr codeName="Feuil18"/>
  <dimension ref="A1:A8"/>
  <sheetViews>
    <sheetView workbookViewId="0">
      <selection sqref="A1:S210"/>
    </sheetView>
  </sheetViews>
  <sheetFormatPr baseColWidth="10" defaultRowHeight="14.25" x14ac:dyDescent="0.45"/>
  <sheetData>
    <row r="1" spans="1:1" x14ac:dyDescent="0.45">
      <c r="A1" t="s">
        <v>111</v>
      </c>
    </row>
    <row r="2" spans="1:1" x14ac:dyDescent="0.45">
      <c r="A2" t="str" cm="1">
        <f t="array" ref="A2:A8">_xlfn._xlws.SORT(_xlfn.UNIQUE(_xlfn._xlws.FILTER(TMA_Entreprises!G12:G999,TMA_Entreprises!G12:G999&lt;&gt;"")))</f>
        <v>APC</v>
      </c>
    </row>
    <row r="3" spans="1:1" x14ac:dyDescent="0.45">
      <c r="A3" t="str">
        <v>EMA</v>
      </c>
    </row>
    <row r="4" spans="1:1" x14ac:dyDescent="0.45">
      <c r="A4" t="str">
        <v>LAPIX</v>
      </c>
    </row>
    <row r="5" spans="1:1" x14ac:dyDescent="0.45">
      <c r="A5" t="str">
        <v>MORLAES</v>
      </c>
    </row>
    <row r="6" spans="1:1" x14ac:dyDescent="0.45">
      <c r="A6" t="str">
        <v>PVN</v>
      </c>
    </row>
    <row r="7" spans="1:1" x14ac:dyDescent="0.45">
      <c r="A7" t="str">
        <v>SANICLIM</v>
      </c>
    </row>
    <row r="8" spans="1:1" x14ac:dyDescent="0.45">
      <c r="A8" t="str">
        <v>SOLUTEC</v>
      </c>
    </row>
  </sheetData>
  <sheetProtection algorithmName="SHA-512" hashValue="iIAXZxynlXr4cTZ9D7uOJEKQXNw9/XC+7YT63wWUSjsfRpzGZdvyyF9Z3jbQmPYSPj56PvaLgUMp/x7wPIFNfQ==" saltValue="5gGrpuSOSzoYT73FZLbOw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2"/>
  <dimension ref="A1:B37"/>
  <sheetViews>
    <sheetView topLeftCell="A10" workbookViewId="0">
      <selection activeCell="H15" sqref="H15"/>
    </sheetView>
  </sheetViews>
  <sheetFormatPr baseColWidth="10" defaultColWidth="9.06640625" defaultRowHeight="14.25" x14ac:dyDescent="0.45"/>
  <cols>
    <col min="1" max="1" width="22.796875" customWidth="1"/>
    <col min="2" max="2" width="10.6640625" customWidth="1"/>
  </cols>
  <sheetData>
    <row r="1" spans="1:2" x14ac:dyDescent="0.45">
      <c r="A1" s="1" t="s">
        <v>4</v>
      </c>
      <c r="B1" s="3" t="s">
        <v>2</v>
      </c>
    </row>
    <row r="2" spans="1:2" x14ac:dyDescent="0.45">
      <c r="A2" t="s">
        <v>19</v>
      </c>
      <c r="B2" t="s">
        <v>60</v>
      </c>
    </row>
    <row r="3" spans="1:2" x14ac:dyDescent="0.45">
      <c r="A3" t="s">
        <v>52</v>
      </c>
      <c r="B3" t="s">
        <v>61</v>
      </c>
    </row>
    <row r="4" spans="1:2" x14ac:dyDescent="0.45">
      <c r="A4" t="s">
        <v>53</v>
      </c>
      <c r="B4" t="s">
        <v>25</v>
      </c>
    </row>
    <row r="5" spans="1:2" x14ac:dyDescent="0.45">
      <c r="A5" t="s">
        <v>228</v>
      </c>
      <c r="B5" t="s">
        <v>62</v>
      </c>
    </row>
    <row r="6" spans="1:2" x14ac:dyDescent="0.45">
      <c r="A6" t="s">
        <v>229</v>
      </c>
      <c r="B6" t="s">
        <v>26</v>
      </c>
    </row>
    <row r="7" spans="1:2" x14ac:dyDescent="0.45">
      <c r="A7" t="s">
        <v>230</v>
      </c>
      <c r="B7" t="s">
        <v>63</v>
      </c>
    </row>
    <row r="8" spans="1:2" x14ac:dyDescent="0.45">
      <c r="A8" t="s">
        <v>231</v>
      </c>
      <c r="B8" t="s">
        <v>27</v>
      </c>
    </row>
    <row r="9" spans="1:2" x14ac:dyDescent="0.45">
      <c r="A9" t="s">
        <v>232</v>
      </c>
      <c r="B9" t="s">
        <v>64</v>
      </c>
    </row>
    <row r="10" spans="1:2" x14ac:dyDescent="0.45">
      <c r="A10" t="s">
        <v>233</v>
      </c>
      <c r="B10" t="s">
        <v>28</v>
      </c>
    </row>
    <row r="11" spans="1:2" x14ac:dyDescent="0.45">
      <c r="A11" t="s">
        <v>234</v>
      </c>
      <c r="B11" t="s">
        <v>65</v>
      </c>
    </row>
    <row r="12" spans="1:2" x14ac:dyDescent="0.45">
      <c r="A12" t="s">
        <v>54</v>
      </c>
      <c r="B12" t="s">
        <v>66</v>
      </c>
    </row>
    <row r="13" spans="1:2" x14ac:dyDescent="0.45">
      <c r="A13" t="s">
        <v>235</v>
      </c>
      <c r="B13" t="s">
        <v>67</v>
      </c>
    </row>
    <row r="14" spans="1:2" x14ac:dyDescent="0.45">
      <c r="A14" t="s">
        <v>236</v>
      </c>
      <c r="B14" t="s">
        <v>68</v>
      </c>
    </row>
    <row r="15" spans="1:2" x14ac:dyDescent="0.45">
      <c r="A15" t="s">
        <v>237</v>
      </c>
    </row>
    <row r="16" spans="1:2" x14ac:dyDescent="0.45">
      <c r="A16" t="s">
        <v>221</v>
      </c>
    </row>
    <row r="17" spans="1:1" x14ac:dyDescent="0.45">
      <c r="A17" t="s">
        <v>14</v>
      </c>
    </row>
    <row r="18" spans="1:1" x14ac:dyDescent="0.45">
      <c r="A18" t="s">
        <v>55</v>
      </c>
    </row>
    <row r="19" spans="1:1" x14ac:dyDescent="0.45">
      <c r="A19" t="s">
        <v>222</v>
      </c>
    </row>
    <row r="20" spans="1:1" x14ac:dyDescent="0.45">
      <c r="A20" t="s">
        <v>223</v>
      </c>
    </row>
    <row r="21" spans="1:1" x14ac:dyDescent="0.45">
      <c r="A21" t="s">
        <v>224</v>
      </c>
    </row>
    <row r="22" spans="1:1" x14ac:dyDescent="0.45">
      <c r="A22" t="s">
        <v>56</v>
      </c>
    </row>
    <row r="23" spans="1:1" x14ac:dyDescent="0.45">
      <c r="A23" t="s">
        <v>57</v>
      </c>
    </row>
    <row r="24" spans="1:1" x14ac:dyDescent="0.45">
      <c r="A24" t="s">
        <v>238</v>
      </c>
    </row>
    <row r="25" spans="1:1" x14ac:dyDescent="0.45">
      <c r="A25" t="s">
        <v>239</v>
      </c>
    </row>
    <row r="26" spans="1:1" x14ac:dyDescent="0.45">
      <c r="A26" t="s">
        <v>240</v>
      </c>
    </row>
    <row r="27" spans="1:1" x14ac:dyDescent="0.45">
      <c r="A27" t="s">
        <v>241</v>
      </c>
    </row>
    <row r="28" spans="1:1" x14ac:dyDescent="0.45">
      <c r="A28" t="s">
        <v>58</v>
      </c>
    </row>
    <row r="29" spans="1:1" x14ac:dyDescent="0.45">
      <c r="A29" t="s">
        <v>242</v>
      </c>
    </row>
    <row r="30" spans="1:1" x14ac:dyDescent="0.45">
      <c r="A30" t="s">
        <v>243</v>
      </c>
    </row>
    <row r="31" spans="1:1" x14ac:dyDescent="0.45">
      <c r="A31" t="s">
        <v>59</v>
      </c>
    </row>
    <row r="32" spans="1:1" x14ac:dyDescent="0.45">
      <c r="A32" t="s">
        <v>244</v>
      </c>
    </row>
    <row r="33" spans="1:1" x14ac:dyDescent="0.45">
      <c r="A33" t="s">
        <v>245</v>
      </c>
    </row>
    <row r="34" spans="1:1" x14ac:dyDescent="0.45">
      <c r="A34" t="s">
        <v>217</v>
      </c>
    </row>
    <row r="35" spans="1:1" x14ac:dyDescent="0.45">
      <c r="A35" t="s">
        <v>225</v>
      </c>
    </row>
    <row r="36" spans="1:1" x14ac:dyDescent="0.45">
      <c r="A36" t="s">
        <v>226</v>
      </c>
    </row>
    <row r="37" spans="1:1" x14ac:dyDescent="0.45">
      <c r="A37" t="s">
        <v>227</v>
      </c>
    </row>
  </sheetData>
  <sheetProtection algorithmName="SHA-512" hashValue="CDN/p8+MZ3NkFsABPiCrVqbx4xk3yByFIPXKyqJuVkVf5FD7URqN5V92FP/N5u55Rn6Tk2fof6VTUTKfCJKyYw==" saltValue="xz5Th6DpsEtTN3mNrRDr1A==" spinCount="100000" sheet="1" objects="1" scenarios="1"/>
  <phoneticPr fontId="8" type="noConversion"/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12</vt:i4>
      </vt:variant>
    </vt:vector>
  </HeadingPairs>
  <TitlesOfParts>
    <vt:vector size="27" baseType="lpstr">
      <vt:lpstr>LOTS_ENTREPRISES</vt:lpstr>
      <vt:lpstr>Suivi_TMA</vt:lpstr>
      <vt:lpstr>TMA_Entreprises</vt:lpstr>
      <vt:lpstr>EXPORT</vt:lpstr>
      <vt:lpstr>EXPORT_ENTREPRISE</vt:lpstr>
      <vt:lpstr>EXPORT_CLIENT_V2</vt:lpstr>
      <vt:lpstr>EXPORT_MO</vt:lpstr>
      <vt:lpstr>EXPORT_MOE</vt:lpstr>
      <vt:lpstr>EXPORT_DEVIS_CLIENT</vt:lpstr>
      <vt:lpstr>DASHBOARD_V2</vt:lpstr>
      <vt:lpstr>TMA_DB</vt:lpstr>
      <vt:lpstr>REF_CLIENTS</vt:lpstr>
      <vt:lpstr>REF_LOTS</vt:lpstr>
      <vt:lpstr>REF_ENTREPRISES</vt:lpstr>
      <vt:lpstr>Paramètres</vt:lpstr>
      <vt:lpstr>EXPORT_CLIENT_V2!Impression_des_titres</vt:lpstr>
      <vt:lpstr>EXPORT_ENTREPRISE!Impression_des_titres</vt:lpstr>
      <vt:lpstr>EXPORT_MO!Impression_des_titres</vt:lpstr>
      <vt:lpstr>EXPORT_MOE!Impression_des_titres</vt:lpstr>
      <vt:lpstr>Liste_Lots</vt:lpstr>
      <vt:lpstr>ListeTypes</vt:lpstr>
      <vt:lpstr>DASHBOARD_V2!Zone_d_impression</vt:lpstr>
      <vt:lpstr>EXPORT_CLIENT_V2!Zone_d_impression</vt:lpstr>
      <vt:lpstr>EXPORT_DEVIS_CLIENT!Zone_d_impression</vt:lpstr>
      <vt:lpstr>EXPORT_ENTREPRISE!Zone_d_impression</vt:lpstr>
      <vt:lpstr>EXPORT_MO!Zone_d_impression</vt:lpstr>
      <vt:lpstr>EXPORT_MOE!Zone_d_impression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nicolas.cazalis@gmail.com</cp:lastModifiedBy>
  <cp:lastPrinted>2026-04-21T09:24:11Z</cp:lastPrinted>
  <dcterms:created xsi:type="dcterms:W3CDTF">2026-03-17T14:12:31Z</dcterms:created>
  <dcterms:modified xsi:type="dcterms:W3CDTF">2026-04-21T09:26:26Z</dcterms:modified>
</cp:coreProperties>
</file>